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 Before Season" sheetId="1" r:id="rId5"/>
    <sheet state="visible" name="Obra cash flow 1" sheetId="2" r:id="rId6"/>
    <sheet state="visible" name="Obra cash flow" sheetId="3" r:id="rId7"/>
    <sheet state="visible" name="Receptor" sheetId="4" r:id="rId8"/>
    <sheet state="visible" name="Receptor by pay" sheetId="5" r:id="rId9"/>
    <sheet state="visible" name="Analysis OUT by pay" sheetId="6" r:id="rId10"/>
    <sheet state="visible" name="Analysis OUT" sheetId="7" r:id="rId11"/>
    <sheet state="visible" name="Final Result by pay" sheetId="8" r:id="rId12"/>
    <sheet state="visible" name="Final Result" sheetId="9" r:id="rId13"/>
    <sheet state="visible" name="05" sheetId="10" r:id="rId14"/>
    <sheet state="visible" name="06" sheetId="11" r:id="rId15"/>
    <sheet state="visible" name="07" sheetId="12" r:id="rId16"/>
    <sheet state="visible" name="Monthly cash flow" sheetId="13" r:id="rId17"/>
    <sheet state="visible" name="Daily cash flow 05-2026" sheetId="14" r:id="rId18"/>
    <sheet state="hidden" name="Daily cash flow 06-2026" sheetId="15" r:id="rId19"/>
    <sheet state="visible" name="Daily cash flow 07-2026" sheetId="16" r:id="rId20"/>
    <sheet state="visible" name="Dados" sheetId="17" r:id="rId21"/>
    <sheet state="visible" name="FF" sheetId="18" r:id="rId22"/>
    <sheet state="visible" name="Extra" sheetId="19" r:id="rId23"/>
    <sheet state="visible" name="CloudBed" sheetId="20" r:id="rId24"/>
    <sheet state="visible" name="Routine" sheetId="21" r:id="rId25"/>
    <sheet state="visible" name="Lista 2" sheetId="22" r:id="rId26"/>
    <sheet state="visible" name="Lista" sheetId="23" r:id="rId27"/>
  </sheets>
  <definedNames>
    <definedName hidden="1" localSheetId="16" name="_xlnm._FilterDatabase">Dados!$A$1:$AH$1853</definedName>
    <definedName hidden="1" localSheetId="17" name="_xlnm._FilterDatabase">FF!$A$1:$Z$995</definedName>
    <definedName hidden="1" localSheetId="18" name="_xlnm._FilterDatabase">Extra!$A$2:$I$268</definedName>
    <definedName hidden="1" localSheetId="20" name="_xlnm._FilterDatabase">Routine!$A$1:$D$930</definedName>
    <definedName hidden="1" localSheetId="22" name="_xlnm._FilterDatabase">Lista!$A$1:$Z$1025</definedName>
    <definedName hidden="1" localSheetId="16" name="Z_B4825561_D639_4A77_84C2_F7B7434A78BC_.wvu.FilterData">Dados!$A$1:$U$1853</definedName>
  </definedNames>
  <calcPr/>
  <customWorkbookViews>
    <customWorkbookView activeSheetId="0" maximized="1" windowHeight="0" windowWidth="0" guid="{B4825561-D639-4A77-84C2-F7B7434A78BC}" name="Filtro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46">
      <text>
        <t xml:space="preserve">quando tiver diferença, vai em Lista e cria a função =VLOOKUP(C82;'Cópia de Out this year'!B:B;1;false)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47">
      <text>
        <t xml:space="preserve">quando tiver diferença, vai em Lista e cria a função =VLOOKUP(C82;'Cópia de Out this year'!B:B;1;false)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tc={5c91b1ba-e4d6-46b6-8e34-ed4ce7dd8a55}</author>
    <author>tc={dee61c97-c36f-467d-95d6-3c4a5422cfe4}</author>
  </authors>
  <commentList>
    <comment authorId="0" ref="B99">
      <text>
        <t xml:space="preserve">comecou a temporada com 
72 mil (temporadas passadas + carro do pai)
17.827 (temporada 7)</t>
      </text>
    </comment>
    <comment authorId="1" xr:uid="{5c91b1ba-e4d6-46b6-8e34-ed4ce7dd8a55}" ref="G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diferença por que recebemos em Pounds
</t>
      </text>
    </comment>
    <comment authorId="2" xr:uid="{dee61c97-c36f-467d-95d6-3c4a5422cfe4}" ref="G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diferença por que recebemos em Pounds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090">
      <text>
        <t xml:space="preserve">mudei do dia 22 para 27
pq chefinho me falou que no paypal recebeu em 27</t>
      </text>
    </comment>
  </commentList>
</comments>
</file>

<file path=xl/sharedStrings.xml><?xml version="1.0" encoding="utf-8"?>
<sst xmlns="http://schemas.openxmlformats.org/spreadsheetml/2006/main" count="8973" uniqueCount="1935">
  <si>
    <t>From</t>
  </si>
  <si>
    <t>Receptor</t>
  </si>
  <si>
    <t>10k1</t>
  </si>
  <si>
    <t>10k2</t>
  </si>
  <si>
    <t>10k3</t>
  </si>
  <si>
    <t>5k4</t>
  </si>
  <si>
    <t>5k5</t>
  </si>
  <si>
    <t>Bank</t>
  </si>
  <si>
    <t>Drop Box</t>
  </si>
  <si>
    <t>Total</t>
  </si>
  <si>
    <t>Revolut</t>
  </si>
  <si>
    <t>AdrianMoney</t>
  </si>
  <si>
    <t>Opening</t>
  </si>
  <si>
    <t>MoneyBox</t>
  </si>
  <si>
    <t>Coluna M</t>
  </si>
  <si>
    <t>Drop10.000-01/01/2026</t>
  </si>
  <si>
    <t>Drop10.000-20/02/2026</t>
  </si>
  <si>
    <t>Drop10.000-28/02/2026</t>
  </si>
  <si>
    <t>Drop5.000-01/05/2026</t>
  </si>
  <si>
    <t>Drop5.000-01/06/2026</t>
  </si>
  <si>
    <t>Obra-Cafe</t>
  </si>
  <si>
    <t>Ano</t>
  </si>
  <si>
    <t>Cafe/food-Cafe</t>
  </si>
  <si>
    <t>Date</t>
  </si>
  <si>
    <t>By Check in / No commission</t>
  </si>
  <si>
    <t>Furnitures-Cafe</t>
  </si>
  <si>
    <t>Contabilidade</t>
  </si>
  <si>
    <t>TOTAL</t>
  </si>
  <si>
    <t>Booking</t>
  </si>
  <si>
    <t>Maodeobra-Cafe</t>
  </si>
  <si>
    <t>Adrien</t>
  </si>
  <si>
    <t>Material/Tools-Cafe</t>
  </si>
  <si>
    <t>NOSInternet</t>
  </si>
  <si>
    <t>Project/Admin-Cafe</t>
  </si>
  <si>
    <t>Uber/ Transporte-Cafe</t>
  </si>
  <si>
    <t>Fees</t>
  </si>
  <si>
    <t>Total OUT</t>
  </si>
  <si>
    <t>Aggema</t>
  </si>
  <si>
    <t>HW</t>
  </si>
  <si>
    <t>EnergiaEDP</t>
  </si>
  <si>
    <t>ÁguaFAGAR</t>
  </si>
  <si>
    <t>CFE</t>
  </si>
  <si>
    <t>Invest</t>
  </si>
  <si>
    <t>Airbnb</t>
  </si>
  <si>
    <t>Seg.Soc.</t>
  </si>
  <si>
    <t>IVA</t>
  </si>
  <si>
    <t>UberCopter</t>
  </si>
  <si>
    <t>others-marketing</t>
  </si>
  <si>
    <t>Cloudbeds</t>
  </si>
  <si>
    <t>Website</t>
  </si>
  <si>
    <t>Final</t>
  </si>
  <si>
    <t>Final for reals</t>
  </si>
  <si>
    <t>TotalOTA</t>
  </si>
  <si>
    <t>Difference</t>
  </si>
  <si>
    <t>Walk-In</t>
  </si>
  <si>
    <t>Friends &amp; Family</t>
  </si>
  <si>
    <t>By Payment/ No commission</t>
  </si>
  <si>
    <t>TotalWalk</t>
  </si>
  <si>
    <t>CityTax</t>
  </si>
  <si>
    <t>TotalAcomodation</t>
  </si>
  <si>
    <t>Lastyear(planilha2025)</t>
  </si>
  <si>
    <t>%comparação</t>
  </si>
  <si>
    <t>Number of Guest</t>
  </si>
  <si>
    <t>Number of Beds</t>
  </si>
  <si>
    <t>Occupancy Rate</t>
  </si>
  <si>
    <t>Last Year</t>
  </si>
  <si>
    <t>Average Price</t>
  </si>
  <si>
    <t>Bed Cost by nights</t>
  </si>
  <si>
    <t>Bed Cost if full</t>
  </si>
  <si>
    <t>Friends &amp; Family from the paper</t>
  </si>
  <si>
    <t>Total com CT</t>
  </si>
  <si>
    <t>Receptor by event</t>
  </si>
  <si>
    <t>Diferença</t>
  </si>
  <si>
    <t>PELA DATA DO PAGAMENTO</t>
  </si>
  <si>
    <t>CATEGORIA</t>
  </si>
  <si>
    <t>PRODUTO</t>
  </si>
  <si>
    <t>TOTAL2026</t>
  </si>
  <si>
    <t>Jan</t>
  </si>
  <si>
    <t>Fev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</si>
  <si>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</si>
  <si>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</si>
  <si>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</si>
  <si>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</si>
  <si>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</si>
  <si>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</si>
  <si>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</si>
  <si>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</si>
  <si>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</si>
  <si>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Dez</t>
  </si>
  <si>
    <t>Aqua Lab Water Test</t>
  </si>
  <si>
    <t>Gas inspection</t>
  </si>
  <si>
    <t>INTERPREV-Fiscalisacao</t>
  </si>
  <si>
    <t>INTERPREV-Segurancaesaude</t>
  </si>
  <si>
    <t>License</t>
  </si>
  <si>
    <t>SOPFOGO-Extinctores</t>
  </si>
  <si>
    <t>PELA DATA DO EVENTO</t>
  </si>
  <si>
    <t>Year</t>
  </si>
  <si>
    <t>SOPFOGO-Manutencao Central Incendio</t>
  </si>
  <si>
    <t>Final Result Total by Cash flow</t>
  </si>
  <si>
    <t>SPA</t>
  </si>
  <si>
    <t>Annualidad-Fixa</t>
  </si>
  <si>
    <t>Desinfection</t>
  </si>
  <si>
    <t>Diverso – bed bug</t>
  </si>
  <si>
    <t>laundry</t>
  </si>
  <si>
    <t>Weapons</t>
  </si>
  <si>
    <t>bedbugsprotocol</t>
  </si>
  <si>
    <t>Airbnb cancelation</t>
  </si>
  <si>
    <t>Airbnb comission</t>
  </si>
  <si>
    <t>Booking Other taxs</t>
  </si>
  <si>
    <t>Refund</t>
  </si>
  <si>
    <t>Booking Payment commision</t>
  </si>
  <si>
    <t>Nannybag</t>
  </si>
  <si>
    <t>Commission</t>
  </si>
  <si>
    <t>Aliguer TPEREDUNICRE MENSAL</t>
  </si>
  <si>
    <t>Extra</t>
  </si>
  <si>
    <t>Extras</t>
  </si>
  <si>
    <t>Total Input</t>
  </si>
  <si>
    <t>Madalena8-BPI</t>
  </si>
  <si>
    <t>Input by event</t>
  </si>
  <si>
    <t>Paylink</t>
  </si>
  <si>
    <t>BREAK HEAVEN</t>
  </si>
  <si>
    <t>Bpi</t>
  </si>
  <si>
    <t>Banana</t>
  </si>
  <si>
    <t>UNNECESSARY without Obra</t>
  </si>
  <si>
    <t>Butter</t>
  </si>
  <si>
    <t>Cacao</t>
  </si>
  <si>
    <t>Canela</t>
  </si>
  <si>
    <t>Result</t>
  </si>
  <si>
    <t>Result by event</t>
  </si>
  <si>
    <t>Coffee</t>
  </si>
  <si>
    <t>Coffee filter</t>
  </si>
  <si>
    <t>DespesasPessoas</t>
  </si>
  <si>
    <t>Flakes</t>
  </si>
  <si>
    <t>FinalResult</t>
  </si>
  <si>
    <t>Flour</t>
  </si>
  <si>
    <t>Obra 2026</t>
  </si>
  <si>
    <t>Fruits</t>
  </si>
  <si>
    <t>Obra 2027</t>
  </si>
  <si>
    <t>Gas-Café da manhã</t>
  </si>
  <si>
    <t>New Result</t>
  </si>
  <si>
    <t>Jam</t>
  </si>
  <si>
    <t>Milk</t>
  </si>
  <si>
    <t>referente 2025 pago 2026</t>
  </si>
  <si>
    <t>Muesli</t>
  </si>
  <si>
    <t>Oil</t>
  </si>
  <si>
    <t>Peanut butter</t>
  </si>
  <si>
    <t>pepper</t>
  </si>
  <si>
    <t>Salt</t>
  </si>
  <si>
    <t>Sugar</t>
  </si>
  <si>
    <t>Tea</t>
  </si>
  <si>
    <t>Vegan</t>
  </si>
  <si>
    <t>Café da manhã</t>
  </si>
  <si>
    <t>Bleach Toilet</t>
  </si>
  <si>
    <t>Cifi</t>
  </si>
  <si>
    <t>Final Result Total by Event</t>
  </si>
  <si>
    <t>Dishwash Liquid</t>
  </si>
  <si>
    <t>Diverso-Cleaning</t>
  </si>
  <si>
    <t>Glass Cleaner</t>
  </si>
  <si>
    <t>Mistolin</t>
  </si>
  <si>
    <t>Mop</t>
  </si>
  <si>
    <t>saco10l</t>
  </si>
  <si>
    <t>Softner</t>
  </si>
  <si>
    <t>Sponges</t>
  </si>
  <si>
    <t>Ttrash bag 50l</t>
  </si>
  <si>
    <t>Washing Powder</t>
  </si>
  <si>
    <t>Cleaning</t>
  </si>
  <si>
    <t>Imi10</t>
  </si>
  <si>
    <t>Imi8</t>
  </si>
  <si>
    <t>Imi</t>
  </si>
  <si>
    <t>IRS</t>
  </si>
  <si>
    <t>INPI</t>
  </si>
  <si>
    <t>Impostos</t>
  </si>
  <si>
    <t>Auto</t>
  </si>
  <si>
    <t>Madalena8</t>
  </si>
  <si>
    <t>Res.Civ.Hostel</t>
  </si>
  <si>
    <t>Madalena10</t>
  </si>
  <si>
    <t>Insurance</t>
  </si>
  <si>
    <t>Administracao</t>
  </si>
  <si>
    <t>Obra season</t>
  </si>
  <si>
    <t>Obra</t>
  </si>
  <si>
    <t>Mada8</t>
  </si>
  <si>
    <t>Others-marketing</t>
  </si>
  <si>
    <t>Marketing</t>
  </si>
  <si>
    <t>Gaz</t>
  </si>
  <si>
    <t>Spotify</t>
  </si>
  <si>
    <t>Mensalidade-Fixa</t>
  </si>
  <si>
    <t>Diversos Papel Pack</t>
  </si>
  <si>
    <t>Gloves</t>
  </si>
  <si>
    <t>Handsoap</t>
  </si>
  <si>
    <t>Iva-PapelPack</t>
  </si>
  <si>
    <t>KitchenRoll</t>
  </si>
  <si>
    <t>Sunset Floor Cleaner</t>
  </si>
  <si>
    <t>Toalha de mao</t>
  </si>
  <si>
    <t>Toiletpaper</t>
  </si>
  <si>
    <t>Trashbag 120l</t>
  </si>
  <si>
    <t>Trashbag Toilet</t>
  </si>
  <si>
    <t>Papel Pack</t>
  </si>
  <si>
    <t>Caneta</t>
  </si>
  <si>
    <t>Design</t>
  </si>
  <si>
    <t>Diversos-Papelaria</t>
  </si>
  <si>
    <t>Ink</t>
  </si>
  <si>
    <t>Lápis</t>
  </si>
  <si>
    <t>Multicopias</t>
  </si>
  <si>
    <t>Plastificaçao</t>
  </si>
  <si>
    <t>Papelaria</t>
  </si>
  <si>
    <t>2x2x2</t>
  </si>
  <si>
    <t>barShift</t>
  </si>
  <si>
    <t>Clarita-wages</t>
  </si>
  <si>
    <t>Dinner</t>
  </si>
  <si>
    <t>Excel</t>
  </si>
  <si>
    <t>Food Staff</t>
  </si>
  <si>
    <t>Manager</t>
  </si>
  <si>
    <t>Marta-wages</t>
  </si>
  <si>
    <t>Night shift</t>
  </si>
  <si>
    <t>Pancakes</t>
  </si>
  <si>
    <t>Reception Shift</t>
  </si>
  <si>
    <t>Wages</t>
  </si>
  <si>
    <t>Bus</t>
  </si>
  <si>
    <t>Transporte</t>
  </si>
  <si>
    <t>Key</t>
  </si>
  <si>
    <t>Other</t>
  </si>
  <si>
    <t>Dryer</t>
  </si>
  <si>
    <t>Others</t>
  </si>
  <si>
    <t>Rubber</t>
  </si>
  <si>
    <t>correia</t>
  </si>
  <si>
    <t>travao</t>
  </si>
  <si>
    <t>subtituicao</t>
  </si>
  <si>
    <t>Fixing</t>
  </si>
  <si>
    <t>Bike</t>
  </si>
  <si>
    <t>Apple Cider</t>
  </si>
  <si>
    <t>Alcohol</t>
  </si>
  <si>
    <t>Fruit Cider</t>
  </si>
  <si>
    <t>Fruits bar</t>
  </si>
  <si>
    <t>Cachaça</t>
  </si>
  <si>
    <t>Ice tea</t>
  </si>
  <si>
    <t>Coca</t>
  </si>
  <si>
    <t>water</t>
  </si>
  <si>
    <t>Red Bull</t>
  </si>
  <si>
    <t>Sprite</t>
  </si>
  <si>
    <t>Furniture</t>
  </si>
  <si>
    <t>Ice cube – Bar</t>
  </si>
  <si>
    <t>Bar Liquor</t>
  </si>
  <si>
    <t>Sangria</t>
  </si>
  <si>
    <t>Verso3</t>
  </si>
  <si>
    <t>Liqueur</t>
  </si>
  <si>
    <t>Verso5</t>
  </si>
  <si>
    <t>Bar Rooftop</t>
  </si>
  <si>
    <t>Green Wine</t>
  </si>
  <si>
    <t>Vinho tinto</t>
  </si>
  <si>
    <t>Beer 1L</t>
  </si>
  <si>
    <t>Beer</t>
  </si>
  <si>
    <t>Bar</t>
  </si>
  <si>
    <t>Limao</t>
  </si>
  <si>
    <t>Mint</t>
  </si>
  <si>
    <t>Rhum</t>
  </si>
  <si>
    <t>Snacks</t>
  </si>
  <si>
    <t>SodaWater</t>
  </si>
  <si>
    <t>Bar-Mojito</t>
  </si>
  <si>
    <t>Lollipop</t>
  </si>
  <si>
    <t>Pills</t>
  </si>
  <si>
    <t>ChillPills</t>
  </si>
  <si>
    <t>Amarguinha</t>
  </si>
  <si>
    <t>Beirao</t>
  </si>
  <si>
    <t>Ginha</t>
  </si>
  <si>
    <t>Maciera</t>
  </si>
  <si>
    <t>*</t>
  </si>
  <si>
    <t>Break Even</t>
  </si>
  <si>
    <t>Mensalidades</t>
  </si>
  <si>
    <t>(+)Accommodation + Extras + CT</t>
  </si>
  <si>
    <t>Medronho</t>
  </si>
  <si>
    <t>(-)Break Even</t>
  </si>
  <si>
    <t>(-)Unnecessary</t>
  </si>
  <si>
    <t>Luggage</t>
  </si>
  <si>
    <t>PateldeNata</t>
  </si>
  <si>
    <t>(=)Result</t>
  </si>
  <si>
    <t>Laundry</t>
  </si>
  <si>
    <t>Despesas do Patrimônio</t>
  </si>
  <si>
    <t>Car rental</t>
  </si>
  <si>
    <t>Aperol</t>
  </si>
  <si>
    <t>(+)Obra</t>
  </si>
  <si>
    <t>(+)Despesas pessoais</t>
  </si>
  <si>
    <t>Animares</t>
  </si>
  <si>
    <t xml:space="preserve">(=)Total </t>
  </si>
  <si>
    <t>Shower</t>
  </si>
  <si>
    <t>Shot</t>
  </si>
  <si>
    <t>Portwine</t>
  </si>
  <si>
    <t>Analysis</t>
  </si>
  <si>
    <t>Number of beds</t>
  </si>
  <si>
    <t>Bed Sold</t>
  </si>
  <si>
    <t>Bed Cost</t>
  </si>
  <si>
    <t>Liquor Bar</t>
  </si>
  <si>
    <t>Bedroom</t>
  </si>
  <si>
    <t>Bedroom"Blankets"</t>
  </si>
  <si>
    <t>Rooftop</t>
  </si>
  <si>
    <t>Plants</t>
  </si>
  <si>
    <t>Bathroom</t>
  </si>
  <si>
    <t>Kitchen</t>
  </si>
  <si>
    <t>electromenager</t>
  </si>
  <si>
    <t>General</t>
  </si>
  <si>
    <t>Staff</t>
  </si>
  <si>
    <t>Bedroom"Sheets"</t>
  </si>
  <si>
    <t>Hostel furnitures</t>
  </si>
  <si>
    <t>MaodeObra-Cafe</t>
  </si>
  <si>
    <t>Type</t>
  </si>
  <si>
    <t>Month</t>
  </si>
  <si>
    <t>Opening balance</t>
  </si>
  <si>
    <t>Booking CT</t>
  </si>
  <si>
    <t>Airbnb CT</t>
  </si>
  <si>
    <t>Credit Card CT</t>
  </si>
  <si>
    <t>MaodeObraSeason8</t>
  </si>
  <si>
    <t>Credit Card</t>
  </si>
  <si>
    <t>material/tools"Season8"</t>
  </si>
  <si>
    <t>Output</t>
  </si>
  <si>
    <t>furniture"Season8"</t>
  </si>
  <si>
    <t>Final balance</t>
  </si>
  <si>
    <t>Obra-"Season8"</t>
  </si>
  <si>
    <t>ArchitectProject</t>
  </si>
  <si>
    <t>Bankstatement</t>
  </si>
  <si>
    <t>TheProject50</t>
  </si>
  <si>
    <t>Money Box</t>
  </si>
  <si>
    <t>BBQfood</t>
  </si>
  <si>
    <t>pay to Natalia</t>
  </si>
  <si>
    <t>decoration</t>
  </si>
  <si>
    <t>Cloudbed CT</t>
  </si>
  <si>
    <t>BBQParty</t>
  </si>
  <si>
    <t>Cloudbed</t>
  </si>
  <si>
    <t>food</t>
  </si>
  <si>
    <t>FF</t>
  </si>
  <si>
    <t>DinnerNight</t>
  </si>
  <si>
    <t>UNNECESSARY</t>
  </si>
  <si>
    <t>Van</t>
  </si>
  <si>
    <t>Total IN</t>
  </si>
  <si>
    <t>OUT</t>
  </si>
  <si>
    <t>Rent Adri</t>
  </si>
  <si>
    <t>Drop</t>
  </si>
  <si>
    <t>Real</t>
  </si>
  <si>
    <t>Despesas Pessoas</t>
  </si>
  <si>
    <t>From MB to Drop</t>
  </si>
  <si>
    <t>Deposit Drop</t>
  </si>
  <si>
    <t>From MB to Adrien Money</t>
  </si>
  <si>
    <t>From Drop to Adrien Money</t>
  </si>
  <si>
    <t>From Adrian Money to Drop</t>
  </si>
  <si>
    <t>From Bpi to Revolut</t>
  </si>
  <si>
    <t>From Paypal to Revolut</t>
  </si>
  <si>
    <t>Adjust</t>
  </si>
  <si>
    <t>CATEGORY 3</t>
  </si>
  <si>
    <t>Real IN</t>
  </si>
  <si>
    <t>TOTAL sem DROP</t>
  </si>
  <si>
    <t>TOTAL DADOS</t>
  </si>
  <si>
    <t>Out</t>
  </si>
  <si>
    <t>diferença</t>
  </si>
  <si>
    <t>Real final</t>
  </si>
  <si>
    <t>Paypal</t>
  </si>
  <si>
    <t>Day</t>
  </si>
  <si>
    <t>Begin</t>
  </si>
  <si>
    <t>CT</t>
  </si>
  <si>
    <t>Accomodation</t>
  </si>
  <si>
    <t>End</t>
  </si>
  <si>
    <t>Season</t>
  </si>
  <si>
    <t>BPI deposit</t>
  </si>
  <si>
    <t>Output obra</t>
  </si>
  <si>
    <t>Realammount</t>
  </si>
  <si>
    <t>RentAdri</t>
  </si>
  <si>
    <t>Drop obra</t>
  </si>
  <si>
    <t>FROM?</t>
  </si>
  <si>
    <t>DAY</t>
  </si>
  <si>
    <t>MONTH</t>
  </si>
  <si>
    <t>YEAR</t>
  </si>
  <si>
    <t>Month???</t>
  </si>
  <si>
    <t>Adrien Money</t>
  </si>
  <si>
    <t>AMOUNT</t>
  </si>
  <si>
    <t>Aqualab</t>
  </si>
  <si>
    <t>Adrien others</t>
  </si>
  <si>
    <t>Input</t>
  </si>
  <si>
    <t>Lidl 56486</t>
  </si>
  <si>
    <t>Aldi 534491</t>
  </si>
  <si>
    <t>Aldi 543878</t>
  </si>
  <si>
    <t>LIDL 30/04</t>
  </si>
  <si>
    <t>Service Date</t>
  </si>
  <si>
    <t>person</t>
  </si>
  <si>
    <t>Credits</t>
  </si>
  <si>
    <t>Transaction Description</t>
  </si>
  <si>
    <t>Payment ID</t>
  </si>
  <si>
    <t>Room Number</t>
  </si>
  <si>
    <t>Primary Guest Full Name</t>
  </si>
  <si>
    <t>Check-In Date</t>
  </si>
  <si>
    <t>Check-Out Date</t>
  </si>
  <si>
    <t>Claudio</t>
  </si>
  <si>
    <t>Anna Inmisch</t>
  </si>
  <si>
    <t>Jean Phillipe</t>
  </si>
  <si>
    <t>Rajae</t>
  </si>
  <si>
    <t>Whasah</t>
  </si>
  <si>
    <t>Jean White</t>
  </si>
  <si>
    <t>Walter</t>
  </si>
  <si>
    <t>Austauir</t>
  </si>
  <si>
    <t>Javier</t>
  </si>
  <si>
    <t>Marren</t>
  </si>
  <si>
    <t>Maser</t>
  </si>
  <si>
    <t>Michael</t>
  </si>
  <si>
    <t>Nabil</t>
  </si>
  <si>
    <t>Wujia</t>
  </si>
  <si>
    <t>Carla Everad</t>
  </si>
  <si>
    <t>Real ammount</t>
  </si>
  <si>
    <t>Flage</t>
  </si>
  <si>
    <t>Magdalena</t>
  </si>
  <si>
    <t>Lidl 40030</t>
  </si>
  <si>
    <t>Juluis</t>
  </si>
  <si>
    <t>Huston</t>
  </si>
  <si>
    <t>Trarieux</t>
  </si>
  <si>
    <t>Gauthier</t>
  </si>
  <si>
    <t>Jordan</t>
  </si>
  <si>
    <t>Lucas</t>
  </si>
  <si>
    <t>Lyla</t>
  </si>
  <si>
    <t>Lidl 4139</t>
  </si>
  <si>
    <t>Abel</t>
  </si>
  <si>
    <t>Jennifer</t>
  </si>
  <si>
    <t>Marie</t>
  </si>
  <si>
    <t>Aldi 534489</t>
  </si>
  <si>
    <t>Victoria</t>
  </si>
  <si>
    <t>Dario</t>
  </si>
  <si>
    <t>Camille</t>
  </si>
  <si>
    <t>Callum</t>
  </si>
  <si>
    <t>Henri Li</t>
  </si>
  <si>
    <t>Kejan</t>
  </si>
  <si>
    <t>Sebastian</t>
  </si>
  <si>
    <t>Sara</t>
  </si>
  <si>
    <t>Abde</t>
  </si>
  <si>
    <t>Lars</t>
  </si>
  <si>
    <t>Calors</t>
  </si>
  <si>
    <t>Andrze</t>
  </si>
  <si>
    <t>Jochen</t>
  </si>
  <si>
    <t>Kiddo</t>
  </si>
  <si>
    <t>Oguz</t>
  </si>
  <si>
    <t>Mose</t>
  </si>
  <si>
    <t>Joeker</t>
  </si>
  <si>
    <t>Alexandra</t>
  </si>
  <si>
    <t>Olivia</t>
  </si>
  <si>
    <t>Sarra</t>
  </si>
  <si>
    <t>Matuii</t>
  </si>
  <si>
    <t>Kellian</t>
  </si>
  <si>
    <t>Matvi</t>
  </si>
  <si>
    <t>Julian</t>
  </si>
  <si>
    <t>Outros</t>
  </si>
  <si>
    <t>Acomodation</t>
  </si>
  <si>
    <t>Matvii</t>
  </si>
  <si>
    <t>King</t>
  </si>
  <si>
    <t>Finn</t>
  </si>
  <si>
    <t>Ramon</t>
  </si>
  <si>
    <t>Raby</t>
  </si>
  <si>
    <t>Hammack</t>
  </si>
  <si>
    <t>Clie</t>
  </si>
  <si>
    <t>Isabel</t>
  </si>
  <si>
    <t>James W</t>
  </si>
  <si>
    <t>Rylee</t>
  </si>
  <si>
    <t>Scott B</t>
  </si>
  <si>
    <t>Diego</t>
  </si>
  <si>
    <t>Yana</t>
  </si>
  <si>
    <t>Denys</t>
  </si>
  <si>
    <t>Georgia</t>
  </si>
  <si>
    <t>Ana</t>
  </si>
  <si>
    <t>Kilian</t>
  </si>
  <si>
    <t>Lais</t>
  </si>
  <si>
    <t>Jyoti</t>
  </si>
  <si>
    <t>Aida</t>
  </si>
  <si>
    <t>Aldi 534494</t>
  </si>
  <si>
    <t>Gardon</t>
  </si>
  <si>
    <t>Mia</t>
  </si>
  <si>
    <t>Aldi 534495</t>
  </si>
  <si>
    <t>Anna S</t>
  </si>
  <si>
    <t>Phoebe</t>
  </si>
  <si>
    <t>???</t>
  </si>
  <si>
    <t>Aldi 534493</t>
  </si>
  <si>
    <t>Karen</t>
  </si>
  <si>
    <t>Cesca Chalis</t>
  </si>
  <si>
    <t>Mikei</t>
  </si>
  <si>
    <t>Katie</t>
  </si>
  <si>
    <t>Saldo Paypal</t>
  </si>
  <si>
    <t>Paypal IN</t>
  </si>
  <si>
    <t>Caixas de armazenagem - Fatura 06-1</t>
  </si>
  <si>
    <t>Adrien Others</t>
  </si>
  <si>
    <t>Caixas e produtos de limpeza</t>
  </si>
  <si>
    <t>IN - Extras</t>
  </si>
  <si>
    <t>Esponja salva-unhas</t>
  </si>
  <si>
    <t>day</t>
  </si>
  <si>
    <t>month</t>
  </si>
  <si>
    <t>year</t>
  </si>
  <si>
    <t>Product</t>
  </si>
  <si>
    <t>Amount</t>
  </si>
  <si>
    <t>Unitary value</t>
  </si>
  <si>
    <t>Where?</t>
  </si>
  <si>
    <t>Aldi 534490</t>
  </si>
  <si>
    <t>Increase in equity</t>
  </si>
  <si>
    <t>Aldi 534492</t>
  </si>
  <si>
    <t>IN</t>
  </si>
  <si>
    <t>Guest Full Name</t>
  </si>
  <si>
    <t>Reference</t>
  </si>
  <si>
    <t>dia</t>
  </si>
  <si>
    <t>mes</t>
  </si>
  <si>
    <t>ano</t>
  </si>
  <si>
    <t>dia1</t>
  </si>
  <si>
    <t>mes1</t>
  </si>
  <si>
    <t>ano1</t>
  </si>
  <si>
    <t>Source</t>
  </si>
  <si>
    <t>Status</t>
  </si>
  <si>
    <t>Adults</t>
  </si>
  <si>
    <t>Nights</t>
  </si>
  <si>
    <t>CT Payment Date</t>
  </si>
  <si>
    <t>dia2</t>
  </si>
  <si>
    <t>mes2</t>
  </si>
  <si>
    <t>ano2</t>
  </si>
  <si>
    <t>CT Payment Method</t>
  </si>
  <si>
    <t>Acc Payment Date</t>
  </si>
  <si>
    <t>dia3</t>
  </si>
  <si>
    <t>mes3</t>
  </si>
  <si>
    <t>ano3</t>
  </si>
  <si>
    <t>Acc Payment Method</t>
  </si>
  <si>
    <t>Alexander Peskin</t>
  </si>
  <si>
    <t>HM3RPFSCJD</t>
  </si>
  <si>
    <t>OK</t>
  </si>
  <si>
    <t>Amy Yinhui Tong</t>
  </si>
  <si>
    <t>HM34MCZQDX</t>
  </si>
  <si>
    <t>Annabelle Seidel</t>
  </si>
  <si>
    <t>HMBYMW49YZ</t>
  </si>
  <si>
    <t>ANNIE STEINFELD</t>
  </si>
  <si>
    <t>HMCQ4FSFQ5</t>
  </si>
  <si>
    <t>Aykut Cenk</t>
  </si>
  <si>
    <t>HMYQPZNRQ9</t>
  </si>
  <si>
    <t>Caroline Lanner</t>
  </si>
  <si>
    <t>HMQB8ZSTRM</t>
  </si>
  <si>
    <t>Charlotte Lovell</t>
  </si>
  <si>
    <t>HMNRZXME3H</t>
  </si>
  <si>
    <t>Drops</t>
  </si>
  <si>
    <t>Chloe Leigh Mark</t>
  </si>
  <si>
    <t>HMW5FT8M4S</t>
  </si>
  <si>
    <t>Eileen Krueger</t>
  </si>
  <si>
    <t>HMS2C59FKZ</t>
  </si>
  <si>
    <t>Elsa Osenat</t>
  </si>
  <si>
    <t>HMHQPYYTBJ</t>
  </si>
  <si>
    <t>Hannah Specht</t>
  </si>
  <si>
    <t>HM8PDA3TWR</t>
  </si>
  <si>
    <t>Iris Van Schayck</t>
  </si>
  <si>
    <t>HM5KPRYHXA</t>
  </si>
  <si>
    <t>Ismail Moussabbib</t>
  </si>
  <si>
    <t>HMR3M5FXPM</t>
  </si>
  <si>
    <t>Jade Christine Lacaille</t>
  </si>
  <si>
    <t>HMCCJTZEBW</t>
  </si>
  <si>
    <t>James Barnes</t>
  </si>
  <si>
    <t>HMJT2RCRWW</t>
  </si>
  <si>
    <t>Jean-Philippe Gakwaya</t>
  </si>
  <si>
    <t>HM8Y5PTE4S</t>
  </si>
  <si>
    <t>Jessica Sooth</t>
  </si>
  <si>
    <t>HMBMYN3B5S</t>
  </si>
  <si>
    <t>Renda Adrien</t>
  </si>
  <si>
    <t>Joan Viergever</t>
  </si>
  <si>
    <t>HMQQAPD54W</t>
  </si>
  <si>
    <t>Johan Richard</t>
  </si>
  <si>
    <t>HMWC352NBW</t>
  </si>
  <si>
    <t>Jonathan Berkun</t>
  </si>
  <si>
    <t>HMEY9YSHAD</t>
  </si>
  <si>
    <t>Karolina Urbaniak</t>
  </si>
  <si>
    <t>HMWPYQNNRP</t>
  </si>
  <si>
    <t>Laura Fluture</t>
  </si>
  <si>
    <t>HM8MJ95YDD</t>
  </si>
  <si>
    <t>Renda caucao</t>
  </si>
  <si>
    <t>Laura Kyburz</t>
  </si>
  <si>
    <t>HMWK3AEQ9P</t>
  </si>
  <si>
    <t>Léa Le Gall</t>
  </si>
  <si>
    <t>HMCNBRCKZ5</t>
  </si>
  <si>
    <t>Luca Antonia Mehling</t>
  </si>
  <si>
    <t>HMPTAAN543</t>
  </si>
  <si>
    <t>Mahmoud Awaz Kamal</t>
  </si>
  <si>
    <t>HM4EAP5YWA</t>
  </si>
  <si>
    <t>snipes</t>
  </si>
  <si>
    <t>Maria Kondratieva</t>
  </si>
  <si>
    <t>HM59XAQFAM</t>
  </si>
  <si>
    <t>Marion Alvarez</t>
  </si>
  <si>
    <t>HMJKFMBCFQ</t>
  </si>
  <si>
    <t>decatlhon</t>
  </si>
  <si>
    <t>outlet</t>
  </si>
  <si>
    <t>Martin Mcleod Cross</t>
  </si>
  <si>
    <t>HMX2KDZERF</t>
  </si>
  <si>
    <t>Meike Lucia Frai</t>
  </si>
  <si>
    <t>HM2588QCN4</t>
  </si>
  <si>
    <t>lidl</t>
  </si>
  <si>
    <t>Primark</t>
  </si>
  <si>
    <t>HMQBQZH9HN</t>
  </si>
  <si>
    <t>restau nath</t>
  </si>
  <si>
    <t>Michael Dugan</t>
  </si>
  <si>
    <t>HMC3XRP8ZX</t>
  </si>
  <si>
    <t>best deal</t>
  </si>
  <si>
    <t>Noreen Valerie Seidel</t>
  </si>
  <si>
    <t>HMK94ZNFWN</t>
  </si>
  <si>
    <t>spa anniversia nathalie</t>
  </si>
  <si>
    <t>Paula Gaile</t>
  </si>
  <si>
    <t>HM8AHA8PZE</t>
  </si>
  <si>
    <t>doctor ori</t>
  </si>
  <si>
    <t>Pedro de Oliveira Milagres</t>
  </si>
  <si>
    <t>HMP8AQR58B</t>
  </si>
  <si>
    <t>food annicversario ricardo</t>
  </si>
  <si>
    <t>Pierre Yves Le Guern</t>
  </si>
  <si>
    <t>HMAWJTDSRR</t>
  </si>
  <si>
    <t>Piotr Dębski</t>
  </si>
  <si>
    <t>oftalmologia</t>
  </si>
  <si>
    <t>HMRXEHXJF8</t>
  </si>
  <si>
    <t>Raj Panchal</t>
  </si>
  <si>
    <t>HM823H5D4J</t>
  </si>
  <si>
    <t>deporte village</t>
  </si>
  <si>
    <t>Samuel Legg</t>
  </si>
  <si>
    <t>HMK8Q84D98</t>
  </si>
  <si>
    <t>urgencia hpa</t>
  </si>
  <si>
    <t>Sarah Imhoff</t>
  </si>
  <si>
    <t>HMDFCKKY2Q</t>
  </si>
  <si>
    <t>chalet food with Bandi</t>
  </si>
  <si>
    <t>Sarah Knickel</t>
  </si>
  <si>
    <t>adri food osaka</t>
  </si>
  <si>
    <t>HMA98EW235</t>
  </si>
  <si>
    <t>Sarah Muders</t>
  </si>
  <si>
    <t>food with nathalie bombay palace</t>
  </si>
  <si>
    <t>HMC4N4JTP8</t>
  </si>
  <si>
    <t>oelho</t>
  </si>
  <si>
    <t>Sofia Stonehouse</t>
  </si>
  <si>
    <t>HMPJESEAPE</t>
  </si>
  <si>
    <t>Tabea Brenner</t>
  </si>
  <si>
    <t>HMME23BAPT</t>
  </si>
  <si>
    <t>car rental aniversario nathalie</t>
  </si>
  <si>
    <t>Tanja Bächtiger</t>
  </si>
  <si>
    <t>HMBZBFFDCD</t>
  </si>
  <si>
    <t>food pingo doce</t>
  </si>
  <si>
    <t>Tim Kozinowski</t>
  </si>
  <si>
    <t>HM2R9W8HYN</t>
  </si>
  <si>
    <t>farmacie</t>
  </si>
  <si>
    <t>Valentin Lancereau</t>
  </si>
  <si>
    <t>HM4WBNZEB5</t>
  </si>
  <si>
    <t>coelho food</t>
  </si>
  <si>
    <t>Valery Sokha</t>
  </si>
  <si>
    <t>HM92PTKMZ9</t>
  </si>
  <si>
    <t>osaka</t>
  </si>
  <si>
    <t>Varshitha Katti</t>
  </si>
  <si>
    <t>HM5FYB93AF</t>
  </si>
  <si>
    <t>Cancelled</t>
  </si>
  <si>
    <t>propolis celeiro</t>
  </si>
  <si>
    <t>Clémence Quezel-Ambrunaz</t>
  </si>
  <si>
    <t>HMEX8Z88ZT</t>
  </si>
  <si>
    <t>zara</t>
  </si>
  <si>
    <t>GAELLE DELEURENCE</t>
  </si>
  <si>
    <t>HMCZJ3FSFB</t>
  </si>
  <si>
    <t xml:space="preserve">UBER EATS HELP.UBER.CO     </t>
  </si>
  <si>
    <t>Janna-Iman Ababsa</t>
  </si>
  <si>
    <t>HMECNTQJBE</t>
  </si>
  <si>
    <t>hm</t>
  </si>
  <si>
    <t>Li Jiaxin</t>
  </si>
  <si>
    <t>HM9A2B2NWZ</t>
  </si>
  <si>
    <t>o tosta faro beach food</t>
  </si>
  <si>
    <t>Rasul Mahir</t>
  </si>
  <si>
    <t>HMFXEMHWWF</t>
  </si>
  <si>
    <t>superpinto</t>
  </si>
  <si>
    <t>SARAH K</t>
  </si>
  <si>
    <t>HMWT5AWBFT</t>
  </si>
  <si>
    <t>flor aniversário nathalie</t>
  </si>
  <si>
    <t>spar food</t>
  </si>
  <si>
    <t>Tejas Krishna Shankar</t>
  </si>
  <si>
    <t>HM8FJQNZSK</t>
  </si>
  <si>
    <t>train to lagoa</t>
  </si>
  <si>
    <t>Thomas Overs</t>
  </si>
  <si>
    <t>HM8H3NBRRE</t>
  </si>
  <si>
    <t>bakery bremhen</t>
  </si>
  <si>
    <t>赵浪 ZHAO</t>
  </si>
  <si>
    <t>HMBJ28R2KB</t>
  </si>
  <si>
    <t>food lisboa</t>
  </si>
  <si>
    <t>ALEX LIENING</t>
  </si>
  <si>
    <t>HMBNW5DSD5</t>
  </si>
  <si>
    <t>ALFIE O'CONNOR</t>
  </si>
  <si>
    <t>HM8A9KPRHE</t>
  </si>
  <si>
    <t>ALINE KAYUMBA</t>
  </si>
  <si>
    <t>HM44NMKFTR</t>
  </si>
  <si>
    <t>AMELIA STEWART</t>
  </si>
  <si>
    <t>HMDFZ94WEN</t>
  </si>
  <si>
    <t>food pingo</t>
  </si>
  <si>
    <t>AMÉLIE KÜHNEL</t>
  </si>
  <si>
    <t>HMFRDFX8Y4</t>
  </si>
  <si>
    <t>cafe starbuck</t>
  </si>
  <si>
    <t>AUDRÉE LACOUR</t>
  </si>
  <si>
    <t>HMXP5HM8WK</t>
  </si>
  <si>
    <t>cafe ivan</t>
  </si>
  <si>
    <t>CAMILA CARDENAS</t>
  </si>
  <si>
    <t>HMDK9EPQEF</t>
  </si>
  <si>
    <t>CAMILLE PONCET</t>
  </si>
  <si>
    <t>HMS55MAJDA</t>
  </si>
  <si>
    <t>CARMELA DIZON</t>
  </si>
  <si>
    <t>HMYYF8AXQR</t>
  </si>
  <si>
    <t>DEBS BARHAM</t>
  </si>
  <si>
    <t>HMMPMAT49D</t>
  </si>
  <si>
    <t>cafe brico.</t>
  </si>
  <si>
    <t>EINAR SUNDIN</t>
  </si>
  <si>
    <t>HMYPQPFAQ2</t>
  </si>
  <si>
    <t>cafe vanilla</t>
  </si>
  <si>
    <t>EMELINE-LEALA LAURENS</t>
  </si>
  <si>
    <t>HMAHNAMAKS</t>
  </si>
  <si>
    <t>EMILIE DOLATA</t>
  </si>
  <si>
    <t>Smoothies</t>
  </si>
  <si>
    <t>HMDBTHBR9Z</t>
  </si>
  <si>
    <t>EMILY DELROY</t>
  </si>
  <si>
    <t>HMY9TSTCYT</t>
  </si>
  <si>
    <t>FRANTIŠEK GIČ</t>
  </si>
  <si>
    <t>HMKPAPBHJM</t>
  </si>
  <si>
    <t>INES BUSCHER</t>
  </si>
  <si>
    <t>HMRADEP3Q5</t>
  </si>
  <si>
    <t>HMXR5MX2KF</t>
  </si>
  <si>
    <t>reembolso H&amp;M</t>
  </si>
  <si>
    <t>IONA HENDERSON</t>
  </si>
  <si>
    <t>HM44YCH3BQ</t>
  </si>
  <si>
    <t>binance</t>
  </si>
  <si>
    <t>IRINA</t>
  </si>
  <si>
    <t>HMDDEHAFTR</t>
  </si>
  <si>
    <t>INVEST</t>
  </si>
  <si>
    <t>JACOB COOK</t>
  </si>
  <si>
    <t>HMTAHQPPE2</t>
  </si>
  <si>
    <t>bitget</t>
  </si>
  <si>
    <t>JARON MEIER</t>
  </si>
  <si>
    <t>HMFH8WX45W</t>
  </si>
  <si>
    <t>land to nasser</t>
  </si>
  <si>
    <t>JEANNE BEAUGET</t>
  </si>
  <si>
    <t>HMBNABBWS5</t>
  </si>
  <si>
    <t>emprestimo Nasser</t>
  </si>
  <si>
    <t>JENS LANDER</t>
  </si>
  <si>
    <t>HMHACW4CEW</t>
  </si>
  <si>
    <t>Drop5000</t>
  </si>
  <si>
    <t>JOHANNIE BONIN</t>
  </si>
  <si>
    <t>HM8H8SWTEX</t>
  </si>
  <si>
    <t>JOHN BATAC</t>
  </si>
  <si>
    <t>HMBZJT3B9E</t>
  </si>
  <si>
    <t>KATHERINE BECKMAN</t>
  </si>
  <si>
    <t>HMJ84PQB4Q</t>
  </si>
  <si>
    <t>KEVIN A'HEARN</t>
  </si>
  <si>
    <t>HMRPCZRAFS</t>
  </si>
  <si>
    <t>KIRSTY VENTER</t>
  </si>
  <si>
    <t>HMWZSCBQ5A</t>
  </si>
  <si>
    <t>adri pocket money to revolut</t>
  </si>
  <si>
    <t>LAURA WIEDEMANN</t>
  </si>
  <si>
    <t>HM22ZQ3HKY</t>
  </si>
  <si>
    <t>LIAM</t>
  </si>
  <si>
    <t>HMHTYM9PH5</t>
  </si>
  <si>
    <t>LORENA GEBHARD</t>
  </si>
  <si>
    <t>HMJMBPM32P</t>
  </si>
  <si>
    <t>LOUISE KALB</t>
  </si>
  <si>
    <t>HM5E5SQPEQ</t>
  </si>
  <si>
    <t>Justin Bieber</t>
  </si>
  <si>
    <t>LUITGARD HAENSEL</t>
  </si>
  <si>
    <t>HMWFCDEA88</t>
  </si>
  <si>
    <t>Leo</t>
  </si>
  <si>
    <t>MADDISON NICOLE</t>
  </si>
  <si>
    <t>HMEZFRMCAN</t>
  </si>
  <si>
    <t>Rainy</t>
  </si>
  <si>
    <t>MAGGIE GONG</t>
  </si>
  <si>
    <t>HM8XMJCDTT</t>
  </si>
  <si>
    <t>Beautifel Rose</t>
  </si>
  <si>
    <t>Pretty</t>
  </si>
  <si>
    <t>MAGGIE MCNABB</t>
  </si>
  <si>
    <t>HMQNRFQTFY</t>
  </si>
  <si>
    <t>Greece</t>
  </si>
  <si>
    <t>MARC SOUTH</t>
  </si>
  <si>
    <t>HMZHS2WWTW</t>
  </si>
  <si>
    <t>MARIA ISABEL SANCHEZ RUIZ</t>
  </si>
  <si>
    <t>HM2NMNPR5Z</t>
  </si>
  <si>
    <t>MARIE ABELSEN</t>
  </si>
  <si>
    <t>HM4DCYN29E</t>
  </si>
  <si>
    <t>MARLEEN HEISS</t>
  </si>
  <si>
    <t>HMYXWP4YN4</t>
  </si>
  <si>
    <t>NADINE KRAUSE</t>
  </si>
  <si>
    <t>HM58DDE52W</t>
  </si>
  <si>
    <t>NEVA THOMAS</t>
  </si>
  <si>
    <t>HMRWX8THAW</t>
  </si>
  <si>
    <t>PEDRO PATIÑO</t>
  </si>
  <si>
    <t>HMHWZSKR32</t>
  </si>
  <si>
    <t>RACHEL BISHOP</t>
  </si>
  <si>
    <t>HMXJWSHYBH</t>
  </si>
  <si>
    <t>RAFAELLE COHEN</t>
  </si>
  <si>
    <t>HMQZTQKTN8</t>
  </si>
  <si>
    <t>ROBERTO OJEDA</t>
  </si>
  <si>
    <t>HMMKMZMPJB</t>
  </si>
  <si>
    <t>SRISHTY RAHMAN</t>
  </si>
  <si>
    <t>HMETRMCD8Y</t>
  </si>
  <si>
    <t>TOBY</t>
  </si>
  <si>
    <t>HMD38RKDKN</t>
  </si>
  <si>
    <t>TOMITA PAURA</t>
  </si>
  <si>
    <t>HMEFT34WQD</t>
  </si>
  <si>
    <t>VALERIO ZANICOTTI</t>
  </si>
  <si>
    <t>HMF28NRW39</t>
  </si>
  <si>
    <t>VIRGINIA GARNER</t>
  </si>
  <si>
    <t>HMEY8MXHEE</t>
  </si>
  <si>
    <t>WIKTORIA NOWOGRODZKA</t>
  </si>
  <si>
    <t>HMWYPQMB4B</t>
  </si>
  <si>
    <t>lençois</t>
  </si>
  <si>
    <t>ZACK NORTH</t>
  </si>
  <si>
    <t>HM3EDPJZ8Y</t>
  </si>
  <si>
    <t>loja kik sheets</t>
  </si>
  <si>
    <t>ZIKUAN ZHAO</t>
  </si>
  <si>
    <t>HMYZ4MHFT9</t>
  </si>
  <si>
    <t>Lençois</t>
  </si>
  <si>
    <t>Electromenager</t>
  </si>
  <si>
    <t>ANIKA KRIEGER</t>
  </si>
  <si>
    <t>HMEPF8T5Y4</t>
  </si>
  <si>
    <t>lampadas</t>
  </si>
  <si>
    <t>Lampadas</t>
  </si>
  <si>
    <t>ALEXANDRE BARATA</t>
  </si>
  <si>
    <t>HMPQ2EDPZ5</t>
  </si>
  <si>
    <t>Bricomarche</t>
  </si>
  <si>
    <t>GRACIE MADDEN</t>
  </si>
  <si>
    <t>HMZRPWJT8K</t>
  </si>
  <si>
    <t>Frigideiras + esfregona + pa+ copo</t>
  </si>
  <si>
    <t>NIMMI OOMMEN</t>
  </si>
  <si>
    <t>HM2BRT5BRP</t>
  </si>
  <si>
    <t>batedoras pancakes</t>
  </si>
  <si>
    <t>ADNAN ALLOUSH</t>
  </si>
  <si>
    <t>HM3HWJKNM9</t>
  </si>
  <si>
    <t>ANTARA KHAUND</t>
  </si>
  <si>
    <t>HM3XRRY5EB</t>
  </si>
  <si>
    <t>SITASHMA THAPA</t>
  </si>
  <si>
    <t>HM58C88WS4</t>
  </si>
  <si>
    <t>NATHALIE TORFS</t>
  </si>
  <si>
    <t>HM58EE2C3W</t>
  </si>
  <si>
    <t>GRANT PANARESE</t>
  </si>
  <si>
    <t>HM5EJR3FNF</t>
  </si>
  <si>
    <t>ROMAN GEIGER</t>
  </si>
  <si>
    <t>HM5HRP4DEB</t>
  </si>
  <si>
    <t>JO BROWN</t>
  </si>
  <si>
    <t>HM5MNX28SN</t>
  </si>
  <si>
    <t>iva 2025 12t</t>
  </si>
  <si>
    <t>JAMES BOATWRIGHT</t>
  </si>
  <si>
    <t>HM5XQKZDBN</t>
  </si>
  <si>
    <t>ERIKA LEON</t>
  </si>
  <si>
    <t>HM8NQWZBW8</t>
  </si>
  <si>
    <t>CESCA CHALLIS</t>
  </si>
  <si>
    <t>HM8ZNXYMPZ</t>
  </si>
  <si>
    <t>JAMIE HURLEY</t>
  </si>
  <si>
    <t>HM93NXXR8P</t>
  </si>
  <si>
    <t>4   .  X2 veces.     ** i need to coinfirm with my accounting talita, i got 3 payment form them, in total this month. not normal</t>
  </si>
  <si>
    <t>WARLEY LEANDRO</t>
  </si>
  <si>
    <t>HM948KZRRA</t>
  </si>
  <si>
    <t>JACK SO</t>
  </si>
  <si>
    <t>HMA32AB3XH</t>
  </si>
  <si>
    <t>STEFAN BALOI</t>
  </si>
  <si>
    <t>HMDDZESRTX</t>
  </si>
  <si>
    <t>HAILEY WANG</t>
  </si>
  <si>
    <t>HMDHPDYXAF</t>
  </si>
  <si>
    <t>KARLY HRESKO</t>
  </si>
  <si>
    <t>HMEASJ882D</t>
  </si>
  <si>
    <t>No Show</t>
  </si>
  <si>
    <t>JOAKIM BERG</t>
  </si>
  <si>
    <t>HMEBFPD843</t>
  </si>
  <si>
    <t>Mapfre</t>
  </si>
  <si>
    <t>AYMANE AZIZ</t>
  </si>
  <si>
    <t>HMFCYJ8Y93</t>
  </si>
  <si>
    <t>noveocare</t>
  </si>
  <si>
    <t>ANDREAS OLIVER FAHLSTRÖM</t>
  </si>
  <si>
    <t>HMFDPRMAMY</t>
  </si>
  <si>
    <t>SALLY SPALDING</t>
  </si>
  <si>
    <t>HMFJKYHZAM</t>
  </si>
  <si>
    <t>CLÉMENCE TALOU</t>
  </si>
  <si>
    <t>HMH8XMFKJ8</t>
  </si>
  <si>
    <t>LISA MARIE HAAK</t>
  </si>
  <si>
    <t>HMHX5HWHNZ</t>
  </si>
  <si>
    <t>CONSTANZE BOCK</t>
  </si>
  <si>
    <t>HMK4KMK4BQ</t>
  </si>
  <si>
    <t>ARELY DIAZ</t>
  </si>
  <si>
    <t>HMKJNS392H</t>
  </si>
  <si>
    <t>mapfre</t>
  </si>
  <si>
    <t>LYDIA KALANZIS</t>
  </si>
  <si>
    <t>HMMJBCTPNP</t>
  </si>
  <si>
    <t>refund</t>
  </si>
  <si>
    <t>HAZEL BARLOW</t>
  </si>
  <si>
    <t>HMNX3ABKPN</t>
  </si>
  <si>
    <t>refundo insurance</t>
  </si>
  <si>
    <t>HMPB5BXM3B</t>
  </si>
  <si>
    <t>EVE BATTS</t>
  </si>
  <si>
    <t>HMQ8SXDQK2</t>
  </si>
  <si>
    <t>PLUTTO BEATZ</t>
  </si>
  <si>
    <t>HMQNS4Z82Z</t>
  </si>
  <si>
    <t>LAURA-MARIE PRIEWE</t>
  </si>
  <si>
    <t>HMRMCW3ZM8</t>
  </si>
  <si>
    <t>STOYAN LAZAROV</t>
  </si>
  <si>
    <t>HMSHSE2TBM</t>
  </si>
  <si>
    <t>linkedin</t>
  </si>
  <si>
    <t>placa le routard</t>
  </si>
  <si>
    <t>IRINA CRITON</t>
  </si>
  <si>
    <t>HMTFYQHT5J</t>
  </si>
  <si>
    <t>FINN PANZNER</t>
  </si>
  <si>
    <t>HMWQR88FYE</t>
  </si>
  <si>
    <t>SHAUN MEW</t>
  </si>
  <si>
    <t>HMXQK5XKT5</t>
  </si>
  <si>
    <t>KATJA KUZNETSOVA</t>
  </si>
  <si>
    <t>HMYKPJJ53F</t>
  </si>
  <si>
    <t>JASON MOLLETT</t>
  </si>
  <si>
    <t>HMZXP4WWDP</t>
  </si>
  <si>
    <t>ADHUVAID HARIKESAN</t>
  </si>
  <si>
    <t>CANCELLED</t>
  </si>
  <si>
    <t>Adrian Erdmann</t>
  </si>
  <si>
    <t>Agnes Barros</t>
  </si>
  <si>
    <t>Aleksandra Bakastova</t>
  </si>
  <si>
    <t>Aleksei Konõšev</t>
  </si>
  <si>
    <t>Alexandre Neghina</t>
  </si>
  <si>
    <t>city tax may2026</t>
  </si>
  <si>
    <t>Alisa Vysotina</t>
  </si>
  <si>
    <t>Alvaro Castillo</t>
  </si>
  <si>
    <t>Alžběta Čumrdová</t>
  </si>
  <si>
    <t>andre antunes</t>
  </si>
  <si>
    <t>Andrea PRIMICERI</t>
  </si>
  <si>
    <t>Andrew Palacios</t>
  </si>
  <si>
    <t>Anisse Dahny</t>
  </si>
  <si>
    <t>consultoria Nathalie</t>
  </si>
  <si>
    <t>Anke Weber</t>
  </si>
  <si>
    <t>Anna Malesevic</t>
  </si>
  <si>
    <t>Anna Steinmetz</t>
  </si>
  <si>
    <t>relatorio unico</t>
  </si>
  <si>
    <t>Armin Schafflützel</t>
  </si>
  <si>
    <t>Audrey Bastin</t>
  </si>
  <si>
    <t xml:space="preserve"> Contract Dominique et Leo 60 euros each</t>
  </si>
  <si>
    <t>Battal Kalan</t>
  </si>
  <si>
    <t>Batuhan Özyurt</t>
  </si>
  <si>
    <t>anabela contabilidade</t>
  </si>
  <si>
    <t>Brooke O’Carroll</t>
  </si>
  <si>
    <t>Carla Everard</t>
  </si>
  <si>
    <t>Carolin Kerscher</t>
  </si>
  <si>
    <t>Céline Geerts</t>
  </si>
  <si>
    <t>Christina Schulat</t>
  </si>
  <si>
    <t>Christopher Schröder</t>
  </si>
  <si>
    <t>Clara Schnittert</t>
  </si>
  <si>
    <t>Cnockaert Florence</t>
  </si>
  <si>
    <t>Cornelia Pfau</t>
  </si>
  <si>
    <t>Craig Bonnington</t>
  </si>
  <si>
    <t>Dana Parisová</t>
  </si>
  <si>
    <t>Daniela Schelbert</t>
  </si>
  <si>
    <t>Deedee Coremans</t>
  </si>
  <si>
    <t>Dino Rušinović</t>
  </si>
  <si>
    <t>Dorien Mellaerts</t>
  </si>
  <si>
    <t>Eduardo Jr Serrano</t>
  </si>
  <si>
    <t>ELENA pulgar</t>
  </si>
  <si>
    <t>Emma Castagné</t>
  </si>
  <si>
    <t>Eva Bienefeld</t>
  </si>
  <si>
    <t>Fabien Vasseur</t>
  </si>
  <si>
    <t>Felicia Helmlinger</t>
  </si>
  <si>
    <t>Fleur Goedkoop</t>
  </si>
  <si>
    <t>Frank Kettenhofen</t>
  </si>
  <si>
    <t>Friederike Zeller</t>
  </si>
  <si>
    <t>food coelho</t>
  </si>
  <si>
    <t>GAYATRI SHASHIKANT KULKARNI</t>
  </si>
  <si>
    <t>Giulia Cavallo</t>
  </si>
  <si>
    <t>botequim saturday team</t>
  </si>
  <si>
    <t>Giulia Meloni</t>
  </si>
  <si>
    <t>food botequim</t>
  </si>
  <si>
    <t>Helena Kotthaus</t>
  </si>
  <si>
    <t>Hirt Lukas</t>
  </si>
  <si>
    <t>Isabel Brunner</t>
  </si>
  <si>
    <t>botequim saturday ricardo</t>
  </si>
  <si>
    <t>Jemma Packwood</t>
  </si>
  <si>
    <t>botequim ricardo</t>
  </si>
  <si>
    <t>Jhon Quitian</t>
  </si>
  <si>
    <t>ricardo and team botequim</t>
  </si>
  <si>
    <t>Jolien De Baere</t>
  </si>
  <si>
    <t>Jonathan Treloar</t>
  </si>
  <si>
    <t>botequim</t>
  </si>
  <si>
    <t>Julien Vitse</t>
  </si>
  <si>
    <t>coelho</t>
  </si>
  <si>
    <t>Julius Klemkow</t>
  </si>
  <si>
    <t>Kai Chiu Lam</t>
  </si>
  <si>
    <t>Kai katrin Jungnickel</t>
  </si>
  <si>
    <t>fresh mix</t>
  </si>
  <si>
    <t>Katharina Tippmann</t>
  </si>
  <si>
    <t>serpapintp</t>
  </si>
  <si>
    <t>Kawkab Jordana</t>
  </si>
  <si>
    <t>beer spar</t>
  </si>
  <si>
    <t>Kayley Smith</t>
  </si>
  <si>
    <t>Kelly Raines</t>
  </si>
  <si>
    <t>Khandelwal Niharika</t>
  </si>
  <si>
    <t>Kiara Hörbelt</t>
  </si>
  <si>
    <t>Laura Petschke</t>
  </si>
  <si>
    <t>macdo</t>
  </si>
  <si>
    <t>Laura Piraino</t>
  </si>
  <si>
    <t>Lenka Blašková</t>
  </si>
  <si>
    <t>Furniture cafe zara</t>
  </si>
  <si>
    <t>Lennard Bolick</t>
  </si>
  <si>
    <t>light cafe</t>
  </si>
  <si>
    <t>Lola Millet</t>
  </si>
  <si>
    <t>MAGALI BERUARD</t>
  </si>
  <si>
    <t>morais materiais</t>
  </si>
  <si>
    <t>Magdalena Jankowska</t>
  </si>
  <si>
    <t>Manon Rey</t>
  </si>
  <si>
    <t>mercearia antiga 1900 santa comba dao</t>
  </si>
  <si>
    <t>Marcel Koss</t>
  </si>
  <si>
    <t>glass bullions romania</t>
  </si>
  <si>
    <t>Marcela Fonseca</t>
  </si>
  <si>
    <t>chao de pedra marmistoi second part</t>
  </si>
  <si>
    <t>Maria Ledentsova</t>
  </si>
  <si>
    <t>azuleijos rui</t>
  </si>
  <si>
    <t>Maria Melgarejo</t>
  </si>
  <si>
    <t>Marie-laure HERREROS</t>
  </si>
  <si>
    <t>mudanca furniture</t>
  </si>
  <si>
    <t>Marisa Butter</t>
  </si>
  <si>
    <t>vidrossonoba primer pagamento 50 por cento</t>
  </si>
  <si>
    <t>Mauricio Mendez</t>
  </si>
  <si>
    <t>etabli 2 parte</t>
  </si>
  <si>
    <t>Merle Sandkühler</t>
  </si>
  <si>
    <t>rede roof top</t>
  </si>
  <si>
    <t>Michael Marren</t>
  </si>
  <si>
    <t>luzpadia spot</t>
  </si>
  <si>
    <t>Michèle Bleser</t>
  </si>
  <si>
    <t>tiles bathroom</t>
  </si>
  <si>
    <t>etabli cafe 1 parte</t>
  </si>
  <si>
    <t>Mohamed Zaki Zerouali Omari</t>
  </si>
  <si>
    <t>vaccum and light new dorm</t>
  </si>
  <si>
    <t>furnitures ikea</t>
  </si>
  <si>
    <t>Monika Kellnerová</t>
  </si>
  <si>
    <t>glass temu</t>
  </si>
  <si>
    <t>Nagy Julia</t>
  </si>
  <si>
    <t>poste bar</t>
  </si>
  <si>
    <t>Nasser Tachmamadi</t>
  </si>
  <si>
    <t>maison du monde</t>
  </si>
  <si>
    <t>Niklas Rausch</t>
  </si>
  <si>
    <t>credito reembolso ikea</t>
  </si>
  <si>
    <t>Noemi Roldan</t>
  </si>
  <si>
    <t>construction 2nd part antonio</t>
  </si>
  <si>
    <t>Pauline Zimmermann</t>
  </si>
  <si>
    <t>antonio third and last part</t>
  </si>
  <si>
    <t>Pawel Golab</t>
  </si>
  <si>
    <t>antonio construction Parte 1</t>
  </si>
  <si>
    <t>ralph coombs</t>
  </si>
  <si>
    <t>joao 10 days</t>
  </si>
  <si>
    <t>Ralph Yap</t>
  </si>
  <si>
    <t>joao</t>
  </si>
  <si>
    <t>Raphaël Honorez</t>
  </si>
  <si>
    <t>wages joao</t>
  </si>
  <si>
    <t>Rebecca May</t>
  </si>
  <si>
    <t>Rob Melton</t>
  </si>
  <si>
    <t>moreis and carlos</t>
  </si>
  <si>
    <t>Ryan Heydon</t>
  </si>
  <si>
    <t>Joao</t>
  </si>
  <si>
    <t>Sophia Moore</t>
  </si>
  <si>
    <t>Stan Linker</t>
  </si>
  <si>
    <t>ricardo</t>
  </si>
  <si>
    <t>Badi - 3 weeks paid, current week and 2 weeks in advance</t>
  </si>
  <si>
    <t>Stefan Martens</t>
  </si>
  <si>
    <t>Szilvia Rados</t>
  </si>
  <si>
    <t>Veronika Trojanová</t>
  </si>
  <si>
    <t>João</t>
  </si>
  <si>
    <t>William Burton</t>
  </si>
  <si>
    <t>Yana Rodà</t>
  </si>
  <si>
    <t>ricarddo</t>
  </si>
  <si>
    <t>Ying Ling CHEN</t>
  </si>
  <si>
    <t>Žan Mihelič</t>
  </si>
  <si>
    <t>KENZA BENLAKHAL</t>
  </si>
  <si>
    <t>MARWEN MOUSSA</t>
  </si>
  <si>
    <t>teresa</t>
  </si>
  <si>
    <t>MAXIME BLANCHET</t>
  </si>
  <si>
    <t>NO_SHOW</t>
  </si>
  <si>
    <t>Ricardo</t>
  </si>
  <si>
    <t>ADA TAMMINEN</t>
  </si>
  <si>
    <t>ADIL LAAMIRI</t>
  </si>
  <si>
    <t>ALEJANDRA NETT</t>
  </si>
  <si>
    <t>miguel teto falso</t>
  </si>
  <si>
    <t>ALEXANDRA BOEREE</t>
  </si>
  <si>
    <t>ALEXANDRA HÄMEENVAARA</t>
  </si>
  <si>
    <t>ALEXANDRA KRAHULÍKOVÁ</t>
  </si>
  <si>
    <t>ricado</t>
  </si>
  <si>
    <t>ALEXANDRA ŠILEROVÁ</t>
  </si>
  <si>
    <t>ALEXIANE LE COHU</t>
  </si>
  <si>
    <t>baltazar e nascimento</t>
  </si>
  <si>
    <t>ALICE-STEFANA MOLDOVAN</t>
  </si>
  <si>
    <t>AMIT MAJITHIA</t>
  </si>
  <si>
    <t>ANDREAS TIPLT</t>
  </si>
  <si>
    <t>ANDRZEJ BILMON</t>
  </si>
  <si>
    <t>ANJALI RAJENDRAKUMAR SHENOI</t>
  </si>
  <si>
    <t>bandit</t>
  </si>
  <si>
    <t>ANNA STEINMETZ</t>
  </si>
  <si>
    <t>ASSOCIAÇÃO ALDEIAS DE CRIANÇAS SOS DE PORTUGAL</t>
  </si>
  <si>
    <t>Bandit</t>
  </si>
  <si>
    <t>BENJAMIN MONEY</t>
  </si>
  <si>
    <t>BETHANY DE LA HAYE</t>
  </si>
  <si>
    <t>CAITLIN MCKECHIE</t>
  </si>
  <si>
    <t>nathalie /</t>
  </si>
  <si>
    <t>CALLUM PEARSON</t>
  </si>
  <si>
    <t>Moraies</t>
  </si>
  <si>
    <t>CATHERINE READER</t>
  </si>
  <si>
    <t>bandit flight ticket</t>
  </si>
  <si>
    <t>CHANTAL PRICE</t>
  </si>
  <si>
    <t>wages bandi 1 obra</t>
  </si>
  <si>
    <t>CHARLOTTE BODDIEN</t>
  </si>
  <si>
    <t>CLAUDIA KRAAM</t>
  </si>
  <si>
    <t>bandi</t>
  </si>
  <si>
    <t>CLÁUDIA MARTINS</t>
  </si>
  <si>
    <t>CLÔDELLE PROVOST</t>
  </si>
  <si>
    <t>DEB PYE</t>
  </si>
  <si>
    <t>wages ricardo 1 obra</t>
  </si>
  <si>
    <t>nene microcimento</t>
  </si>
  <si>
    <t>DEVANSH SHARMA</t>
  </si>
  <si>
    <t xml:space="preserve">ropa obra bandit </t>
  </si>
  <si>
    <t>ELISA BELOTTI</t>
  </si>
  <si>
    <t>Henrique</t>
  </si>
  <si>
    <t>ELISE TINGLEY</t>
  </si>
  <si>
    <t>EMIL THOMAS RYDEMALM</t>
  </si>
  <si>
    <t>wages bandit</t>
  </si>
  <si>
    <t>EMMA ROBSON</t>
  </si>
  <si>
    <t>Sorin</t>
  </si>
  <si>
    <t>EVIE AMBROSE</t>
  </si>
  <si>
    <t>sorin</t>
  </si>
  <si>
    <t>GAËLLE CLERGEAU</t>
  </si>
  <si>
    <t>GAËLLE DE OLIVEIRA RODRIGUES</t>
  </si>
  <si>
    <t>GINTS BARANOVSKIS</t>
  </si>
  <si>
    <t>GUST ALAERTS</t>
  </si>
  <si>
    <t>HAAKON CAVELL</t>
  </si>
  <si>
    <t>HELENE NRECAJ</t>
  </si>
  <si>
    <t>Drogaria São Luiz</t>
  </si>
  <si>
    <t>IRMA GROP</t>
  </si>
  <si>
    <t>JAHNEE WILKS</t>
  </si>
  <si>
    <t>JESSICA GROSCHKE</t>
  </si>
  <si>
    <t>Tip for Moving company</t>
  </si>
  <si>
    <t>JIAQI LI</t>
  </si>
  <si>
    <t>Alejandro</t>
  </si>
  <si>
    <t>JOÃO COSTA</t>
  </si>
  <si>
    <t>JOHAN RINTALA</t>
  </si>
  <si>
    <t>JOHANNA HOFER</t>
  </si>
  <si>
    <t>JOHNNY HIGGINBOTHAM</t>
  </si>
  <si>
    <t>JONAS RUPP</t>
  </si>
  <si>
    <t>JUAN CARLOS CASTRO CUEVA</t>
  </si>
  <si>
    <t>topografo 2and prestacao tvessa madalena10</t>
  </si>
  <si>
    <t>JUAN CEPEDA AFANADOR</t>
  </si>
  <si>
    <t>Chain saw Brico</t>
  </si>
  <si>
    <t>JŪRATĖ GRINCEVIČIŪTĖ</t>
  </si>
  <si>
    <t>bricomarche</t>
  </si>
  <si>
    <t>JUTTA LEITNER</t>
  </si>
  <si>
    <t>KIM FECHNER</t>
  </si>
  <si>
    <t>true inox kitchen 1 parte</t>
  </si>
  <si>
    <t>KIRSTIN HARTMANN</t>
  </si>
  <si>
    <t>bar sttolos xp holland</t>
  </si>
  <si>
    <t xml:space="preserve"> 2ndo pagamento architeto</t>
  </si>
  <si>
    <t>LAURÉLINE TEMPLON</t>
  </si>
  <si>
    <t>marmistoi</t>
  </si>
  <si>
    <t>LEE ZHING YI</t>
  </si>
  <si>
    <t>vidrossonoba 2 payment</t>
  </si>
  <si>
    <t>LEITZ SARAH</t>
  </si>
  <si>
    <t>incendio moreis</t>
  </si>
  <si>
    <t>LENA COETS</t>
  </si>
  <si>
    <t>guido warner wood</t>
  </si>
  <si>
    <t>LEONARDO BREDA</t>
  </si>
  <si>
    <t>metalfarense</t>
  </si>
  <si>
    <t>LQG GUI</t>
  </si>
  <si>
    <t>morais electricity</t>
  </si>
  <si>
    <t>LUCERO INSENSÉ</t>
  </si>
  <si>
    <t>henrique tiolo, pedras, cal, cimwento...</t>
  </si>
  <si>
    <t>LUISA BENKESER</t>
  </si>
  <si>
    <t>materiel moreis electricidad</t>
  </si>
  <si>
    <t>montalgave termoacumulador</t>
  </si>
  <si>
    <t>MAHOKA KUROYANAGI</t>
  </si>
  <si>
    <t>moreis cable</t>
  </si>
  <si>
    <t>MANON ARISTIDINI</t>
  </si>
  <si>
    <t>MAREIKE MÜLLER</t>
  </si>
  <si>
    <t>MARK DAVIDSON</t>
  </si>
  <si>
    <t>zellige mosaic</t>
  </si>
  <si>
    <t>MARTA MERLUZZI</t>
  </si>
  <si>
    <t>norticor microciment</t>
  </si>
  <si>
    <t>MAYBRITT HESS</t>
  </si>
  <si>
    <t>mat eletrico morais</t>
  </si>
  <si>
    <t>MOHAMED ZAKI ZEROUALI OMARI</t>
  </si>
  <si>
    <t>marcos azulejos</t>
  </si>
  <si>
    <t>MOHAMMAD WAZWAZ</t>
  </si>
  <si>
    <t>betoneira henrique</t>
  </si>
  <si>
    <t>NATALIE WILLIAMS</t>
  </si>
  <si>
    <t>NATALLIA ZAHAYEUSKAYA</t>
  </si>
  <si>
    <t>henrique tijolo, pedras cal, ...</t>
  </si>
  <si>
    <t>NIAMH MCCOMBE</t>
  </si>
  <si>
    <t>marcos azulehos</t>
  </si>
  <si>
    <t>Moreais</t>
  </si>
  <si>
    <t>mama</t>
  </si>
  <si>
    <t>NIKOLA TOLJIC</t>
  </si>
  <si>
    <t xml:space="preserve">Metalfarense Plumbing </t>
  </si>
  <si>
    <t>NIKOLAOS PAVLIDIS</t>
  </si>
  <si>
    <t>NOE IWATA</t>
  </si>
  <si>
    <t>brico</t>
  </si>
  <si>
    <t>NORINA DEUERLING</t>
  </si>
  <si>
    <t>antonio areia cimento e lixo</t>
  </si>
  <si>
    <t>NUNO OLIVEIRA</t>
  </si>
  <si>
    <t>OPHELIE GRIFFOND</t>
  </si>
  <si>
    <t>tecfima plaster</t>
  </si>
  <si>
    <t>PASAN MOHOTTI</t>
  </si>
  <si>
    <t>norticor microcimento</t>
  </si>
  <si>
    <t>PAVLA FENDRICHOVÁ</t>
  </si>
  <si>
    <t>plaster tecfina</t>
  </si>
  <si>
    <t>amazon martelo berbequim demolidor</t>
  </si>
  <si>
    <t>PEGGY MAPORISA</t>
  </si>
  <si>
    <t>leroy merlun tools</t>
  </si>
  <si>
    <t>PHILIP ULLRICH</t>
  </si>
  <si>
    <t>PHILIPPE KRINGER</t>
  </si>
  <si>
    <t>materiel sand e tijolo</t>
  </si>
  <si>
    <t>PRAMATH MURTHY</t>
  </si>
  <si>
    <t>LOJA TINTAS KORSUL  S B MESSINE</t>
  </si>
  <si>
    <t>RHIAN ASHTON-JONES</t>
  </si>
  <si>
    <t>marmistoi pedra chao</t>
  </si>
  <si>
    <t>RUINING YANG</t>
  </si>
  <si>
    <t>lampada e luz</t>
  </si>
  <si>
    <t>key deposit</t>
  </si>
  <si>
    <t>SABER KAYGUSUZ</t>
  </si>
  <si>
    <t>SABINE GASTON</t>
  </si>
  <si>
    <t>aparafusadora lidl</t>
  </si>
  <si>
    <t>SAHITHYA KUMAR</t>
  </si>
  <si>
    <t>SAMANTHA WEBSTER</t>
  </si>
  <si>
    <t>Brico</t>
  </si>
  <si>
    <t>SANDRINE NOTARIO</t>
  </si>
  <si>
    <t>caixa fusivel electrinfaro</t>
  </si>
  <si>
    <t>SARAHJOYCE GOUTEUX</t>
  </si>
  <si>
    <t>paint  white</t>
  </si>
  <si>
    <t>SEBASTIAN GULLBRANDSON</t>
  </si>
  <si>
    <t>europontal areia</t>
  </si>
  <si>
    <t>SEBASTIAN VRETHAMMAR</t>
  </si>
  <si>
    <t>material henrique</t>
  </si>
  <si>
    <t>SEOWON CHOI</t>
  </si>
  <si>
    <t>mabalgarve silicone noir</t>
  </si>
  <si>
    <t>SHARMA ISHA</t>
  </si>
  <si>
    <t>SOLÈNE LARABI</t>
  </si>
  <si>
    <t>mosafil tiles</t>
  </si>
  <si>
    <t>SOPHIE RICHARD</t>
  </si>
  <si>
    <t xml:space="preserve"> BRICOMARCHE FARO    8000-429 FA</t>
  </si>
  <si>
    <t>STELLA DAHL</t>
  </si>
  <si>
    <t>maxmat</t>
  </si>
  <si>
    <t>TABEA HUMMEL</t>
  </si>
  <si>
    <t>VANEETA MAHTANI</t>
  </si>
  <si>
    <t>TECFIMA LDA</t>
  </si>
  <si>
    <t>VICTORIA GROLAUX</t>
  </si>
  <si>
    <t>thorman light</t>
  </si>
  <si>
    <t>VICTORIA INGRASSIA</t>
  </si>
  <si>
    <t>VIVIEN TOTH</t>
  </si>
  <si>
    <t>henrique briaues ciment</t>
  </si>
  <si>
    <t>YANNIG DETHY</t>
  </si>
  <si>
    <t xml:space="preserve"> FOLHAS IRRESISTIVEISNIF 5180558</t>
  </si>
  <si>
    <t>YAQOOB ALI</t>
  </si>
  <si>
    <t>chain saw ink amazon</t>
  </si>
  <si>
    <t>ZE WEN</t>
  </si>
  <si>
    <t>ZHONG RUI</t>
  </si>
  <si>
    <t>drogueria vitor</t>
  </si>
  <si>
    <t>decathlon buildong cloths</t>
  </si>
  <si>
    <t>ZIA ZUCKER</t>
  </si>
  <si>
    <t>mabalgarve</t>
  </si>
  <si>
    <t>SARINA TONELLI</t>
  </si>
  <si>
    <t>CHECKED OUT</t>
  </si>
  <si>
    <t>ABDUL MOBEEN JAHEESH</t>
  </si>
  <si>
    <t>bricommarche</t>
  </si>
  <si>
    <t>COREY SMITH</t>
  </si>
  <si>
    <t xml:space="preserve">Lampadaeluz.pt Hapert          </t>
  </si>
  <si>
    <t>online isolant batheroom</t>
  </si>
  <si>
    <t>MUHAMMAD ASMAIL NABIZADA</t>
  </si>
  <si>
    <t>MARIANNE MESSEMER</t>
  </si>
  <si>
    <t>brico marche cola</t>
  </si>
  <si>
    <t>drogueria sao pedro paint</t>
  </si>
  <si>
    <t>EVA ZACHMANN</t>
  </si>
  <si>
    <t>3 LOJA TINTAS KORSUL  S B MESSINE</t>
  </si>
  <si>
    <t>HEENA MOHAMMED</t>
  </si>
  <si>
    <t>amazon paint tank e housse madalena</t>
  </si>
  <si>
    <t>leroy merlun</t>
  </si>
  <si>
    <t>MARZENA LISOWSKA</t>
  </si>
  <si>
    <t>drogueria sao luis</t>
  </si>
  <si>
    <t xml:space="preserve"> lidl ropa obra bandit 7</t>
  </si>
  <si>
    <t>BESIM BOSTANCI</t>
  </si>
  <si>
    <t>BRYAN RODRIGUEZ</t>
  </si>
  <si>
    <t>DAGMAR LOVETINSKA</t>
  </si>
  <si>
    <t>JOSE EDUARDO DINIS DANTAS</t>
  </si>
  <si>
    <t>MANDY MCARTHUR</t>
  </si>
  <si>
    <t>SOFIA CIPOLATTI</t>
  </si>
  <si>
    <t>robialac paint door</t>
  </si>
  <si>
    <t>ABDELLAH BOU ISELMANE</t>
  </si>
  <si>
    <t>AITBAY SANZHAR</t>
  </si>
  <si>
    <t>KAROLINE KAMM</t>
  </si>
  <si>
    <t>CHUN YU JAY LAM</t>
  </si>
  <si>
    <t>material ricardo</t>
  </si>
  <si>
    <t>THOMAS BARLOW</t>
  </si>
  <si>
    <t>material brico marche</t>
  </si>
  <si>
    <t>JULIE DECUYPER</t>
  </si>
  <si>
    <t>Brico marche</t>
  </si>
  <si>
    <t>NINA ROLLAND</t>
  </si>
  <si>
    <t>NICOLAS CAICEDO</t>
  </si>
  <si>
    <t>MADELEINE MÜLLER</t>
  </si>
  <si>
    <t>bricomarc he</t>
  </si>
  <si>
    <t>EKATERINA KUZNETSOVA</t>
  </si>
  <si>
    <t>brico marche cemento</t>
  </si>
  <si>
    <t>JAKUB DANEK</t>
  </si>
  <si>
    <t>Electronfaro</t>
  </si>
  <si>
    <t>MIKEL VADILLO AZULA</t>
  </si>
  <si>
    <t>TIAGO PEREIRA</t>
  </si>
  <si>
    <t>victor drogueira</t>
  </si>
  <si>
    <t>MARTIN DUDAY</t>
  </si>
  <si>
    <t>ANTHONY HARKINS</t>
  </si>
  <si>
    <t>MARVIN MEIER</t>
  </si>
  <si>
    <t>ALBIA BEGUM</t>
  </si>
  <si>
    <t>silicone</t>
  </si>
  <si>
    <t>MARIA LETIZIA TURI</t>
  </si>
  <si>
    <t>electrinfaro caixa terra</t>
  </si>
  <si>
    <t>DAVID KERSCHBAUM</t>
  </si>
  <si>
    <t>mascara</t>
  </si>
  <si>
    <t>YOUNES LAFRID</t>
  </si>
  <si>
    <t>robbilac paint</t>
  </si>
  <si>
    <t>GEORGINA MILLINER</t>
  </si>
  <si>
    <t>MIKHAIL SUKHAREV</t>
  </si>
  <si>
    <t>LYDIE DESRIAC</t>
  </si>
  <si>
    <t>CARINE NIJENHUIS</t>
  </si>
  <si>
    <t>AUXI BERRY</t>
  </si>
  <si>
    <t>DANIEL SUCENA</t>
  </si>
  <si>
    <t>OLIVER GROGONO</t>
  </si>
  <si>
    <t>DEBORAH WELLER</t>
  </si>
  <si>
    <t>LAURA BÖCK</t>
  </si>
  <si>
    <t>ANNA SIWIŃSKA</t>
  </si>
  <si>
    <t>Archtect</t>
  </si>
  <si>
    <t>ANTÔNIO &amp;AMP; LÚCIA LTD ANTÔNIO &amp;AMP; LÚCIA LTD</t>
  </si>
  <si>
    <t>topographo</t>
  </si>
  <si>
    <t>JAN POHLMANN</t>
  </si>
  <si>
    <t>ANALLY MONTIEL</t>
  </si>
  <si>
    <t xml:space="preserve">LAWYER administration project 40 </t>
  </si>
  <si>
    <t>CARVALHO DIRKAS</t>
  </si>
  <si>
    <t>GOURDON CHRISTOPHE</t>
  </si>
  <si>
    <t>architecte 3 renda</t>
  </si>
  <si>
    <t>ANDRES MARTINEZ SANCHEZ</t>
  </si>
  <si>
    <t>ingenero 1rst part</t>
  </si>
  <si>
    <t>EDYTA KUCHARSKA</t>
  </si>
  <si>
    <t>cardoso baixada electrica</t>
  </si>
  <si>
    <t>CĂTĂLIN-FLORIN ROMAN</t>
  </si>
  <si>
    <t>autorisation police</t>
  </si>
  <si>
    <t>FABIAN SCHNEIDER</t>
  </si>
  <si>
    <t>certidao permanente</t>
  </si>
  <si>
    <t>SIMON MULIER</t>
  </si>
  <si>
    <t>HELDER, CAMPOS</t>
  </si>
  <si>
    <t>car rental</t>
  </si>
  <si>
    <t>NINA HILDEBRANDT</t>
  </si>
  <si>
    <t>gaz</t>
  </si>
  <si>
    <t>KRISTIYAN DOCHEV</t>
  </si>
  <si>
    <t>JESSICA BAUERNFEIND</t>
  </si>
  <si>
    <t>ALIDA REINSCH</t>
  </si>
  <si>
    <t>STACEY LAMBERT</t>
  </si>
  <si>
    <t>portagem</t>
  </si>
  <si>
    <t>GUILLERMO ORTEGA</t>
  </si>
  <si>
    <t>SOPHIE STOCKWELL</t>
  </si>
  <si>
    <t>JOACHIM-KHITAB ABDALLAH</t>
  </si>
  <si>
    <t>JUAN ANOLING VAN MEERBEECK</t>
  </si>
  <si>
    <t>NOAH RICHARDSON-BOYLAN</t>
  </si>
  <si>
    <t>HAMZA EL ASSRI</t>
  </si>
  <si>
    <t>LUKA TUNJIC</t>
  </si>
  <si>
    <t>OLIVIA LOPEZ HERNANDEZ</t>
  </si>
  <si>
    <t>JOHANNA NOGLI</t>
  </si>
  <si>
    <t>MARTIN KOTTMAIR</t>
  </si>
  <si>
    <t>LAWTON BALLBACH</t>
  </si>
  <si>
    <t>DOUGLAS BASTOS DE ARAUJO CAMPELO</t>
  </si>
  <si>
    <t>ANNA RAWE</t>
  </si>
  <si>
    <t>STEFAN KRUG</t>
  </si>
  <si>
    <t>CHRISTINA LEON</t>
  </si>
  <si>
    <t>GLEIBE SILVA</t>
  </si>
  <si>
    <t>VALESCA MADEIRA</t>
  </si>
  <si>
    <t>GIULIA MELONI</t>
  </si>
  <si>
    <t>RODRIGO SIMÕES FREITAS</t>
  </si>
  <si>
    <t>SABRINA PETERS</t>
  </si>
  <si>
    <t>Pastas e cadernos</t>
  </si>
  <si>
    <t>SAMUEL MICHAEL WALTERS</t>
  </si>
  <si>
    <t>Extintor license</t>
  </si>
  <si>
    <t>MARCO SPORTELLI</t>
  </si>
  <si>
    <t>Animares commission</t>
  </si>
  <si>
    <t>VLADIMIR Y</t>
  </si>
  <si>
    <t>Copias e impressao</t>
  </si>
  <si>
    <t>SANDRA BOIX TORRENTE</t>
  </si>
  <si>
    <t>MARZENA STUDZIZBA</t>
  </si>
  <si>
    <t>verniz</t>
  </si>
  <si>
    <t>SARAH KIEFABER</t>
  </si>
  <si>
    <t>Papelpack 04/05/2026</t>
  </si>
  <si>
    <t>EMER CREMIN</t>
  </si>
  <si>
    <t>LÓPEZ EDWARD</t>
  </si>
  <si>
    <t>RADEK KRNAC</t>
  </si>
  <si>
    <t>PapelPack 5037</t>
  </si>
  <si>
    <t>MACARENA CARAMELO</t>
  </si>
  <si>
    <t>MARA SCHARLACH</t>
  </si>
  <si>
    <t>KAREN MALEGO</t>
  </si>
  <si>
    <t>JESSICA AMOH</t>
  </si>
  <si>
    <t>VANESSA MÜLLER</t>
  </si>
  <si>
    <t>SHEDIKA WILLIAMS</t>
  </si>
  <si>
    <t>JIRI BUDIK</t>
  </si>
  <si>
    <t>OMAR HUSSAIN</t>
  </si>
  <si>
    <t>ELLIE DOWSE</t>
  </si>
  <si>
    <t>ISABEL GÓMEZ MÉNDEZ</t>
  </si>
  <si>
    <t>MUSALLIM AFANDIYEV</t>
  </si>
  <si>
    <t>WILLIAM ANDRES HINCAPIE</t>
  </si>
  <si>
    <t>LEA SCHÄDLICH</t>
  </si>
  <si>
    <t>STEINER OLIVER</t>
  </si>
  <si>
    <t>LENA FABER</t>
  </si>
  <si>
    <t>JESS DAMEN</t>
  </si>
  <si>
    <t>GRETA PAN</t>
  </si>
  <si>
    <t>SIAMEN SORKIN</t>
  </si>
  <si>
    <t>MATHIS L&amp;#39;HÉRAULT</t>
  </si>
  <si>
    <t>GOMEZ SANCHEZ DIEGO</t>
  </si>
  <si>
    <t>DAVID SCHNEIDER</t>
  </si>
  <si>
    <t>Sebastian Gullbrandson</t>
  </si>
  <si>
    <t>Checked Out</t>
  </si>
  <si>
    <t>Victoria Emelianenko</t>
  </si>
  <si>
    <t>Benedito Barai</t>
  </si>
  <si>
    <t>Fernanda Mayer</t>
  </si>
  <si>
    <t>Addisson Baker</t>
  </si>
  <si>
    <t>272754-577482561</t>
  </si>
  <si>
    <t>Aniela Florence Nahajski</t>
  </si>
  <si>
    <t>272754-577474305</t>
  </si>
  <si>
    <t>Anke Abbink</t>
  </si>
  <si>
    <t>272754-577183797</t>
  </si>
  <si>
    <t>August Ganchiff</t>
  </si>
  <si>
    <t>272754-577566383</t>
  </si>
  <si>
    <t>Benoit Coppens</t>
  </si>
  <si>
    <t>272754-577254623</t>
  </si>
  <si>
    <t>Chloe Rose Antonen</t>
  </si>
  <si>
    <t>272754-576600696</t>
  </si>
  <si>
    <t>David Zweekhorst</t>
  </si>
  <si>
    <t>272754-577203193</t>
  </si>
  <si>
    <t>Err:508</t>
  </si>
  <si>
    <t>272754-577541403</t>
  </si>
  <si>
    <t>Grégoire Gilly</t>
  </si>
  <si>
    <t>272754-577099633</t>
  </si>
  <si>
    <t>Hanne Taorana Gabryella Lystrup</t>
  </si>
  <si>
    <t>272754-577295375</t>
  </si>
  <si>
    <t>Holly McLeod</t>
  </si>
  <si>
    <t>272754-577606044</t>
  </si>
  <si>
    <t>Jean-Luc THIPLOUSE</t>
  </si>
  <si>
    <t>272754-574474061</t>
  </si>
  <si>
    <t>Jennifer Julia Lisca</t>
  </si>
  <si>
    <t>272754-577695050</t>
  </si>
  <si>
    <t>Josiah Robert Sprague</t>
  </si>
  <si>
    <t>272754-577716950</t>
  </si>
  <si>
    <t>Lea Klarner</t>
  </si>
  <si>
    <t>272754-577281002</t>
  </si>
  <si>
    <t>Lee Suyoung</t>
  </si>
  <si>
    <t>272754-576613584</t>
  </si>
  <si>
    <t>Lisa Czuchin</t>
  </si>
  <si>
    <t>272754-577426048</t>
  </si>
  <si>
    <t>Lucy Hazell</t>
  </si>
  <si>
    <t>272754-576299099</t>
  </si>
  <si>
    <t>Noé</t>
  </si>
  <si>
    <t>Refund Bianca</t>
  </si>
  <si>
    <t>Manan Vinod Papdiwala</t>
  </si>
  <si>
    <t>272754-574655468</t>
  </si>
  <si>
    <t>Maximilian Wißmüller</t>
  </si>
  <si>
    <t>272754-577252674</t>
  </si>
  <si>
    <t>Morgan Victoria Kuntz</t>
  </si>
  <si>
    <t>272754-577601092</t>
  </si>
  <si>
    <t>Neha Preethi Swaminathan</t>
  </si>
  <si>
    <t>272754-576140945</t>
  </si>
  <si>
    <t>Nicci Hong Wei-en</t>
  </si>
  <si>
    <t>272754-577064357</t>
  </si>
  <si>
    <t>Nicole Kaiser</t>
  </si>
  <si>
    <t>272754-575596430</t>
  </si>
  <si>
    <t>Philip Ralph Palmer</t>
  </si>
  <si>
    <t>272754-577390793</t>
  </si>
  <si>
    <t>Philipp Strobl</t>
  </si>
  <si>
    <t>272754-577423377</t>
  </si>
  <si>
    <t>Roxane Delangle</t>
  </si>
  <si>
    <t>272754-576622952</t>
  </si>
  <si>
    <t>Theresa Hube</t>
  </si>
  <si>
    <t>272754-577293686</t>
  </si>
  <si>
    <t>AIMEE SUN-THOMPSON</t>
  </si>
  <si>
    <t>272754-578029039</t>
  </si>
  <si>
    <t>ALEXANDER ROSENBERGER</t>
  </si>
  <si>
    <t>272754-578152245</t>
  </si>
  <si>
    <t>ALEXANDRA RACK</t>
  </si>
  <si>
    <t>272754-578174645</t>
  </si>
  <si>
    <t>ALLISON WILSON</t>
  </si>
  <si>
    <t>272754-578404557</t>
  </si>
  <si>
    <t>natalia</t>
  </si>
  <si>
    <t>ANTONIA SAUER</t>
  </si>
  <si>
    <t>272754-578176501</t>
  </si>
  <si>
    <t>ASHLEY CAMMISH</t>
  </si>
  <si>
    <t>272754-577872195</t>
  </si>
  <si>
    <t>Last year</t>
  </si>
  <si>
    <t>AXEL MERLE</t>
  </si>
  <si>
    <t>272754-577867638</t>
  </si>
  <si>
    <t>272754-578195272</t>
  </si>
  <si>
    <t>CARLOS VILA</t>
  </si>
  <si>
    <t>272754-578270153</t>
  </si>
  <si>
    <t>CAROLINA PESTANA</t>
  </si>
  <si>
    <t>272754-578186078</t>
  </si>
  <si>
    <t>CAROLINE DE ARAUJO SANTOS</t>
  </si>
  <si>
    <t>272754-578241864</t>
  </si>
  <si>
    <t>Nathalie</t>
  </si>
  <si>
    <t>CATHERINE ELIZABETH SIM</t>
  </si>
  <si>
    <t>272754-577910275</t>
  </si>
  <si>
    <t>CHANCE DOUGLASS</t>
  </si>
  <si>
    <t>272754-577148309</t>
  </si>
  <si>
    <t>CHARM ROSALIE BLAIR LEYSHON</t>
  </si>
  <si>
    <t>272754-577886386</t>
  </si>
  <si>
    <t>CHYLEE KEDDIE</t>
  </si>
  <si>
    <t>272754-578385727</t>
  </si>
  <si>
    <t>CLAIRE MULLEN</t>
  </si>
  <si>
    <t>272754-575262496</t>
  </si>
  <si>
    <t>CRAIG HAMER</t>
  </si>
  <si>
    <t>272754-578302205</t>
  </si>
  <si>
    <t>DAVID DELS</t>
  </si>
  <si>
    <t>272754-577695326</t>
  </si>
  <si>
    <t>Tereza</t>
  </si>
  <si>
    <t>DILYS JONES</t>
  </si>
  <si>
    <t>272754-578298147</t>
  </si>
  <si>
    <t>ED LUMSDEN</t>
  </si>
  <si>
    <t>272754-578103919</t>
  </si>
  <si>
    <t>tereza</t>
  </si>
  <si>
    <t>EMILY DE KONING</t>
  </si>
  <si>
    <t>272754-578115967</t>
  </si>
  <si>
    <t>FAITH HARDS</t>
  </si>
  <si>
    <t>272754-577380466</t>
  </si>
  <si>
    <t>FLAVIA CHITIC FOLDI</t>
  </si>
  <si>
    <t>272754-578141801</t>
  </si>
  <si>
    <t>FLORE MAES</t>
  </si>
  <si>
    <t>272754-578339660</t>
  </si>
  <si>
    <t>drop guest book</t>
  </si>
  <si>
    <t>HANNAH TINDALL</t>
  </si>
  <si>
    <t>272754-578430628</t>
  </si>
  <si>
    <t>HAYDEN WINSLOW</t>
  </si>
  <si>
    <t>272754-578054300</t>
  </si>
  <si>
    <t>HENRI LICTEVOUT</t>
  </si>
  <si>
    <t>Xabi</t>
  </si>
  <si>
    <t>272754-578216466</t>
  </si>
  <si>
    <t>Bandi</t>
  </si>
  <si>
    <t>HENRY ROBERT ASHER BAINBRIDGE</t>
  </si>
  <si>
    <t>272754-578304477</t>
  </si>
  <si>
    <t>dominique</t>
  </si>
  <si>
    <t>IMOGEN GODSMAN-LEE</t>
  </si>
  <si>
    <t>272754-577950730</t>
  </si>
  <si>
    <t>INDIA EVANS</t>
  </si>
  <si>
    <t>272754-578300835</t>
  </si>
  <si>
    <t>nathalie</t>
  </si>
  <si>
    <t>ISAAC WNUK</t>
  </si>
  <si>
    <t>272754-578040838</t>
  </si>
  <si>
    <t>bandit bonus</t>
  </si>
  <si>
    <t>ISABELLE HARDING</t>
  </si>
  <si>
    <t>272754-577723776</t>
  </si>
  <si>
    <t>ISABELLE LANE</t>
  </si>
  <si>
    <t>272754-577864467</t>
  </si>
  <si>
    <t>JAIDA WANG</t>
  </si>
  <si>
    <t>272754-578145870</t>
  </si>
  <si>
    <t>JAYESH NAHAR</t>
  </si>
  <si>
    <t>272754-577639459</t>
  </si>
  <si>
    <t>JORA DECLERCK</t>
  </si>
  <si>
    <t>272754-578257224</t>
  </si>
  <si>
    <t>Teresa</t>
  </si>
  <si>
    <t>JULIA PAGNUSSATT CECCHELE</t>
  </si>
  <si>
    <t>272754-575852425</t>
  </si>
  <si>
    <t>JULIAN ACKERMANN</t>
  </si>
  <si>
    <t>272754-578220354</t>
  </si>
  <si>
    <t>JULIAN DUBOIS</t>
  </si>
  <si>
    <t>272754-577393653</t>
  </si>
  <si>
    <t>KANOA LESHER</t>
  </si>
  <si>
    <t>272754-577908146</t>
  </si>
  <si>
    <t>KATE BAILIE</t>
  </si>
  <si>
    <t>272754-577279241</t>
  </si>
  <si>
    <t>drop justin bieber</t>
  </si>
  <si>
    <t>KATHLEEN TONG</t>
  </si>
  <si>
    <t>272754-577728251</t>
  </si>
  <si>
    <t>KIRSI AIKASARRIO</t>
  </si>
  <si>
    <t>272754-577883018</t>
  </si>
  <si>
    <t>KIRSTY LAWLOR</t>
  </si>
  <si>
    <t>272754-578031966</t>
  </si>
  <si>
    <t>KLAAS WILLEM BOERSMA</t>
  </si>
  <si>
    <t>272754-578221416</t>
  </si>
  <si>
    <t>KRISTIN SCHLEHOFER</t>
  </si>
  <si>
    <t>272754-576991920</t>
  </si>
  <si>
    <t>leo</t>
  </si>
  <si>
    <t>KYLA HARRY</t>
  </si>
  <si>
    <t>272754-578033238</t>
  </si>
  <si>
    <t>LEA DUFNER</t>
  </si>
  <si>
    <t>272754-577560376</t>
  </si>
  <si>
    <t>shine</t>
  </si>
  <si>
    <t>LEONIE CARLA EGER</t>
  </si>
  <si>
    <t>272754-577904280</t>
  </si>
  <si>
    <t>LEWIS JAMES JOHN CASSAP</t>
  </si>
  <si>
    <t>272754-577980411</t>
  </si>
  <si>
    <t>LINA MAINZ</t>
  </si>
  <si>
    <t>272754-578237645</t>
  </si>
  <si>
    <t>LINDSAY CROFT</t>
  </si>
  <si>
    <t>272754-578182293</t>
  </si>
  <si>
    <t>LISA SCHIEDEL</t>
  </si>
  <si>
    <t>272754-578412707</t>
  </si>
  <si>
    <t>MARCO SICKER</t>
  </si>
  <si>
    <t>272754-578307095</t>
  </si>
  <si>
    <t>MARILOU GOHIER</t>
  </si>
  <si>
    <t>272754-577799554</t>
  </si>
  <si>
    <t>MARIUS KÜBLER</t>
  </si>
  <si>
    <t>272754-578416159</t>
  </si>
  <si>
    <t>MAXIM CHAUVETTE</t>
  </si>
  <si>
    <t>272754-575630652</t>
  </si>
  <si>
    <t>MEGAN GAVAN</t>
  </si>
  <si>
    <t>272754-577885692</t>
  </si>
  <si>
    <t>NOAH KOLLY</t>
  </si>
  <si>
    <t>272754-577908256</t>
  </si>
  <si>
    <t>PIA HANNES</t>
  </si>
  <si>
    <t>272754-578368214</t>
  </si>
  <si>
    <t>RACHEL JINA</t>
  </si>
  <si>
    <t>272754-576280738</t>
  </si>
  <si>
    <t>ROSIE SMITH</t>
  </si>
  <si>
    <t>272754-577255771</t>
  </si>
  <si>
    <t>RUBY ABBOTT</t>
  </si>
  <si>
    <t>272754-578146504</t>
  </si>
  <si>
    <t>SARA ISAN</t>
  </si>
  <si>
    <t>272754-578323426</t>
  </si>
  <si>
    <t>SARAH ANNE COLE</t>
  </si>
  <si>
    <t>272754-575799394</t>
  </si>
  <si>
    <t>SCUVÉE LUCAS</t>
  </si>
  <si>
    <t>272754-578199526</t>
  </si>
  <si>
    <t>SHANA DAVENPORT</t>
  </si>
  <si>
    <t>272754-578159374</t>
  </si>
  <si>
    <t>SIDDHANT JUYAL</t>
  </si>
  <si>
    <t>272754-578342062</t>
  </si>
  <si>
    <t>SORIYA SOM</t>
  </si>
  <si>
    <t>272754-578293170</t>
  </si>
  <si>
    <t>THOMAS GARCIA</t>
  </si>
  <si>
    <t>272754-577916551</t>
  </si>
  <si>
    <t>THOMAS VIGIER</t>
  </si>
  <si>
    <t>272754-578006210</t>
  </si>
  <si>
    <t>TOM VAN SAMANG</t>
  </si>
  <si>
    <t>272754-578123913</t>
  </si>
  <si>
    <t>VICTOR RADICE</t>
  </si>
  <si>
    <t>272754-578133726</t>
  </si>
  <si>
    <t>Antony Kelleher</t>
  </si>
  <si>
    <t>ANNIKA SCHAPPACHER</t>
  </si>
  <si>
    <t>272754-578487399</t>
  </si>
  <si>
    <t>TOMAS MUINHOS RIVEIRO</t>
  </si>
  <si>
    <t>272754-578379844</t>
  </si>
  <si>
    <t>RUBY HOWARD</t>
  </si>
  <si>
    <t>272754-578340200</t>
  </si>
  <si>
    <t>LISANDRO ARIAS</t>
  </si>
  <si>
    <t>272754-578519151</t>
  </si>
  <si>
    <t>HAMZA AIT LACHGUER</t>
  </si>
  <si>
    <t>272754-578544163</t>
  </si>
  <si>
    <t>LINE NEUMAYR</t>
  </si>
  <si>
    <t>272754-578480608</t>
  </si>
  <si>
    <t>YAEL SCHOENBAUM</t>
  </si>
  <si>
    <t>272754-578531551</t>
  </si>
  <si>
    <t>JASMINA BELARBI</t>
  </si>
  <si>
    <t>272754-578542309</t>
  </si>
  <si>
    <t>JAMES WATERS</t>
  </si>
  <si>
    <t>272754-578582362</t>
  </si>
  <si>
    <t>TRYGVE GRANVIKEN</t>
  </si>
  <si>
    <t>272754-578464149</t>
  </si>
  <si>
    <t>TOMAS MUINHOS</t>
  </si>
  <si>
    <t>272754-578517137</t>
  </si>
  <si>
    <t>BO VAN DE WEGHE</t>
  </si>
  <si>
    <t>272754-578549240</t>
  </si>
  <si>
    <t>CAITLIN TAYLOR</t>
  </si>
  <si>
    <t>272754-578555088</t>
  </si>
  <si>
    <t>v</t>
  </si>
  <si>
    <t>RYLEE COOPER</t>
  </si>
  <si>
    <t>272754-578564593</t>
  </si>
  <si>
    <t>SCOTT BELL</t>
  </si>
  <si>
    <t>272754-578574206</t>
  </si>
  <si>
    <t>GEORGIA BECKER</t>
  </si>
  <si>
    <t>272754-578433252</t>
  </si>
  <si>
    <t>PAIGE JANELLE COX</t>
  </si>
  <si>
    <t>272754-578444457</t>
  </si>
  <si>
    <t>MARIA JIMENEZ LOPEZ</t>
  </si>
  <si>
    <t>272754-578464709</t>
  </si>
  <si>
    <t>ZIYING ZHANG</t>
  </si>
  <si>
    <t>272754-578518114</t>
  </si>
  <si>
    <t>LUCY MCMANUS</t>
  </si>
  <si>
    <t>272754-578579834</t>
  </si>
  <si>
    <t>RUBY HOUSMAN-WILKINSON</t>
  </si>
  <si>
    <t>272754-578523553</t>
  </si>
  <si>
    <t>VANESSA ALCALA</t>
  </si>
  <si>
    <t>272754-578499322</t>
  </si>
  <si>
    <t>272754-578444910</t>
  </si>
  <si>
    <t>272754-578550121</t>
  </si>
  <si>
    <t>272754-578567509</t>
  </si>
  <si>
    <t>ALEJANDRO CRESPO</t>
  </si>
  <si>
    <t>272754-578502382</t>
  </si>
  <si>
    <t>MAYA CAPP</t>
  </si>
  <si>
    <t>272754-578603182</t>
  </si>
  <si>
    <t>GEORGI BAJENARU</t>
  </si>
  <si>
    <t>272754-578625317</t>
  </si>
  <si>
    <t>HARRIET EADES</t>
  </si>
  <si>
    <t>272754-578383170</t>
  </si>
  <si>
    <t>GABRIEL ROGER GAGNE</t>
  </si>
  <si>
    <t>272754-578664337</t>
  </si>
  <si>
    <t>PAUL EGAN</t>
  </si>
  <si>
    <t>272754-578691728</t>
  </si>
  <si>
    <t>DINA JAN RIYAZI</t>
  </si>
  <si>
    <t>272754-578343848</t>
  </si>
  <si>
    <t>NIKLAS VOGELER</t>
  </si>
  <si>
    <t>272754-578433645</t>
  </si>
  <si>
    <t>ISABELLA GREGORY</t>
  </si>
  <si>
    <t>272754-578711311</t>
  </si>
  <si>
    <t>IDO GUR HARUSH</t>
  </si>
  <si>
    <t>272754-578726723</t>
  </si>
  <si>
    <t>TAHYA SLAVEN</t>
  </si>
  <si>
    <t>272754-578732602</t>
  </si>
  <si>
    <t>JACK MIZZI</t>
  </si>
  <si>
    <t>272754-578643287</t>
  </si>
  <si>
    <t>GIRARDINI ALIX</t>
  </si>
  <si>
    <t>272754-578466776</t>
  </si>
  <si>
    <t>TALLULAH MORRIS</t>
  </si>
  <si>
    <t>272754-578690900</t>
  </si>
  <si>
    <t>CAROLINE CUILLIERE</t>
  </si>
  <si>
    <t>272754-578365822</t>
  </si>
  <si>
    <t>LUNA WALLUM</t>
  </si>
  <si>
    <t>272754-578767238</t>
  </si>
  <si>
    <t>TINA RICHTER</t>
  </si>
  <si>
    <t>272754-578776951</t>
  </si>
  <si>
    <t>FRANK SCHAEFER</t>
  </si>
  <si>
    <t>272754-578712584</t>
  </si>
  <si>
    <t>ARUZHAN YUSSUP</t>
  </si>
  <si>
    <t>272754-578813496</t>
  </si>
  <si>
    <t>JULIA KLAR</t>
  </si>
  <si>
    <t>272754-578732886</t>
  </si>
  <si>
    <t>MIRIAM ABUSIDO</t>
  </si>
  <si>
    <t>272754-578487060</t>
  </si>
  <si>
    <t>272754-578813336</t>
  </si>
  <si>
    <t>PETER ESPOSITO</t>
  </si>
  <si>
    <t>272754-578798149</t>
  </si>
  <si>
    <t>PHOEBE VAN EKER</t>
  </si>
  <si>
    <t>272754-578764805</t>
  </si>
  <si>
    <t>KATIE EDGELEY</t>
  </si>
  <si>
    <t>272754-578811756</t>
  </si>
  <si>
    <t>TASMAN BERRY</t>
  </si>
  <si>
    <t>272754-578754579</t>
  </si>
  <si>
    <t>FREDERICK HOPKINS</t>
  </si>
  <si>
    <t>272754-578544308</t>
  </si>
  <si>
    <t>TONI LOCKE</t>
  </si>
  <si>
    <t>272754-578825632</t>
  </si>
  <si>
    <t>TESSA SKEWES</t>
  </si>
  <si>
    <t>272754-578890252</t>
  </si>
  <si>
    <t>FANNY MUSIL</t>
  </si>
  <si>
    <t>272754-578564989</t>
  </si>
  <si>
    <t>ALIYYAH KHAN</t>
  </si>
  <si>
    <t>272754-578900466</t>
  </si>
  <si>
    <t>DENNIS SCHLENDER</t>
  </si>
  <si>
    <t>272754-578704969</t>
  </si>
  <si>
    <t>ESHANI AVASTHI</t>
  </si>
  <si>
    <t>272754-578128528</t>
  </si>
  <si>
    <t>NATALIE KELLEWAY</t>
  </si>
  <si>
    <t>272754-578768203</t>
  </si>
  <si>
    <t>JENNA BUCHWACH</t>
  </si>
  <si>
    <t>272754-578933978</t>
  </si>
  <si>
    <t>ROSE CHALFIN-WAKELEY</t>
  </si>
  <si>
    <t>272754-578406041</t>
  </si>
  <si>
    <t>AMY WILLIAMS</t>
  </si>
  <si>
    <t>272754-578869980</t>
  </si>
  <si>
    <t>HANNAH PEASE</t>
  </si>
  <si>
    <t>272754-578893531</t>
  </si>
  <si>
    <t>272754-578898463</t>
  </si>
  <si>
    <t>MATTHEW BOTTA</t>
  </si>
  <si>
    <t>272754-578778532</t>
  </si>
  <si>
    <t>JESSIE JO</t>
  </si>
  <si>
    <t>272754-578747928</t>
  </si>
  <si>
    <t>NABIL MIHOUB</t>
  </si>
  <si>
    <t>272754-578911444</t>
  </si>
  <si>
    <t>JASMINKA KÖHLER</t>
  </si>
  <si>
    <t>272754-578834831</t>
  </si>
  <si>
    <t>FOUAD BELFQIH</t>
  </si>
  <si>
    <t>272754-578976351</t>
  </si>
  <si>
    <t>ALICE DAVID</t>
  </si>
  <si>
    <t>272754-578240712</t>
  </si>
  <si>
    <t>HAYDEN BARTER</t>
  </si>
  <si>
    <t>272754-578630879</t>
  </si>
  <si>
    <t>EMIL LINDEN-PERLIS</t>
  </si>
  <si>
    <t>272754-578914960</t>
  </si>
  <si>
    <t>AMELIE AFFARIAN</t>
  </si>
  <si>
    <t>272754-578797825</t>
  </si>
  <si>
    <t>272754-579073017</t>
  </si>
  <si>
    <t>OLIVIA MAE BROMLEY</t>
  </si>
  <si>
    <t>272754-578752701</t>
  </si>
  <si>
    <t>OMAR MANSOUR</t>
  </si>
  <si>
    <t>272754-578960692</t>
  </si>
  <si>
    <t>TAREK TURKI</t>
  </si>
  <si>
    <t>272754-578880377</t>
  </si>
  <si>
    <t>KATIE DONOVAN</t>
  </si>
  <si>
    <t>272754-579113775</t>
  </si>
  <si>
    <t>ANTOINE CALAMBE</t>
  </si>
  <si>
    <t>272754-578528598</t>
  </si>
  <si>
    <t>RUTH KELLEHER</t>
  </si>
  <si>
    <t>272754-575675828</t>
  </si>
  <si>
    <t>CELINA ELISABETH MARIA MARTENS</t>
  </si>
  <si>
    <t>272754-578436903</t>
  </si>
  <si>
    <t>LOUIS SPENDER</t>
  </si>
  <si>
    <t>272754-578688868</t>
  </si>
  <si>
    <t>MARIE-EVE FRASER</t>
  </si>
  <si>
    <t>272754-578798362</t>
  </si>
  <si>
    <t>ALEXIS COWBOURNE</t>
  </si>
  <si>
    <t>272754-578788710</t>
  </si>
  <si>
    <t>JOSSO CORALIE</t>
  </si>
  <si>
    <t>272754-578836791</t>
  </si>
  <si>
    <t>GERARD GIBB</t>
  </si>
  <si>
    <t>272754-578862661</t>
  </si>
  <si>
    <t>JAKE BUCKLEY</t>
  </si>
  <si>
    <t>272754-578757844</t>
  </si>
  <si>
    <t>ANNIKA ENEVOLDSEN</t>
  </si>
  <si>
    <t>272754-578834089</t>
  </si>
  <si>
    <t>EVIE HARDY</t>
  </si>
  <si>
    <t>272754-578972696</t>
  </si>
  <si>
    <t>272754-579079785</t>
  </si>
  <si>
    <t>SAMUEL O&amp;#39;HANRAHAN</t>
  </si>
  <si>
    <t>272754-578321356</t>
  </si>
  <si>
    <t>GARY MAHON</t>
  </si>
  <si>
    <t>272754-578755343</t>
  </si>
  <si>
    <t>LOTFI JAI</t>
  </si>
  <si>
    <t>272754-578837070</t>
  </si>
  <si>
    <t>REGAN SMITH</t>
  </si>
  <si>
    <t>272754-578746679</t>
  </si>
  <si>
    <t>HANNAH MATILDA THOMPSON</t>
  </si>
  <si>
    <t>272754-578485831</t>
  </si>
  <si>
    <t>TRISHA GRUTERS</t>
  </si>
  <si>
    <t>272754-578791862</t>
  </si>
  <si>
    <t>ELLA LEDERLE</t>
  </si>
  <si>
    <t>272754-578482398</t>
  </si>
  <si>
    <t>Accommodation</t>
  </si>
  <si>
    <t>Abel Filipe Goncalves da Costa Sambo</t>
  </si>
  <si>
    <t>Bianca Visekruna</t>
  </si>
  <si>
    <t>Website/Credit Card Engine</t>
  </si>
  <si>
    <t>Ellen Simoens</t>
  </si>
  <si>
    <t>Floriane Jonas</t>
  </si>
  <si>
    <t>Karlijn Groen</t>
  </si>
  <si>
    <t>Naren Jayapal</t>
  </si>
  <si>
    <t>Rachel Dellevar</t>
  </si>
  <si>
    <t>Whelan Eu Kiat Goh</t>
  </si>
  <si>
    <t>Paul Cantwell</t>
  </si>
  <si>
    <t>In-House</t>
  </si>
  <si>
    <t>Solicitado</t>
  </si>
  <si>
    <t>ok</t>
  </si>
  <si>
    <t>Feito</t>
  </si>
  <si>
    <t xml:space="preserve">(pela data do check in) reservations from cloudbed </t>
  </si>
  <si>
    <t xml:space="preserve">keep the clomns (check last month) </t>
  </si>
  <si>
    <t>change style for days</t>
  </si>
  <si>
    <t>remove cancel</t>
  </si>
  <si>
    <t>Repport / Payments / Payment Ledger
 = n. reserva + data do pagamento + valor acomodação + valor city + como foi pago (bank, cash, card)</t>
  </si>
  <si>
    <t>https://hotels.cloudbeds.com/connect/9727#/insights/cloudbeds-reports/payment-ledger-72</t>
  </si>
  <si>
    <t>mudar . para  ,</t>
  </si>
  <si>
    <t>verificar se ledge e reservation tem o mesmo numero de reservas</t>
  </si>
  <si>
    <t>vincular ledge + reservations from cloudbed - colocar coluna data pagamento + credito (room e CT separados) do ledge em reservations</t>
  </si>
  <si>
    <r>
      <rPr>
        <color rgb="FF1155CC"/>
        <u/>
      </rPr>
      <t>booking.com</t>
    </r>
    <r>
      <rPr/>
      <t xml:space="preserve"> = reservations + PDF do financeiro</t>
    </r>
  </si>
  <si>
    <t>filter transaction date = filter 1 month before and a few days after</t>
  </si>
  <si>
    <t>deixa só check in no mês que estou trabalhando</t>
  </si>
  <si>
    <t>excluir VOID (negativos) (filtrar nomes duplicados)</t>
  </si>
  <si>
    <t>https://account.booking.com/sign-in?op_token=EgVvYXV0aCL8AgoUNlo3Mm9IT2QzNk5uN3prM3BpcmgSCWF1dGhvcml6ZRoaaHR0cHM6Ly9hZG1pbi5ib29raW5nLmNvbS8qgwJ7ImF1dGhfYXR0ZW1wdF9pZCI6ImQ5MDJjY2VhLTg3YjItNGI1Yi1hOGJiLWU4NTgxMDIzY2I4MSIsInBhZ2UiOiIvaG90ZWwvaG90ZWxhZG1pbi9leHRyYW5ldF9uZy9tYW5hZ2UvaG9tZS5odG1sP21vYmlsZV9leHRyYW5ldD0mdXRtX21lZGl1bT1nb190b19leHRyYW5ldF9saW5rJnV0bV90ZXJtPWFkbWluX2xvZ2luJmhvdGVsX2lkPTIwNTk3NjkmdXRtX2NhbXBhaWduPXRvcF9uYXZpZ2F0aW9uJmxhbmc9eGImdXRtX3NvdXJjZT1wYXJ0bmVyX2h1YiJ9MitwcDRKeTZLMWdPelJpSm4tZFdFNXJkUWtXYnpDbE5PeDVnX0x5YXpkQ1VvOgRTMjU2QgRjb2RlKhMwm83QgKHyJzoAQgBY0JDogIgz</t>
  </si>
  <si>
    <t>2059769 ---&gt; Summer#2025</t>
  </si>
  <si>
    <t>vai ter guests que já está no schedule</t>
  </si>
  <si>
    <t>Payments -&gt; Payout Report V2- &gt; conferir se cartão de crédito está de acordo com banco</t>
  </si>
  <si>
    <t>airbnb = vou hospedar = ganhos</t>
  </si>
  <si>
    <t>casamadalenafaro@gmail.com</t>
  </si>
  <si>
    <t>followthehearts2024</t>
  </si>
  <si>
    <t>cancelado no cloud mas recebeu do airbnb?</t>
  </si>
  <si>
    <t>2 linhas com mesmo codigo de reserva no airbnb?</t>
  </si>
  <si>
    <t>só colocar no oficial o que caiu no banco no mês</t>
  </si>
  <si>
    <t>valor = banco</t>
  </si>
  <si>
    <t>ganhos brutos = cloud</t>
  </si>
  <si>
    <t>hostel world = bookings = Advanced Search = por data check in</t>
  </si>
  <si>
    <t>card = paylink = Payout Report no cloudbed</t>
  </si>
  <si>
    <t>HW + booking + Airbnb = nome + n. reservar + data check in + data check out + valor acomodação</t>
  </si>
  <si>
    <t>paylink + booking + airbnb =  devo lançar despesas em DADOS. Categoaia BPI para paylink e airbnb</t>
  </si>
  <si>
    <t>colar tudo no schedule do google sheets mas data de pagamento do airbnb e booking não preencher</t>
  </si>
  <si>
    <t>data pagamento booking e airbnb preencher de acordo com bank</t>
  </si>
  <si>
    <t>colunas ocultas foram preenchidas</t>
  </si>
  <si>
    <r>
      <rPr>
        <color rgb="FF1155CC"/>
        <u/>
      </rPr>
      <t>https://www.airbnb.com.br/users/profile</t>
    </r>
    <r>
      <rPr/>
      <t xml:space="preserve"> no internet explore</t>
    </r>
  </si>
  <si>
    <t>visualizar todas pagas</t>
  </si>
  <si>
    <t>airbnb bate com banco?</t>
  </si>
  <si>
    <t>https://inbox.hostelworld.com/</t>
  </si>
  <si>
    <t>272754 / manager</t>
  </si>
  <si>
    <t>thelemonloversclub2025_</t>
  </si>
  <si>
    <r>
      <rPr>
        <color rgb="FF1155CC"/>
        <u/>
      </rPr>
      <t>booking.com</t>
    </r>
    <r>
      <rPr/>
      <t xml:space="preserve"> bate com banco?</t>
    </r>
  </si>
  <si>
    <t>colar no schedule Family&amp;Friends</t>
  </si>
  <si>
    <t xml:space="preserve">bank = conferir com extrato - </t>
  </si>
  <si>
    <t>cash = conferir cash flow. is accomodation anete igual accomodation schedule?</t>
  </si>
  <si>
    <t>conferir monthy todas as categorias</t>
  </si>
  <si>
    <t>conferir final result</t>
  </si>
  <si>
    <t>conferir  receptor</t>
  </si>
  <si>
    <t>Detalhe</t>
  </si>
  <si>
    <t>Payment</t>
  </si>
  <si>
    <t>ProductExtras</t>
  </si>
  <si>
    <t>BeerSocial</t>
  </si>
  <si>
    <t>Wine</t>
  </si>
  <si>
    <t>Extra Money</t>
  </si>
  <si>
    <t>Paypal Adrian</t>
  </si>
  <si>
    <t>Bank2</t>
  </si>
  <si>
    <t>Breakfast</t>
  </si>
  <si>
    <t>Mojito</t>
  </si>
  <si>
    <t>Surfboard</t>
  </si>
  <si>
    <t>Xtour</t>
  </si>
  <si>
    <t>BBQ</t>
  </si>
  <si>
    <t>Wineglass</t>
  </si>
  <si>
    <t>Bar 2024</t>
  </si>
  <si>
    <t>Water</t>
  </si>
  <si>
    <t>icecube</t>
  </si>
  <si>
    <t>Chill Pills</t>
  </si>
  <si>
    <t>Food</t>
  </si>
  <si>
    <t>Adrien drop</t>
  </si>
  <si>
    <t>Jar</t>
  </si>
  <si>
    <t>Pastel de Nata</t>
  </si>
  <si>
    <t>Port Wine</t>
  </si>
  <si>
    <t>"NomeoftheProject"</t>
  </si>
  <si>
    <t>MaodeObra"NomeoftheProject"</t>
  </si>
  <si>
    <t>Materiel"NomeoftheProject"</t>
  </si>
  <si>
    <t>Tools"NomeoftheProject"</t>
  </si>
  <si>
    <t>Obra-"2025"</t>
  </si>
  <si>
    <t>Agua"2025"</t>
  </si>
  <si>
    <t>Eletricidade"2025"</t>
  </si>
  <si>
    <t>Furnitures2025"</t>
  </si>
  <si>
    <t>Incêncio"2025"</t>
  </si>
  <si>
    <t>Mao-de-obra"2025"</t>
  </si>
  <si>
    <t>Material"2025"</t>
  </si>
  <si>
    <t>Tools"2025"</t>
  </si>
  <si>
    <t>Obra-"2026"</t>
  </si>
  <si>
    <t>Building/Construction/Company"2026"</t>
  </si>
  <si>
    <t>Cafe/food"2026"</t>
  </si>
  <si>
    <t>Furnitures2026"</t>
  </si>
  <si>
    <t>Incêncio"2026"</t>
  </si>
  <si>
    <t>Mao-de-obra"2026"</t>
  </si>
  <si>
    <t>Material"2026"</t>
  </si>
  <si>
    <t>Material/Tools"2026"</t>
  </si>
  <si>
    <t>Project/Admin"2026"</t>
  </si>
  <si>
    <t>Tools"2026"</t>
  </si>
  <si>
    <t>Uber/ Transporte"2026"</t>
  </si>
  <si>
    <t>Obra-"Beds"</t>
  </si>
  <si>
    <t>Bunkbeds</t>
  </si>
  <si>
    <t>Obra-"FavelaRecycling"</t>
  </si>
  <si>
    <t>furnitures"FavelaRecycling"</t>
  </si>
  <si>
    <t>Material"FavelaRecycling"</t>
  </si>
  <si>
    <t>Obra-"NomedoProject"</t>
  </si>
  <si>
    <t>Furnitures"NomedoProject"</t>
  </si>
  <si>
    <t>MaodeObra"NomedoProject"</t>
  </si>
  <si>
    <t>material"NomedoProject"</t>
  </si>
  <si>
    <t>Obra-"Project Cafe"</t>
  </si>
  <si>
    <t>Furnitures"Project Cafe"</t>
  </si>
  <si>
    <t>MaodeObra"Project Cafe"</t>
  </si>
  <si>
    <t>material"Project Cafe"</t>
  </si>
  <si>
    <t>Obra-"RoofTop"</t>
  </si>
  <si>
    <t>Furniture"RoofTop"</t>
  </si>
  <si>
    <t>MaodeObra"RoofTop"</t>
  </si>
  <si>
    <t>Tools"RoofTop"</t>
  </si>
  <si>
    <t>shopping</t>
  </si>
  <si>
    <t>Bag</t>
  </si>
  <si>
    <t>The Project 50</t>
  </si>
  <si>
    <t>Architect Project</t>
  </si>
  <si>
    <t>venda camas beliche</t>
  </si>
  <si>
    <t>vv</t>
  </si>
  <si>
    <t xml:space="preserve"> </t>
  </si>
  <si>
    <t>PUT BY MARTA</t>
  </si>
  <si>
    <t>to correct/clarify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</si>
</sst>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mm/yyyy"/>
    <numFmt numFmtId="165" formatCode="[$€]#,##0.00"/>
    <numFmt numFmtId="166" formatCode="dd/mm/yyyy"/>
    <numFmt numFmtId="167" formatCode="[$R$ -416]#,##0.00"/>
    <numFmt numFmtId="168" formatCode="dd/MM/yyyy"/>
    <numFmt numFmtId="169" formatCode="yyyy-mm-dd"/>
    <numFmt numFmtId="170" formatCode="dd/mm"/>
    <numFmt numFmtId="171" formatCode="d/m"/>
    <numFmt numFmtId="172" formatCode="yyyy-mm-dd hh:mm:ss"/>
    <numFmt numFmtId="173" formatCode="mmm yyyy"/>
    <numFmt numFmtId="174" formatCode="dd-mm-yyyy"/>
    <numFmt numFmtId="175" formatCode="m/yyyy"/>
    <numFmt numFmtId="176" formatCode="dd/mm/yy"/>
  </numFmts>
  <fonts count="59">
    <font>
      <sz val="10.0"/>
      <color rgb="FF000000"/>
      <name val="Arial"/>
      <scheme val="minor"/>
    </font>
    <font>
      <b/>
      <sz val="8.0"/>
      <color rgb="FFFFFFFF"/>
      <name val="Arial"/>
    </font>
    <font>
      <b/>
      <sz val="13.0"/>
      <color theme="1"/>
      <name val="Arial"/>
      <scheme val="minor"/>
    </font>
    <font>
      <sz val="8.0"/>
      <color rgb="FFFFFFFF"/>
      <name val="Arial"/>
    </font>
    <font>
      <b/>
      <sz val="14.0"/>
      <color rgb="FFFFFFFF"/>
      <name val="Arial"/>
    </font>
    <font/>
    <font>
      <b/>
      <color rgb="FFFFFFFF"/>
      <name val="Arial"/>
    </font>
    <font>
      <i/>
      <color rgb="FFFFFFFF"/>
      <name val="Arial"/>
    </font>
    <font>
      <sz val="8.0"/>
      <color theme="1"/>
      <name val="Arial"/>
    </font>
    <font>
      <color theme="0"/>
      <name val="Arial"/>
    </font>
    <font>
      <sz val="8.0"/>
      <color rgb="FF000000"/>
      <name val="Arial"/>
    </font>
    <font>
      <color rgb="FFFFFFFF"/>
      <name val="Arial"/>
    </font>
    <font>
      <color theme="1"/>
      <name val="Arial"/>
      <scheme val="minor"/>
    </font>
    <font>
      <color theme="1"/>
      <name val="Arial"/>
    </font>
    <font>
      <sz val="8.0"/>
      <color theme="1"/>
      <name val="Arial"/>
      <scheme val="minor"/>
    </font>
    <font>
      <b/>
      <i/>
      <sz val="9.0"/>
      <color theme="1"/>
      <name val="Arial"/>
    </font>
    <font>
      <b/>
      <sz val="12.0"/>
      <color rgb="FFFFFFFF"/>
      <name val="Arial"/>
    </font>
    <font>
      <color theme="1"/>
      <name val="Times New Roman"/>
    </font>
    <font>
      <color rgb="FF000000"/>
      <name val="Arial"/>
    </font>
    <font>
      <b/>
      <sz val="9.0"/>
      <color theme="0"/>
      <name val="Arial"/>
    </font>
    <font>
      <b/>
      <sz val="9.0"/>
      <color rgb="FFFFFFFF"/>
      <name val="Arial"/>
    </font>
    <font>
      <b/>
      <sz val="9.0"/>
      <color rgb="FF000000"/>
      <name val="Arial"/>
    </font>
    <font>
      <sz val="9.0"/>
      <color theme="1"/>
      <name val="Arial"/>
    </font>
    <font>
      <b/>
      <sz val="9.0"/>
      <color theme="1"/>
      <name val="Arial"/>
    </font>
    <font>
      <sz val="11.0"/>
      <color rgb="FF000000"/>
      <name val="Calibri"/>
    </font>
    <font>
      <b/>
      <sz val="9.0"/>
      <color rgb="FFEA9999"/>
      <name val="Arial"/>
    </font>
    <font>
      <sz val="9.0"/>
      <color rgb="FFFF0000"/>
      <name val="Arial"/>
    </font>
    <font>
      <b/>
      <sz val="9.0"/>
      <color rgb="FFF4CCCC"/>
      <name val="Arial"/>
    </font>
    <font>
      <sz val="9.0"/>
      <color rgb="FF000000"/>
      <name val="Arial"/>
    </font>
    <font>
      <sz val="9.0"/>
      <color theme="1"/>
      <name val="Arial"/>
      <scheme val="minor"/>
    </font>
    <font>
      <i/>
      <sz val="9.0"/>
      <color theme="1"/>
      <name val="Arial"/>
    </font>
    <font>
      <b/>
      <sz val="14.0"/>
      <color theme="1"/>
      <name val="Arial"/>
    </font>
    <font>
      <b/>
      <sz val="15.0"/>
      <color theme="1"/>
      <name val="Arial"/>
    </font>
    <font>
      <b/>
      <sz val="12.0"/>
      <color theme="1"/>
      <name val="Arial"/>
    </font>
    <font>
      <sz val="11.0"/>
      <color theme="1"/>
      <name val="Calibri"/>
    </font>
    <font>
      <b/>
      <sz val="8.0"/>
      <color theme="0"/>
      <name val="Arial"/>
    </font>
    <font>
      <b/>
      <sz val="8.0"/>
      <color rgb="FFFF0000"/>
      <name val="Arial"/>
    </font>
    <font>
      <b/>
      <sz val="11.0"/>
      <color theme="1"/>
      <name val="Arial"/>
    </font>
    <font>
      <b/>
      <sz val="10.0"/>
      <color theme="1"/>
      <name val="Arial"/>
    </font>
    <font>
      <sz val="10.0"/>
      <color theme="1"/>
      <name val="Arial"/>
      <scheme val="minor"/>
    </font>
    <font>
      <sz val="8.0"/>
      <color rgb="FF000000"/>
      <name val="Arial"/>
      <scheme val="minor"/>
    </font>
    <font>
      <color rgb="FFFF0000"/>
      <name val="Arial"/>
    </font>
    <font>
      <b/>
      <sz val="12.0"/>
      <color rgb="FF001238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b/>
      <sz val="15.0"/>
      <color rgb="FFFFFFFF"/>
      <name val="Arial"/>
    </font>
    <font>
      <sz val="10.0"/>
      <color theme="1"/>
      <name val="Arial"/>
    </font>
    <font>
      <sz val="11.0"/>
      <color theme="1"/>
      <name val="Arial"/>
    </font>
    <font>
      <color theme="1"/>
      <name val="Noto Sans CJK SC"/>
    </font>
    <font>
      <color rgb="FF000000"/>
      <name val="Arial"/>
      <scheme val="minor"/>
    </font>
    <font>
      <sz val="8.0"/>
      <color theme="1"/>
      <name val="Helvetica Neue"/>
    </font>
    <font>
      <sz val="8.0"/>
      <color rgb="FF595959"/>
      <name val="Verdana"/>
    </font>
    <font>
      <sz val="8.0"/>
      <color rgb="FF000000"/>
      <name val="Helvetica Neue"/>
    </font>
    <font>
      <u/>
      <color rgb="FF0000FF"/>
    </font>
    <font>
      <b/>
      <sz val="10.0"/>
      <color rgb="FFFFFFFF"/>
      <name val="Arial"/>
    </font>
    <font>
      <b/>
      <color theme="1"/>
      <name val="Arial"/>
    </font>
    <font>
      <b/>
      <color rgb="FFFF0000"/>
      <name val="Arial"/>
    </font>
    <font>
      <b/>
      <sz val="12.0"/>
      <color rgb="FFFF0000"/>
      <name val="Arial"/>
    </font>
  </fonts>
  <fills count="36">
    <fill>
      <patternFill patternType="none"/>
    </fill>
    <fill>
      <patternFill patternType="lightGray"/>
    </fill>
    <fill>
      <patternFill patternType="solid">
        <fgColor rgb="FF46BDC6"/>
        <bgColor rgb="FF46BDC6"/>
      </patternFill>
    </fill>
    <fill>
      <patternFill patternType="solid">
        <fgColor rgb="FF999999"/>
        <bgColor rgb="FF999999"/>
      </patternFill>
    </fill>
    <fill>
      <patternFill patternType="solid">
        <fgColor theme="9"/>
        <bgColor theme="9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DD7E6B"/>
        <bgColor rgb="FFDD7E6B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BF9000"/>
        <bgColor rgb="FFBF9000"/>
      </patternFill>
    </fill>
    <fill>
      <patternFill patternType="solid">
        <fgColor rgb="FF6FA8DC"/>
        <bgColor rgb="FF6FA8DC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rgb="FFD9D9D9"/>
        <bgColor rgb="FFD9D9D9"/>
      </patternFill>
    </fill>
    <fill>
      <patternFill patternType="solid">
        <fgColor rgb="FF6D9EEB"/>
        <bgColor rgb="FF6D9EEB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00FF00"/>
        <bgColor rgb="FF00FF00"/>
      </patternFill>
    </fill>
    <fill>
      <patternFill patternType="solid">
        <fgColor rgb="FFF1F3F4"/>
        <bgColor rgb="FFF1F3F4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E6B8AF"/>
        <bgColor rgb="FFE6B8AF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B4A7D6"/>
        <bgColor rgb="FFB4A7D6"/>
      </patternFill>
    </fill>
  </fills>
  <borders count="21">
    <border/>
    <border>
      <left style="thin">
        <color rgb="FF46BDC6"/>
      </left>
      <right style="thin">
        <color rgb="FF46BDC6"/>
      </right>
      <bottom style="thin">
        <color rgb="FF46BDC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46BDC6"/>
      </right>
      <bottom style="thin">
        <color rgb="FF46BDC6"/>
      </bottom>
    </border>
    <border>
      <left style="thin">
        <color rgb="FF46BDC6"/>
      </left>
      <top style="thin">
        <color rgb="FF46BDC6"/>
      </top>
      <bottom style="thin">
        <color rgb="FF46BDC6"/>
      </bottom>
    </border>
    <border>
      <top style="thin">
        <color rgb="FF46BDC6"/>
      </top>
      <bottom style="thin">
        <color rgb="FF46BDC6"/>
      </bottom>
    </border>
    <border>
      <right style="thin">
        <color rgb="FF46BDC6"/>
      </right>
      <top style="thin">
        <color rgb="FF46BDC6"/>
      </top>
      <bottom style="thin">
        <color rgb="FF46BDC6"/>
      </bottom>
    </border>
    <border>
      <left style="thin">
        <color rgb="FF46BDC6"/>
      </left>
      <right style="thin">
        <color rgb="FF46BDC6"/>
      </right>
      <top style="thin">
        <color rgb="FF46BDC6"/>
      </top>
      <bottom style="thin">
        <color rgb="FF46BDC6"/>
      </bottom>
    </border>
    <border>
      <left style="thin">
        <color rgb="FF46BDC6"/>
      </left>
      <right style="thin">
        <color rgb="FF46BDC6"/>
      </right>
      <top style="thin">
        <color rgb="FF46BDC6"/>
      </top>
    </border>
    <border>
      <left style="thin">
        <color rgb="FF4285F4"/>
      </left>
      <top style="thin">
        <color rgb="FF4285F4"/>
      </top>
    </border>
    <border>
      <top style="thin">
        <color rgb="FF4285F4"/>
      </top>
    </border>
    <border>
      <right style="thin">
        <color rgb="FF4285F4"/>
      </right>
      <top style="thin">
        <color rgb="FF4285F4"/>
      </top>
    </border>
    <border>
      <left style="thin">
        <color rgb="FF4285F4"/>
      </left>
    </border>
    <border>
      <right style="thin">
        <color rgb="FF4285F4"/>
      </right>
    </border>
    <border>
      <left style="thin">
        <color rgb="FF4285F4"/>
      </left>
      <bottom style="thin">
        <color rgb="FF4285F4"/>
      </bottom>
    </border>
    <border>
      <bottom style="thin">
        <color rgb="FF4285F4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</borders>
  <cellStyleXfs count="1">
    <xf borderId="0" fillId="0" fontId="0" numFmtId="0" applyAlignment="1" applyFont="1"/>
  </cellStyleXfs>
  <cellXfs count="5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3" fontId="2" numFmtId="0" xfId="0" applyAlignment="1" applyBorder="1" applyFill="1" applyFont="1">
      <alignment horizontal="center" readingOrder="0"/>
    </xf>
    <xf borderId="3" fillId="2" fontId="3" numFmtId="0" xfId="0" applyAlignment="1" applyBorder="1" applyFont="1">
      <alignment horizontal="right" readingOrder="0" vertical="bottom"/>
    </xf>
    <xf borderId="4" fillId="4" fontId="4" numFmtId="0" xfId="0" applyAlignment="1" applyBorder="1" applyFill="1" applyFont="1">
      <alignment horizontal="center" readingOrder="0"/>
    </xf>
    <xf borderId="2" fillId="3" fontId="2" numFmtId="164" xfId="0" applyAlignment="1" applyBorder="1" applyFont="1" applyNumberFormat="1">
      <alignment horizontal="center" readingOrder="0"/>
    </xf>
    <xf borderId="5" fillId="0" fontId="5" numFmtId="0" xfId="0" applyBorder="1" applyFont="1"/>
    <xf borderId="6" fillId="0" fontId="5" numFmtId="0" xfId="0" applyBorder="1" applyFont="1"/>
    <xf borderId="7" fillId="4" fontId="6" numFmtId="3" xfId="0" applyAlignment="1" applyBorder="1" applyFont="1" applyNumberFormat="1">
      <alignment horizontal="right"/>
    </xf>
    <xf borderId="7" fillId="5" fontId="1" numFmtId="0" xfId="0" applyAlignment="1" applyBorder="1" applyFill="1" applyFont="1">
      <alignment readingOrder="0"/>
    </xf>
    <xf borderId="7" fillId="4" fontId="7" numFmtId="0" xfId="0" applyBorder="1" applyFont="1"/>
    <xf borderId="7" fillId="5" fontId="8" numFmtId="165" xfId="0" applyAlignment="1" applyBorder="1" applyFont="1" applyNumberFormat="1">
      <alignment horizontal="right" readingOrder="0" vertical="bottom"/>
    </xf>
    <xf borderId="1" fillId="2" fontId="1" numFmtId="0" xfId="0" applyAlignment="1" applyBorder="1" applyFont="1">
      <alignment readingOrder="0"/>
    </xf>
    <xf borderId="7" fillId="4" fontId="9" numFmtId="3" xfId="0" applyBorder="1" applyFont="1" applyNumberFormat="1"/>
    <xf borderId="7" fillId="4" fontId="3" numFmtId="166" xfId="0" applyAlignment="1" applyBorder="1" applyFont="1" applyNumberFormat="1">
      <alignment readingOrder="0"/>
    </xf>
    <xf borderId="2" fillId="3" fontId="2" numFmtId="167" xfId="0" applyAlignment="1" applyBorder="1" applyFont="1" applyNumberFormat="1">
      <alignment horizontal="center" readingOrder="0"/>
    </xf>
    <xf borderId="7" fillId="4" fontId="3" numFmtId="0" xfId="0" applyAlignment="1" applyBorder="1" applyFont="1">
      <alignment readingOrder="0"/>
    </xf>
    <xf borderId="7" fillId="5" fontId="8" numFmtId="165" xfId="0" applyAlignment="1" applyBorder="1" applyFont="1" applyNumberFormat="1">
      <alignment horizontal="right" vertical="bottom"/>
    </xf>
    <xf borderId="7" fillId="4" fontId="1" numFmtId="0" xfId="0" applyAlignment="1" applyBorder="1" applyFont="1">
      <alignment readingOrder="0"/>
    </xf>
    <xf borderId="7" fillId="6" fontId="10" numFmtId="165" xfId="0" applyBorder="1" applyFill="1" applyFont="1" applyNumberFormat="1"/>
    <xf borderId="7" fillId="4" fontId="9" numFmtId="0" xfId="0" applyBorder="1" applyFont="1"/>
    <xf borderId="3" fillId="4" fontId="3" numFmtId="0" xfId="0" applyBorder="1" applyFont="1"/>
    <xf borderId="7" fillId="4" fontId="11" numFmtId="3" xfId="0" applyBorder="1" applyFont="1" applyNumberFormat="1"/>
    <xf borderId="2" fillId="0" fontId="12" numFmtId="0" xfId="0" applyAlignment="1" applyBorder="1" applyFont="1">
      <alignment readingOrder="0"/>
    </xf>
    <xf borderId="7" fillId="2" fontId="1" numFmtId="0" xfId="0" applyAlignment="1" applyBorder="1" applyFont="1">
      <alignment readingOrder="0"/>
    </xf>
    <xf borderId="2" fillId="0" fontId="12" numFmtId="165" xfId="0" applyBorder="1" applyFont="1" applyNumberFormat="1"/>
    <xf borderId="7" fillId="4" fontId="11" numFmtId="0" xfId="0" applyAlignment="1" applyBorder="1" applyFont="1">
      <alignment readingOrder="0"/>
    </xf>
    <xf borderId="7" fillId="4" fontId="3" numFmtId="0" xfId="0" applyBorder="1" applyFont="1"/>
    <xf borderId="7" fillId="4" fontId="1" numFmtId="0" xfId="0" applyBorder="1" applyFont="1"/>
    <xf borderId="7" fillId="4" fontId="11" numFmtId="3" xfId="0" applyAlignment="1" applyBorder="1" applyFont="1" applyNumberFormat="1">
      <alignment horizontal="right"/>
    </xf>
    <xf borderId="7" fillId="0" fontId="13" numFmtId="0" xfId="0" applyBorder="1" applyFont="1"/>
    <xf borderId="7" fillId="0" fontId="13" numFmtId="165" xfId="0" applyBorder="1" applyFont="1" applyNumberFormat="1"/>
    <xf borderId="0" fillId="0" fontId="12" numFmtId="0" xfId="0" applyAlignment="1" applyFont="1">
      <alignment readingOrder="0"/>
    </xf>
    <xf borderId="7" fillId="7" fontId="6" numFmtId="165" xfId="0" applyAlignment="1" applyBorder="1" applyFill="1" applyFont="1" applyNumberFormat="1">
      <alignment horizontal="right"/>
    </xf>
    <xf borderId="0" fillId="0" fontId="12" numFmtId="165" xfId="0" applyFont="1" applyNumberFormat="1"/>
    <xf borderId="7" fillId="0" fontId="13" numFmtId="0" xfId="0" applyAlignment="1" applyBorder="1" applyFont="1">
      <alignment readingOrder="0"/>
    </xf>
    <xf borderId="7" fillId="8" fontId="1" numFmtId="0" xfId="0" applyAlignment="1" applyBorder="1" applyFill="1" applyFont="1">
      <alignment readingOrder="0"/>
    </xf>
    <xf borderId="7" fillId="8" fontId="8" numFmtId="165" xfId="0" applyAlignment="1" applyBorder="1" applyFont="1" applyNumberFormat="1">
      <alignment horizontal="right" vertical="bottom"/>
    </xf>
    <xf borderId="7" fillId="4" fontId="1" numFmtId="0" xfId="0" applyBorder="1" applyFont="1"/>
    <xf borderId="7" fillId="4" fontId="11" numFmtId="0" xfId="0" applyBorder="1" applyFont="1"/>
    <xf borderId="7" fillId="9" fontId="10" numFmtId="165" xfId="0" applyBorder="1" applyFill="1" applyFont="1" applyNumberFormat="1"/>
    <xf borderId="7" fillId="9" fontId="1" numFmtId="0" xfId="0" applyBorder="1" applyFont="1"/>
    <xf borderId="7" fillId="4" fontId="11" numFmtId="165" xfId="0" applyBorder="1" applyFont="1" applyNumberFormat="1"/>
    <xf borderId="0" fillId="0" fontId="8" numFmtId="0" xfId="0" applyFont="1"/>
    <xf borderId="0" fillId="0" fontId="8" numFmtId="165" xfId="0" applyFont="1" applyNumberFormat="1"/>
    <xf borderId="0" fillId="0" fontId="14" numFmtId="0" xfId="0" applyFont="1"/>
    <xf borderId="8" fillId="4" fontId="11" numFmtId="0" xfId="0" applyBorder="1" applyFont="1"/>
    <xf borderId="8" fillId="4" fontId="11" numFmtId="165" xfId="0" applyBorder="1" applyFont="1" applyNumberFormat="1"/>
    <xf borderId="7" fillId="4" fontId="1" numFmtId="165" xfId="0" applyBorder="1" applyFont="1" applyNumberFormat="1"/>
    <xf borderId="7" fillId="6" fontId="10" numFmtId="165" xfId="0" applyAlignment="1" applyBorder="1" applyFont="1" applyNumberFormat="1">
      <alignment readingOrder="0"/>
    </xf>
    <xf borderId="7" fillId="0" fontId="13" numFmtId="165" xfId="0" applyAlignment="1" applyBorder="1" applyFont="1" applyNumberFormat="1">
      <alignment readingOrder="0"/>
    </xf>
    <xf borderId="0" fillId="0" fontId="8" numFmtId="165" xfId="0" applyAlignment="1" applyFont="1" applyNumberFormat="1">
      <alignment readingOrder="0"/>
    </xf>
    <xf borderId="7" fillId="4" fontId="11" numFmtId="10" xfId="0" applyBorder="1" applyFont="1" applyNumberFormat="1"/>
    <xf borderId="0" fillId="0" fontId="8" numFmtId="0" xfId="0" applyAlignment="1" applyFont="1">
      <alignment readingOrder="0"/>
    </xf>
    <xf borderId="7" fillId="7" fontId="6" numFmtId="10" xfId="0" applyAlignment="1" applyBorder="1" applyFont="1" applyNumberFormat="1">
      <alignment horizontal="right"/>
    </xf>
    <xf borderId="7" fillId="0" fontId="13" numFmtId="3" xfId="0" applyBorder="1" applyFont="1" applyNumberFormat="1"/>
    <xf borderId="7" fillId="0" fontId="13" numFmtId="10" xfId="0" applyBorder="1" applyFont="1" applyNumberFormat="1"/>
    <xf borderId="7" fillId="0" fontId="13" numFmtId="10" xfId="0" applyAlignment="1" applyBorder="1" applyFont="1" applyNumberFormat="1">
      <alignment readingOrder="0"/>
    </xf>
    <xf borderId="0" fillId="0" fontId="12" numFmtId="10" xfId="0" applyFont="1" applyNumberFormat="1"/>
    <xf borderId="0" fillId="0" fontId="13" numFmtId="167" xfId="0" applyFont="1" applyNumberFormat="1"/>
    <xf borderId="0" fillId="0" fontId="6" numFmtId="0" xfId="0" applyAlignment="1" applyFont="1">
      <alignment horizontal="right"/>
    </xf>
    <xf borderId="0" fillId="0" fontId="11" numFmtId="0" xfId="0" applyFont="1"/>
    <xf borderId="0" fillId="0" fontId="11" numFmtId="165" xfId="0" applyFont="1" applyNumberFormat="1"/>
    <xf borderId="0" fillId="0" fontId="6" numFmtId="165" xfId="0" applyAlignment="1" applyFont="1" applyNumberFormat="1">
      <alignment horizontal="right"/>
    </xf>
    <xf borderId="0" fillId="0" fontId="13" numFmtId="0" xfId="0" applyAlignment="1" applyFont="1">
      <alignment readingOrder="0"/>
    </xf>
    <xf borderId="0" fillId="0" fontId="13" numFmtId="165" xfId="0" applyFont="1" applyNumberFormat="1"/>
    <xf borderId="0" fillId="10" fontId="13" numFmtId="0" xfId="0" applyAlignment="1" applyFill="1" applyFont="1">
      <alignment readingOrder="0"/>
    </xf>
    <xf borderId="0" fillId="10" fontId="13" numFmtId="165" xfId="0" applyFont="1" applyNumberFormat="1"/>
    <xf borderId="0" fillId="4" fontId="11" numFmtId="0" xfId="0" applyFont="1"/>
    <xf borderId="0" fillId="11" fontId="11" numFmtId="0" xfId="0" applyAlignment="1" applyFill="1" applyFont="1">
      <alignment horizontal="right"/>
    </xf>
    <xf borderId="0" fillId="5" fontId="15" numFmtId="0" xfId="0" applyAlignment="1" applyFont="1">
      <alignment horizontal="left" readingOrder="0"/>
    </xf>
    <xf borderId="0" fillId="2" fontId="16" numFmtId="0" xfId="0" applyAlignment="1" applyFont="1">
      <alignment horizontal="right" vertical="bottom"/>
    </xf>
    <xf borderId="0" fillId="11" fontId="16" numFmtId="0" xfId="0" applyAlignment="1" applyFont="1">
      <alignment horizontal="right" vertical="bottom"/>
    </xf>
    <xf borderId="0" fillId="4" fontId="16" numFmtId="0" xfId="0" applyFont="1"/>
    <xf borderId="3" fillId="2" fontId="16" numFmtId="0" xfId="0" applyAlignment="1" applyBorder="1" applyFont="1">
      <alignment horizontal="right" readingOrder="0" vertical="bottom"/>
    </xf>
    <xf borderId="3" fillId="2" fontId="16" numFmtId="0" xfId="0" applyAlignment="1" applyBorder="1" applyFont="1">
      <alignment horizontal="right" vertical="bottom"/>
    </xf>
    <xf borderId="0" fillId="11" fontId="11" numFmtId="0" xfId="0" applyFont="1"/>
    <xf borderId="0" fillId="0" fontId="13" numFmtId="0" xfId="0" applyAlignment="1" applyFont="1">
      <alignment horizontal="left"/>
    </xf>
    <xf borderId="0" fillId="0" fontId="17" numFmtId="0" xfId="0" applyAlignment="1" applyFont="1">
      <alignment vertical="bottom"/>
    </xf>
    <xf borderId="0" fillId="11" fontId="18" numFmtId="165" xfId="0" applyAlignment="1" applyFont="1" applyNumberFormat="1">
      <alignment horizontal="right"/>
    </xf>
    <xf borderId="0" fillId="0" fontId="18" numFmtId="165" xfId="0" applyAlignment="1" applyFont="1" applyNumberFormat="1">
      <alignment horizontal="right"/>
    </xf>
    <xf borderId="0" fillId="0" fontId="18" numFmtId="165" xfId="0" applyFont="1" applyNumberFormat="1"/>
    <xf borderId="0" fillId="0" fontId="13" numFmtId="0" xfId="0" applyAlignment="1" applyFont="1">
      <alignment readingOrder="0" vertical="bottom"/>
    </xf>
    <xf borderId="0" fillId="0" fontId="17" numFmtId="0" xfId="0" applyAlignment="1" applyFont="1">
      <alignment vertical="bottom"/>
    </xf>
    <xf borderId="0" fillId="12" fontId="19" numFmtId="0" xfId="0" applyFill="1" applyFont="1"/>
    <xf borderId="0" fillId="12" fontId="20" numFmtId="165" xfId="0" applyAlignment="1" applyFont="1" applyNumberFormat="1">
      <alignment horizontal="right" vertical="bottom"/>
    </xf>
    <xf borderId="0" fillId="0" fontId="20" numFmtId="0" xfId="0" applyFont="1"/>
    <xf borderId="0" fillId="0" fontId="13" numFmtId="0" xfId="0" applyAlignment="1" applyFont="1">
      <alignment horizontal="left" readingOrder="0"/>
    </xf>
    <xf borderId="9" fillId="12" fontId="4" numFmtId="0" xfId="0" applyAlignment="1" applyBorder="1" applyFont="1">
      <alignment horizontal="center" readingOrder="0"/>
    </xf>
    <xf borderId="10" fillId="0" fontId="5" numFmtId="0" xfId="0" applyBorder="1" applyFont="1"/>
    <xf borderId="11" fillId="0" fontId="5" numFmtId="0" xfId="0" applyBorder="1" applyFont="1"/>
    <xf borderId="0" fillId="0" fontId="21" numFmtId="165" xfId="0" applyFont="1" applyNumberFormat="1"/>
    <xf borderId="12" fillId="12" fontId="19" numFmtId="0" xfId="0" applyBorder="1" applyFont="1"/>
    <xf borderId="0" fillId="12" fontId="20" numFmtId="0" xfId="0" applyAlignment="1" applyFont="1">
      <alignment horizontal="right" readingOrder="0" vertical="bottom"/>
    </xf>
    <xf borderId="13" fillId="12" fontId="20" numFmtId="0" xfId="0" applyAlignment="1" applyBorder="1" applyFont="1">
      <alignment horizontal="right" vertical="bottom"/>
    </xf>
    <xf borderId="0" fillId="12" fontId="20" numFmtId="0" xfId="0" applyAlignment="1" applyFont="1">
      <alignment horizontal="left" vertical="bottom"/>
    </xf>
    <xf borderId="2" fillId="0" fontId="22" numFmtId="165" xfId="0" applyAlignment="1" applyBorder="1" applyFont="1" applyNumberFormat="1">
      <alignment horizontal="right"/>
    </xf>
    <xf borderId="0" fillId="0" fontId="23" numFmtId="165" xfId="0" applyFont="1" applyNumberFormat="1"/>
    <xf borderId="0" fillId="12" fontId="20" numFmtId="0" xfId="0" applyAlignment="1" applyFont="1">
      <alignment horizontal="left" readingOrder="0" vertical="bottom"/>
    </xf>
    <xf borderId="0" fillId="13" fontId="11" numFmtId="0" xfId="0" applyFill="1" applyFont="1"/>
    <xf borderId="0" fillId="13" fontId="11" numFmtId="165" xfId="0" applyAlignment="1" applyFont="1" applyNumberFormat="1">
      <alignment horizontal="right"/>
    </xf>
    <xf borderId="0" fillId="11" fontId="11" numFmtId="165" xfId="0" applyAlignment="1" applyFont="1" applyNumberFormat="1">
      <alignment horizontal="right"/>
    </xf>
    <xf borderId="0" fillId="0" fontId="24" numFmtId="0" xfId="0" applyAlignment="1" applyFont="1">
      <alignment horizontal="left" shrinkToFit="0" vertical="bottom" wrapText="0"/>
    </xf>
    <xf borderId="0" fillId="0" fontId="24" numFmtId="0" xfId="0" applyAlignment="1" applyFont="1">
      <alignment horizontal="left" shrinkToFit="0" vertical="bottom" wrapText="0"/>
    </xf>
    <xf borderId="0" fillId="0" fontId="24" numFmtId="0" xfId="0" applyAlignment="1" applyFont="1">
      <alignment horizontal="left" readingOrder="0" shrinkToFit="0" vertical="bottom" wrapText="0"/>
    </xf>
    <xf borderId="2" fillId="12" fontId="20" numFmtId="165" xfId="0" applyAlignment="1" applyBorder="1" applyFont="1" applyNumberFormat="1">
      <alignment horizontal="right" readingOrder="0" vertical="bottom"/>
    </xf>
    <xf borderId="0" fillId="12" fontId="25" numFmtId="0" xfId="0" applyAlignment="1" applyFont="1">
      <alignment horizontal="left" readingOrder="0" vertical="bottom"/>
    </xf>
    <xf borderId="2" fillId="0" fontId="26" numFmtId="165" xfId="0" applyAlignment="1" applyBorder="1" applyFont="1" applyNumberFormat="1">
      <alignment horizontal="right"/>
    </xf>
    <xf borderId="0" fillId="0" fontId="27" numFmtId="165" xfId="0" applyFont="1" applyNumberFormat="1"/>
    <xf borderId="0" fillId="13" fontId="11" numFmtId="0" xfId="0" applyAlignment="1" applyFont="1">
      <alignment readingOrder="0"/>
    </xf>
    <xf borderId="12" fillId="14" fontId="20" numFmtId="0" xfId="0" applyAlignment="1" applyBorder="1" applyFill="1" applyFont="1">
      <alignment readingOrder="0"/>
    </xf>
    <xf borderId="0" fillId="14" fontId="20" numFmtId="165" xfId="0" applyAlignment="1" applyFont="1" applyNumberFormat="1">
      <alignment horizontal="right"/>
    </xf>
    <xf borderId="0" fillId="0" fontId="20" numFmtId="165" xfId="0" applyFont="1" applyNumberFormat="1"/>
    <xf borderId="12" fillId="0" fontId="23" numFmtId="0" xfId="0" applyAlignment="1" applyBorder="1" applyFont="1">
      <alignment readingOrder="0"/>
    </xf>
    <xf borderId="0" fillId="0" fontId="22" numFmtId="165" xfId="0" applyFont="1" applyNumberFormat="1"/>
    <xf borderId="12" fillId="10" fontId="23" numFmtId="0" xfId="0" applyAlignment="1" applyBorder="1" applyFont="1">
      <alignment readingOrder="0"/>
    </xf>
    <xf borderId="0" fillId="10" fontId="22" numFmtId="165" xfId="0" applyFont="1" applyNumberFormat="1"/>
    <xf borderId="12" fillId="0" fontId="20" numFmtId="0" xfId="0" applyBorder="1" applyFont="1"/>
    <xf borderId="0" fillId="0" fontId="28" numFmtId="165" xfId="0" applyFont="1" applyNumberFormat="1"/>
    <xf borderId="13" fillId="0" fontId="28" numFmtId="165" xfId="0" applyBorder="1" applyFont="1" applyNumberFormat="1"/>
    <xf borderId="2" fillId="15" fontId="20" numFmtId="0" xfId="0" applyAlignment="1" applyBorder="1" applyFill="1" applyFont="1">
      <alignment readingOrder="0"/>
    </xf>
    <xf borderId="2" fillId="15" fontId="20" numFmtId="165" xfId="0" applyBorder="1" applyFont="1" applyNumberFormat="1"/>
    <xf borderId="2" fillId="15" fontId="20" numFmtId="0" xfId="0" applyAlignment="1" applyBorder="1" applyFont="1">
      <alignment readingOrder="0" shrinkToFit="0" wrapText="1"/>
    </xf>
    <xf borderId="12" fillId="0" fontId="29" numFmtId="0" xfId="0" applyBorder="1" applyFont="1"/>
    <xf borderId="0" fillId="0" fontId="22" numFmtId="0" xfId="0" applyFont="1"/>
    <xf borderId="0" fillId="0" fontId="30" numFmtId="0" xfId="0" applyAlignment="1" applyFont="1">
      <alignment readingOrder="0"/>
    </xf>
    <xf borderId="13" fillId="0" fontId="22" numFmtId="0" xfId="0" applyBorder="1" applyFont="1"/>
    <xf borderId="0" fillId="0" fontId="29" numFmtId="0" xfId="0" applyFont="1"/>
    <xf borderId="14" fillId="12" fontId="20" numFmtId="0" xfId="0" applyAlignment="1" applyBorder="1" applyFont="1">
      <alignment readingOrder="0"/>
    </xf>
    <xf borderId="15" fillId="12" fontId="20" numFmtId="165" xfId="0" applyAlignment="1" applyBorder="1" applyFont="1" applyNumberFormat="1">
      <alignment horizontal="right" vertical="bottom"/>
    </xf>
    <xf borderId="0" fillId="0" fontId="23" numFmtId="0" xfId="0" applyFont="1"/>
    <xf borderId="12" fillId="0" fontId="29" numFmtId="0" xfId="0" applyAlignment="1" applyBorder="1" applyFont="1">
      <alignment readingOrder="0"/>
    </xf>
    <xf borderId="12" fillId="10" fontId="29" numFmtId="0" xfId="0" applyAlignment="1" applyBorder="1" applyFont="1">
      <alignment readingOrder="0"/>
    </xf>
    <xf borderId="2" fillId="0" fontId="22" numFmtId="165" xfId="0" applyBorder="1" applyFont="1" applyNumberFormat="1"/>
    <xf borderId="14" fillId="12" fontId="20" numFmtId="0" xfId="0" applyAlignment="1" applyBorder="1" applyFont="1">
      <alignment readingOrder="0" shrinkToFit="0" wrapText="1"/>
    </xf>
    <xf borderId="15" fillId="12" fontId="20" numFmtId="165" xfId="0" applyAlignment="1" applyBorder="1" applyFont="1" applyNumberFormat="1">
      <alignment readingOrder="0" shrinkToFit="0" wrapText="1"/>
    </xf>
    <xf borderId="13" fillId="0" fontId="22" numFmtId="165" xfId="0" applyBorder="1" applyFont="1" applyNumberFormat="1"/>
    <xf borderId="0" fillId="0" fontId="22" numFmtId="0" xfId="0" applyAlignment="1" applyFont="1">
      <alignment readingOrder="0"/>
    </xf>
    <xf borderId="0" fillId="10" fontId="22" numFmtId="0" xfId="0" applyAlignment="1" applyFont="1">
      <alignment readingOrder="0"/>
    </xf>
    <xf borderId="0" fillId="0" fontId="23" numFmtId="0" xfId="0" applyAlignment="1" applyFont="1">
      <alignment readingOrder="0"/>
    </xf>
    <xf borderId="0" fillId="0" fontId="13" numFmtId="0" xfId="0" applyAlignment="1" applyFont="1">
      <alignment vertical="bottom"/>
    </xf>
    <xf borderId="0" fillId="6" fontId="13" numFmtId="0" xfId="0" applyAlignment="1" applyFont="1">
      <alignment horizontal="left"/>
    </xf>
    <xf borderId="0" fillId="0" fontId="13" numFmtId="0" xfId="0" applyFont="1"/>
    <xf borderId="0" fillId="5" fontId="31" numFmtId="0" xfId="0" applyAlignment="1" applyFont="1">
      <alignment horizontal="left"/>
    </xf>
    <xf borderId="0" fillId="5" fontId="32" numFmtId="165" xfId="0" applyAlignment="1" applyFont="1" applyNumberFormat="1">
      <alignment horizontal="right"/>
    </xf>
    <xf borderId="0" fillId="11" fontId="33" numFmtId="165" xfId="0" applyAlignment="1" applyFont="1" applyNumberFormat="1">
      <alignment horizontal="right"/>
    </xf>
    <xf borderId="0" fillId="5" fontId="33" numFmtId="165" xfId="0" applyAlignment="1" applyFont="1" applyNumberFormat="1">
      <alignment horizontal="right"/>
    </xf>
    <xf borderId="0" fillId="5" fontId="33" numFmtId="0" xfId="0" applyAlignment="1" applyFont="1">
      <alignment horizontal="right"/>
    </xf>
    <xf borderId="0" fillId="3" fontId="2" numFmtId="0" xfId="0" applyAlignment="1" applyFont="1">
      <alignment horizontal="center" readingOrder="0"/>
    </xf>
    <xf borderId="0" fillId="3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12" numFmtId="0" xfId="0" applyFont="1"/>
    <xf borderId="0" fillId="16" fontId="12" numFmtId="0" xfId="0" applyAlignment="1" applyFill="1" applyFont="1">
      <alignment readingOrder="0"/>
    </xf>
    <xf borderId="0" fillId="16" fontId="12" numFmtId="165" xfId="0" applyFont="1" applyNumberFormat="1"/>
    <xf borderId="0" fillId="0" fontId="12" numFmtId="3" xfId="0" applyAlignment="1" applyFont="1" applyNumberFormat="1">
      <alignment readingOrder="0"/>
    </xf>
    <xf borderId="0" fillId="0" fontId="12" numFmtId="10" xfId="0" applyAlignment="1" applyFont="1" applyNumberFormat="1">
      <alignment readingOrder="0"/>
    </xf>
    <xf borderId="7" fillId="2" fontId="1" numFmtId="0" xfId="0" applyBorder="1" applyFont="1"/>
    <xf borderId="1" fillId="2" fontId="1" numFmtId="0" xfId="0" applyBorder="1" applyFont="1"/>
    <xf borderId="1" fillId="2" fontId="8" numFmtId="0" xfId="0" applyBorder="1" applyFont="1"/>
    <xf borderId="0" fillId="0" fontId="34" numFmtId="0" xfId="0" applyAlignment="1" applyFont="1">
      <alignment vertical="bottom"/>
    </xf>
    <xf borderId="7" fillId="2" fontId="35" numFmtId="0" xfId="0" applyBorder="1" applyFont="1"/>
    <xf borderId="1" fillId="2" fontId="1" numFmtId="0" xfId="0" applyAlignment="1" applyBorder="1" applyFont="1">
      <alignment vertical="bottom"/>
    </xf>
    <xf borderId="3" fillId="2" fontId="3" numFmtId="0" xfId="0" applyAlignment="1" applyBorder="1" applyFont="1">
      <alignment horizontal="right" vertical="bottom"/>
    </xf>
    <xf borderId="7" fillId="0" fontId="8" numFmtId="165" xfId="0" applyBorder="1" applyFont="1" applyNumberFormat="1"/>
    <xf borderId="0" fillId="0" fontId="13" numFmtId="0" xfId="0" applyAlignment="1" applyFont="1">
      <alignment vertical="bottom"/>
    </xf>
    <xf borderId="0" fillId="0" fontId="34" numFmtId="0" xfId="0" applyAlignment="1" applyFont="1">
      <alignment readingOrder="0" vertical="bottom"/>
    </xf>
    <xf borderId="7" fillId="14" fontId="1" numFmtId="0" xfId="0" applyBorder="1" applyFont="1"/>
    <xf borderId="7" fillId="14" fontId="8" numFmtId="165" xfId="0" applyAlignment="1" applyBorder="1" applyFont="1" applyNumberFormat="1">
      <alignment horizontal="right" vertical="bottom"/>
    </xf>
    <xf borderId="7" fillId="14" fontId="8" numFmtId="165" xfId="0" applyAlignment="1" applyBorder="1" applyFont="1" applyNumberFormat="1">
      <alignment horizontal="right" readingOrder="0" vertical="bottom"/>
    </xf>
    <xf borderId="7" fillId="0" fontId="36" numFmtId="165" xfId="0" applyBorder="1" applyFont="1" applyNumberFormat="1"/>
    <xf borderId="7" fillId="0" fontId="8" numFmtId="165" xfId="0" applyAlignment="1" applyBorder="1" applyFont="1" applyNumberFormat="1">
      <alignment readingOrder="0"/>
    </xf>
    <xf borderId="7" fillId="10" fontId="1" numFmtId="0" xfId="0" applyBorder="1" applyFont="1"/>
    <xf borderId="7" fillId="10" fontId="8" numFmtId="165" xfId="0" applyBorder="1" applyFont="1" applyNumberFormat="1"/>
    <xf borderId="7" fillId="10" fontId="8" numFmtId="165" xfId="0" applyAlignment="1" applyBorder="1" applyFont="1" applyNumberFormat="1">
      <alignment readingOrder="0"/>
    </xf>
    <xf borderId="7" fillId="2" fontId="8" numFmtId="0" xfId="0" applyBorder="1" applyFont="1"/>
    <xf borderId="0" fillId="4" fontId="1" numFmtId="0" xfId="0" applyAlignment="1" applyFont="1">
      <alignment readingOrder="0"/>
    </xf>
    <xf borderId="0" fillId="5" fontId="31" numFmtId="165" xfId="0" applyAlignment="1" applyFont="1" applyNumberFormat="1">
      <alignment horizontal="right"/>
    </xf>
    <xf borderId="0" fillId="11" fontId="37" numFmtId="165" xfId="0" applyAlignment="1" applyFont="1" applyNumberFormat="1">
      <alignment horizontal="right"/>
    </xf>
    <xf borderId="0" fillId="5" fontId="37" numFmtId="165" xfId="0" applyAlignment="1" applyFont="1" applyNumberFormat="1">
      <alignment horizontal="right"/>
    </xf>
    <xf borderId="7" fillId="6" fontId="10" numFmtId="0" xfId="0" applyAlignment="1" applyBorder="1" applyFont="1">
      <alignment readingOrder="0"/>
    </xf>
    <xf borderId="7" fillId="10" fontId="1" numFmtId="0" xfId="0" applyAlignment="1" applyBorder="1" applyFont="1">
      <alignment readingOrder="0"/>
    </xf>
    <xf borderId="3" fillId="6" fontId="10" numFmtId="165" xfId="0" applyAlignment="1" applyBorder="1" applyFont="1" applyNumberFormat="1">
      <alignment readingOrder="0"/>
    </xf>
    <xf borderId="3" fillId="6" fontId="10" numFmtId="165" xfId="0" applyBorder="1" applyFont="1" applyNumberFormat="1"/>
    <xf borderId="0" fillId="5" fontId="38" numFmtId="0" xfId="0" applyAlignment="1" applyFont="1">
      <alignment horizontal="left"/>
    </xf>
    <xf borderId="0" fillId="5" fontId="38" numFmtId="165" xfId="0" applyAlignment="1" applyFont="1" applyNumberFormat="1">
      <alignment horizontal="right"/>
    </xf>
    <xf borderId="0" fillId="0" fontId="39" numFmtId="0" xfId="0" applyFont="1"/>
    <xf borderId="0" fillId="5" fontId="38" numFmtId="0" xfId="0" applyAlignment="1" applyFont="1">
      <alignment horizontal="left" readingOrder="0"/>
    </xf>
    <xf borderId="7" fillId="0" fontId="36" numFmtId="165" xfId="0" applyAlignment="1" applyBorder="1" applyFont="1" applyNumberFormat="1">
      <alignment readingOrder="0"/>
    </xf>
    <xf borderId="0" fillId="13" fontId="16" numFmtId="0" xfId="0" applyFont="1"/>
    <xf borderId="0" fillId="11" fontId="16" numFmtId="165" xfId="0" applyAlignment="1" applyFont="1" applyNumberFormat="1">
      <alignment horizontal="right"/>
    </xf>
    <xf borderId="0" fillId="13" fontId="16" numFmtId="165" xfId="0" applyAlignment="1" applyFont="1" applyNumberFormat="1">
      <alignment horizontal="right"/>
    </xf>
    <xf borderId="0" fillId="11" fontId="12" numFmtId="0" xfId="0" applyFont="1"/>
    <xf borderId="0" fillId="11" fontId="13" numFmtId="165" xfId="0" applyAlignment="1" applyFont="1" applyNumberFormat="1">
      <alignment horizontal="right"/>
    </xf>
    <xf borderId="0" fillId="0" fontId="13" numFmtId="165" xfId="0" applyAlignment="1" applyFont="1" applyNumberFormat="1">
      <alignment horizontal="right"/>
    </xf>
    <xf borderId="0" fillId="11" fontId="13" numFmtId="0" xfId="0" applyAlignment="1" applyFont="1">
      <alignment horizontal="right"/>
    </xf>
    <xf borderId="0" fillId="0" fontId="13" numFmtId="0" xfId="0" applyAlignment="1" applyFont="1">
      <alignment horizontal="right"/>
    </xf>
    <xf borderId="7" fillId="0" fontId="40" numFmtId="165" xfId="0" applyAlignment="1" applyBorder="1" applyFont="1" applyNumberFormat="1">
      <alignment horizontal="right" readingOrder="0" vertical="bottom"/>
    </xf>
    <xf borderId="7" fillId="0" fontId="1" numFmtId="0" xfId="0" applyBorder="1" applyFont="1"/>
    <xf borderId="7" fillId="0" fontId="8" numFmtId="0" xfId="0" applyBorder="1" applyFont="1"/>
    <xf borderId="7" fillId="17" fontId="11" numFmtId="0" xfId="0" applyAlignment="1" applyBorder="1" applyFill="1" applyFont="1">
      <alignment horizontal="left"/>
    </xf>
    <xf borderId="0" fillId="17" fontId="11" numFmtId="0" xfId="0" applyAlignment="1" applyFont="1">
      <alignment horizontal="left"/>
    </xf>
    <xf borderId="0" fillId="17" fontId="11" numFmtId="168" xfId="0" applyFont="1" applyNumberFormat="1"/>
    <xf borderId="0" fillId="17" fontId="11" numFmtId="165" xfId="0" applyFont="1" applyNumberFormat="1"/>
    <xf borderId="0" fillId="18" fontId="11" numFmtId="3" xfId="0" applyAlignment="1" applyFill="1" applyFont="1" applyNumberFormat="1">
      <alignment horizontal="right" vertical="bottom"/>
    </xf>
    <xf borderId="0" fillId="19" fontId="11" numFmtId="3" xfId="0" applyFill="1" applyFont="1" applyNumberFormat="1"/>
    <xf borderId="0" fillId="17" fontId="11" numFmtId="165" xfId="0" applyAlignment="1" applyFont="1" applyNumberFormat="1">
      <alignment readingOrder="0"/>
    </xf>
    <xf borderId="0" fillId="17" fontId="11" numFmtId="0" xfId="0" applyFont="1"/>
    <xf borderId="0" fillId="17" fontId="11" numFmtId="165" xfId="0" applyAlignment="1" applyFont="1" applyNumberFormat="1">
      <alignment horizontal="right" vertical="bottom"/>
    </xf>
    <xf borderId="0" fillId="17" fontId="11" numFmtId="0" xfId="0" applyAlignment="1" applyFont="1">
      <alignment horizontal="left"/>
    </xf>
    <xf borderId="0" fillId="17" fontId="11" numFmtId="0" xfId="0" applyAlignment="1" applyFont="1">
      <alignment horizontal="right"/>
    </xf>
    <xf borderId="0" fillId="6" fontId="13" numFmtId="0" xfId="0" applyAlignment="1" applyFont="1">
      <alignment readingOrder="0"/>
    </xf>
    <xf borderId="0" fillId="6" fontId="13" numFmtId="168" xfId="0" applyFont="1" applyNumberFormat="1"/>
    <xf borderId="0" fillId="6" fontId="13" numFmtId="168" xfId="0" applyAlignment="1" applyFont="1" applyNumberFormat="1">
      <alignment readingOrder="0"/>
    </xf>
    <xf borderId="0" fillId="0" fontId="13" numFmtId="3" xfId="0" applyAlignment="1" applyFont="1" applyNumberFormat="1">
      <alignment horizontal="right" vertical="bottom"/>
    </xf>
    <xf borderId="0" fillId="19" fontId="13" numFmtId="3" xfId="0" applyFont="1" applyNumberFormat="1"/>
    <xf borderId="0" fillId="6" fontId="13" numFmtId="3" xfId="0" applyFont="1" applyNumberFormat="1"/>
    <xf borderId="0" fillId="6" fontId="13" numFmtId="165" xfId="0" applyAlignment="1" applyFont="1" applyNumberFormat="1">
      <alignment readingOrder="0"/>
    </xf>
    <xf borderId="0" fillId="0" fontId="13" numFmtId="165" xfId="0" applyAlignment="1" applyFont="1" applyNumberFormat="1">
      <alignment horizontal="right" vertical="bottom"/>
    </xf>
    <xf borderId="0" fillId="6" fontId="13" numFmtId="0" xfId="0" applyAlignment="1" applyFont="1">
      <alignment horizontal="left" readingOrder="0"/>
    </xf>
    <xf borderId="0" fillId="6" fontId="18" numFmtId="0" xfId="0" applyAlignment="1" applyFont="1">
      <alignment horizontal="left" readingOrder="0" shrinkToFit="0" vertical="bottom" wrapText="0"/>
    </xf>
    <xf borderId="0" fillId="0" fontId="13" numFmtId="168" xfId="0" applyFont="1" applyNumberFormat="1"/>
    <xf borderId="0" fillId="0" fontId="13" numFmtId="168" xfId="0" applyAlignment="1" applyFont="1" applyNumberFormat="1">
      <alignment readingOrder="0"/>
    </xf>
    <xf borderId="0" fillId="0" fontId="13" numFmtId="3" xfId="0" applyFont="1" applyNumberFormat="1"/>
    <xf borderId="0" fillId="0" fontId="13" numFmtId="165" xfId="0" applyAlignment="1" applyFont="1" applyNumberFormat="1">
      <alignment readingOrder="0"/>
    </xf>
    <xf borderId="0" fillId="0" fontId="13" numFmtId="0" xfId="0" applyAlignment="1" applyFont="1">
      <alignment horizontal="right" readingOrder="0"/>
    </xf>
    <xf borderId="0" fillId="0" fontId="18" numFmtId="0" xfId="0" applyAlignment="1" applyFont="1">
      <alignment horizontal="left" readingOrder="0" shrinkToFit="0" vertical="bottom" wrapText="0"/>
    </xf>
    <xf borderId="0" fillId="0" fontId="18" numFmtId="0" xfId="0" applyAlignment="1" applyFont="1">
      <alignment horizontal="left" shrinkToFit="0" vertical="bottom" wrapText="0"/>
    </xf>
    <xf borderId="0" fillId="0" fontId="18" numFmtId="0" xfId="0" applyAlignment="1" applyFont="1">
      <alignment horizontal="left" shrinkToFit="0" vertical="bottom" wrapText="0"/>
    </xf>
    <xf borderId="0" fillId="20" fontId="12" numFmtId="0" xfId="0" applyFill="1" applyFont="1"/>
    <xf borderId="0" fillId="4" fontId="1" numFmtId="0" xfId="0" applyFont="1"/>
    <xf borderId="0" fillId="0" fontId="13" numFmtId="168" xfId="0" applyAlignment="1" applyFont="1" applyNumberFormat="1">
      <alignment vertical="bottom"/>
    </xf>
    <xf borderId="0" fillId="0" fontId="13" numFmtId="168" xfId="0" applyAlignment="1" applyFont="1" applyNumberFormat="1">
      <alignment horizontal="right" readingOrder="0" vertical="bottom"/>
    </xf>
    <xf borderId="0" fillId="19" fontId="13" numFmtId="3" xfId="0" applyAlignment="1" applyFont="1" applyNumberFormat="1">
      <alignment horizontal="right" vertical="bottom"/>
    </xf>
    <xf borderId="0" fillId="0" fontId="13" numFmtId="0" xfId="0" applyAlignment="1" applyFont="1">
      <alignment horizontal="left" vertical="bottom"/>
    </xf>
    <xf borderId="0" fillId="0" fontId="18" numFmtId="0" xfId="0" applyAlignment="1" applyFont="1">
      <alignment readingOrder="0" shrinkToFit="0" vertical="bottom" wrapText="0"/>
    </xf>
    <xf borderId="0" fillId="0" fontId="13" numFmtId="0" xfId="0" applyAlignment="1" applyFont="1">
      <alignment vertical="bottom"/>
    </xf>
    <xf borderId="0" fillId="19" fontId="13" numFmtId="165" xfId="0" applyAlignment="1" applyFont="1" applyNumberFormat="1">
      <alignment horizontal="right" vertical="bottom"/>
    </xf>
    <xf borderId="0" fillId="8" fontId="41" numFmtId="0" xfId="0" applyFont="1"/>
    <xf borderId="0" fillId="0" fontId="18" numFmtId="0" xfId="0" applyAlignment="1" applyFont="1">
      <alignment horizontal="left" shrinkToFit="0" vertical="bottom" wrapText="0"/>
    </xf>
    <xf borderId="0" fillId="19" fontId="12" numFmtId="3" xfId="0" applyFont="1" applyNumberFormat="1"/>
    <xf borderId="0" fillId="0" fontId="12" numFmtId="3" xfId="0" applyFont="1" applyNumberFormat="1"/>
    <xf borderId="2" fillId="21" fontId="42" numFmtId="0" xfId="0" applyAlignment="1" applyBorder="1" applyFill="1" applyFont="1">
      <alignment horizontal="center" vertical="top"/>
    </xf>
    <xf borderId="2" fillId="21" fontId="42" numFmtId="0" xfId="0" applyAlignment="1" applyBorder="1" applyFont="1">
      <alignment horizontal="center" readingOrder="0" vertical="top"/>
    </xf>
    <xf borderId="0" fillId="0" fontId="13" numFmtId="169" xfId="0" applyAlignment="1" applyFont="1" applyNumberFormat="1">
      <alignment readingOrder="0" vertical="bottom"/>
    </xf>
    <xf borderId="0" fillId="0" fontId="43" numFmtId="0" xfId="0" applyAlignment="1" applyFont="1">
      <alignment vertical="bottom"/>
    </xf>
    <xf borderId="0" fillId="0" fontId="13" numFmtId="0" xfId="0" applyAlignment="1" applyFont="1">
      <alignment horizontal="right" readingOrder="0" vertical="bottom"/>
    </xf>
    <xf borderId="0" fillId="0" fontId="44" numFmtId="0" xfId="0" applyAlignment="1" applyFont="1">
      <alignment readingOrder="0" vertical="bottom"/>
    </xf>
    <xf borderId="0" fillId="22" fontId="13" numFmtId="0" xfId="0" applyAlignment="1" applyFill="1" applyFont="1">
      <alignment horizontal="right" readingOrder="0" vertical="bottom"/>
    </xf>
    <xf borderId="0" fillId="0" fontId="12" numFmtId="170" xfId="0" applyAlignment="1" applyFont="1" applyNumberFormat="1">
      <alignment readingOrder="0"/>
    </xf>
    <xf borderId="0" fillId="0" fontId="12" numFmtId="169" xfId="0" applyFont="1" applyNumberFormat="1"/>
    <xf borderId="7" fillId="22" fontId="1" numFmtId="0" xfId="0" applyBorder="1" applyFont="1"/>
    <xf borderId="7" fillId="22" fontId="8" numFmtId="0" xfId="0" applyBorder="1" applyFont="1"/>
    <xf borderId="7" fillId="22" fontId="8" numFmtId="0" xfId="0" applyAlignment="1" applyBorder="1" applyFont="1">
      <alignment readingOrder="0"/>
    </xf>
    <xf borderId="16" fillId="4" fontId="1" numFmtId="165" xfId="0" applyBorder="1" applyFont="1" applyNumberFormat="1"/>
    <xf borderId="0" fillId="0" fontId="18" numFmtId="165" xfId="0" applyAlignment="1" applyFont="1" applyNumberFormat="1">
      <alignment horizontal="left" shrinkToFit="0" vertical="bottom" wrapText="0"/>
    </xf>
    <xf borderId="0" fillId="14" fontId="1" numFmtId="0" xfId="0" applyAlignment="1" applyFont="1">
      <alignment readingOrder="0"/>
    </xf>
    <xf borderId="7" fillId="14" fontId="10" numFmtId="165" xfId="0" applyBorder="1" applyFont="1" applyNumberFormat="1"/>
    <xf borderId="0" fillId="6" fontId="13" numFmtId="0" xfId="0" applyFont="1"/>
    <xf borderId="0" fillId="13" fontId="1" numFmtId="0" xfId="0" applyAlignment="1" applyFont="1">
      <alignment readingOrder="0"/>
    </xf>
    <xf borderId="0" fillId="23" fontId="12" numFmtId="0" xfId="0" applyFill="1" applyFont="1"/>
    <xf borderId="8" fillId="13" fontId="10" numFmtId="165" xfId="0" applyBorder="1" applyFont="1" applyNumberFormat="1"/>
    <xf borderId="0" fillId="0" fontId="12" numFmtId="171" xfId="0" applyAlignment="1" applyFont="1" applyNumberFormat="1">
      <alignment readingOrder="0"/>
    </xf>
    <xf borderId="0" fillId="18" fontId="12" numFmtId="170" xfId="0" applyAlignment="1" applyFont="1" applyNumberFormat="1">
      <alignment readingOrder="0"/>
    </xf>
    <xf borderId="0" fillId="18" fontId="45" numFmtId="0" xfId="0" applyAlignment="1" applyFont="1">
      <alignment vertical="bottom"/>
    </xf>
    <xf borderId="0" fillId="18" fontId="12" numFmtId="0" xfId="0" applyAlignment="1" applyFont="1">
      <alignment readingOrder="0"/>
    </xf>
    <xf borderId="0" fillId="18" fontId="12" numFmtId="0" xfId="0" applyFont="1"/>
    <xf borderId="0" fillId="18" fontId="13" numFmtId="169" xfId="0" applyAlignment="1" applyFont="1" applyNumberFormat="1">
      <alignment readingOrder="0" vertical="bottom"/>
    </xf>
    <xf borderId="0" fillId="18" fontId="12" numFmtId="169" xfId="0" applyFont="1" applyNumberFormat="1"/>
    <xf borderId="8" fillId="6" fontId="10" numFmtId="165" xfId="0" applyBorder="1" applyFont="1" applyNumberFormat="1"/>
    <xf borderId="0" fillId="0" fontId="13" numFmtId="0" xfId="0" applyAlignment="1" applyFont="1">
      <alignment horizontal="right" vertical="bottom"/>
    </xf>
    <xf borderId="1" fillId="6" fontId="10" numFmtId="165" xfId="0" applyBorder="1" applyFont="1" applyNumberFormat="1"/>
    <xf borderId="1" fillId="6" fontId="10" numFmtId="165" xfId="0" applyAlignment="1" applyBorder="1" applyFont="1" applyNumberFormat="1">
      <alignment readingOrder="0"/>
    </xf>
    <xf borderId="17" fillId="2" fontId="46" numFmtId="0" xfId="0" applyAlignment="1" applyBorder="1" applyFont="1">
      <alignment horizontal="center" readingOrder="0" vertical="bottom"/>
    </xf>
    <xf borderId="18" fillId="0" fontId="5" numFmtId="0" xfId="0" applyBorder="1" applyFont="1"/>
    <xf borderId="2" fillId="0" fontId="12" numFmtId="0" xfId="0" applyBorder="1" applyFont="1"/>
    <xf borderId="19" fillId="0" fontId="5" numFmtId="0" xfId="0" applyBorder="1" applyFont="1"/>
    <xf borderId="0" fillId="0" fontId="13" numFmtId="0" xfId="0" applyFont="1"/>
    <xf borderId="20" fillId="4" fontId="16" numFmtId="0" xfId="0" applyAlignment="1" applyBorder="1" applyFont="1">
      <alignment horizontal="left"/>
    </xf>
    <xf borderId="4" fillId="4" fontId="1" numFmtId="0" xfId="0" applyAlignment="1" applyBorder="1" applyFont="1">
      <alignment horizontal="center"/>
    </xf>
    <xf borderId="20" fillId="4" fontId="16" numFmtId="0" xfId="0" applyAlignment="1" applyBorder="1" applyFont="1">
      <alignment readingOrder="0"/>
    </xf>
    <xf borderId="20" fillId="4" fontId="16" numFmtId="165" xfId="0" applyBorder="1" applyFont="1" applyNumberFormat="1"/>
    <xf borderId="20" fillId="4" fontId="16" numFmtId="3" xfId="0" applyAlignment="1" applyBorder="1" applyFont="1" applyNumberFormat="1">
      <alignment horizontal="right" vertical="bottom"/>
    </xf>
    <xf borderId="20" fillId="4" fontId="16" numFmtId="3" xfId="0" applyAlignment="1" applyBorder="1" applyFont="1" applyNumberFormat="1">
      <alignment horizontal="right" readingOrder="0" vertical="bottom"/>
    </xf>
    <xf borderId="7" fillId="0" fontId="13" numFmtId="168" xfId="0" applyAlignment="1" applyBorder="1" applyFont="1" applyNumberFormat="1">
      <alignment horizontal="right" readingOrder="0" vertical="bottom"/>
    </xf>
    <xf borderId="7" fillId="0" fontId="13" numFmtId="0" xfId="0" applyAlignment="1" applyBorder="1" applyFont="1">
      <alignment horizontal="right" vertical="bottom"/>
    </xf>
    <xf borderId="7" fillId="0" fontId="13" numFmtId="0" xfId="0" applyAlignment="1" applyBorder="1" applyFont="1">
      <alignment readingOrder="0" vertical="bottom"/>
    </xf>
    <xf borderId="7" fillId="0" fontId="13" numFmtId="0" xfId="0" applyAlignment="1" applyBorder="1" applyFont="1">
      <alignment horizontal="right" readingOrder="0" vertical="bottom"/>
    </xf>
    <xf borderId="7" fillId="0" fontId="13" numFmtId="165" xfId="0" applyAlignment="1" applyBorder="1" applyFont="1" applyNumberFormat="1">
      <alignment horizontal="right" readingOrder="0" vertical="bottom"/>
    </xf>
    <xf borderId="7" fillId="0" fontId="13" numFmtId="165" xfId="0" applyAlignment="1" applyBorder="1" applyFont="1" applyNumberFormat="1">
      <alignment horizontal="right" vertical="bottom"/>
    </xf>
    <xf borderId="7" fillId="0" fontId="13" numFmtId="168" xfId="0" applyAlignment="1" applyBorder="1" applyFont="1" applyNumberFormat="1">
      <alignment readingOrder="0" vertical="bottom"/>
    </xf>
    <xf borderId="7" fillId="0" fontId="13" numFmtId="165" xfId="0" applyAlignment="1" applyBorder="1" applyFont="1" applyNumberFormat="1">
      <alignment readingOrder="0" vertical="bottom"/>
    </xf>
    <xf borderId="2" fillId="0" fontId="13" numFmtId="0" xfId="0" applyBorder="1" applyFont="1"/>
    <xf borderId="0" fillId="0" fontId="13" numFmtId="3" xfId="0" applyAlignment="1" applyFont="1" applyNumberFormat="1">
      <alignment vertical="bottom"/>
    </xf>
    <xf borderId="0" fillId="0" fontId="13" numFmtId="172" xfId="0" applyAlignment="1" applyFont="1" applyNumberFormat="1">
      <alignment vertical="bottom"/>
    </xf>
    <xf borderId="0" fillId="0" fontId="13" numFmtId="169" xfId="0" applyAlignment="1" applyFont="1" applyNumberFormat="1">
      <alignment vertical="bottom"/>
    </xf>
    <xf borderId="0" fillId="0" fontId="13" numFmtId="169" xfId="0" applyAlignment="1" applyFont="1" applyNumberFormat="1">
      <alignment horizontal="right" vertical="bottom"/>
    </xf>
    <xf borderId="0" fillId="0" fontId="13" numFmtId="0" xfId="0" applyAlignment="1" applyFont="1">
      <alignment horizontal="right" vertical="bottom"/>
    </xf>
    <xf borderId="7" fillId="0" fontId="13" numFmtId="168" xfId="0" applyAlignment="1" applyBorder="1" applyFont="1" applyNumberFormat="1">
      <alignment readingOrder="0"/>
    </xf>
    <xf borderId="0" fillId="0" fontId="13" numFmtId="2" xfId="0" applyAlignment="1" applyFont="1" applyNumberFormat="1">
      <alignment horizontal="right" vertical="bottom"/>
    </xf>
    <xf borderId="0" fillId="0" fontId="13" numFmtId="172" xfId="0" applyAlignment="1" applyFont="1" applyNumberFormat="1">
      <alignment horizontal="right" vertical="bottom"/>
    </xf>
    <xf borderId="0" fillId="0" fontId="13" numFmtId="166" xfId="0" applyAlignment="1" applyFont="1" applyNumberFormat="1">
      <alignment horizontal="right" readingOrder="0" vertical="bottom"/>
    </xf>
    <xf borderId="0" fillId="0" fontId="13" numFmtId="3" xfId="0" applyAlignment="1" applyFont="1" applyNumberFormat="1">
      <alignment horizontal="right" readingOrder="0" vertical="bottom"/>
    </xf>
    <xf borderId="0" fillId="0" fontId="12" numFmtId="0" xfId="0" applyAlignment="1" applyFont="1">
      <alignment horizontal="left"/>
    </xf>
    <xf borderId="0" fillId="0" fontId="13" numFmtId="2" xfId="0" applyAlignment="1" applyFont="1" applyNumberFormat="1">
      <alignment vertical="bottom"/>
    </xf>
    <xf borderId="0" fillId="0" fontId="8" numFmtId="0" xfId="0" applyAlignment="1" applyFont="1">
      <alignment vertical="bottom"/>
    </xf>
    <xf borderId="4" fillId="4" fontId="1" numFmtId="0" xfId="0" applyAlignment="1" applyBorder="1" applyFont="1">
      <alignment horizontal="center" readingOrder="0"/>
    </xf>
    <xf borderId="0" fillId="19" fontId="13" numFmtId="3" xfId="0" applyAlignment="1" applyFont="1" applyNumberFormat="1">
      <alignment readingOrder="0"/>
    </xf>
    <xf borderId="0" fillId="0" fontId="13" numFmtId="165" xfId="0" applyAlignment="1" applyFont="1" applyNumberFormat="1">
      <alignment horizontal="right" readingOrder="0" vertical="bottom"/>
    </xf>
    <xf borderId="7" fillId="0" fontId="47" numFmtId="168" xfId="0" applyAlignment="1" applyBorder="1" applyFont="1" applyNumberFormat="1">
      <alignment horizontal="right" readingOrder="0" vertical="bottom"/>
    </xf>
    <xf borderId="0" fillId="0" fontId="8" numFmtId="173" xfId="0" applyAlignment="1" applyFont="1" applyNumberFormat="1">
      <alignment readingOrder="0"/>
    </xf>
    <xf borderId="0" fillId="0" fontId="13" numFmtId="168" xfId="0" applyAlignment="1" applyFont="1" applyNumberFormat="1">
      <alignment horizontal="right" vertical="bottom"/>
    </xf>
    <xf borderId="0" fillId="0" fontId="13" numFmtId="0" xfId="0" applyAlignment="1" applyFont="1">
      <alignment horizontal="left" readingOrder="0" vertical="bottom"/>
    </xf>
    <xf borderId="7" fillId="0" fontId="48" numFmtId="0" xfId="0" applyAlignment="1" applyBorder="1" applyFont="1">
      <alignment readingOrder="0" vertical="bottom"/>
    </xf>
    <xf borderId="7" fillId="0" fontId="47" numFmtId="0" xfId="0" applyAlignment="1" applyBorder="1" applyFont="1">
      <alignment readingOrder="0" vertical="bottom"/>
    </xf>
    <xf borderId="7" fillId="0" fontId="47" numFmtId="165" xfId="0" applyAlignment="1" applyBorder="1" applyFont="1" applyNumberFormat="1">
      <alignment readingOrder="0" vertical="bottom"/>
    </xf>
    <xf borderId="0" fillId="0" fontId="13" numFmtId="166" xfId="0" applyAlignment="1" applyFont="1" applyNumberFormat="1">
      <alignment horizontal="right" vertical="bottom"/>
    </xf>
    <xf borderId="0" fillId="0" fontId="18" numFmtId="165" xfId="0" applyAlignment="1" applyFont="1" applyNumberFormat="1">
      <alignment readingOrder="0" shrinkToFit="0" vertical="bottom" wrapText="0"/>
    </xf>
    <xf borderId="0" fillId="0" fontId="49" numFmtId="172" xfId="0" applyAlignment="1" applyFont="1" applyNumberFormat="1">
      <alignment vertical="bottom"/>
    </xf>
    <xf borderId="0" fillId="0" fontId="18" numFmtId="0" xfId="0" applyAlignment="1" applyFont="1">
      <alignment shrinkToFit="0" vertical="bottom" wrapText="0"/>
    </xf>
    <xf borderId="7" fillId="0" fontId="48" numFmtId="165" xfId="0" applyAlignment="1" applyBorder="1" applyFont="1" applyNumberFormat="1">
      <alignment readingOrder="0" vertical="bottom"/>
    </xf>
    <xf borderId="0" fillId="0" fontId="13" numFmtId="165" xfId="0" applyAlignment="1" applyFont="1" applyNumberFormat="1">
      <alignment horizontal="left" vertical="bottom"/>
    </xf>
    <xf borderId="0" fillId="0" fontId="13" numFmtId="165" xfId="0" applyAlignment="1" applyFont="1" applyNumberFormat="1">
      <alignment vertical="bottom"/>
    </xf>
    <xf borderId="0" fillId="19" fontId="13" numFmtId="3" xfId="0" applyAlignment="1" applyFont="1" applyNumberFormat="1">
      <alignment horizontal="right" readingOrder="0" vertical="bottom"/>
    </xf>
    <xf borderId="0" fillId="0" fontId="13" numFmtId="0" xfId="0" applyAlignment="1" applyFont="1">
      <alignment readingOrder="0"/>
    </xf>
    <xf borderId="0" fillId="18" fontId="50" numFmtId="0" xfId="0" applyAlignment="1" applyFont="1">
      <alignment horizontal="left" readingOrder="0" vertical="bottom"/>
    </xf>
    <xf borderId="0" fillId="18" fontId="50" numFmtId="172" xfId="0" applyAlignment="1" applyFont="1" applyNumberFormat="1">
      <alignment horizontal="right" readingOrder="0" vertical="bottom"/>
    </xf>
    <xf borderId="0" fillId="18" fontId="50" numFmtId="0" xfId="0" applyAlignment="1" applyFont="1">
      <alignment horizontal="right" readingOrder="0" vertical="bottom"/>
    </xf>
    <xf borderId="0" fillId="18" fontId="50" numFmtId="3" xfId="0" applyAlignment="1" applyFont="1" applyNumberFormat="1">
      <alignment horizontal="right" readingOrder="0" vertical="bottom"/>
    </xf>
    <xf borderId="0" fillId="0" fontId="50" numFmtId="0" xfId="0" applyAlignment="1" applyFont="1">
      <alignment horizontal="left" readingOrder="0" vertical="bottom"/>
    </xf>
    <xf borderId="0" fillId="0" fontId="50" numFmtId="172" xfId="0" applyAlignment="1" applyFont="1" applyNumberFormat="1">
      <alignment horizontal="right" readingOrder="0" vertical="bottom"/>
    </xf>
    <xf borderId="0" fillId="0" fontId="50" numFmtId="0" xfId="0" applyAlignment="1" applyFont="1">
      <alignment horizontal="right" readingOrder="0" vertical="bottom"/>
    </xf>
    <xf borderId="0" fillId="0" fontId="50" numFmtId="3" xfId="0" applyAlignment="1" applyFont="1" applyNumberFormat="1">
      <alignment horizontal="right" readingOrder="0" vertical="bottom"/>
    </xf>
    <xf borderId="0" fillId="23" fontId="13" numFmtId="0" xfId="0" applyAlignment="1" applyFont="1">
      <alignment horizontal="left" readingOrder="0"/>
    </xf>
    <xf borderId="0" fillId="23" fontId="13" numFmtId="0" xfId="0" applyAlignment="1" applyFont="1">
      <alignment horizontal="right" readingOrder="0"/>
    </xf>
    <xf borderId="0" fillId="18" fontId="13" numFmtId="0" xfId="0" applyAlignment="1" applyFont="1">
      <alignment readingOrder="0"/>
    </xf>
    <xf borderId="0" fillId="18" fontId="13" numFmtId="168" xfId="0" applyFont="1" applyNumberFormat="1"/>
    <xf borderId="0" fillId="18" fontId="13" numFmtId="168" xfId="0" applyAlignment="1" applyFont="1" applyNumberFormat="1">
      <alignment readingOrder="0"/>
    </xf>
    <xf borderId="0" fillId="18" fontId="13" numFmtId="3" xfId="0" applyAlignment="1" applyFont="1" applyNumberFormat="1">
      <alignment horizontal="right" vertical="bottom"/>
    </xf>
    <xf borderId="0" fillId="18" fontId="13" numFmtId="3" xfId="0" applyFont="1" applyNumberFormat="1"/>
    <xf borderId="0" fillId="18" fontId="13" numFmtId="165" xfId="0" applyAlignment="1" applyFont="1" applyNumberFormat="1">
      <alignment readingOrder="0"/>
    </xf>
    <xf borderId="0" fillId="18" fontId="13" numFmtId="0" xfId="0" applyAlignment="1" applyFont="1">
      <alignment horizontal="right" vertical="bottom"/>
    </xf>
    <xf borderId="0" fillId="18" fontId="13" numFmtId="165" xfId="0" applyAlignment="1" applyFont="1" applyNumberFormat="1">
      <alignment horizontal="right" vertical="bottom"/>
    </xf>
    <xf borderId="0" fillId="18" fontId="13" numFmtId="0" xfId="0" applyAlignment="1" applyFont="1">
      <alignment horizontal="left"/>
    </xf>
    <xf borderId="0" fillId="18" fontId="18" numFmtId="0" xfId="0" applyAlignment="1" applyFont="1">
      <alignment horizontal="left"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18" numFmtId="0" xfId="0" applyAlignment="1" applyFont="1">
      <alignment horizontal="left"/>
    </xf>
    <xf borderId="0" fillId="19" fontId="12" numFmtId="3" xfId="0" applyAlignment="1" applyFont="1" applyNumberFormat="1">
      <alignment readingOrder="0"/>
    </xf>
    <xf borderId="0" fillId="19" fontId="13" numFmtId="165" xfId="0" applyAlignment="1" applyFont="1" applyNumberFormat="1">
      <alignment readingOrder="0"/>
    </xf>
    <xf borderId="0" fillId="6" fontId="12" numFmtId="0" xfId="0" applyFont="1"/>
    <xf borderId="0" fillId="6" fontId="13" numFmtId="165" xfId="0" applyAlignment="1" applyFont="1" applyNumberFormat="1">
      <alignment horizontal="right" readingOrder="0" vertical="bottom"/>
    </xf>
    <xf borderId="0" fillId="24" fontId="13" numFmtId="0" xfId="0" applyFill="1" applyFont="1"/>
    <xf borderId="0" fillId="16" fontId="13" numFmtId="165" xfId="0" applyAlignment="1" applyFont="1" applyNumberFormat="1">
      <alignment horizontal="right" vertical="bottom"/>
    </xf>
    <xf borderId="0" fillId="0" fontId="13" numFmtId="0" xfId="0" applyAlignment="1" applyFont="1">
      <alignment horizontal="right" vertical="bottom"/>
    </xf>
    <xf borderId="0" fillId="25" fontId="13" numFmtId="165" xfId="0" applyAlignment="1" applyFill="1" applyFont="1" applyNumberFormat="1">
      <alignment horizontal="right" vertical="bottom"/>
    </xf>
    <xf borderId="0" fillId="26" fontId="13" numFmtId="3" xfId="0" applyAlignment="1" applyFill="1" applyFont="1" applyNumberFormat="1">
      <alignment horizontal="right" vertical="bottom"/>
    </xf>
    <xf borderId="0" fillId="26" fontId="13" numFmtId="165" xfId="0" applyAlignment="1" applyFont="1" applyNumberFormat="1">
      <alignment horizontal="right" readingOrder="0" vertical="bottom"/>
    </xf>
    <xf borderId="0" fillId="26" fontId="13" numFmtId="3" xfId="0" applyFont="1" applyNumberFormat="1"/>
    <xf borderId="0" fillId="26" fontId="13" numFmtId="165" xfId="0" applyAlignment="1" applyFont="1" applyNumberFormat="1">
      <alignment readingOrder="0"/>
    </xf>
    <xf borderId="7" fillId="0" fontId="13" numFmtId="170" xfId="0" applyAlignment="1" applyBorder="1" applyFont="1" applyNumberFormat="1">
      <alignment readingOrder="0"/>
    </xf>
    <xf borderId="0" fillId="0" fontId="13" numFmtId="165" xfId="0" applyAlignment="1" applyFont="1" applyNumberFormat="1">
      <alignment horizontal="left" readingOrder="0" vertical="bottom"/>
    </xf>
    <xf borderId="7" fillId="0" fontId="13" numFmtId="165" xfId="0" applyAlignment="1" applyBorder="1" applyFont="1" applyNumberFormat="1">
      <alignment vertical="bottom"/>
    </xf>
    <xf borderId="0" fillId="0" fontId="18" numFmtId="0" xfId="0" applyAlignment="1" applyFont="1">
      <alignment horizontal="right" readingOrder="0" shrinkToFit="0" vertical="bottom" wrapText="0"/>
    </xf>
    <xf borderId="0" fillId="27" fontId="13" numFmtId="168" xfId="0" applyAlignment="1" applyFill="1" applyFont="1" applyNumberFormat="1">
      <alignment vertical="bottom"/>
    </xf>
    <xf borderId="0" fillId="27" fontId="13" numFmtId="0" xfId="0" applyAlignment="1" applyFont="1">
      <alignment readingOrder="0" vertical="bottom"/>
    </xf>
    <xf borderId="0" fillId="27" fontId="13" numFmtId="168" xfId="0" applyAlignment="1" applyFont="1" applyNumberFormat="1">
      <alignment horizontal="right" vertical="bottom"/>
    </xf>
    <xf borderId="0" fillId="27" fontId="13" numFmtId="3" xfId="0" applyAlignment="1" applyFont="1" applyNumberFormat="1">
      <alignment horizontal="right" vertical="bottom"/>
    </xf>
    <xf borderId="0" fillId="27" fontId="13" numFmtId="165" xfId="0" applyAlignment="1" applyFont="1" applyNumberFormat="1">
      <alignment horizontal="right" vertical="bottom"/>
    </xf>
    <xf borderId="0" fillId="27" fontId="12" numFmtId="0" xfId="0" applyAlignment="1" applyFont="1">
      <alignment readingOrder="0"/>
    </xf>
    <xf borderId="0" fillId="27" fontId="13" numFmtId="0" xfId="0" applyAlignment="1" applyFont="1">
      <alignment vertical="bottom"/>
    </xf>
    <xf borderId="0" fillId="27" fontId="13" numFmtId="168" xfId="0" applyFont="1" applyNumberFormat="1"/>
    <xf borderId="0" fillId="27" fontId="12" numFmtId="0" xfId="0" applyFont="1"/>
    <xf borderId="0" fillId="18" fontId="13" numFmtId="0" xfId="0" applyFont="1"/>
    <xf borderId="0" fillId="6" fontId="13" numFmtId="3" xfId="0" applyAlignment="1" applyFont="1" applyNumberFormat="1">
      <alignment horizontal="right" vertical="bottom"/>
    </xf>
    <xf borderId="0" fillId="22" fontId="12" numFmtId="0" xfId="0" applyFont="1"/>
    <xf borderId="0" fillId="22" fontId="13" numFmtId="168" xfId="0" applyFont="1" applyNumberFormat="1"/>
    <xf borderId="0" fillId="22" fontId="13" numFmtId="0" xfId="0" applyAlignment="1" applyFont="1">
      <alignment readingOrder="0"/>
    </xf>
    <xf borderId="0" fillId="22" fontId="13" numFmtId="168" xfId="0" applyAlignment="1" applyFont="1" applyNumberFormat="1">
      <alignment readingOrder="0"/>
    </xf>
    <xf borderId="0" fillId="22" fontId="13" numFmtId="3" xfId="0" applyAlignment="1" applyFont="1" applyNumberFormat="1">
      <alignment horizontal="right" vertical="bottom"/>
    </xf>
    <xf borderId="0" fillId="22" fontId="13" numFmtId="3" xfId="0" applyFont="1" applyNumberFormat="1"/>
    <xf borderId="0" fillId="22" fontId="13" numFmtId="165" xfId="0" applyAlignment="1" applyFont="1" applyNumberFormat="1">
      <alignment readingOrder="0"/>
    </xf>
    <xf borderId="0" fillId="22" fontId="12" numFmtId="0" xfId="0" applyAlignment="1" applyFont="1">
      <alignment readingOrder="0"/>
    </xf>
    <xf borderId="0" fillId="22" fontId="13" numFmtId="165" xfId="0" applyAlignment="1" applyFont="1" applyNumberFormat="1">
      <alignment horizontal="right" vertical="bottom"/>
    </xf>
    <xf borderId="0" fillId="22" fontId="13" numFmtId="0" xfId="0" applyAlignment="1" applyFont="1">
      <alignment horizontal="left" readingOrder="0"/>
    </xf>
    <xf borderId="0" fillId="22" fontId="13" numFmtId="0" xfId="0" applyAlignment="1" applyFont="1">
      <alignment horizontal="right" readingOrder="0"/>
    </xf>
    <xf borderId="0" fillId="22" fontId="18" numFmtId="0" xfId="0" applyAlignment="1" applyFont="1">
      <alignment horizontal="left" readingOrder="0" shrinkToFit="0" vertical="bottom" wrapText="0"/>
    </xf>
    <xf borderId="0" fillId="0" fontId="12" numFmtId="0" xfId="0" applyAlignment="1" applyFont="1">
      <alignment horizontal="left" vertical="bottom"/>
    </xf>
    <xf borderId="0" fillId="19" fontId="51" numFmtId="3" xfId="0" applyAlignment="1" applyFont="1" applyNumberFormat="1">
      <alignment horizontal="right" vertical="top"/>
    </xf>
    <xf borderId="0" fillId="27" fontId="51" numFmtId="3" xfId="0" applyAlignment="1" applyFont="1" applyNumberFormat="1">
      <alignment horizontal="right" vertical="top"/>
    </xf>
    <xf borderId="0" fillId="27" fontId="51" numFmtId="165" xfId="0" applyAlignment="1" applyFont="1" applyNumberFormat="1">
      <alignment horizontal="right" vertical="top"/>
    </xf>
    <xf borderId="0" fillId="0" fontId="51" numFmtId="3" xfId="0" applyAlignment="1" applyFont="1" applyNumberFormat="1">
      <alignment horizontal="right" vertical="top"/>
    </xf>
    <xf borderId="0" fillId="23" fontId="13" numFmtId="0" xfId="0" applyAlignment="1" applyFont="1">
      <alignment readingOrder="0"/>
    </xf>
    <xf borderId="0" fillId="23" fontId="13" numFmtId="168" xfId="0" applyFont="1" applyNumberFormat="1"/>
    <xf borderId="0" fillId="23" fontId="13" numFmtId="0" xfId="0" applyAlignment="1" applyFont="1">
      <alignment horizontal="left"/>
    </xf>
    <xf borderId="0" fillId="0" fontId="12" numFmtId="172" xfId="0" applyAlignment="1" applyFont="1" applyNumberFormat="1">
      <alignment horizontal="left" vertical="bottom"/>
    </xf>
    <xf borderId="0" fillId="23" fontId="13" numFmtId="165" xfId="0" applyAlignment="1" applyFont="1" applyNumberFormat="1">
      <alignment readingOrder="0"/>
    </xf>
    <xf borderId="0" fillId="23" fontId="18" numFmtId="0" xfId="0" applyAlignment="1" applyFont="1">
      <alignment horizontal="left" shrinkToFit="0" vertical="bottom" wrapText="0"/>
    </xf>
    <xf borderId="7" fillId="18" fontId="48" numFmtId="168" xfId="0" applyAlignment="1" applyBorder="1" applyFont="1" applyNumberFormat="1">
      <alignment readingOrder="0" vertical="bottom"/>
    </xf>
    <xf borderId="7" fillId="18" fontId="13" numFmtId="0" xfId="0" applyAlignment="1" applyBorder="1" applyFont="1">
      <alignment horizontal="right" vertical="bottom"/>
    </xf>
    <xf borderId="7" fillId="18" fontId="48" numFmtId="0" xfId="0" applyAlignment="1" applyBorder="1" applyFont="1">
      <alignment readingOrder="0" vertical="bottom"/>
    </xf>
    <xf borderId="7" fillId="18" fontId="48" numFmtId="165" xfId="0" applyAlignment="1" applyBorder="1" applyFont="1" applyNumberFormat="1">
      <alignment vertical="bottom"/>
    </xf>
    <xf borderId="7" fillId="18" fontId="13" numFmtId="165" xfId="0" applyAlignment="1" applyBorder="1" applyFont="1" applyNumberFormat="1">
      <alignment horizontal="right" vertical="bottom"/>
    </xf>
    <xf borderId="7" fillId="18" fontId="13" numFmtId="0" xfId="0" applyAlignment="1" applyBorder="1" applyFont="1">
      <alignment readingOrder="0" vertical="bottom"/>
    </xf>
    <xf borderId="0" fillId="18" fontId="13" numFmtId="0" xfId="0" applyFont="1"/>
    <xf borderId="7" fillId="0" fontId="13" numFmtId="168" xfId="0" applyBorder="1" applyFont="1" applyNumberFormat="1"/>
    <xf borderId="7" fillId="0" fontId="18" numFmtId="0" xfId="0" applyAlignment="1" applyBorder="1" applyFont="1">
      <alignment horizontal="left" readingOrder="0" shrinkToFit="0" vertical="bottom" wrapText="0"/>
    </xf>
    <xf borderId="0" fillId="0" fontId="18" numFmtId="165" xfId="0" applyAlignment="1" applyFont="1" applyNumberFormat="1">
      <alignment horizontal="right" readingOrder="0" shrinkToFit="0" vertical="bottom" wrapText="0"/>
    </xf>
    <xf borderId="0" fillId="0" fontId="13" numFmtId="3" xfId="0" applyAlignment="1" applyFont="1" applyNumberFormat="1">
      <alignment readingOrder="0"/>
    </xf>
    <xf borderId="7" fillId="0" fontId="48" numFmtId="168" xfId="0" applyAlignment="1" applyBorder="1" applyFont="1" applyNumberFormat="1">
      <alignment readingOrder="0" vertical="bottom"/>
    </xf>
    <xf borderId="0" fillId="0" fontId="13" numFmtId="174" xfId="0" applyAlignment="1" applyFont="1" applyNumberFormat="1">
      <alignment readingOrder="0"/>
    </xf>
    <xf borderId="0" fillId="0" fontId="13" numFmtId="175" xfId="0" applyAlignment="1" applyFont="1" applyNumberFormat="1">
      <alignment horizontal="left" readingOrder="0"/>
    </xf>
    <xf borderId="0" fillId="0" fontId="18" numFmtId="175" xfId="0" applyAlignment="1" applyFont="1" applyNumberFormat="1">
      <alignment horizontal="left" readingOrder="0" shrinkToFit="0" vertical="bottom" wrapText="0"/>
    </xf>
    <xf borderId="0" fillId="0" fontId="18" numFmtId="165" xfId="0" applyAlignment="1" applyFont="1" applyNumberFormat="1">
      <alignment horizontal="left" readingOrder="0" shrinkToFit="0" vertical="bottom" wrapText="0"/>
    </xf>
    <xf borderId="0" fillId="0" fontId="13" numFmtId="166" xfId="0" applyAlignment="1" applyFont="1" applyNumberFormat="1">
      <alignment readingOrder="0" vertical="bottom"/>
    </xf>
    <xf borderId="0" fillId="0" fontId="13" numFmtId="3" xfId="0" applyAlignment="1" applyFont="1" applyNumberFormat="1">
      <alignment readingOrder="0" vertical="bottom"/>
    </xf>
    <xf borderId="0" fillId="0" fontId="52" numFmtId="0" xfId="0" applyAlignment="1" applyFont="1">
      <alignment horizontal="left" readingOrder="0" shrinkToFit="0" wrapText="0"/>
    </xf>
    <xf borderId="0" fillId="0" fontId="52" numFmtId="0" xfId="0" applyAlignment="1" applyFont="1">
      <alignment horizontal="left" readingOrder="0" shrinkToFit="0" vertical="bottom" wrapText="0"/>
    </xf>
    <xf borderId="0" fillId="28" fontId="13" numFmtId="0" xfId="0" applyAlignment="1" applyFill="1" applyFont="1">
      <alignment horizontal="left" readingOrder="0"/>
    </xf>
    <xf borderId="0" fillId="28" fontId="13" numFmtId="0" xfId="0" applyAlignment="1" applyFont="1">
      <alignment horizontal="right" readingOrder="0"/>
    </xf>
    <xf borderId="0" fillId="28" fontId="13" numFmtId="0" xfId="0" applyAlignment="1" applyFont="1">
      <alignment readingOrder="0"/>
    </xf>
    <xf borderId="0" fillId="28" fontId="13" numFmtId="168" xfId="0" applyFont="1" applyNumberFormat="1"/>
    <xf borderId="0" fillId="28" fontId="13" numFmtId="168" xfId="0" applyAlignment="1" applyFont="1" applyNumberFormat="1">
      <alignment readingOrder="0"/>
    </xf>
    <xf borderId="0" fillId="28" fontId="13" numFmtId="3" xfId="0" applyAlignment="1" applyFont="1" applyNumberFormat="1">
      <alignment horizontal="right" vertical="bottom"/>
    </xf>
    <xf borderId="0" fillId="28" fontId="12" numFmtId="0" xfId="0" applyAlignment="1" applyFont="1">
      <alignment readingOrder="0"/>
    </xf>
    <xf borderId="0" fillId="28" fontId="13" numFmtId="165" xfId="0" applyAlignment="1" applyFont="1" applyNumberFormat="1">
      <alignment horizontal="right" vertical="bottom"/>
    </xf>
    <xf borderId="0" fillId="28" fontId="13" numFmtId="3" xfId="0" applyFont="1" applyNumberFormat="1"/>
    <xf borderId="0" fillId="28" fontId="13" numFmtId="165" xfId="0" applyAlignment="1" applyFont="1" applyNumberFormat="1">
      <alignment readingOrder="0"/>
    </xf>
    <xf borderId="0" fillId="28" fontId="18" numFmtId="0" xfId="0" applyAlignment="1" applyFont="1">
      <alignment horizontal="left" readingOrder="0" shrinkToFit="0" vertical="bottom" wrapText="0"/>
    </xf>
    <xf borderId="0" fillId="0" fontId="53" numFmtId="0" xfId="0" applyAlignment="1" applyFont="1">
      <alignment readingOrder="0" vertical="top"/>
    </xf>
    <xf borderId="0" fillId="0" fontId="18" numFmtId="0" xfId="0" applyAlignment="1" applyFont="1">
      <alignment horizontal="left" readingOrder="0"/>
    </xf>
    <xf borderId="0" fillId="19" fontId="50" numFmtId="0" xfId="0" applyAlignment="1" applyFont="1">
      <alignment horizontal="left" readingOrder="0" vertical="bottom"/>
    </xf>
    <xf borderId="2" fillId="0" fontId="18" numFmtId="0" xfId="0" applyAlignment="1" applyBorder="1" applyFont="1">
      <alignment readingOrder="0" shrinkToFit="0" vertical="bottom" wrapText="0"/>
    </xf>
    <xf borderId="2" fillId="0" fontId="18" numFmtId="0" xfId="0" applyAlignment="1" applyBorder="1" applyFont="1">
      <alignment horizontal="left" readingOrder="0" shrinkToFit="0" vertical="bottom" wrapText="0"/>
    </xf>
    <xf borderId="0" fillId="29" fontId="13" numFmtId="0" xfId="0" applyFill="1" applyFont="1"/>
    <xf borderId="0" fillId="18" fontId="50" numFmtId="176" xfId="0" applyAlignment="1" applyFont="1" applyNumberFormat="1">
      <alignment horizontal="right" readingOrder="0" vertical="bottom"/>
    </xf>
    <xf borderId="0" fillId="23" fontId="13" numFmtId="168" xfId="0" applyAlignment="1" applyFont="1" applyNumberFormat="1">
      <alignment readingOrder="0"/>
    </xf>
    <xf borderId="0" fillId="23" fontId="13" numFmtId="3" xfId="0" applyAlignment="1" applyFont="1" applyNumberFormat="1">
      <alignment horizontal="right" vertical="bottom"/>
    </xf>
    <xf borderId="0" fillId="23" fontId="12" numFmtId="0" xfId="0" applyAlignment="1" applyFont="1">
      <alignment readingOrder="0"/>
    </xf>
    <xf borderId="0" fillId="23" fontId="13" numFmtId="165" xfId="0" applyAlignment="1" applyFont="1" applyNumberFormat="1">
      <alignment horizontal="right" vertical="bottom"/>
    </xf>
    <xf borderId="0" fillId="23" fontId="13" numFmtId="3" xfId="0" applyFont="1" applyNumberFormat="1"/>
    <xf borderId="0" fillId="23" fontId="18" numFmtId="0" xfId="0" applyAlignment="1" applyFont="1">
      <alignment horizontal="left" readingOrder="0" shrinkToFit="0" vertical="bottom" wrapText="0"/>
    </xf>
    <xf borderId="0" fillId="28" fontId="18" numFmtId="165" xfId="0" applyAlignment="1" applyFont="1" applyNumberFormat="1">
      <alignment horizontal="left" readingOrder="0" shrinkToFit="0" vertical="bottom" wrapText="0"/>
    </xf>
    <xf borderId="0" fillId="0" fontId="50" numFmtId="3" xfId="0" applyAlignment="1" applyFont="1" applyNumberFormat="1">
      <alignment horizontal="left" readingOrder="0" vertical="bottom"/>
    </xf>
    <xf borderId="0" fillId="18" fontId="13" numFmtId="172" xfId="0" applyAlignment="1" applyFont="1" applyNumberFormat="1">
      <alignment vertical="bottom"/>
    </xf>
    <xf borderId="0" fillId="18" fontId="13" numFmtId="169" xfId="0" applyAlignment="1" applyFont="1" applyNumberFormat="1">
      <alignment vertical="bottom"/>
    </xf>
    <xf borderId="0" fillId="18" fontId="13" numFmtId="172" xfId="0" applyAlignment="1" applyFont="1" applyNumberFormat="1">
      <alignment horizontal="right" vertical="bottom"/>
    </xf>
    <xf borderId="0" fillId="18" fontId="13" numFmtId="0" xfId="0" applyAlignment="1" applyFont="1">
      <alignment horizontal="right" vertical="bottom"/>
    </xf>
    <xf borderId="0" fillId="18" fontId="13" numFmtId="0" xfId="0" applyAlignment="1" applyFont="1">
      <alignment vertical="bottom"/>
    </xf>
    <xf borderId="0" fillId="18" fontId="13" numFmtId="0" xfId="0" applyAlignment="1" applyFont="1">
      <alignment vertical="bottom"/>
    </xf>
    <xf borderId="0" fillId="18" fontId="13" numFmtId="0" xfId="0" applyAlignment="1" applyFont="1">
      <alignment readingOrder="0" vertical="bottom"/>
    </xf>
    <xf borderId="0" fillId="0" fontId="12" numFmtId="169" xfId="0" applyAlignment="1" applyFont="1" applyNumberFormat="1">
      <alignment horizontal="left" vertical="bottom"/>
    </xf>
    <xf borderId="0" fillId="0" fontId="12" numFmtId="0" xfId="0" applyAlignment="1" applyFont="1">
      <alignment horizontal="left" readingOrder="0" vertical="bottom"/>
    </xf>
    <xf borderId="0" fillId="0" fontId="12" numFmtId="3" xfId="0" applyAlignment="1" applyFont="1" applyNumberFormat="1">
      <alignment horizontal="left" vertical="bottom"/>
    </xf>
    <xf borderId="0" fillId="0" fontId="12" numFmtId="0" xfId="0" applyAlignment="1" applyFont="1">
      <alignment horizontal="left" vertical="bottom"/>
    </xf>
    <xf borderId="0" fillId="18" fontId="12" numFmtId="0" xfId="0" applyAlignment="1" applyFont="1">
      <alignment horizontal="left" vertical="bottom"/>
    </xf>
    <xf borderId="0" fillId="18" fontId="12" numFmtId="172" xfId="0" applyAlignment="1" applyFont="1" applyNumberFormat="1">
      <alignment horizontal="left" vertical="bottom"/>
    </xf>
    <xf borderId="0" fillId="18" fontId="12" numFmtId="3" xfId="0" applyAlignment="1" applyFont="1" applyNumberFormat="1">
      <alignment horizontal="left" vertical="bottom"/>
    </xf>
    <xf borderId="0" fillId="19" fontId="13" numFmtId="3" xfId="0" applyAlignment="1" applyFont="1" applyNumberFormat="1">
      <alignment vertical="top"/>
    </xf>
    <xf borderId="0" fillId="0" fontId="13" numFmtId="3" xfId="0" applyAlignment="1" applyFont="1" applyNumberFormat="1">
      <alignment vertical="top"/>
    </xf>
    <xf borderId="0" fillId="0" fontId="13" numFmtId="165" xfId="0" applyAlignment="1" applyFont="1" applyNumberFormat="1">
      <alignment readingOrder="0" vertical="top"/>
    </xf>
    <xf borderId="0" fillId="18" fontId="13" numFmtId="0" xfId="0" applyAlignment="1" applyFont="1">
      <alignment horizontal="right"/>
    </xf>
    <xf borderId="0" fillId="23" fontId="13" numFmtId="0" xfId="0" applyAlignment="1" applyFont="1">
      <alignment readingOrder="0" vertical="bottom"/>
    </xf>
    <xf borderId="0" fillId="23" fontId="13" numFmtId="168" xfId="0" applyAlignment="1" applyFont="1" applyNumberFormat="1">
      <alignment horizontal="right" vertical="bottom"/>
    </xf>
    <xf borderId="0" fillId="23" fontId="13" numFmtId="0" xfId="0" applyAlignment="1" applyFont="1">
      <alignment horizontal="left" readingOrder="0" vertical="bottom"/>
    </xf>
    <xf borderId="0" fillId="23" fontId="13" numFmtId="0" xfId="0" applyAlignment="1" applyFont="1">
      <alignment horizontal="right" readingOrder="0" vertical="bottom"/>
    </xf>
    <xf borderId="0" fillId="23" fontId="18" numFmtId="0" xfId="0" applyAlignment="1" applyFont="1">
      <alignment readingOrder="0" shrinkToFit="0" vertical="bottom" wrapText="0"/>
    </xf>
    <xf borderId="0" fillId="23" fontId="13" numFmtId="0" xfId="0" applyAlignment="1" applyFont="1">
      <alignment vertical="bottom"/>
    </xf>
    <xf borderId="0" fillId="19" fontId="53" numFmtId="3" xfId="0" applyAlignment="1" applyFont="1" applyNumberFormat="1">
      <alignment vertical="top"/>
    </xf>
    <xf borderId="0" fillId="0" fontId="53" numFmtId="3" xfId="0" applyAlignment="1" applyFont="1" applyNumberFormat="1">
      <alignment vertical="top"/>
    </xf>
    <xf borderId="0" fillId="0" fontId="53" numFmtId="165" xfId="0" applyAlignment="1" applyFont="1" applyNumberFormat="1">
      <alignment readingOrder="0" vertical="top"/>
    </xf>
    <xf borderId="7" fillId="0" fontId="53" numFmtId="0" xfId="0" applyAlignment="1" applyBorder="1" applyFont="1">
      <alignment readingOrder="0" vertical="top"/>
    </xf>
    <xf borderId="7" fillId="0" fontId="13" numFmtId="0" xfId="0" applyAlignment="1" applyBorder="1" applyFont="1">
      <alignment horizontal="left" readingOrder="0"/>
    </xf>
    <xf borderId="7" fillId="6" fontId="13" numFmtId="165" xfId="0" applyAlignment="1" applyBorder="1" applyFont="1" applyNumberFormat="1">
      <alignment readingOrder="0"/>
    </xf>
    <xf borderId="7" fillId="0" fontId="12" numFmtId="0" xfId="0" applyBorder="1" applyFont="1"/>
    <xf borderId="7" fillId="0" fontId="13" numFmtId="0" xfId="0" applyAlignment="1" applyBorder="1" applyFont="1">
      <alignment horizontal="left"/>
    </xf>
    <xf borderId="7" fillId="0" fontId="18" numFmtId="0" xfId="0" applyAlignment="1" applyBorder="1" applyFont="1">
      <alignment horizontal="left" shrinkToFit="0" vertical="bottom" wrapText="0"/>
    </xf>
    <xf borderId="0" fillId="0" fontId="12" numFmtId="166" xfId="0" applyAlignment="1" applyFont="1" applyNumberFormat="1">
      <alignment readingOrder="0"/>
    </xf>
    <xf borderId="0" fillId="19" fontId="12" numFmtId="0" xfId="0" applyAlignment="1" applyFont="1">
      <alignment readingOrder="0"/>
    </xf>
    <xf borderId="0" fillId="19" fontId="54" numFmtId="0" xfId="0" applyAlignment="1" applyFont="1">
      <alignment readingOrder="0"/>
    </xf>
    <xf borderId="0" fillId="19" fontId="12" numFmtId="0" xfId="0" applyAlignment="1" applyFont="1">
      <alignment readingOrder="0"/>
    </xf>
    <xf borderId="0" fillId="0" fontId="13" numFmtId="0" xfId="0" applyAlignment="1" applyFont="1">
      <alignment horizontal="left" vertical="bottom"/>
    </xf>
    <xf borderId="0" fillId="30" fontId="13" numFmtId="3" xfId="0" applyFill="1" applyFont="1" applyNumberFormat="1"/>
    <xf borderId="0" fillId="30" fontId="13" numFmtId="165" xfId="0" applyAlignment="1" applyFont="1" applyNumberFormat="1">
      <alignment readingOrder="0"/>
    </xf>
    <xf borderId="0" fillId="0" fontId="12" numFmtId="176" xfId="0" applyAlignment="1" applyFont="1" applyNumberFormat="1">
      <alignment readingOrder="0"/>
    </xf>
    <xf borderId="0" fillId="4" fontId="55" numFmtId="0" xfId="0" applyFont="1"/>
    <xf borderId="0" fillId="0" fontId="24" numFmtId="0" xfId="0" applyAlignment="1" applyFont="1">
      <alignment horizontal="right" shrinkToFit="0" vertical="bottom" wrapText="0"/>
    </xf>
    <xf borderId="0" fillId="0" fontId="24" numFmtId="0" xfId="0" applyAlignment="1" applyFont="1">
      <alignment readingOrder="0" shrinkToFit="0" vertical="bottom" wrapText="0"/>
    </xf>
    <xf borderId="0" fillId="0" fontId="24" numFmtId="0" xfId="0" applyAlignment="1" applyFont="1">
      <alignment shrinkToFit="0" vertical="bottom" wrapText="0"/>
    </xf>
    <xf borderId="0" fillId="0" fontId="18" numFmtId="175" xfId="0" applyAlignment="1" applyFont="1" applyNumberFormat="1">
      <alignment horizontal="left" shrinkToFit="0" vertical="bottom" wrapText="0"/>
    </xf>
    <xf borderId="0" fillId="0" fontId="56" numFmtId="0" xfId="0" applyAlignment="1" applyFont="1">
      <alignment vertical="bottom"/>
    </xf>
    <xf borderId="0" fillId="0" fontId="17" numFmtId="0" xfId="0" applyAlignment="1" applyFont="1">
      <alignment horizontal="left" readingOrder="0" vertical="bottom"/>
    </xf>
    <xf borderId="7" fillId="0" fontId="13" numFmtId="0" xfId="0" applyAlignment="1" applyBorder="1" applyFont="1">
      <alignment vertical="bottom"/>
    </xf>
    <xf borderId="0" fillId="0" fontId="34" numFmtId="0" xfId="0" applyAlignment="1" applyFont="1">
      <alignment vertical="bottom"/>
    </xf>
    <xf borderId="0" fillId="0" fontId="18" numFmtId="0" xfId="0" applyAlignment="1" applyFont="1">
      <alignment readingOrder="0" vertical="bottom"/>
    </xf>
    <xf borderId="0" fillId="31" fontId="13" numFmtId="0" xfId="0" applyAlignment="1" applyFill="1" applyFont="1">
      <alignment readingOrder="0"/>
    </xf>
    <xf borderId="0" fillId="31" fontId="13" numFmtId="168" xfId="0" applyFont="1" applyNumberFormat="1"/>
    <xf borderId="0" fillId="31" fontId="13" numFmtId="168" xfId="0" applyAlignment="1" applyFont="1" applyNumberFormat="1">
      <alignment readingOrder="0"/>
    </xf>
    <xf borderId="0" fillId="31" fontId="13" numFmtId="3" xfId="0" applyAlignment="1" applyFont="1" applyNumberFormat="1">
      <alignment horizontal="right" vertical="bottom"/>
    </xf>
    <xf borderId="0" fillId="31" fontId="12" numFmtId="0" xfId="0" applyAlignment="1" applyFont="1">
      <alignment readingOrder="0"/>
    </xf>
    <xf borderId="0" fillId="31" fontId="13" numFmtId="0" xfId="0" applyAlignment="1" applyFont="1">
      <alignment horizontal="left" readingOrder="0"/>
    </xf>
    <xf borderId="0" fillId="31" fontId="13" numFmtId="3" xfId="0" applyFont="1" applyNumberFormat="1"/>
    <xf borderId="0" fillId="31" fontId="13" numFmtId="165" xfId="0" applyAlignment="1" applyFont="1" applyNumberFormat="1">
      <alignment readingOrder="0"/>
    </xf>
    <xf borderId="0" fillId="31" fontId="18" numFmtId="0" xfId="0" applyAlignment="1" applyFont="1">
      <alignment horizontal="left" readingOrder="0" shrinkToFit="0" vertical="bottom" wrapText="0"/>
    </xf>
    <xf borderId="0" fillId="26" fontId="12" numFmtId="0" xfId="0" applyFont="1"/>
    <xf borderId="7" fillId="18" fontId="13" numFmtId="165" xfId="0" applyAlignment="1" applyBorder="1" applyFont="1" applyNumberFormat="1">
      <alignment vertical="bottom"/>
    </xf>
    <xf borderId="7" fillId="32" fontId="13" numFmtId="165" xfId="0" applyAlignment="1" applyBorder="1" applyFill="1" applyFont="1" applyNumberFormat="1">
      <alignment vertical="bottom"/>
    </xf>
    <xf borderId="7" fillId="7" fontId="13" numFmtId="165" xfId="0" applyAlignment="1" applyBorder="1" applyFont="1" applyNumberFormat="1">
      <alignment horizontal="right" vertical="bottom"/>
    </xf>
    <xf borderId="7" fillId="7" fontId="13" numFmtId="165" xfId="0" applyAlignment="1" applyBorder="1" applyFont="1" applyNumberFormat="1">
      <alignment vertical="bottom"/>
    </xf>
    <xf borderId="0" fillId="0" fontId="53" numFmtId="0" xfId="0" applyAlignment="1" applyFont="1">
      <alignment vertical="top"/>
    </xf>
    <xf borderId="0" fillId="0" fontId="57" numFmtId="0" xfId="0" applyAlignment="1" applyFont="1">
      <alignment horizontal="left"/>
    </xf>
    <xf borderId="0" fillId="0" fontId="57" numFmtId="0" xfId="0" applyAlignment="1" applyFont="1">
      <alignment horizontal="right"/>
    </xf>
    <xf borderId="0" fillId="0" fontId="53" numFmtId="165" xfId="0" applyAlignment="1" applyFont="1" applyNumberFormat="1">
      <alignment vertical="top"/>
    </xf>
    <xf borderId="0" fillId="19" fontId="13" numFmtId="3" xfId="0" applyAlignment="1" applyFont="1" applyNumberFormat="1">
      <alignment horizontal="right"/>
    </xf>
    <xf borderId="0" fillId="0" fontId="13" numFmtId="3" xfId="0" applyAlignment="1" applyFont="1" applyNumberFormat="1">
      <alignment horizontal="right"/>
    </xf>
    <xf borderId="0" fillId="19" fontId="18" numFmtId="3" xfId="0" applyFont="1" applyNumberFormat="1"/>
    <xf borderId="0" fillId="0" fontId="18" numFmtId="3" xfId="0" applyFont="1" applyNumberFormat="1"/>
    <xf borderId="0" fillId="8" fontId="13" numFmtId="3" xfId="0" applyAlignment="1" applyFont="1" applyNumberFormat="1">
      <alignment horizontal="right" vertical="bottom"/>
    </xf>
    <xf borderId="0" fillId="6" fontId="13" numFmtId="165" xfId="0" applyFont="1" applyNumberFormat="1"/>
    <xf borderId="0" fillId="6" fontId="13" numFmtId="165" xfId="0" applyAlignment="1" applyFont="1" applyNumberFormat="1">
      <alignment horizontal="right" vertical="bottom"/>
    </xf>
    <xf borderId="0" fillId="6" fontId="13" numFmtId="0" xfId="0" applyAlignment="1" applyFont="1">
      <alignment horizontal="right"/>
    </xf>
    <xf borderId="0" fillId="29" fontId="18" numFmtId="3" xfId="0" applyFont="1" applyNumberFormat="1"/>
    <xf borderId="0" fillId="29" fontId="18" numFmtId="165" xfId="0" applyFont="1" applyNumberFormat="1"/>
    <xf borderId="0" fillId="6" fontId="57" numFmtId="0" xfId="0" applyAlignment="1" applyFont="1">
      <alignment horizontal="left"/>
    </xf>
    <xf borderId="0" fillId="6" fontId="57" numFmtId="0" xfId="0" applyAlignment="1" applyFont="1">
      <alignment horizontal="right"/>
    </xf>
    <xf borderId="0" fillId="12" fontId="13" numFmtId="165" xfId="0" applyAlignment="1" applyFont="1" applyNumberFormat="1">
      <alignment horizontal="right" vertical="bottom"/>
    </xf>
    <xf borderId="0" fillId="0" fontId="18" numFmtId="0" xfId="0" applyAlignment="1" applyFont="1">
      <alignment horizontal="right"/>
    </xf>
    <xf borderId="0" fillId="6" fontId="53" numFmtId="3" xfId="0" applyAlignment="1" applyFont="1" applyNumberFormat="1">
      <alignment vertical="top"/>
    </xf>
    <xf borderId="0" fillId="6" fontId="53" numFmtId="165" xfId="0" applyAlignment="1" applyFont="1" applyNumberFormat="1">
      <alignment vertical="top"/>
    </xf>
    <xf borderId="0" fillId="8" fontId="41" numFmtId="168" xfId="0" applyFont="1" applyNumberFormat="1"/>
    <xf borderId="0" fillId="8" fontId="41" numFmtId="0" xfId="0" applyAlignment="1" applyFont="1">
      <alignment horizontal="left"/>
    </xf>
    <xf borderId="0" fillId="8" fontId="41" numFmtId="0" xfId="0" applyAlignment="1" applyFont="1">
      <alignment horizontal="right"/>
    </xf>
    <xf borderId="0" fillId="19" fontId="41" numFmtId="3" xfId="0" applyFont="1" applyNumberFormat="1"/>
    <xf borderId="0" fillId="8" fontId="41" numFmtId="3" xfId="0" applyFont="1" applyNumberFormat="1"/>
    <xf borderId="0" fillId="8" fontId="41" numFmtId="165" xfId="0" applyFont="1" applyNumberFormat="1"/>
    <xf borderId="0" fillId="18" fontId="41" numFmtId="0" xfId="0" applyFont="1"/>
    <xf borderId="0" fillId="18" fontId="13" numFmtId="165" xfId="0" applyFont="1" applyNumberFormat="1"/>
    <xf borderId="0" fillId="8" fontId="13" numFmtId="0" xfId="0" applyFont="1"/>
    <xf borderId="0" fillId="33" fontId="13" numFmtId="0" xfId="0" applyFill="1" applyFont="1"/>
    <xf borderId="0" fillId="33" fontId="13" numFmtId="0" xfId="0" applyAlignment="1" applyFont="1">
      <alignment horizontal="left"/>
    </xf>
    <xf borderId="0" fillId="33" fontId="13" numFmtId="168" xfId="0" applyFont="1" applyNumberFormat="1"/>
    <xf borderId="0" fillId="33" fontId="13" numFmtId="165" xfId="0" applyAlignment="1" applyFont="1" applyNumberFormat="1">
      <alignment horizontal="right" vertical="bottom"/>
    </xf>
    <xf borderId="0" fillId="33" fontId="13" numFmtId="0" xfId="0" applyAlignment="1" applyFont="1">
      <alignment horizontal="right"/>
    </xf>
    <xf borderId="0" fillId="33" fontId="13" numFmtId="3" xfId="0" applyFont="1" applyNumberFormat="1"/>
    <xf borderId="0" fillId="33" fontId="13" numFmtId="165" xfId="0" applyFont="1" applyNumberFormat="1"/>
    <xf borderId="0" fillId="33" fontId="24" numFmtId="0" xfId="0" applyAlignment="1" applyFont="1">
      <alignment horizontal="left" shrinkToFit="0" vertical="bottom" wrapText="0"/>
    </xf>
    <xf borderId="0" fillId="0" fontId="41" numFmtId="0" xfId="0" applyFont="1"/>
    <xf borderId="0" fillId="17" fontId="13" numFmtId="0" xfId="0" applyFont="1"/>
    <xf borderId="0" fillId="34" fontId="13" numFmtId="0" xfId="0" applyAlignment="1" applyFill="1" applyFont="1">
      <alignment horizontal="left"/>
    </xf>
    <xf borderId="0" fillId="34" fontId="13" numFmtId="0" xfId="0" applyAlignment="1" applyFont="1">
      <alignment horizontal="right"/>
    </xf>
    <xf borderId="0" fillId="17" fontId="13" numFmtId="168" xfId="0" applyFont="1" applyNumberFormat="1"/>
    <xf borderId="0" fillId="17" fontId="13" numFmtId="165" xfId="0" applyAlignment="1" applyFont="1" applyNumberFormat="1">
      <alignment horizontal="right" vertical="bottom"/>
    </xf>
    <xf borderId="0" fillId="17" fontId="13" numFmtId="0" xfId="0" applyAlignment="1" applyFont="1">
      <alignment horizontal="left"/>
    </xf>
    <xf borderId="0" fillId="17" fontId="13" numFmtId="0" xfId="0" applyAlignment="1" applyFont="1">
      <alignment horizontal="right"/>
    </xf>
    <xf borderId="0" fillId="17" fontId="13" numFmtId="3" xfId="0" applyFont="1" applyNumberFormat="1"/>
    <xf borderId="0" fillId="17" fontId="13" numFmtId="165" xfId="0" applyFont="1" applyNumberFormat="1"/>
    <xf borderId="0" fillId="0" fontId="58" numFmtId="0" xfId="0" applyAlignment="1" applyFont="1">
      <alignment horizontal="left"/>
    </xf>
    <xf borderId="0" fillId="0" fontId="58" numFmtId="0" xfId="0" applyAlignment="1" applyFont="1">
      <alignment horizontal="right"/>
    </xf>
    <xf borderId="0" fillId="8" fontId="13" numFmtId="3" xfId="0" applyFont="1" applyNumberFormat="1"/>
    <xf borderId="0" fillId="8" fontId="13" numFmtId="165" xfId="0" applyFont="1" applyNumberFormat="1"/>
    <xf borderId="0" fillId="0" fontId="12" numFmtId="0" xfId="0" applyAlignment="1" applyFont="1">
      <alignment horizontal="right"/>
    </xf>
    <xf borderId="0" fillId="35" fontId="13" numFmtId="165" xfId="0" applyAlignment="1" applyFill="1" applyFont="1" applyNumberFormat="1">
      <alignment horizontal="right" vertical="bottom"/>
    </xf>
    <xf borderId="0" fillId="8" fontId="13" numFmtId="168" xfId="0" applyFont="1" applyNumberFormat="1"/>
    <xf borderId="0" fillId="8" fontId="13" numFmtId="0" xfId="0" applyAlignment="1" applyFont="1">
      <alignment horizontal="left"/>
    </xf>
    <xf borderId="0" fillId="8" fontId="13" numFmtId="0" xfId="0" applyAlignment="1" applyFont="1">
      <alignment horizontal="right"/>
    </xf>
    <xf borderId="0" fillId="0" fontId="56" numFmtId="0" xfId="0" applyAlignment="1" applyFont="1">
      <alignment horizontal="left"/>
    </xf>
    <xf borderId="0" fillId="0" fontId="56" numFmtId="0" xfId="0" applyAlignment="1" applyFont="1">
      <alignment horizontal="right"/>
    </xf>
    <xf borderId="0" fillId="8" fontId="13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Relationship Id="rId3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647700</xdr:colOff>
      <xdr:row>56</xdr:row>
      <xdr:rowOff>180975</xdr:rowOff>
    </xdr:from>
    <xdr:ext cx="5114925" cy="46101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83</xdr:row>
      <xdr:rowOff>133350</xdr:rowOff>
    </xdr:from>
    <xdr:ext cx="5114925" cy="4610100"/>
    <xdr:pic>
      <xdr:nvPicPr>
        <xdr:cNvPr id="0" name="image4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111</xdr:row>
      <xdr:rowOff>0</xdr:rowOff>
    </xdr:from>
    <xdr:ext cx="8162925" cy="3409950"/>
    <xdr:pic>
      <xdr:nvPicPr>
        <xdr:cNvPr id="0" name="image3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132</xdr:row>
      <xdr:rowOff>0</xdr:rowOff>
    </xdr:from>
    <xdr:ext cx="5019675" cy="4524375"/>
    <xdr:pic>
      <xdr:nvPicPr>
        <xdr:cNvPr id="0" name="image2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natalia fonseca" id="{11ff6c34-7149-4307-b80c-f8fc3e9be9a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65" dT="2026-07-31T13:00:52.00" personId="{11ff6c34-7149-4307-b80c-f8fc3e9be9a0}" id="{5c91b1ba-e4d6-46b6-8e34-ed4ce7dd8a55}" done="1">
    <x18tc:text xml:space="preserve">diferença por que recebemos em Pounds</x18tc:text>
  </x18tc:threadedComment>
  <x18tc:threadedComment ref="G49" dT="2026-07-31T13:03:19.00" personId="{11ff6c34-7149-4307-b80c-f8fc3e9be9a0}" id="{dee61c97-c36f-467d-95d6-3c4a5422cfe4}" done="0">
    <x18tc:text xml:space="preserve">diferença por que recebemos em Pounds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3.xml"/><Relationship Id="rId5" Type="http://schemas.openxmlformats.org/officeDocument/2006/relationships/vmlDrawing" Target="../drawings/vmlDrawing3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4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hotels.cloudbeds.com/connect/9727" TargetMode="External"/><Relationship Id="rId2" Type="http://schemas.openxmlformats.org/officeDocument/2006/relationships/hyperlink" Target="http://booking.com/" TargetMode="External"/><Relationship Id="rId3" Type="http://schemas.openxmlformats.org/officeDocument/2006/relationships/hyperlink" Target="https://account.booking.com/sign-in?op_token=EgVvYXV0aCL8AgoUNlo3Mm9IT2QzNk5uN3prM3BpcmgSCWF1dGhvcml6ZRoaaHR0cHM6Ly9hZG1pbi5ib29raW5nLmNvbS8qgwJ7ImF1dGhfYXR0ZW1wdF9pZCI6ImQ5MDJjY2VhLTg3YjItNGI1Yi1hOGJiLWU4NTgxMDIzY2I4MSIsInBhZ2UiOiIvaG90ZWwvaG90ZWxhZG1pbi9leHRyYW5ldF9uZy9tYW5hZ2UvaG9tZS5odG1sP21vYmlsZV9leHRyYW5ldD0mdXRtX21lZGl1bT1nb190b19leHRyYW5ldF9saW5rJnV0bV90ZXJtPWFkbWluX2xvZ2luJmhvdGVsX2lkPTIwNTk3NjkmdXRtX2NhbXBhaWduPXRvcF9uYXZpZ2F0aW9uJmxhbmc9eGImdXRtX3NvdXJjZT1wYXJ0bmVyX2h1YiJ9MitwcDRKeTZLMWdPelJpSm4tZFdFNXJkUWtXYnpDbE5PeDVnX0x5YXpkQ1VvOgRTMjU2QgRjb2RlKhMwm83QgKHyJzoAQgBY0JDogIgz" TargetMode="External"/><Relationship Id="rId4" Type="http://schemas.openxmlformats.org/officeDocument/2006/relationships/hyperlink" Target="https://www.airbnb.com.br/users/profile" TargetMode="External"/><Relationship Id="rId5" Type="http://schemas.openxmlformats.org/officeDocument/2006/relationships/hyperlink" Target="https://inbox.hostelworld.com/" TargetMode="External"/><Relationship Id="rId6" Type="http://schemas.openxmlformats.org/officeDocument/2006/relationships/hyperlink" Target="http://booking.com/" TargetMode="External"/><Relationship Id="rId7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9.63"/>
    <col customWidth="1" min="2" max="3" width="10.88"/>
    <col customWidth="1" min="4" max="4" width="11.38"/>
    <col customWidth="1" min="5" max="5" width="10.75"/>
  </cols>
  <sheetData>
    <row r="1" ht="15.75" customHeight="1">
      <c r="A1" s="1" t="s">
        <v>0</v>
      </c>
      <c r="B1" s="3">
        <v>2025.0</v>
      </c>
      <c r="C1" s="3" t="s">
        <v>7</v>
      </c>
      <c r="D1" s="3" t="s">
        <v>8</v>
      </c>
      <c r="E1" s="3" t="s">
        <v>9</v>
      </c>
    </row>
    <row r="2" ht="15.75" customHeight="1">
      <c r="A2" s="9" t="s">
        <v>12</v>
      </c>
      <c r="B2" s="11">
        <v>2717.69</v>
      </c>
      <c r="C2" s="11">
        <v>89327.83</v>
      </c>
      <c r="D2" s="11">
        <v>89827.0</v>
      </c>
      <c r="E2" s="17">
        <f>C2+D2</f>
        <v>179154.83</v>
      </c>
    </row>
    <row r="3" ht="15.75" customHeight="1">
      <c r="A3" s="18" t="s">
        <v>20</v>
      </c>
      <c r="B3" s="19">
        <v>2717.69</v>
      </c>
      <c r="C3" s="19">
        <f>SUMIFS(Dados!$N:$N,Dados!$D:$D,$C$1,Dados!$A:$A,A3,Dados!$P:$P,"")</f>
        <v>38815.79</v>
      </c>
      <c r="D3" s="19">
        <f>SUMIFS(Dados!$N:$N,Dados!$D:$D,$D$1,Dados!$A:$A,A3)</f>
        <v>37346.96</v>
      </c>
      <c r="E3" s="19">
        <f t="shared" ref="E3:E17" si="1">SUM(B3:D3)</f>
        <v>78880.44</v>
      </c>
    </row>
    <row r="4" ht="15.75" customHeight="1">
      <c r="A4" s="28" t="s">
        <v>26</v>
      </c>
      <c r="B4" s="19"/>
      <c r="C4" s="19">
        <f>SUMIFS(Dados!$N:$N,Dados!$D:$D,$C$1,Dados!$B:$B,A4,Dados!$P:$P,"")</f>
        <v>1758</v>
      </c>
      <c r="D4" s="19">
        <f>SUMIFS(Dados!$N:$N,Dados!$D:$D,$D$1,Dados!$B:$B,A4)</f>
        <v>0</v>
      </c>
      <c r="E4" s="19">
        <f t="shared" si="1"/>
        <v>1758</v>
      </c>
    </row>
    <row r="5" ht="15.75" customHeight="1">
      <c r="A5" s="28" t="s">
        <v>30</v>
      </c>
      <c r="B5" s="19"/>
      <c r="C5" s="19">
        <f>SUMIFS(Dados!$N:$N,Dados!$D:$D,$C$1,Dados!$B:$B,A5,Dados!$P:$P,"")</f>
        <v>9078.77</v>
      </c>
      <c r="D5" s="19">
        <f>SUMIFS(Dados!$N:$N,Dados!$D:$D,$D$1,Dados!$B:$B,A5)</f>
        <v>0</v>
      </c>
      <c r="E5" s="19">
        <f t="shared" si="1"/>
        <v>9078.77</v>
      </c>
    </row>
    <row r="6" ht="15.75" customHeight="1">
      <c r="A6" s="28" t="s">
        <v>32</v>
      </c>
      <c r="B6" s="19"/>
      <c r="C6" s="19">
        <f>SUMIFS(Dados!$N:$N,Dados!$D:$D,$C$1,Dados!$B:$B,A6,Dados!$P:$P,"")</f>
        <v>466.56</v>
      </c>
      <c r="D6" s="19">
        <f>SUMIFS(Dados!$N:$N,Dados!$D:$D,$D$1,Dados!$B:$B,A6)</f>
        <v>0</v>
      </c>
      <c r="E6" s="19">
        <f t="shared" si="1"/>
        <v>466.56</v>
      </c>
    </row>
    <row r="7" ht="15.75" customHeight="1">
      <c r="A7" s="28" t="s">
        <v>35</v>
      </c>
      <c r="B7" s="19"/>
      <c r="C7" s="19">
        <f>SUMIFS(Dados!$N:$N,Dados!$D:$D,$C$1,Dados!$B:$B,A7,Dados!$P:$P,"")</f>
        <v>39.45</v>
      </c>
      <c r="D7" s="19">
        <f>SUMIFS(Dados!$N:$N,Dados!$D:$D,$D$1,Dados!$B:$B,A7)</f>
        <v>0</v>
      </c>
      <c r="E7" s="19">
        <f t="shared" si="1"/>
        <v>39.45</v>
      </c>
    </row>
    <row r="8" ht="15.75" customHeight="1">
      <c r="A8" s="28" t="s">
        <v>37</v>
      </c>
      <c r="B8" s="19"/>
      <c r="C8" s="19">
        <f>SUMIFS(Dados!$N:$N,Dados!$D:$D,$C$1,Dados!$B:$B,A8,Dados!$P:$P,"")</f>
        <v>1153.1</v>
      </c>
      <c r="D8" s="19">
        <f>SUMIFS(Dados!$N:$N,Dados!$D:$D,$D$1,Dados!$B:$B,A8)</f>
        <v>0</v>
      </c>
      <c r="E8" s="19">
        <f t="shared" si="1"/>
        <v>1153.1</v>
      </c>
    </row>
    <row r="9" ht="15.75" customHeight="1">
      <c r="A9" s="28" t="s">
        <v>39</v>
      </c>
      <c r="B9" s="19"/>
      <c r="C9" s="19">
        <f>SUMIFS(Dados!$N:$N,Dados!$D:$D,$C$1,Dados!$B:$B,A9,Dados!$P:$P,"")</f>
        <v>1461.94</v>
      </c>
      <c r="D9" s="19">
        <f>SUMIFS(Dados!$N:$N,Dados!$D:$D,$D$1,Dados!$B:$B,A9)</f>
        <v>0</v>
      </c>
      <c r="E9" s="19">
        <f t="shared" si="1"/>
        <v>1461.94</v>
      </c>
    </row>
    <row r="10" ht="15.75" customHeight="1">
      <c r="A10" s="28" t="s">
        <v>40</v>
      </c>
      <c r="B10" s="19"/>
      <c r="C10" s="19">
        <f>SUMIFS(Dados!$N:$N,Dados!$D:$D,$C$1,Dados!$B:$B,A10,Dados!$P:$P,"")</f>
        <v>1055.45</v>
      </c>
      <c r="D10" s="19">
        <f>SUMIFS(Dados!$N:$N,Dados!$D:$D,$D$1,Dados!$B:$B,A10)</f>
        <v>0</v>
      </c>
      <c r="E10" s="19">
        <f t="shared" si="1"/>
        <v>1055.45</v>
      </c>
    </row>
    <row r="11" ht="15.75" customHeight="1">
      <c r="A11" s="28" t="s">
        <v>41</v>
      </c>
      <c r="B11" s="19"/>
      <c r="C11" s="19">
        <f>SUMIFS(Dados!$N:$N,Dados!$D:$D,$C$1,Dados!$B:$B,A11,Dados!$P:$P,"")</f>
        <v>780</v>
      </c>
      <c r="D11" s="19">
        <f>SUMIFS(Dados!$N:$N,Dados!$D:$D,$D$1,Dados!$B:$B,A11)</f>
        <v>0</v>
      </c>
      <c r="E11" s="19">
        <f t="shared" si="1"/>
        <v>780</v>
      </c>
    </row>
    <row r="12" ht="15.75" customHeight="1">
      <c r="A12" s="28" t="s">
        <v>42</v>
      </c>
      <c r="B12" s="19"/>
      <c r="C12" s="19">
        <f>SUMIFS(Dados!$N:$N,Dados!$D:$D,$C$1,Dados!$B:$B,A12,Dados!$P:$P,"")</f>
        <v>18500</v>
      </c>
      <c r="D12" s="19">
        <f>SUMIFS(Dados!$N:$N,Dados!$D:$D,$D$1,Dados!$B:$B,A12)</f>
        <v>0</v>
      </c>
      <c r="E12" s="19">
        <f t="shared" si="1"/>
        <v>18500</v>
      </c>
    </row>
    <row r="13" ht="15.75" customHeight="1">
      <c r="A13" s="28" t="s">
        <v>44</v>
      </c>
      <c r="B13" s="19"/>
      <c r="C13" s="19">
        <f>SUMIFS(Dados!$N:$N,Dados!$D:$D,$C$1,Dados!$B:$B,A13,Dados!$P:$P,"")</f>
        <v>812.4</v>
      </c>
      <c r="D13" s="19">
        <f>SUMIFS(Dados!$N:$N,Dados!$D:$D,$D$1,Dados!$B:$B,A13)</f>
        <v>0</v>
      </c>
      <c r="E13" s="19">
        <f t="shared" si="1"/>
        <v>812.4</v>
      </c>
    </row>
    <row r="14" ht="15.75" customHeight="1">
      <c r="A14" s="28" t="s">
        <v>45</v>
      </c>
      <c r="B14" s="19"/>
      <c r="C14" s="19">
        <f>SUMIFS(Dados!$N:$N,Dados!$D:$D,$C$1,Dados!$B:$B,A14,Dados!$P:$P,"")</f>
        <v>224.05</v>
      </c>
      <c r="D14" s="19">
        <f>SUMIFS(Dados!$N:$N,Dados!$D:$D,$D$1,Dados!$B:$B,A14)</f>
        <v>0</v>
      </c>
      <c r="E14" s="19">
        <f t="shared" si="1"/>
        <v>224.05</v>
      </c>
    </row>
    <row r="15" ht="15.75" customHeight="1">
      <c r="A15" s="28" t="s">
        <v>46</v>
      </c>
      <c r="B15" s="19"/>
      <c r="C15" s="19">
        <f>SUMIFS(Dados!$N:$N,Dados!$D:$D,$C$1,Dados!$B:$B,A15,Dados!$P:$P,"")</f>
        <v>34.66</v>
      </c>
      <c r="D15" s="19">
        <f>SUMIFS(Dados!$N:$N,Dados!$D:$D,$D$1,Dados!$B:$B,A15)</f>
        <v>0</v>
      </c>
      <c r="E15" s="19">
        <f t="shared" si="1"/>
        <v>34.66</v>
      </c>
    </row>
    <row r="16" ht="15.75" customHeight="1">
      <c r="A16" s="28" t="s">
        <v>47</v>
      </c>
      <c r="B16" s="19"/>
      <c r="C16" s="19">
        <f>SUMIFS(Dados!$N:$N,Dados!$D:$D,$C$1,Dados!$B:$B,A16,Dados!$P:$P,"")</f>
        <v>118.73</v>
      </c>
      <c r="D16" s="19">
        <f>SUMIFS(Dados!$N:$N,Dados!$D:$D,$D$1,Dados!$B:$B,A16)</f>
        <v>0</v>
      </c>
      <c r="E16" s="19">
        <f t="shared" si="1"/>
        <v>118.73</v>
      </c>
    </row>
    <row r="17" ht="15.75" customHeight="1">
      <c r="A17" s="28" t="s">
        <v>48</v>
      </c>
      <c r="B17" s="19"/>
      <c r="C17" s="19">
        <f>SUMIFS(Dados!$N:$N,Dados!$D:$D,$C$1,Dados!$B:$B,A17,Dados!$P:$P,"")</f>
        <v>436.5</v>
      </c>
      <c r="D17" s="19">
        <f>SUMIFS(Dados!$N:$N,Dados!$D:$D,$D$1,Dados!$B:$B,A17)</f>
        <v>0</v>
      </c>
      <c r="E17" s="19">
        <f t="shared" si="1"/>
        <v>436.5</v>
      </c>
    </row>
    <row r="18" ht="15.75" customHeight="1">
      <c r="A18" s="36" t="s">
        <v>36</v>
      </c>
      <c r="B18" s="37">
        <f t="shared" ref="B18:E18" si="2">SUM(B3:B17)</f>
        <v>2717.69</v>
      </c>
      <c r="C18" s="37">
        <f t="shared" si="2"/>
        <v>74735.4</v>
      </c>
      <c r="D18" s="37">
        <f t="shared" si="2"/>
        <v>37346.96</v>
      </c>
      <c r="E18" s="37">
        <f t="shared" si="2"/>
        <v>114800.05</v>
      </c>
    </row>
    <row r="19" ht="15.75" customHeight="1">
      <c r="A19" s="9" t="s">
        <v>50</v>
      </c>
      <c r="B19" s="11">
        <f t="shared" ref="B19:D19" si="3">B2-B18</f>
        <v>0</v>
      </c>
      <c r="C19" s="11">
        <f t="shared" si="3"/>
        <v>14592.43</v>
      </c>
      <c r="D19" s="11">
        <f t="shared" si="3"/>
        <v>52480.04</v>
      </c>
      <c r="E19" s="17">
        <f t="shared" ref="E19:E21" si="4">SUM(C19:D19)</f>
        <v>67072.47</v>
      </c>
    </row>
    <row r="20" ht="15.75" customHeight="1">
      <c r="A20" s="38" t="s">
        <v>51</v>
      </c>
      <c r="B20" s="19"/>
      <c r="C20" s="19"/>
      <c r="D20" s="19"/>
      <c r="E20" s="40">
        <f t="shared" si="4"/>
        <v>0</v>
      </c>
    </row>
    <row r="21" ht="15.75" customHeight="1">
      <c r="A21" s="41" t="s">
        <v>53</v>
      </c>
      <c r="B21" s="40"/>
      <c r="C21" s="40"/>
      <c r="D21" s="40"/>
      <c r="E21" s="40">
        <f t="shared" si="4"/>
        <v>0</v>
      </c>
    </row>
    <row r="22" ht="15.75" customHeight="1">
      <c r="A22" s="43"/>
      <c r="B22" s="44"/>
      <c r="C22" s="44"/>
      <c r="D22" s="44"/>
      <c r="E22" s="43"/>
    </row>
    <row r="23" ht="15.75" customHeight="1">
      <c r="A23" s="43"/>
      <c r="B23" s="43"/>
      <c r="C23" s="43"/>
      <c r="D23" s="43"/>
      <c r="E23" s="43"/>
    </row>
    <row r="24" ht="15.75" customHeight="1">
      <c r="A24" s="43"/>
      <c r="B24" s="43"/>
      <c r="C24" s="43"/>
      <c r="D24" s="43"/>
      <c r="E24" s="43"/>
    </row>
    <row r="25" ht="15.75" customHeight="1">
      <c r="A25" s="43"/>
      <c r="B25" s="43"/>
      <c r="C25" s="43"/>
      <c r="D25" s="43"/>
      <c r="E25" s="43"/>
    </row>
    <row r="26" ht="15.75" customHeight="1">
      <c r="A26" s="43"/>
      <c r="B26" s="43"/>
      <c r="C26" s="43"/>
      <c r="D26" s="43"/>
      <c r="E26" s="43"/>
    </row>
    <row r="27" ht="15.75" customHeight="1">
      <c r="A27" s="43"/>
      <c r="B27" s="43"/>
      <c r="C27" s="43"/>
      <c r="D27" s="43"/>
      <c r="E27" s="43"/>
    </row>
    <row r="28" ht="15.75" customHeight="1">
      <c r="A28" s="43"/>
      <c r="B28" s="43"/>
      <c r="C28" s="43"/>
      <c r="D28" s="43"/>
      <c r="E28" s="43"/>
    </row>
    <row r="29" ht="15.75" customHeight="1">
      <c r="A29" s="43"/>
      <c r="B29" s="43"/>
      <c r="C29" s="43"/>
      <c r="D29" s="43"/>
      <c r="E29" s="43"/>
    </row>
    <row r="30" ht="15.75" customHeight="1">
      <c r="A30" s="43"/>
      <c r="B30" s="43"/>
      <c r="C30" s="43"/>
      <c r="D30" s="43"/>
      <c r="E30" s="43"/>
    </row>
    <row r="31" ht="15.75" customHeight="1">
      <c r="A31" s="43"/>
      <c r="B31" s="43"/>
      <c r="C31" s="43"/>
      <c r="D31" s="43"/>
      <c r="E31" s="43"/>
    </row>
    <row r="32" ht="15.75" customHeight="1">
      <c r="A32" s="43"/>
      <c r="B32" s="43"/>
      <c r="C32" s="43"/>
      <c r="D32" s="43"/>
      <c r="E32" s="44"/>
    </row>
    <row r="33" ht="15.75" customHeight="1">
      <c r="A33" s="43"/>
      <c r="B33" s="43"/>
      <c r="C33" s="43"/>
      <c r="D33" s="43"/>
      <c r="E33" s="43"/>
    </row>
    <row r="34" ht="15.75" customHeight="1">
      <c r="A34" s="43"/>
      <c r="B34" s="43"/>
      <c r="C34" s="43"/>
      <c r="D34" s="43"/>
      <c r="E34" s="45"/>
    </row>
    <row r="35" ht="15.75" customHeight="1">
      <c r="A35" s="43"/>
      <c r="B35" s="43"/>
      <c r="C35" s="43"/>
      <c r="D35" s="43"/>
      <c r="E35" s="45"/>
    </row>
    <row r="36" ht="15.75" customHeight="1">
      <c r="A36" s="43"/>
      <c r="B36" s="43"/>
      <c r="C36" s="43"/>
      <c r="D36" s="43"/>
      <c r="E36" s="43"/>
    </row>
    <row r="37" ht="15.75" customHeight="1">
      <c r="A37" s="43"/>
      <c r="B37" s="43"/>
      <c r="C37" s="43"/>
      <c r="D37" s="43"/>
      <c r="E37" s="43"/>
    </row>
    <row r="38" ht="15.75" customHeight="1">
      <c r="A38" s="43"/>
      <c r="B38" s="43"/>
      <c r="C38" s="43"/>
      <c r="D38" s="43"/>
      <c r="E38" s="43"/>
    </row>
    <row r="39" ht="15.75" customHeight="1">
      <c r="A39" s="43"/>
      <c r="B39" s="43"/>
      <c r="C39" s="43"/>
      <c r="D39" s="43"/>
      <c r="E39" s="43"/>
    </row>
    <row r="40" ht="15.75" customHeight="1">
      <c r="A40" s="43"/>
      <c r="B40" s="43"/>
      <c r="C40" s="43"/>
      <c r="D40" s="43"/>
      <c r="E40" s="43"/>
    </row>
    <row r="41" ht="15.75" customHeight="1">
      <c r="A41" s="43"/>
      <c r="B41" s="43"/>
      <c r="C41" s="43"/>
      <c r="D41" s="43"/>
      <c r="E41" s="43"/>
    </row>
    <row r="42" ht="15.75" customHeight="1">
      <c r="A42" s="43"/>
      <c r="B42" s="43"/>
      <c r="C42" s="43"/>
      <c r="D42" s="43"/>
      <c r="E42" s="43"/>
    </row>
    <row r="43" ht="15.75" customHeight="1">
      <c r="A43" s="43"/>
      <c r="B43" s="43"/>
      <c r="C43" s="43"/>
      <c r="D43" s="43"/>
      <c r="E43" s="43"/>
    </row>
    <row r="44" ht="15.75" customHeight="1">
      <c r="A44" s="43"/>
      <c r="B44" s="43"/>
      <c r="C44" s="43"/>
      <c r="D44" s="43"/>
      <c r="E44" s="43"/>
    </row>
    <row r="45" ht="15.75" customHeight="1">
      <c r="A45" s="43"/>
      <c r="B45" s="43"/>
      <c r="C45" s="43"/>
      <c r="D45" s="43"/>
      <c r="E45" s="43"/>
    </row>
    <row r="46" ht="15.75" customHeight="1">
      <c r="A46" s="43"/>
      <c r="B46" s="43"/>
      <c r="C46" s="43"/>
      <c r="D46" s="43"/>
      <c r="E46" s="43"/>
    </row>
    <row r="47" ht="15.75" customHeight="1">
      <c r="A47" s="43"/>
      <c r="B47" s="43"/>
      <c r="C47" s="43"/>
      <c r="D47" s="43"/>
      <c r="E47" s="43"/>
    </row>
    <row r="48" ht="15.75" customHeight="1">
      <c r="A48" s="43"/>
      <c r="B48" s="43"/>
      <c r="C48" s="43"/>
      <c r="D48" s="43"/>
      <c r="E48" s="43"/>
    </row>
    <row r="49" ht="15.75" customHeight="1">
      <c r="A49" s="43"/>
      <c r="B49" s="43"/>
      <c r="C49" s="43"/>
      <c r="D49" s="43"/>
      <c r="E49" s="43"/>
    </row>
    <row r="50" ht="15.75" customHeight="1">
      <c r="A50" s="43"/>
      <c r="B50" s="43"/>
      <c r="C50" s="43"/>
      <c r="D50" s="43"/>
      <c r="E50" s="43"/>
    </row>
    <row r="51" ht="15.75" customHeight="1">
      <c r="A51" s="43"/>
      <c r="B51" s="43"/>
      <c r="C51" s="43"/>
      <c r="D51" s="43"/>
      <c r="E51" s="43"/>
    </row>
    <row r="52" ht="15.75" customHeight="1">
      <c r="A52" s="43"/>
      <c r="B52" s="43"/>
      <c r="C52" s="43"/>
      <c r="D52" s="43"/>
      <c r="E52" s="43"/>
    </row>
    <row r="53" ht="15.75" customHeight="1">
      <c r="A53" s="43"/>
      <c r="B53" s="43"/>
      <c r="C53" s="43"/>
      <c r="D53" s="43"/>
      <c r="E53" s="43"/>
    </row>
    <row r="54" ht="15.75" customHeight="1">
      <c r="A54" s="43"/>
      <c r="B54" s="43"/>
      <c r="C54" s="43"/>
      <c r="D54" s="43"/>
      <c r="E54" s="43"/>
    </row>
    <row r="55" ht="15.75" customHeight="1">
      <c r="A55" s="43"/>
      <c r="B55" s="43"/>
      <c r="C55" s="43"/>
      <c r="D55" s="43"/>
      <c r="E55" s="43"/>
    </row>
    <row r="56" ht="15.75" customHeight="1">
      <c r="A56" s="43"/>
      <c r="B56" s="43"/>
      <c r="C56" s="43"/>
      <c r="D56" s="43"/>
      <c r="E56" s="43"/>
    </row>
    <row r="57" ht="15.75" customHeight="1">
      <c r="A57" s="43"/>
      <c r="B57" s="43"/>
      <c r="C57" s="43"/>
      <c r="D57" s="43"/>
      <c r="E57" s="43"/>
    </row>
    <row r="58" ht="15.75" customHeight="1">
      <c r="A58" s="43"/>
      <c r="B58" s="43"/>
      <c r="C58" s="43"/>
      <c r="D58" s="43"/>
      <c r="E58" s="43"/>
    </row>
    <row r="59" ht="15.75" customHeight="1">
      <c r="A59" s="43"/>
      <c r="B59" s="43"/>
      <c r="C59" s="43"/>
      <c r="D59" s="43"/>
      <c r="E59" s="43"/>
    </row>
    <row r="60" ht="15.75" customHeight="1">
      <c r="A60" s="43"/>
      <c r="B60" s="43"/>
      <c r="C60" s="43"/>
      <c r="D60" s="43"/>
      <c r="E60" s="43"/>
    </row>
    <row r="61" ht="15.75" customHeight="1">
      <c r="A61" s="43"/>
      <c r="B61" s="43"/>
      <c r="C61" s="43"/>
      <c r="D61" s="43"/>
      <c r="E61" s="43"/>
    </row>
    <row r="62" ht="15.75" customHeight="1">
      <c r="A62" s="43"/>
      <c r="B62" s="43"/>
      <c r="C62" s="43"/>
      <c r="D62" s="43"/>
      <c r="E62" s="43"/>
    </row>
    <row r="63" ht="15.75" customHeight="1">
      <c r="A63" s="43"/>
      <c r="B63" s="43"/>
      <c r="C63" s="43"/>
      <c r="D63" s="43"/>
      <c r="E63" s="43"/>
    </row>
    <row r="64" ht="15.75" customHeight="1">
      <c r="A64" s="43"/>
      <c r="B64" s="43"/>
      <c r="C64" s="43"/>
      <c r="D64" s="43"/>
      <c r="E64" s="43"/>
    </row>
    <row r="65" ht="15.75" customHeight="1">
      <c r="A65" s="43"/>
      <c r="B65" s="43"/>
      <c r="C65" s="43"/>
      <c r="D65" s="43"/>
      <c r="E65" s="43"/>
    </row>
    <row r="66" ht="15.75" customHeight="1">
      <c r="A66" s="43"/>
      <c r="B66" s="43"/>
      <c r="C66" s="43"/>
      <c r="D66" s="43"/>
      <c r="E66" s="43"/>
    </row>
    <row r="67" ht="15.75" customHeight="1">
      <c r="A67" s="43"/>
      <c r="B67" s="43"/>
      <c r="C67" s="43"/>
      <c r="D67" s="43"/>
      <c r="E67" s="43"/>
    </row>
    <row r="68" ht="15.75" customHeight="1">
      <c r="A68" s="43"/>
      <c r="B68" s="43"/>
      <c r="C68" s="43"/>
      <c r="D68" s="43"/>
      <c r="E68" s="43"/>
    </row>
    <row r="69" ht="15.75" customHeight="1">
      <c r="A69" s="43"/>
      <c r="B69" s="43"/>
      <c r="C69" s="43"/>
      <c r="D69" s="43"/>
      <c r="E69" s="43"/>
    </row>
    <row r="70" ht="15.75" customHeight="1">
      <c r="A70" s="43"/>
      <c r="B70" s="43"/>
      <c r="C70" s="43"/>
      <c r="D70" s="43"/>
      <c r="E70" s="43"/>
    </row>
    <row r="71" ht="15.75" customHeight="1">
      <c r="A71" s="43"/>
      <c r="B71" s="43"/>
      <c r="C71" s="43"/>
      <c r="D71" s="43"/>
      <c r="E71" s="43"/>
    </row>
    <row r="72" ht="15.75" customHeight="1">
      <c r="A72" s="43"/>
      <c r="B72" s="43"/>
      <c r="C72" s="43"/>
      <c r="D72" s="43"/>
      <c r="E72" s="43"/>
    </row>
    <row r="73" ht="15.75" customHeight="1">
      <c r="A73" s="43"/>
      <c r="B73" s="43"/>
      <c r="C73" s="43"/>
      <c r="D73" s="43"/>
      <c r="E73" s="43"/>
    </row>
    <row r="74" ht="15.75" customHeight="1">
      <c r="A74" s="43"/>
      <c r="B74" s="43"/>
      <c r="C74" s="43"/>
      <c r="D74" s="43"/>
      <c r="E74" s="43"/>
    </row>
    <row r="75" ht="15.75" customHeight="1">
      <c r="A75" s="43"/>
      <c r="B75" s="43"/>
      <c r="C75" s="43"/>
      <c r="D75" s="43"/>
      <c r="E75" s="43"/>
    </row>
    <row r="76" ht="15.75" customHeight="1">
      <c r="A76" s="43"/>
      <c r="B76" s="43"/>
      <c r="C76" s="43"/>
      <c r="D76" s="43"/>
      <c r="E76" s="43"/>
    </row>
    <row r="77" ht="15.75" customHeight="1">
      <c r="A77" s="43"/>
      <c r="B77" s="43"/>
      <c r="C77" s="43"/>
      <c r="D77" s="43"/>
      <c r="E77" s="43"/>
    </row>
    <row r="78" ht="15.75" customHeight="1">
      <c r="A78" s="43"/>
      <c r="B78" s="43"/>
      <c r="C78" s="43"/>
      <c r="D78" s="43"/>
      <c r="E78" s="43"/>
    </row>
    <row r="79" ht="15.75" customHeight="1">
      <c r="A79" s="43"/>
      <c r="B79" s="43"/>
      <c r="C79" s="43"/>
      <c r="D79" s="43"/>
      <c r="E79" s="43"/>
    </row>
    <row r="80" ht="15.75" customHeight="1">
      <c r="A80" s="43"/>
      <c r="B80" s="43"/>
      <c r="C80" s="43"/>
      <c r="D80" s="43"/>
      <c r="E80" s="43"/>
    </row>
    <row r="81" ht="15.75" customHeight="1">
      <c r="A81" s="43"/>
      <c r="B81" s="43"/>
      <c r="C81" s="43"/>
      <c r="D81" s="43"/>
      <c r="E81" s="43"/>
    </row>
    <row r="82" ht="15.75" customHeight="1">
      <c r="A82" s="43"/>
      <c r="B82" s="43"/>
      <c r="C82" s="43"/>
      <c r="D82" s="43"/>
      <c r="E82" s="43"/>
    </row>
    <row r="83" ht="15.75" customHeight="1">
      <c r="A83" s="43"/>
      <c r="B83" s="43"/>
      <c r="C83" s="43"/>
      <c r="D83" s="43"/>
      <c r="E83" s="43"/>
    </row>
    <row r="84" ht="15.75" customHeight="1">
      <c r="A84" s="43"/>
      <c r="B84" s="43"/>
      <c r="C84" s="43"/>
      <c r="D84" s="43"/>
      <c r="E84" s="43"/>
    </row>
    <row r="85" ht="15.75" customHeight="1">
      <c r="A85" s="43"/>
      <c r="B85" s="43"/>
      <c r="C85" s="43"/>
      <c r="D85" s="43"/>
      <c r="E85" s="43"/>
    </row>
    <row r="86" ht="15.75" customHeight="1">
      <c r="A86" s="43"/>
      <c r="B86" s="43"/>
      <c r="C86" s="43"/>
      <c r="D86" s="43"/>
      <c r="E86" s="43"/>
    </row>
    <row r="87" ht="15.75" customHeight="1">
      <c r="A87" s="43"/>
      <c r="B87" s="43"/>
      <c r="C87" s="43"/>
      <c r="D87" s="43"/>
      <c r="E87" s="43"/>
    </row>
    <row r="88" ht="15.75" customHeight="1">
      <c r="A88" s="43"/>
      <c r="B88" s="43"/>
      <c r="C88" s="43"/>
      <c r="D88" s="43"/>
      <c r="E88" s="43"/>
    </row>
    <row r="89" ht="15.75" customHeight="1">
      <c r="A89" s="43"/>
      <c r="B89" s="43"/>
      <c r="C89" s="43"/>
      <c r="D89" s="43"/>
      <c r="E89" s="43"/>
    </row>
    <row r="90" ht="15.75" customHeight="1">
      <c r="A90" s="43"/>
      <c r="B90" s="43"/>
      <c r="C90" s="43"/>
      <c r="D90" s="43"/>
      <c r="E90" s="43"/>
    </row>
    <row r="91" ht="15.75" customHeight="1">
      <c r="A91" s="43"/>
      <c r="B91" s="43"/>
      <c r="C91" s="43"/>
      <c r="D91" s="43"/>
      <c r="E91" s="43"/>
    </row>
    <row r="92" ht="15.75" customHeight="1">
      <c r="A92" s="43"/>
      <c r="B92" s="43"/>
      <c r="C92" s="43"/>
      <c r="D92" s="43"/>
      <c r="E92" s="43"/>
    </row>
    <row r="93" ht="15.75" customHeight="1">
      <c r="A93" s="43"/>
      <c r="B93" s="43"/>
      <c r="C93" s="43"/>
      <c r="D93" s="43"/>
      <c r="E93" s="43"/>
    </row>
    <row r="94" ht="15.75" customHeight="1">
      <c r="A94" s="43"/>
      <c r="B94" s="43"/>
      <c r="C94" s="43"/>
      <c r="D94" s="43"/>
      <c r="E94" s="43"/>
    </row>
    <row r="95" ht="15.75" customHeight="1">
      <c r="A95" s="43"/>
      <c r="B95" s="43"/>
      <c r="C95" s="43"/>
      <c r="D95" s="43"/>
      <c r="E95" s="43"/>
    </row>
    <row r="96" ht="15.75" customHeight="1">
      <c r="A96" s="43"/>
      <c r="B96" s="43"/>
      <c r="C96" s="43"/>
      <c r="D96" s="43"/>
      <c r="E96" s="43"/>
    </row>
    <row r="97" ht="15.75" customHeight="1">
      <c r="A97" s="43"/>
      <c r="B97" s="43"/>
      <c r="C97" s="43"/>
      <c r="D97" s="43"/>
      <c r="E97" s="43"/>
    </row>
    <row r="98" ht="15.75" customHeight="1">
      <c r="A98" s="43"/>
      <c r="B98" s="43"/>
      <c r="C98" s="43"/>
      <c r="D98" s="43"/>
      <c r="E98" s="43"/>
    </row>
    <row r="99" ht="15.75" customHeight="1">
      <c r="A99" s="43"/>
      <c r="B99" s="43"/>
      <c r="C99" s="43"/>
      <c r="D99" s="43"/>
      <c r="E99" s="43"/>
    </row>
    <row r="100" ht="15.75" customHeight="1">
      <c r="A100" s="43"/>
      <c r="B100" s="43"/>
      <c r="C100" s="43"/>
      <c r="D100" s="43"/>
      <c r="E100" s="43"/>
    </row>
    <row r="101" ht="15.75" customHeight="1">
      <c r="A101" s="43"/>
      <c r="B101" s="43"/>
      <c r="C101" s="43"/>
      <c r="D101" s="43"/>
      <c r="E101" s="43"/>
    </row>
    <row r="102" ht="15.75" customHeight="1">
      <c r="A102" s="43"/>
      <c r="B102" s="43"/>
      <c r="C102" s="43"/>
      <c r="D102" s="43"/>
      <c r="E102" s="43"/>
    </row>
    <row r="103" ht="15.75" customHeight="1">
      <c r="A103" s="43"/>
      <c r="B103" s="43"/>
      <c r="C103" s="43"/>
      <c r="D103" s="43"/>
      <c r="E103" s="43"/>
    </row>
    <row r="104" ht="15.75" customHeight="1">
      <c r="A104" s="43"/>
      <c r="B104" s="43"/>
      <c r="C104" s="43"/>
      <c r="D104" s="43"/>
      <c r="E104" s="43"/>
    </row>
    <row r="105" ht="15.75" customHeight="1">
      <c r="A105" s="43"/>
      <c r="B105" s="43"/>
      <c r="C105" s="43"/>
      <c r="D105" s="43"/>
      <c r="E105" s="43"/>
    </row>
    <row r="106" ht="15.75" customHeight="1">
      <c r="A106" s="43"/>
      <c r="B106" s="43"/>
      <c r="C106" s="43"/>
      <c r="D106" s="43"/>
      <c r="E106" s="43"/>
    </row>
    <row r="107" ht="15.75" customHeight="1">
      <c r="A107" s="43"/>
      <c r="B107" s="43"/>
      <c r="C107" s="43"/>
      <c r="D107" s="43"/>
      <c r="E107" s="43"/>
    </row>
    <row r="108" ht="15.75" customHeight="1">
      <c r="A108" s="43"/>
      <c r="B108" s="43"/>
      <c r="C108" s="43"/>
      <c r="D108" s="43"/>
      <c r="E108" s="43"/>
    </row>
    <row r="109" ht="15.75" customHeight="1">
      <c r="A109" s="43"/>
      <c r="B109" s="43"/>
      <c r="C109" s="43"/>
      <c r="D109" s="43"/>
      <c r="E109" s="43"/>
    </row>
    <row r="110" ht="15.75" customHeight="1">
      <c r="A110" s="43"/>
      <c r="B110" s="43"/>
      <c r="C110" s="43"/>
      <c r="D110" s="43"/>
      <c r="E110" s="43"/>
    </row>
    <row r="111" ht="15.75" customHeight="1">
      <c r="A111" s="43"/>
      <c r="B111" s="43"/>
      <c r="C111" s="43"/>
      <c r="D111" s="43"/>
      <c r="E111" s="43"/>
    </row>
    <row r="112" ht="15.75" customHeight="1">
      <c r="A112" s="43"/>
      <c r="B112" s="43"/>
      <c r="C112" s="43"/>
      <c r="D112" s="43"/>
      <c r="E112" s="43"/>
    </row>
    <row r="113" ht="15.75" customHeight="1">
      <c r="A113" s="43"/>
      <c r="B113" s="43"/>
      <c r="C113" s="43"/>
      <c r="D113" s="43"/>
      <c r="E113" s="43"/>
    </row>
    <row r="114" ht="15.75" customHeight="1">
      <c r="A114" s="43"/>
      <c r="B114" s="43"/>
      <c r="C114" s="43"/>
      <c r="D114" s="43"/>
      <c r="E114" s="43"/>
    </row>
    <row r="115" ht="15.75" customHeight="1">
      <c r="A115" s="43"/>
      <c r="B115" s="43"/>
      <c r="C115" s="43"/>
      <c r="D115" s="43"/>
      <c r="E115" s="43"/>
    </row>
    <row r="116" ht="15.75" customHeight="1">
      <c r="A116" s="43"/>
      <c r="B116" s="43"/>
      <c r="C116" s="43"/>
      <c r="D116" s="43"/>
      <c r="E116" s="43"/>
    </row>
    <row r="117" ht="15.75" customHeight="1">
      <c r="A117" s="43"/>
      <c r="B117" s="43"/>
      <c r="C117" s="43"/>
      <c r="D117" s="43"/>
      <c r="E117" s="43"/>
    </row>
    <row r="118" ht="15.75" customHeight="1">
      <c r="A118" s="43"/>
      <c r="B118" s="43"/>
      <c r="C118" s="43"/>
      <c r="D118" s="43"/>
      <c r="E118" s="43"/>
    </row>
    <row r="119" ht="15.75" customHeight="1">
      <c r="A119" s="43"/>
      <c r="B119" s="43"/>
      <c r="C119" s="43"/>
      <c r="D119" s="43"/>
      <c r="E119" s="43"/>
    </row>
    <row r="120" ht="15.75" customHeight="1">
      <c r="A120" s="43"/>
      <c r="B120" s="43"/>
      <c r="C120" s="43"/>
      <c r="D120" s="43"/>
      <c r="E120" s="43"/>
    </row>
    <row r="121" ht="15.75" customHeight="1">
      <c r="A121" s="43"/>
      <c r="B121" s="43"/>
      <c r="C121" s="43"/>
      <c r="D121" s="43"/>
      <c r="E121" s="43"/>
    </row>
    <row r="122" ht="15.75" customHeight="1">
      <c r="A122" s="43"/>
      <c r="B122" s="43"/>
      <c r="C122" s="43"/>
      <c r="D122" s="43"/>
      <c r="E122" s="43"/>
    </row>
    <row r="123" ht="15.75" customHeight="1">
      <c r="A123" s="43"/>
      <c r="B123" s="43"/>
      <c r="C123" s="43"/>
      <c r="D123" s="43"/>
      <c r="E123" s="43"/>
    </row>
    <row r="124" ht="15.75" customHeight="1">
      <c r="A124" s="43"/>
      <c r="B124" s="43"/>
      <c r="C124" s="43"/>
      <c r="D124" s="43"/>
      <c r="E124" s="43"/>
    </row>
    <row r="125" ht="15.75" customHeight="1">
      <c r="A125" s="43"/>
      <c r="B125" s="43"/>
      <c r="C125" s="43"/>
      <c r="D125" s="43"/>
      <c r="E125" s="43"/>
    </row>
    <row r="126" ht="15.75" customHeight="1">
      <c r="A126" s="43"/>
      <c r="B126" s="43"/>
      <c r="C126" s="43"/>
      <c r="D126" s="43"/>
      <c r="E126" s="43"/>
    </row>
    <row r="127" ht="15.75" customHeight="1">
      <c r="A127" s="43"/>
      <c r="B127" s="43"/>
      <c r="C127" s="43"/>
      <c r="D127" s="43"/>
      <c r="E127" s="43"/>
    </row>
    <row r="128" ht="15.75" customHeight="1">
      <c r="A128" s="43"/>
      <c r="B128" s="43"/>
      <c r="C128" s="43"/>
      <c r="D128" s="43"/>
      <c r="E128" s="43"/>
    </row>
    <row r="129" ht="15.75" customHeight="1">
      <c r="A129" s="43"/>
      <c r="B129" s="43"/>
      <c r="C129" s="43"/>
      <c r="D129" s="43"/>
      <c r="E129" s="43"/>
    </row>
    <row r="130" ht="15.75" customHeight="1">
      <c r="A130" s="43"/>
      <c r="B130" s="43"/>
      <c r="C130" s="43"/>
      <c r="D130" s="43"/>
      <c r="E130" s="43"/>
    </row>
    <row r="131" ht="15.75" customHeight="1">
      <c r="A131" s="43"/>
      <c r="B131" s="43"/>
      <c r="C131" s="43"/>
      <c r="D131" s="43"/>
      <c r="E131" s="43"/>
    </row>
    <row r="132" ht="15.75" customHeight="1">
      <c r="A132" s="43"/>
      <c r="B132" s="43"/>
      <c r="C132" s="43"/>
      <c r="D132" s="43"/>
      <c r="E132" s="43"/>
    </row>
    <row r="133" ht="15.75" customHeight="1">
      <c r="A133" s="43"/>
      <c r="B133" s="43"/>
      <c r="C133" s="43"/>
      <c r="D133" s="43"/>
      <c r="E133" s="43"/>
    </row>
    <row r="134" ht="15.75" customHeight="1">
      <c r="A134" s="43"/>
      <c r="B134" s="43"/>
      <c r="C134" s="43"/>
      <c r="D134" s="43"/>
      <c r="E134" s="43"/>
    </row>
    <row r="135" ht="15.75" customHeight="1">
      <c r="A135" s="43"/>
      <c r="B135" s="43"/>
      <c r="C135" s="43"/>
      <c r="D135" s="43"/>
      <c r="E135" s="43"/>
    </row>
    <row r="136" ht="15.75" customHeight="1">
      <c r="A136" s="43"/>
      <c r="B136" s="43"/>
      <c r="C136" s="43"/>
      <c r="D136" s="43"/>
      <c r="E136" s="43"/>
    </row>
    <row r="137" ht="15.75" customHeight="1">
      <c r="A137" s="43"/>
      <c r="B137" s="43"/>
      <c r="C137" s="43"/>
      <c r="D137" s="43"/>
      <c r="E137" s="43"/>
    </row>
    <row r="138" ht="15.75" customHeight="1">
      <c r="A138" s="43"/>
      <c r="B138" s="43"/>
      <c r="C138" s="43"/>
      <c r="D138" s="43"/>
      <c r="E138" s="43"/>
    </row>
    <row r="139" ht="15.75" customHeight="1">
      <c r="A139" s="43"/>
      <c r="B139" s="43"/>
      <c r="C139" s="43"/>
      <c r="D139" s="43"/>
      <c r="E139" s="43"/>
    </row>
    <row r="140" ht="15.75" customHeight="1">
      <c r="A140" s="43"/>
      <c r="B140" s="43"/>
      <c r="C140" s="43"/>
      <c r="D140" s="43"/>
      <c r="E140" s="43"/>
    </row>
    <row r="141" ht="15.75" customHeight="1">
      <c r="A141" s="43"/>
      <c r="B141" s="43"/>
      <c r="C141" s="43"/>
      <c r="D141" s="43"/>
      <c r="E141" s="43"/>
    </row>
    <row r="142" ht="15.75" customHeight="1">
      <c r="A142" s="43"/>
      <c r="B142" s="43"/>
      <c r="C142" s="43"/>
      <c r="D142" s="43"/>
      <c r="E142" s="43"/>
    </row>
    <row r="143" ht="15.75" customHeight="1">
      <c r="A143" s="43"/>
      <c r="B143" s="43"/>
      <c r="C143" s="43"/>
      <c r="D143" s="43"/>
      <c r="E143" s="43"/>
    </row>
    <row r="144" ht="15.75" customHeight="1">
      <c r="A144" s="43"/>
      <c r="B144" s="43"/>
      <c r="C144" s="43"/>
      <c r="D144" s="43"/>
      <c r="E144" s="43"/>
    </row>
    <row r="145" ht="15.75" customHeight="1">
      <c r="A145" s="43"/>
      <c r="B145" s="43"/>
      <c r="C145" s="43"/>
      <c r="D145" s="43"/>
      <c r="E145" s="43"/>
    </row>
    <row r="146" ht="15.75" customHeight="1">
      <c r="A146" s="43"/>
      <c r="B146" s="43"/>
      <c r="C146" s="43"/>
      <c r="D146" s="43"/>
      <c r="E146" s="43"/>
    </row>
    <row r="147" ht="15.75" customHeight="1">
      <c r="A147" s="43"/>
      <c r="B147" s="43"/>
      <c r="C147" s="43"/>
      <c r="D147" s="43"/>
      <c r="E147" s="43"/>
    </row>
    <row r="148" ht="15.75" customHeight="1">
      <c r="A148" s="43"/>
      <c r="B148" s="43"/>
      <c r="C148" s="43"/>
      <c r="D148" s="43"/>
      <c r="E148" s="43"/>
    </row>
    <row r="149" ht="15.75" customHeight="1">
      <c r="A149" s="43"/>
      <c r="B149" s="43"/>
      <c r="C149" s="43"/>
      <c r="D149" s="43"/>
      <c r="E149" s="43"/>
    </row>
    <row r="150" ht="15.75" customHeight="1">
      <c r="A150" s="43"/>
      <c r="B150" s="43"/>
      <c r="C150" s="43"/>
      <c r="D150" s="43"/>
      <c r="E150" s="43"/>
    </row>
    <row r="151" ht="15.75" customHeight="1">
      <c r="A151" s="43"/>
      <c r="B151" s="43"/>
      <c r="C151" s="43"/>
      <c r="D151" s="43"/>
      <c r="E151" s="43"/>
    </row>
    <row r="152" ht="15.75" customHeight="1">
      <c r="A152" s="43"/>
      <c r="B152" s="43"/>
      <c r="C152" s="43"/>
      <c r="D152" s="43"/>
      <c r="E152" s="43"/>
    </row>
    <row r="153" ht="15.75" customHeight="1">
      <c r="A153" s="43"/>
      <c r="B153" s="43"/>
      <c r="C153" s="43"/>
      <c r="D153" s="43"/>
      <c r="E153" s="43"/>
    </row>
    <row r="154" ht="15.75" customHeight="1">
      <c r="A154" s="43"/>
      <c r="B154" s="43"/>
      <c r="C154" s="43"/>
      <c r="D154" s="43"/>
      <c r="E154" s="43"/>
    </row>
    <row r="155" ht="15.75" customHeight="1">
      <c r="A155" s="43"/>
      <c r="B155" s="43"/>
      <c r="C155" s="43"/>
      <c r="D155" s="43"/>
      <c r="E155" s="43"/>
    </row>
    <row r="156" ht="15.75" customHeight="1">
      <c r="A156" s="43"/>
      <c r="B156" s="43"/>
      <c r="C156" s="43"/>
      <c r="D156" s="43"/>
      <c r="E156" s="43"/>
    </row>
    <row r="157" ht="15.75" customHeight="1">
      <c r="A157" s="43"/>
      <c r="B157" s="43"/>
      <c r="C157" s="43"/>
      <c r="D157" s="43"/>
      <c r="E157" s="43"/>
    </row>
    <row r="158" ht="15.75" customHeight="1">
      <c r="A158" s="43"/>
      <c r="B158" s="43"/>
      <c r="C158" s="43"/>
      <c r="D158" s="43"/>
      <c r="E158" s="43"/>
    </row>
    <row r="159" ht="15.75" customHeight="1">
      <c r="A159" s="43"/>
      <c r="B159" s="43"/>
      <c r="C159" s="43"/>
      <c r="D159" s="43"/>
      <c r="E159" s="43"/>
    </row>
    <row r="160" ht="15.75" customHeight="1">
      <c r="A160" s="43"/>
      <c r="B160" s="43"/>
      <c r="C160" s="43"/>
      <c r="D160" s="43"/>
      <c r="E160" s="43"/>
    </row>
    <row r="161" ht="15.75" customHeight="1">
      <c r="A161" s="43"/>
      <c r="B161" s="43"/>
      <c r="C161" s="43"/>
      <c r="D161" s="43"/>
      <c r="E161" s="43"/>
    </row>
    <row r="162" ht="15.75" customHeight="1">
      <c r="A162" s="43"/>
      <c r="B162" s="43"/>
      <c r="C162" s="43"/>
      <c r="D162" s="43"/>
      <c r="E162" s="43"/>
    </row>
    <row r="163" ht="15.75" customHeight="1">
      <c r="A163" s="43"/>
      <c r="B163" s="43"/>
      <c r="C163" s="43"/>
      <c r="D163" s="43"/>
      <c r="E163" s="43"/>
    </row>
    <row r="164" ht="15.75" customHeight="1">
      <c r="A164" s="43"/>
      <c r="B164" s="43"/>
      <c r="C164" s="43"/>
      <c r="D164" s="43"/>
      <c r="E164" s="43"/>
    </row>
    <row r="165" ht="15.75" customHeight="1">
      <c r="A165" s="43"/>
      <c r="B165" s="43"/>
      <c r="C165" s="43"/>
      <c r="D165" s="43"/>
      <c r="E165" s="43"/>
    </row>
    <row r="166" ht="15.75" customHeight="1">
      <c r="A166" s="43"/>
      <c r="B166" s="43"/>
      <c r="C166" s="43"/>
      <c r="D166" s="43"/>
      <c r="E166" s="43"/>
    </row>
    <row r="167" ht="15.75" customHeight="1">
      <c r="A167" s="43"/>
      <c r="B167" s="43"/>
      <c r="C167" s="43"/>
      <c r="D167" s="43"/>
      <c r="E167" s="43"/>
    </row>
    <row r="168" ht="15.75" customHeight="1">
      <c r="A168" s="43"/>
      <c r="B168" s="43"/>
      <c r="C168" s="43"/>
      <c r="D168" s="43"/>
      <c r="E168" s="43"/>
    </row>
    <row r="169" ht="15.75" customHeight="1">
      <c r="A169" s="43"/>
      <c r="B169" s="43"/>
      <c r="C169" s="43"/>
      <c r="D169" s="43"/>
      <c r="E169" s="43"/>
    </row>
    <row r="170" ht="15.75" customHeight="1">
      <c r="A170" s="43"/>
      <c r="B170" s="43"/>
      <c r="C170" s="43"/>
      <c r="D170" s="43"/>
      <c r="E170" s="43"/>
    </row>
    <row r="171" ht="15.75" customHeight="1">
      <c r="A171" s="43"/>
      <c r="B171" s="43"/>
      <c r="C171" s="43"/>
      <c r="D171" s="43"/>
      <c r="E171" s="43"/>
    </row>
    <row r="172" ht="15.75" customHeight="1">
      <c r="A172" s="43"/>
      <c r="B172" s="43"/>
      <c r="C172" s="43"/>
      <c r="D172" s="43"/>
      <c r="E172" s="43"/>
    </row>
    <row r="173" ht="15.75" customHeight="1">
      <c r="A173" s="43"/>
      <c r="B173" s="43"/>
      <c r="C173" s="43"/>
      <c r="D173" s="43"/>
      <c r="E173" s="43"/>
    </row>
    <row r="174" ht="15.75" customHeight="1">
      <c r="A174" s="43"/>
      <c r="B174" s="43"/>
      <c r="C174" s="43"/>
      <c r="D174" s="43"/>
      <c r="E174" s="43"/>
    </row>
    <row r="175" ht="15.75" customHeight="1">
      <c r="A175" s="43"/>
      <c r="B175" s="43"/>
      <c r="C175" s="43"/>
      <c r="D175" s="43"/>
      <c r="E175" s="43"/>
    </row>
    <row r="176" ht="15.75" customHeight="1">
      <c r="A176" s="43"/>
      <c r="B176" s="43"/>
      <c r="C176" s="43"/>
      <c r="D176" s="43"/>
      <c r="E176" s="43"/>
    </row>
    <row r="177" ht="15.75" customHeight="1">
      <c r="A177" s="43"/>
      <c r="B177" s="43"/>
      <c r="C177" s="43"/>
      <c r="D177" s="43"/>
      <c r="E177" s="43"/>
    </row>
    <row r="178" ht="15.75" customHeight="1">
      <c r="A178" s="43"/>
      <c r="B178" s="43"/>
      <c r="C178" s="43"/>
      <c r="D178" s="43"/>
      <c r="E178" s="43"/>
    </row>
    <row r="179" ht="15.75" customHeight="1">
      <c r="A179" s="43"/>
      <c r="B179" s="43"/>
      <c r="C179" s="43"/>
      <c r="D179" s="43"/>
      <c r="E179" s="43"/>
    </row>
    <row r="180" ht="15.75" customHeight="1">
      <c r="A180" s="43"/>
      <c r="B180" s="43"/>
      <c r="C180" s="43"/>
      <c r="D180" s="43"/>
      <c r="E180" s="43"/>
    </row>
    <row r="181" ht="15.75" customHeight="1">
      <c r="A181" s="43"/>
      <c r="B181" s="43"/>
      <c r="C181" s="43"/>
      <c r="D181" s="43"/>
      <c r="E181" s="43"/>
    </row>
    <row r="182" ht="15.75" customHeight="1">
      <c r="A182" s="43"/>
      <c r="B182" s="43"/>
      <c r="C182" s="43"/>
      <c r="D182" s="43"/>
      <c r="E182" s="43"/>
    </row>
    <row r="183" ht="15.75" customHeight="1">
      <c r="A183" s="43"/>
      <c r="B183" s="43"/>
      <c r="C183" s="43"/>
      <c r="D183" s="43"/>
      <c r="E183" s="43"/>
    </row>
    <row r="184" ht="15.75" customHeight="1">
      <c r="A184" s="43"/>
      <c r="B184" s="43"/>
      <c r="C184" s="43"/>
      <c r="D184" s="43"/>
      <c r="E184" s="43"/>
    </row>
    <row r="185" ht="15.75" customHeight="1">
      <c r="A185" s="43"/>
      <c r="B185" s="43"/>
      <c r="C185" s="43"/>
      <c r="D185" s="43"/>
      <c r="E185" s="43"/>
    </row>
    <row r="186" ht="15.75" customHeight="1">
      <c r="A186" s="43"/>
      <c r="B186" s="43"/>
      <c r="C186" s="43"/>
      <c r="D186" s="43"/>
      <c r="E186" s="43"/>
    </row>
    <row r="187" ht="15.75" customHeight="1">
      <c r="A187" s="43"/>
      <c r="B187" s="43"/>
      <c r="C187" s="43"/>
      <c r="D187" s="43"/>
      <c r="E187" s="43"/>
    </row>
    <row r="188" ht="15.75" customHeight="1">
      <c r="A188" s="43"/>
      <c r="B188" s="43"/>
      <c r="C188" s="43"/>
      <c r="D188" s="43"/>
      <c r="E188" s="43"/>
    </row>
    <row r="189" ht="15.75" customHeight="1">
      <c r="A189" s="43"/>
      <c r="B189" s="43"/>
      <c r="C189" s="43"/>
      <c r="D189" s="43"/>
      <c r="E189" s="43"/>
    </row>
    <row r="190" ht="15.75" customHeight="1">
      <c r="A190" s="43"/>
      <c r="B190" s="43"/>
      <c r="C190" s="43"/>
      <c r="D190" s="43"/>
      <c r="E190" s="43"/>
    </row>
    <row r="191" ht="15.75" customHeight="1">
      <c r="A191" s="43"/>
      <c r="B191" s="43"/>
      <c r="C191" s="43"/>
      <c r="D191" s="43"/>
      <c r="E191" s="43"/>
    </row>
    <row r="192" ht="15.75" customHeight="1">
      <c r="A192" s="43"/>
      <c r="B192" s="43"/>
      <c r="C192" s="43"/>
      <c r="D192" s="43"/>
      <c r="E192" s="43"/>
    </row>
    <row r="193" ht="15.75" customHeight="1">
      <c r="A193" s="43"/>
      <c r="B193" s="43"/>
      <c r="C193" s="43"/>
      <c r="D193" s="43"/>
      <c r="E193" s="43"/>
    </row>
    <row r="194" ht="15.75" customHeight="1">
      <c r="A194" s="43"/>
      <c r="B194" s="43"/>
      <c r="C194" s="43"/>
      <c r="D194" s="43"/>
      <c r="E194" s="43"/>
    </row>
    <row r="195" ht="15.75" customHeight="1">
      <c r="A195" s="43"/>
      <c r="B195" s="43"/>
      <c r="C195" s="43"/>
      <c r="D195" s="43"/>
      <c r="E195" s="43"/>
    </row>
    <row r="196" ht="15.75" customHeight="1">
      <c r="A196" s="43"/>
      <c r="B196" s="43"/>
      <c r="C196" s="43"/>
      <c r="D196" s="43"/>
      <c r="E196" s="43"/>
    </row>
    <row r="197" ht="15.75" customHeight="1">
      <c r="A197" s="43"/>
      <c r="B197" s="43"/>
      <c r="C197" s="43"/>
      <c r="D197" s="43"/>
      <c r="E197" s="43"/>
    </row>
    <row r="198" ht="15.75" customHeight="1">
      <c r="A198" s="43"/>
      <c r="B198" s="43"/>
      <c r="C198" s="43"/>
      <c r="D198" s="43"/>
      <c r="E198" s="43"/>
    </row>
    <row r="199" ht="15.75" customHeight="1">
      <c r="A199" s="43"/>
      <c r="B199" s="43"/>
      <c r="C199" s="43"/>
      <c r="D199" s="43"/>
      <c r="E199" s="43"/>
    </row>
    <row r="200" ht="15.75" customHeight="1">
      <c r="A200" s="43"/>
      <c r="B200" s="43"/>
      <c r="C200" s="43"/>
      <c r="D200" s="43"/>
      <c r="E200" s="43"/>
    </row>
    <row r="201" ht="15.75" customHeight="1">
      <c r="A201" s="43"/>
      <c r="B201" s="43"/>
      <c r="C201" s="43"/>
      <c r="D201" s="43"/>
      <c r="E201" s="43"/>
    </row>
    <row r="202" ht="15.75" customHeight="1">
      <c r="A202" s="43"/>
      <c r="B202" s="43"/>
      <c r="C202" s="43"/>
      <c r="D202" s="43"/>
      <c r="E202" s="43"/>
    </row>
    <row r="203" ht="15.75" customHeight="1">
      <c r="A203" s="43"/>
      <c r="B203" s="43"/>
      <c r="C203" s="43"/>
      <c r="D203" s="43"/>
      <c r="E203" s="43"/>
    </row>
    <row r="204" ht="15.75" customHeight="1">
      <c r="A204" s="43"/>
      <c r="B204" s="43"/>
      <c r="C204" s="43"/>
      <c r="D204" s="43"/>
      <c r="E204" s="43"/>
    </row>
    <row r="205" ht="15.75" customHeight="1">
      <c r="A205" s="43"/>
      <c r="B205" s="43"/>
      <c r="C205" s="43"/>
      <c r="D205" s="43"/>
      <c r="E205" s="43"/>
    </row>
    <row r="206" ht="15.75" customHeight="1">
      <c r="A206" s="43"/>
      <c r="B206" s="43"/>
      <c r="C206" s="43"/>
      <c r="D206" s="43"/>
      <c r="E206" s="43"/>
    </row>
    <row r="207" ht="15.75" customHeight="1">
      <c r="A207" s="43"/>
      <c r="B207" s="43"/>
      <c r="C207" s="43"/>
      <c r="D207" s="43"/>
      <c r="E207" s="43"/>
    </row>
    <row r="208" ht="15.75" customHeight="1">
      <c r="A208" s="43"/>
      <c r="B208" s="43"/>
      <c r="C208" s="43"/>
      <c r="D208" s="43"/>
      <c r="E208" s="43"/>
    </row>
    <row r="209" ht="15.75" customHeight="1">
      <c r="A209" s="43"/>
      <c r="B209" s="43"/>
      <c r="C209" s="43"/>
      <c r="D209" s="43"/>
      <c r="E209" s="43"/>
    </row>
    <row r="210" ht="15.75" customHeight="1">
      <c r="A210" s="43"/>
      <c r="B210" s="43"/>
      <c r="C210" s="43"/>
      <c r="D210" s="43"/>
      <c r="E210" s="43"/>
    </row>
    <row r="211" ht="15.75" customHeight="1">
      <c r="A211" s="43"/>
      <c r="B211" s="43"/>
      <c r="C211" s="43"/>
      <c r="D211" s="43"/>
      <c r="E211" s="43"/>
    </row>
    <row r="212" ht="15.75" customHeight="1">
      <c r="A212" s="43"/>
      <c r="B212" s="43"/>
      <c r="C212" s="43"/>
      <c r="D212" s="43"/>
      <c r="E212" s="43"/>
    </row>
    <row r="213" ht="15.75" customHeight="1">
      <c r="A213" s="43"/>
      <c r="B213" s="43"/>
      <c r="C213" s="43"/>
      <c r="D213" s="43"/>
      <c r="E213" s="43"/>
    </row>
    <row r="214" ht="15.75" customHeight="1">
      <c r="A214" s="43"/>
      <c r="B214" s="43"/>
      <c r="C214" s="43"/>
      <c r="D214" s="43"/>
      <c r="E214" s="43"/>
    </row>
    <row r="215" ht="15.75" customHeight="1">
      <c r="A215" s="43"/>
      <c r="B215" s="43"/>
      <c r="C215" s="43"/>
      <c r="D215" s="43"/>
      <c r="E215" s="43"/>
    </row>
    <row r="216" ht="15.75" customHeight="1">
      <c r="A216" s="45"/>
      <c r="B216" s="45"/>
      <c r="C216" s="45"/>
      <c r="D216" s="45"/>
      <c r="E216" s="43"/>
    </row>
    <row r="217" ht="15.75" customHeight="1">
      <c r="A217" s="45"/>
      <c r="B217" s="45"/>
      <c r="C217" s="45"/>
      <c r="D217" s="45"/>
      <c r="E217" s="43"/>
    </row>
    <row r="218" ht="15.75" customHeight="1">
      <c r="A218" s="45"/>
      <c r="B218" s="45"/>
      <c r="C218" s="45"/>
      <c r="D218" s="45"/>
      <c r="E218" s="43"/>
    </row>
    <row r="219" ht="15.75" customHeight="1">
      <c r="A219" s="45"/>
      <c r="B219" s="45"/>
      <c r="C219" s="45"/>
      <c r="D219" s="45"/>
      <c r="E219" s="43"/>
    </row>
    <row r="220" ht="15.75" customHeight="1">
      <c r="A220" s="45"/>
      <c r="B220" s="45"/>
      <c r="C220" s="45"/>
      <c r="D220" s="45"/>
      <c r="E220" s="43"/>
    </row>
    <row r="221" ht="15.75" customHeight="1">
      <c r="A221" s="45"/>
      <c r="B221" s="45"/>
      <c r="C221" s="45"/>
      <c r="D221" s="45"/>
      <c r="E221" s="43"/>
    </row>
    <row r="222" ht="15.75" customHeight="1">
      <c r="A222" s="45"/>
      <c r="B222" s="45"/>
      <c r="C222" s="45"/>
      <c r="D222" s="45"/>
      <c r="E222" s="43"/>
    </row>
    <row r="223" ht="15.75" customHeight="1">
      <c r="A223" s="45"/>
      <c r="B223" s="45"/>
      <c r="C223" s="45"/>
      <c r="D223" s="45"/>
      <c r="E223" s="43"/>
    </row>
    <row r="224" ht="15.75" customHeight="1">
      <c r="A224" s="45"/>
      <c r="B224" s="45"/>
      <c r="C224" s="45"/>
      <c r="D224" s="45"/>
      <c r="E224" s="43"/>
    </row>
    <row r="225" ht="15.75" customHeight="1">
      <c r="A225" s="45"/>
      <c r="B225" s="45"/>
      <c r="C225" s="45"/>
      <c r="D225" s="45"/>
      <c r="E225" s="43"/>
    </row>
    <row r="226" ht="15.75" customHeight="1">
      <c r="A226" s="45"/>
      <c r="B226" s="45"/>
      <c r="C226" s="45"/>
      <c r="D226" s="45"/>
      <c r="E226" s="45"/>
    </row>
    <row r="227" ht="15.75" customHeight="1">
      <c r="A227" s="45"/>
      <c r="B227" s="45"/>
      <c r="C227" s="45"/>
      <c r="D227" s="45"/>
      <c r="E227" s="45"/>
    </row>
    <row r="228" ht="15.75" customHeight="1">
      <c r="A228" s="45"/>
      <c r="B228" s="45"/>
      <c r="C228" s="45"/>
      <c r="D228" s="45"/>
      <c r="E228" s="45"/>
    </row>
    <row r="229" ht="15.75" customHeight="1">
      <c r="A229" s="45"/>
      <c r="B229" s="45"/>
      <c r="C229" s="45"/>
      <c r="D229" s="45"/>
      <c r="E229" s="45"/>
    </row>
    <row r="230" ht="15.75" customHeight="1">
      <c r="A230" s="45"/>
      <c r="B230" s="45"/>
      <c r="C230" s="45"/>
      <c r="D230" s="45"/>
      <c r="E230" s="45"/>
    </row>
    <row r="231" ht="15.75" customHeight="1">
      <c r="A231" s="45"/>
      <c r="B231" s="45"/>
      <c r="C231" s="45"/>
      <c r="D231" s="45"/>
      <c r="E231" s="45"/>
    </row>
    <row r="232" ht="15.75" customHeight="1">
      <c r="A232" s="45"/>
      <c r="B232" s="45"/>
      <c r="C232" s="45"/>
      <c r="D232" s="45"/>
      <c r="E232" s="45"/>
    </row>
    <row r="233" ht="15.75" customHeight="1">
      <c r="A233" s="45"/>
      <c r="B233" s="45"/>
      <c r="C233" s="45"/>
      <c r="D233" s="45"/>
      <c r="E233" s="45"/>
    </row>
    <row r="234" ht="15.75" customHeight="1">
      <c r="A234" s="45"/>
      <c r="B234" s="45"/>
      <c r="C234" s="45"/>
      <c r="D234" s="45"/>
      <c r="E234" s="45"/>
    </row>
    <row r="235" ht="15.75" customHeight="1">
      <c r="A235" s="45"/>
      <c r="B235" s="45"/>
      <c r="C235" s="45"/>
      <c r="D235" s="45"/>
      <c r="E235" s="45"/>
    </row>
    <row r="236" ht="15.75" customHeight="1">
      <c r="A236" s="45"/>
      <c r="B236" s="45"/>
      <c r="C236" s="45"/>
      <c r="D236" s="45"/>
      <c r="E236" s="45"/>
    </row>
    <row r="237" ht="15.75" customHeight="1">
      <c r="A237" s="45"/>
      <c r="B237" s="45"/>
      <c r="C237" s="45"/>
      <c r="D237" s="45"/>
      <c r="E237" s="45"/>
    </row>
    <row r="238" ht="15.75" customHeight="1">
      <c r="A238" s="45"/>
      <c r="B238" s="45"/>
      <c r="C238" s="45"/>
      <c r="D238" s="45"/>
      <c r="E238" s="45"/>
    </row>
    <row r="239" ht="15.75" customHeight="1">
      <c r="A239" s="45"/>
      <c r="B239" s="45"/>
      <c r="C239" s="45"/>
      <c r="D239" s="45"/>
      <c r="E239" s="45"/>
    </row>
    <row r="240" ht="15.75" customHeight="1">
      <c r="A240" s="45"/>
      <c r="B240" s="45"/>
      <c r="C240" s="45"/>
      <c r="D240" s="45"/>
      <c r="E240" s="45"/>
    </row>
    <row r="241" ht="15.75" customHeight="1">
      <c r="A241" s="45"/>
      <c r="B241" s="45"/>
      <c r="C241" s="45"/>
      <c r="D241" s="45"/>
      <c r="E241" s="45"/>
    </row>
    <row r="242" ht="15.75" customHeight="1">
      <c r="A242" s="45"/>
      <c r="B242" s="45"/>
      <c r="C242" s="45"/>
      <c r="D242" s="45"/>
      <c r="E242" s="45"/>
    </row>
    <row r="243" ht="15.75" customHeight="1">
      <c r="A243" s="45"/>
      <c r="B243" s="45"/>
      <c r="C243" s="45"/>
      <c r="D243" s="45"/>
      <c r="E243" s="45"/>
    </row>
    <row r="244" ht="15.75" customHeight="1">
      <c r="A244" s="45"/>
      <c r="B244" s="45"/>
      <c r="C244" s="45"/>
      <c r="D244" s="45"/>
      <c r="E244" s="45"/>
    </row>
    <row r="245" ht="15.75" customHeight="1">
      <c r="A245" s="45"/>
      <c r="B245" s="45"/>
      <c r="C245" s="45"/>
      <c r="D245" s="45"/>
      <c r="E245" s="45"/>
    </row>
    <row r="246" ht="15.75" customHeight="1">
      <c r="A246" s="45"/>
      <c r="B246" s="45"/>
      <c r="C246" s="45"/>
      <c r="D246" s="45"/>
      <c r="E246" s="45"/>
    </row>
    <row r="247" ht="15.75" customHeight="1">
      <c r="A247" s="45"/>
      <c r="B247" s="45"/>
      <c r="C247" s="45"/>
      <c r="D247" s="45"/>
      <c r="E247" s="45"/>
    </row>
    <row r="248" ht="15.75" customHeight="1">
      <c r="A248" s="45"/>
      <c r="B248" s="45"/>
      <c r="C248" s="45"/>
      <c r="D248" s="45"/>
      <c r="E248" s="45"/>
    </row>
    <row r="249" ht="15.75" customHeight="1">
      <c r="A249" s="45"/>
      <c r="B249" s="45"/>
      <c r="C249" s="45"/>
      <c r="D249" s="45"/>
      <c r="E249" s="45"/>
    </row>
    <row r="250" ht="15.75" customHeight="1">
      <c r="A250" s="45"/>
      <c r="B250" s="45"/>
      <c r="C250" s="45"/>
      <c r="D250" s="45"/>
      <c r="E250" s="45"/>
    </row>
    <row r="251" ht="15.75" customHeight="1">
      <c r="A251" s="45"/>
      <c r="B251" s="45"/>
      <c r="C251" s="45"/>
      <c r="D251" s="45"/>
      <c r="E251" s="45"/>
    </row>
    <row r="252" ht="15.75" customHeight="1">
      <c r="A252" s="45"/>
      <c r="B252" s="45"/>
      <c r="C252" s="45"/>
      <c r="D252" s="45"/>
      <c r="E252" s="45"/>
    </row>
    <row r="253" ht="15.75" customHeight="1">
      <c r="A253" s="45"/>
      <c r="B253" s="45"/>
      <c r="C253" s="45"/>
      <c r="D253" s="45"/>
      <c r="E253" s="45"/>
    </row>
    <row r="254" ht="15.75" customHeight="1">
      <c r="A254" s="45"/>
      <c r="B254" s="45"/>
      <c r="C254" s="45"/>
      <c r="D254" s="45"/>
      <c r="E254" s="45"/>
    </row>
    <row r="255" ht="15.75" customHeight="1">
      <c r="A255" s="45"/>
      <c r="B255" s="45"/>
      <c r="C255" s="45"/>
      <c r="D255" s="45"/>
      <c r="E255" s="45"/>
    </row>
    <row r="256" ht="15.75" customHeight="1">
      <c r="A256" s="45"/>
      <c r="B256" s="45"/>
      <c r="C256" s="45"/>
      <c r="D256" s="45"/>
      <c r="E256" s="45"/>
    </row>
    <row r="257" ht="15.75" customHeight="1">
      <c r="A257" s="45"/>
      <c r="B257" s="45"/>
      <c r="C257" s="45"/>
      <c r="D257" s="45"/>
      <c r="E257" s="45"/>
    </row>
    <row r="258" ht="15.75" customHeight="1">
      <c r="A258" s="45"/>
      <c r="B258" s="45"/>
      <c r="C258" s="45"/>
      <c r="D258" s="45"/>
      <c r="E258" s="45"/>
    </row>
    <row r="259" ht="15.75" customHeight="1">
      <c r="A259" s="45"/>
      <c r="B259" s="45"/>
      <c r="C259" s="45"/>
      <c r="D259" s="45"/>
      <c r="E259" s="45"/>
    </row>
    <row r="260" ht="15.75" customHeight="1">
      <c r="A260" s="45"/>
      <c r="B260" s="45"/>
      <c r="C260" s="45"/>
      <c r="D260" s="45"/>
      <c r="E260" s="45"/>
    </row>
    <row r="261" ht="15.75" customHeight="1">
      <c r="A261" s="45"/>
      <c r="B261" s="45"/>
      <c r="C261" s="45"/>
      <c r="D261" s="45"/>
      <c r="E261" s="45"/>
    </row>
    <row r="262" ht="15.75" customHeight="1">
      <c r="A262" s="45"/>
      <c r="B262" s="45"/>
      <c r="C262" s="45"/>
      <c r="D262" s="45"/>
      <c r="E262" s="45"/>
    </row>
    <row r="263" ht="15.75" customHeight="1">
      <c r="A263" s="45"/>
      <c r="B263" s="45"/>
      <c r="C263" s="45"/>
      <c r="D263" s="45"/>
      <c r="E263" s="45"/>
    </row>
    <row r="264" ht="15.75" customHeight="1">
      <c r="A264" s="45"/>
      <c r="B264" s="45"/>
      <c r="C264" s="45"/>
      <c r="D264" s="45"/>
      <c r="E264" s="45"/>
    </row>
    <row r="265" ht="15.75" customHeight="1">
      <c r="A265" s="45"/>
      <c r="B265" s="45"/>
      <c r="C265" s="45"/>
      <c r="D265" s="45"/>
      <c r="E265" s="45"/>
    </row>
    <row r="266" ht="15.75" customHeight="1">
      <c r="A266" s="45"/>
      <c r="B266" s="45"/>
      <c r="C266" s="45"/>
      <c r="D266" s="45"/>
      <c r="E266" s="45"/>
    </row>
    <row r="267" ht="15.75" customHeight="1">
      <c r="A267" s="45"/>
      <c r="B267" s="45"/>
      <c r="C267" s="45"/>
      <c r="D267" s="45"/>
      <c r="E267" s="45"/>
    </row>
    <row r="268" ht="15.75" customHeight="1">
      <c r="A268" s="45"/>
      <c r="B268" s="45"/>
      <c r="C268" s="45"/>
      <c r="D268" s="45"/>
      <c r="E268" s="45"/>
    </row>
    <row r="269" ht="15.75" customHeight="1">
      <c r="A269" s="45"/>
      <c r="B269" s="45"/>
      <c r="C269" s="45"/>
      <c r="D269" s="45"/>
      <c r="E269" s="45"/>
    </row>
    <row r="270" ht="15.75" customHeight="1">
      <c r="A270" s="45"/>
      <c r="B270" s="45"/>
      <c r="C270" s="45"/>
      <c r="D270" s="45"/>
      <c r="E270" s="45"/>
    </row>
    <row r="271" ht="15.75" customHeight="1">
      <c r="A271" s="45"/>
      <c r="B271" s="45"/>
      <c r="C271" s="45"/>
      <c r="D271" s="45"/>
      <c r="E271" s="45"/>
    </row>
    <row r="272" ht="15.75" customHeight="1">
      <c r="A272" s="45"/>
      <c r="B272" s="45"/>
      <c r="C272" s="45"/>
      <c r="D272" s="45"/>
      <c r="E272" s="45"/>
    </row>
    <row r="273" ht="15.75" customHeight="1">
      <c r="A273" s="45"/>
      <c r="B273" s="45"/>
      <c r="C273" s="45"/>
      <c r="D273" s="45"/>
      <c r="E273" s="45"/>
    </row>
    <row r="274" ht="15.75" customHeight="1">
      <c r="A274" s="45"/>
      <c r="B274" s="45"/>
      <c r="C274" s="45"/>
      <c r="D274" s="45"/>
      <c r="E274" s="45"/>
    </row>
    <row r="275" ht="15.75" customHeight="1">
      <c r="A275" s="45"/>
      <c r="B275" s="45"/>
      <c r="C275" s="45"/>
      <c r="D275" s="45"/>
      <c r="E275" s="45"/>
    </row>
    <row r="276" ht="15.75" customHeight="1">
      <c r="A276" s="45"/>
      <c r="B276" s="45"/>
      <c r="C276" s="45"/>
      <c r="D276" s="45"/>
      <c r="E276" s="45"/>
    </row>
    <row r="277" ht="15.75" customHeight="1">
      <c r="A277" s="45"/>
      <c r="B277" s="45"/>
      <c r="C277" s="45"/>
      <c r="D277" s="45"/>
      <c r="E277" s="45"/>
    </row>
    <row r="278" ht="15.75" customHeight="1">
      <c r="A278" s="45"/>
      <c r="B278" s="45"/>
      <c r="C278" s="45"/>
      <c r="D278" s="45"/>
      <c r="E278" s="45"/>
    </row>
    <row r="279" ht="15.75" customHeight="1">
      <c r="A279" s="45"/>
      <c r="B279" s="45"/>
      <c r="C279" s="45"/>
      <c r="D279" s="45"/>
      <c r="E279" s="45"/>
    </row>
    <row r="280" ht="15.75" customHeight="1">
      <c r="A280" s="45"/>
      <c r="B280" s="45"/>
      <c r="C280" s="45"/>
      <c r="D280" s="45"/>
      <c r="E280" s="45"/>
    </row>
    <row r="281" ht="15.75" customHeight="1">
      <c r="A281" s="45"/>
      <c r="B281" s="45"/>
      <c r="C281" s="45"/>
      <c r="D281" s="45"/>
      <c r="E281" s="45"/>
    </row>
    <row r="282" ht="15.75" customHeight="1">
      <c r="A282" s="45"/>
      <c r="B282" s="45"/>
      <c r="C282" s="45"/>
      <c r="D282" s="45"/>
      <c r="E282" s="45"/>
    </row>
    <row r="283" ht="15.75" customHeight="1">
      <c r="A283" s="45"/>
      <c r="B283" s="45"/>
      <c r="C283" s="45"/>
      <c r="D283" s="45"/>
      <c r="E283" s="45"/>
    </row>
    <row r="284" ht="15.75" customHeight="1">
      <c r="A284" s="45"/>
      <c r="B284" s="45"/>
      <c r="C284" s="45"/>
      <c r="D284" s="45"/>
      <c r="E284" s="45"/>
    </row>
    <row r="285" ht="15.75" customHeight="1">
      <c r="A285" s="45"/>
      <c r="B285" s="45"/>
      <c r="C285" s="45"/>
      <c r="D285" s="45"/>
      <c r="E285" s="45"/>
    </row>
    <row r="286" ht="15.75" customHeight="1">
      <c r="A286" s="45"/>
      <c r="B286" s="45"/>
      <c r="C286" s="45"/>
      <c r="D286" s="45"/>
      <c r="E286" s="45"/>
    </row>
    <row r="287" ht="15.75" customHeight="1">
      <c r="A287" s="45"/>
      <c r="B287" s="45"/>
      <c r="C287" s="45"/>
      <c r="D287" s="45"/>
      <c r="E287" s="45"/>
    </row>
    <row r="288" ht="15.75" customHeight="1">
      <c r="A288" s="45"/>
      <c r="B288" s="45"/>
      <c r="C288" s="45"/>
      <c r="D288" s="45"/>
      <c r="E288" s="45"/>
    </row>
    <row r="289" ht="15.75" customHeight="1">
      <c r="A289" s="45"/>
      <c r="B289" s="45"/>
      <c r="C289" s="45"/>
      <c r="D289" s="45"/>
      <c r="E289" s="45"/>
    </row>
    <row r="290" ht="15.75" customHeight="1">
      <c r="A290" s="45"/>
      <c r="B290" s="45"/>
      <c r="C290" s="45"/>
      <c r="D290" s="45"/>
      <c r="E290" s="45"/>
    </row>
    <row r="291" ht="15.75" customHeight="1">
      <c r="A291" s="45"/>
      <c r="B291" s="45"/>
      <c r="C291" s="45"/>
      <c r="D291" s="45"/>
      <c r="E291" s="45"/>
    </row>
    <row r="292" ht="15.75" customHeight="1">
      <c r="A292" s="45"/>
      <c r="B292" s="45"/>
      <c r="C292" s="45"/>
      <c r="D292" s="45"/>
      <c r="E292" s="45"/>
    </row>
    <row r="293" ht="15.75" customHeight="1">
      <c r="A293" s="45"/>
      <c r="B293" s="45"/>
      <c r="C293" s="45"/>
      <c r="D293" s="45"/>
      <c r="E293" s="45"/>
    </row>
    <row r="294" ht="15.75" customHeight="1">
      <c r="A294" s="45"/>
      <c r="B294" s="45"/>
      <c r="C294" s="45"/>
      <c r="D294" s="45"/>
      <c r="E294" s="45"/>
    </row>
    <row r="295" ht="15.75" customHeight="1">
      <c r="A295" s="45"/>
      <c r="B295" s="45"/>
      <c r="C295" s="45"/>
      <c r="D295" s="45"/>
      <c r="E295" s="45"/>
    </row>
    <row r="296" ht="15.75" customHeight="1">
      <c r="A296" s="45"/>
      <c r="B296" s="45"/>
      <c r="C296" s="45"/>
      <c r="D296" s="45"/>
      <c r="E296" s="45"/>
    </row>
    <row r="297" ht="15.75" customHeight="1">
      <c r="A297" s="45"/>
      <c r="B297" s="45"/>
      <c r="C297" s="45"/>
      <c r="D297" s="45"/>
      <c r="E297" s="45"/>
    </row>
    <row r="298" ht="15.75" customHeight="1">
      <c r="A298" s="45"/>
      <c r="B298" s="45"/>
      <c r="C298" s="45"/>
      <c r="D298" s="45"/>
      <c r="E298" s="45"/>
    </row>
    <row r="299" ht="15.75" customHeight="1">
      <c r="A299" s="45"/>
      <c r="B299" s="45"/>
      <c r="C299" s="45"/>
      <c r="D299" s="45"/>
      <c r="E299" s="45"/>
    </row>
    <row r="300" ht="15.75" customHeight="1">
      <c r="A300" s="45"/>
      <c r="B300" s="45"/>
      <c r="C300" s="45"/>
      <c r="D300" s="45"/>
      <c r="E300" s="45"/>
    </row>
    <row r="301" ht="15.75" customHeight="1">
      <c r="A301" s="45"/>
      <c r="B301" s="45"/>
      <c r="C301" s="45"/>
      <c r="D301" s="45"/>
      <c r="E301" s="45"/>
    </row>
    <row r="302" ht="15.75" customHeight="1">
      <c r="A302" s="45"/>
      <c r="B302" s="45"/>
      <c r="C302" s="45"/>
      <c r="D302" s="45"/>
      <c r="E302" s="45"/>
    </row>
    <row r="303" ht="15.75" customHeight="1">
      <c r="A303" s="45"/>
      <c r="B303" s="45"/>
      <c r="C303" s="45"/>
      <c r="D303" s="45"/>
      <c r="E303" s="45"/>
    </row>
    <row r="304" ht="15.75" customHeight="1">
      <c r="A304" s="45"/>
      <c r="B304" s="45"/>
      <c r="C304" s="45"/>
      <c r="D304" s="45"/>
      <c r="E304" s="45"/>
    </row>
    <row r="305" ht="15.75" customHeight="1">
      <c r="A305" s="45"/>
      <c r="B305" s="45"/>
      <c r="C305" s="45"/>
      <c r="D305" s="45"/>
      <c r="E305" s="45"/>
    </row>
    <row r="306" ht="15.75" customHeight="1">
      <c r="A306" s="45"/>
      <c r="B306" s="45"/>
      <c r="C306" s="45"/>
      <c r="D306" s="45"/>
      <c r="E306" s="45"/>
    </row>
    <row r="307" ht="15.75" customHeight="1">
      <c r="A307" s="45"/>
      <c r="B307" s="45"/>
      <c r="C307" s="45"/>
      <c r="D307" s="45"/>
      <c r="E307" s="45"/>
    </row>
    <row r="308" ht="15.75" customHeight="1">
      <c r="A308" s="45"/>
      <c r="B308" s="45"/>
      <c r="C308" s="45"/>
      <c r="D308" s="45"/>
      <c r="E308" s="45"/>
    </row>
    <row r="309" ht="15.75" customHeight="1">
      <c r="A309" s="45"/>
      <c r="B309" s="45"/>
      <c r="C309" s="45"/>
      <c r="D309" s="45"/>
      <c r="E309" s="45"/>
    </row>
    <row r="310" ht="15.75" customHeight="1">
      <c r="A310" s="45"/>
      <c r="B310" s="45"/>
      <c r="C310" s="45"/>
      <c r="D310" s="45"/>
      <c r="E310" s="45"/>
    </row>
    <row r="311" ht="15.75" customHeight="1">
      <c r="A311" s="45"/>
      <c r="B311" s="45"/>
      <c r="C311" s="45"/>
      <c r="D311" s="45"/>
      <c r="E311" s="45"/>
    </row>
    <row r="312" ht="15.75" customHeight="1">
      <c r="A312" s="45"/>
      <c r="B312" s="45"/>
      <c r="C312" s="45"/>
      <c r="D312" s="45"/>
      <c r="E312" s="45"/>
    </row>
    <row r="313" ht="15.75" customHeight="1">
      <c r="A313" s="45"/>
      <c r="B313" s="45"/>
      <c r="C313" s="45"/>
      <c r="D313" s="45"/>
      <c r="E313" s="45"/>
    </row>
    <row r="314" ht="15.75" customHeight="1">
      <c r="A314" s="45"/>
      <c r="B314" s="45"/>
      <c r="C314" s="45"/>
      <c r="D314" s="45"/>
      <c r="E314" s="45"/>
    </row>
    <row r="315" ht="15.75" customHeight="1">
      <c r="A315" s="45"/>
      <c r="B315" s="45"/>
      <c r="C315" s="45"/>
      <c r="D315" s="45"/>
      <c r="E315" s="45"/>
    </row>
    <row r="316" ht="15.75" customHeight="1">
      <c r="A316" s="45"/>
      <c r="B316" s="45"/>
      <c r="C316" s="45"/>
      <c r="D316" s="45"/>
      <c r="E316" s="45"/>
    </row>
    <row r="317" ht="15.75" customHeight="1">
      <c r="A317" s="45"/>
      <c r="B317" s="45"/>
      <c r="C317" s="45"/>
      <c r="D317" s="45"/>
      <c r="E317" s="45"/>
    </row>
    <row r="318" ht="15.75" customHeight="1">
      <c r="A318" s="45"/>
      <c r="B318" s="45"/>
      <c r="C318" s="45"/>
      <c r="D318" s="45"/>
      <c r="E318" s="45"/>
    </row>
    <row r="319" ht="15.75" customHeight="1">
      <c r="A319" s="45"/>
      <c r="B319" s="45"/>
      <c r="C319" s="45"/>
      <c r="D319" s="45"/>
      <c r="E319" s="45"/>
    </row>
    <row r="320" ht="15.75" customHeight="1">
      <c r="A320" s="45"/>
      <c r="B320" s="45"/>
      <c r="C320" s="45"/>
      <c r="D320" s="45"/>
      <c r="E320" s="45"/>
    </row>
    <row r="321" ht="15.75" customHeight="1">
      <c r="A321" s="45"/>
      <c r="B321" s="45"/>
      <c r="C321" s="45"/>
      <c r="D321" s="45"/>
      <c r="E321" s="45"/>
    </row>
    <row r="322" ht="15.75" customHeight="1">
      <c r="A322" s="45"/>
      <c r="B322" s="45"/>
      <c r="C322" s="45"/>
      <c r="D322" s="45"/>
      <c r="E322" s="45"/>
    </row>
    <row r="323" ht="15.75" customHeight="1">
      <c r="A323" s="45"/>
      <c r="B323" s="45"/>
      <c r="C323" s="45"/>
      <c r="D323" s="45"/>
      <c r="E323" s="45"/>
    </row>
    <row r="324" ht="15.75" customHeight="1">
      <c r="A324" s="45"/>
      <c r="B324" s="45"/>
      <c r="C324" s="45"/>
      <c r="D324" s="45"/>
      <c r="E324" s="45"/>
    </row>
    <row r="325" ht="15.75" customHeight="1">
      <c r="A325" s="45"/>
      <c r="B325" s="45"/>
      <c r="C325" s="45"/>
      <c r="D325" s="45"/>
      <c r="E325" s="45"/>
    </row>
    <row r="326" ht="15.75" customHeight="1">
      <c r="A326" s="45"/>
      <c r="B326" s="45"/>
      <c r="C326" s="45"/>
      <c r="D326" s="45"/>
      <c r="E326" s="45"/>
    </row>
    <row r="327" ht="15.75" customHeight="1">
      <c r="A327" s="45"/>
      <c r="B327" s="45"/>
      <c r="C327" s="45"/>
      <c r="D327" s="45"/>
      <c r="E327" s="45"/>
    </row>
    <row r="328" ht="15.75" customHeight="1">
      <c r="A328" s="45"/>
      <c r="B328" s="45"/>
      <c r="C328" s="45"/>
      <c r="D328" s="45"/>
      <c r="E328" s="45"/>
    </row>
    <row r="329" ht="15.75" customHeight="1">
      <c r="A329" s="45"/>
      <c r="B329" s="45"/>
      <c r="C329" s="45"/>
      <c r="D329" s="45"/>
      <c r="E329" s="45"/>
    </row>
    <row r="330" ht="15.75" customHeight="1">
      <c r="A330" s="45"/>
      <c r="B330" s="45"/>
      <c r="C330" s="45"/>
      <c r="D330" s="45"/>
      <c r="E330" s="45"/>
    </row>
    <row r="331" ht="15.75" customHeight="1">
      <c r="A331" s="45"/>
      <c r="B331" s="45"/>
      <c r="C331" s="45"/>
      <c r="D331" s="45"/>
      <c r="E331" s="45"/>
    </row>
    <row r="332" ht="15.75" customHeight="1">
      <c r="A332" s="45"/>
      <c r="B332" s="45"/>
      <c r="C332" s="45"/>
      <c r="D332" s="45"/>
      <c r="E332" s="45"/>
    </row>
    <row r="333" ht="15.75" customHeight="1">
      <c r="A333" s="45"/>
      <c r="B333" s="45"/>
      <c r="C333" s="45"/>
      <c r="D333" s="45"/>
      <c r="E333" s="45"/>
    </row>
    <row r="334" ht="15.75" customHeight="1">
      <c r="A334" s="45"/>
      <c r="B334" s="45"/>
      <c r="C334" s="45"/>
      <c r="D334" s="45"/>
      <c r="E334" s="45"/>
    </row>
    <row r="335" ht="15.75" customHeight="1">
      <c r="A335" s="45"/>
      <c r="B335" s="45"/>
      <c r="C335" s="45"/>
      <c r="D335" s="45"/>
      <c r="E335" s="45"/>
    </row>
    <row r="336" ht="15.75" customHeight="1">
      <c r="A336" s="45"/>
      <c r="B336" s="45"/>
      <c r="C336" s="45"/>
      <c r="D336" s="45"/>
      <c r="E336" s="45"/>
    </row>
    <row r="337" ht="15.75" customHeight="1">
      <c r="A337" s="45"/>
      <c r="B337" s="45"/>
      <c r="C337" s="45"/>
      <c r="D337" s="45"/>
      <c r="E337" s="45"/>
    </row>
    <row r="338" ht="15.75" customHeight="1">
      <c r="A338" s="45"/>
      <c r="B338" s="45"/>
      <c r="C338" s="45"/>
      <c r="D338" s="45"/>
      <c r="E338" s="45"/>
    </row>
    <row r="339" ht="15.75" customHeight="1">
      <c r="A339" s="45"/>
      <c r="B339" s="45"/>
      <c r="C339" s="45"/>
      <c r="D339" s="45"/>
      <c r="E339" s="45"/>
    </row>
    <row r="340" ht="15.75" customHeight="1">
      <c r="A340" s="45"/>
      <c r="B340" s="45"/>
      <c r="C340" s="45"/>
      <c r="D340" s="45"/>
      <c r="E340" s="45"/>
    </row>
    <row r="341" ht="15.75" customHeight="1">
      <c r="A341" s="45"/>
      <c r="B341" s="45"/>
      <c r="C341" s="45"/>
      <c r="D341" s="45"/>
      <c r="E341" s="45"/>
    </row>
    <row r="342" ht="15.75" customHeight="1">
      <c r="A342" s="45"/>
      <c r="B342" s="45"/>
      <c r="C342" s="45"/>
      <c r="D342" s="45"/>
      <c r="E342" s="45"/>
    </row>
    <row r="343" ht="15.75" customHeight="1">
      <c r="A343" s="45"/>
      <c r="B343" s="45"/>
      <c r="C343" s="45"/>
      <c r="D343" s="45"/>
      <c r="E343" s="45"/>
    </row>
    <row r="344" ht="15.75" customHeight="1">
      <c r="A344" s="45"/>
      <c r="B344" s="45"/>
      <c r="C344" s="45"/>
      <c r="D344" s="45"/>
      <c r="E344" s="45"/>
    </row>
    <row r="345" ht="15.75" customHeight="1">
      <c r="A345" s="45"/>
      <c r="B345" s="45"/>
      <c r="C345" s="45"/>
      <c r="D345" s="45"/>
      <c r="E345" s="45"/>
    </row>
    <row r="346" ht="15.75" customHeight="1">
      <c r="A346" s="45"/>
      <c r="B346" s="45"/>
      <c r="C346" s="45"/>
      <c r="D346" s="45"/>
      <c r="E346" s="45"/>
    </row>
    <row r="347" ht="15.75" customHeight="1">
      <c r="A347" s="45"/>
      <c r="B347" s="45"/>
      <c r="C347" s="45"/>
      <c r="D347" s="45"/>
      <c r="E347" s="45"/>
    </row>
    <row r="348" ht="15.75" customHeight="1">
      <c r="A348" s="45"/>
      <c r="B348" s="45"/>
      <c r="C348" s="45"/>
      <c r="D348" s="45"/>
      <c r="E348" s="45"/>
    </row>
    <row r="349" ht="15.75" customHeight="1">
      <c r="A349" s="45"/>
      <c r="B349" s="45"/>
      <c r="C349" s="45"/>
      <c r="D349" s="45"/>
      <c r="E349" s="45"/>
    </row>
    <row r="350" ht="15.75" customHeight="1">
      <c r="A350" s="45"/>
      <c r="B350" s="45"/>
      <c r="C350" s="45"/>
      <c r="D350" s="45"/>
      <c r="E350" s="45"/>
    </row>
    <row r="351" ht="15.75" customHeight="1">
      <c r="A351" s="45"/>
      <c r="B351" s="45"/>
      <c r="C351" s="45"/>
      <c r="D351" s="45"/>
      <c r="E351" s="45"/>
    </row>
    <row r="352" ht="15.75" customHeight="1">
      <c r="A352" s="45"/>
      <c r="B352" s="45"/>
      <c r="C352" s="45"/>
      <c r="D352" s="45"/>
      <c r="E352" s="45"/>
    </row>
    <row r="353" ht="15.75" customHeight="1">
      <c r="A353" s="45"/>
      <c r="B353" s="45"/>
      <c r="C353" s="45"/>
      <c r="D353" s="45"/>
      <c r="E353" s="45"/>
    </row>
    <row r="354" ht="15.75" customHeight="1">
      <c r="A354" s="45"/>
      <c r="B354" s="45"/>
      <c r="C354" s="45"/>
      <c r="D354" s="45"/>
      <c r="E354" s="45"/>
    </row>
    <row r="355" ht="15.75" customHeight="1">
      <c r="A355" s="45"/>
      <c r="B355" s="45"/>
      <c r="C355" s="45"/>
      <c r="D355" s="45"/>
      <c r="E355" s="45"/>
    </row>
    <row r="356" ht="15.75" customHeight="1">
      <c r="A356" s="45"/>
      <c r="B356" s="45"/>
      <c r="C356" s="45"/>
      <c r="D356" s="45"/>
      <c r="E356" s="45"/>
    </row>
    <row r="357" ht="15.75" customHeight="1">
      <c r="A357" s="45"/>
      <c r="B357" s="45"/>
      <c r="C357" s="45"/>
      <c r="D357" s="45"/>
      <c r="E357" s="45"/>
    </row>
    <row r="358" ht="15.75" customHeight="1">
      <c r="A358" s="45"/>
      <c r="B358" s="45"/>
      <c r="C358" s="45"/>
      <c r="D358" s="45"/>
      <c r="E358" s="45"/>
    </row>
    <row r="359" ht="15.75" customHeight="1">
      <c r="A359" s="45"/>
      <c r="B359" s="45"/>
      <c r="C359" s="45"/>
      <c r="D359" s="45"/>
      <c r="E359" s="45"/>
    </row>
    <row r="360" ht="15.75" customHeight="1">
      <c r="A360" s="45"/>
      <c r="B360" s="45"/>
      <c r="C360" s="45"/>
      <c r="D360" s="45"/>
      <c r="E360" s="45"/>
    </row>
    <row r="361" ht="15.75" customHeight="1">
      <c r="A361" s="45"/>
      <c r="B361" s="45"/>
      <c r="C361" s="45"/>
      <c r="D361" s="45"/>
      <c r="E361" s="45"/>
    </row>
    <row r="362" ht="15.75" customHeight="1">
      <c r="A362" s="45"/>
      <c r="B362" s="45"/>
      <c r="C362" s="45"/>
      <c r="D362" s="45"/>
      <c r="E362" s="45"/>
    </row>
    <row r="363" ht="15.75" customHeight="1">
      <c r="A363" s="45"/>
      <c r="B363" s="45"/>
      <c r="C363" s="45"/>
      <c r="D363" s="45"/>
      <c r="E363" s="45"/>
    </row>
    <row r="364" ht="15.75" customHeight="1">
      <c r="A364" s="45"/>
      <c r="B364" s="45"/>
      <c r="C364" s="45"/>
      <c r="D364" s="45"/>
      <c r="E364" s="45"/>
    </row>
    <row r="365" ht="15.75" customHeight="1">
      <c r="A365" s="45"/>
      <c r="B365" s="45"/>
      <c r="C365" s="45"/>
      <c r="D365" s="45"/>
      <c r="E365" s="45"/>
    </row>
    <row r="366" ht="15.75" customHeight="1">
      <c r="A366" s="45"/>
      <c r="B366" s="45"/>
      <c r="C366" s="45"/>
      <c r="D366" s="45"/>
      <c r="E366" s="45"/>
    </row>
    <row r="367" ht="15.75" customHeight="1">
      <c r="A367" s="45"/>
      <c r="B367" s="45"/>
      <c r="C367" s="45"/>
      <c r="D367" s="45"/>
      <c r="E367" s="45"/>
    </row>
    <row r="368" ht="15.75" customHeight="1">
      <c r="A368" s="45"/>
      <c r="B368" s="45"/>
      <c r="C368" s="45"/>
      <c r="D368" s="45"/>
      <c r="E368" s="45"/>
    </row>
    <row r="369" ht="15.75" customHeight="1">
      <c r="A369" s="45"/>
      <c r="B369" s="45"/>
      <c r="C369" s="45"/>
      <c r="D369" s="45"/>
      <c r="E369" s="45"/>
    </row>
    <row r="370" ht="15.75" customHeight="1">
      <c r="A370" s="45"/>
      <c r="B370" s="45"/>
      <c r="C370" s="45"/>
      <c r="D370" s="45"/>
      <c r="E370" s="45"/>
    </row>
    <row r="371" ht="15.75" customHeight="1">
      <c r="A371" s="45"/>
      <c r="B371" s="45"/>
      <c r="C371" s="45"/>
      <c r="D371" s="45"/>
      <c r="E371" s="45"/>
    </row>
    <row r="372" ht="15.75" customHeight="1">
      <c r="A372" s="45"/>
      <c r="B372" s="45"/>
      <c r="C372" s="45"/>
      <c r="D372" s="45"/>
      <c r="E372" s="45"/>
    </row>
    <row r="373" ht="15.75" customHeight="1">
      <c r="A373" s="45"/>
      <c r="B373" s="45"/>
      <c r="C373" s="45"/>
      <c r="D373" s="45"/>
      <c r="E373" s="45"/>
    </row>
    <row r="374" ht="15.75" customHeight="1">
      <c r="A374" s="45"/>
      <c r="B374" s="45"/>
      <c r="C374" s="45"/>
      <c r="D374" s="45"/>
      <c r="E374" s="45"/>
    </row>
    <row r="375" ht="15.75" customHeight="1">
      <c r="A375" s="45"/>
      <c r="B375" s="45"/>
      <c r="C375" s="45"/>
      <c r="D375" s="45"/>
      <c r="E375" s="45"/>
    </row>
    <row r="376" ht="15.75" customHeight="1">
      <c r="A376" s="45"/>
      <c r="B376" s="45"/>
      <c r="C376" s="45"/>
      <c r="D376" s="45"/>
      <c r="E376" s="45"/>
    </row>
    <row r="377" ht="15.75" customHeight="1">
      <c r="A377" s="45"/>
      <c r="B377" s="45"/>
      <c r="C377" s="45"/>
      <c r="D377" s="45"/>
      <c r="E377" s="45"/>
    </row>
    <row r="378" ht="15.75" customHeight="1">
      <c r="A378" s="45"/>
      <c r="B378" s="45"/>
      <c r="C378" s="45"/>
      <c r="D378" s="45"/>
      <c r="E378" s="45"/>
    </row>
    <row r="379" ht="15.75" customHeight="1">
      <c r="A379" s="45"/>
      <c r="B379" s="45"/>
      <c r="C379" s="45"/>
      <c r="D379" s="45"/>
      <c r="E379" s="45"/>
    </row>
    <row r="380" ht="15.75" customHeight="1">
      <c r="A380" s="45"/>
      <c r="B380" s="45"/>
      <c r="C380" s="45"/>
      <c r="D380" s="45"/>
      <c r="E380" s="45"/>
    </row>
    <row r="381" ht="15.75" customHeight="1">
      <c r="A381" s="45"/>
      <c r="B381" s="45"/>
      <c r="C381" s="45"/>
      <c r="D381" s="45"/>
      <c r="E381" s="45"/>
    </row>
    <row r="382" ht="15.75" customHeight="1">
      <c r="A382" s="45"/>
      <c r="B382" s="45"/>
      <c r="C382" s="45"/>
      <c r="D382" s="45"/>
      <c r="E382" s="45"/>
    </row>
    <row r="383" ht="15.75" customHeight="1">
      <c r="A383" s="45"/>
      <c r="B383" s="45"/>
      <c r="C383" s="45"/>
      <c r="D383" s="45"/>
      <c r="E383" s="45"/>
    </row>
    <row r="384" ht="15.75" customHeight="1">
      <c r="A384" s="45"/>
      <c r="B384" s="45"/>
      <c r="C384" s="45"/>
      <c r="D384" s="45"/>
      <c r="E384" s="45"/>
    </row>
    <row r="385" ht="15.75" customHeight="1">
      <c r="A385" s="45"/>
      <c r="B385" s="45"/>
      <c r="C385" s="45"/>
      <c r="D385" s="45"/>
      <c r="E385" s="45"/>
    </row>
    <row r="386" ht="15.75" customHeight="1">
      <c r="A386" s="45"/>
      <c r="B386" s="45"/>
      <c r="C386" s="45"/>
      <c r="D386" s="45"/>
      <c r="E386" s="45"/>
    </row>
    <row r="387" ht="15.75" customHeight="1">
      <c r="A387" s="45"/>
      <c r="B387" s="45"/>
      <c r="C387" s="45"/>
      <c r="D387" s="45"/>
      <c r="E387" s="45"/>
    </row>
    <row r="388" ht="15.75" customHeight="1">
      <c r="A388" s="45"/>
      <c r="B388" s="45"/>
      <c r="C388" s="45"/>
      <c r="D388" s="45"/>
      <c r="E388" s="45"/>
    </row>
    <row r="389" ht="15.75" customHeight="1">
      <c r="A389" s="45"/>
      <c r="B389" s="45"/>
      <c r="C389" s="45"/>
      <c r="D389" s="45"/>
      <c r="E389" s="45"/>
    </row>
    <row r="390" ht="15.75" customHeight="1">
      <c r="A390" s="45"/>
      <c r="B390" s="45"/>
      <c r="C390" s="45"/>
      <c r="D390" s="45"/>
      <c r="E390" s="45"/>
    </row>
    <row r="391" ht="15.75" customHeight="1">
      <c r="A391" s="45"/>
      <c r="B391" s="45"/>
      <c r="C391" s="45"/>
      <c r="D391" s="45"/>
      <c r="E391" s="45"/>
    </row>
    <row r="392" ht="15.75" customHeight="1">
      <c r="A392" s="45"/>
      <c r="B392" s="45"/>
      <c r="C392" s="45"/>
      <c r="D392" s="45"/>
      <c r="E392" s="45"/>
    </row>
    <row r="393" ht="15.75" customHeight="1">
      <c r="A393" s="45"/>
      <c r="B393" s="45"/>
      <c r="C393" s="45"/>
      <c r="D393" s="45"/>
      <c r="E393" s="45"/>
    </row>
    <row r="394" ht="15.75" customHeight="1">
      <c r="A394" s="45"/>
      <c r="B394" s="45"/>
      <c r="C394" s="45"/>
      <c r="D394" s="45"/>
      <c r="E394" s="45"/>
    </row>
    <row r="395" ht="15.75" customHeight="1">
      <c r="A395" s="45"/>
      <c r="B395" s="45"/>
      <c r="C395" s="45"/>
      <c r="D395" s="45"/>
      <c r="E395" s="45"/>
    </row>
    <row r="396" ht="15.75" customHeight="1">
      <c r="A396" s="45"/>
      <c r="B396" s="45"/>
      <c r="C396" s="45"/>
      <c r="D396" s="45"/>
      <c r="E396" s="45"/>
    </row>
    <row r="397" ht="15.75" customHeight="1">
      <c r="A397" s="45"/>
      <c r="B397" s="45"/>
      <c r="C397" s="45"/>
      <c r="D397" s="45"/>
      <c r="E397" s="45"/>
    </row>
    <row r="398" ht="15.75" customHeight="1">
      <c r="A398" s="45"/>
      <c r="B398" s="45"/>
      <c r="C398" s="45"/>
      <c r="D398" s="45"/>
      <c r="E398" s="45"/>
    </row>
    <row r="399" ht="15.75" customHeight="1">
      <c r="A399" s="45"/>
      <c r="B399" s="45"/>
      <c r="C399" s="45"/>
      <c r="D399" s="45"/>
      <c r="E399" s="45"/>
    </row>
    <row r="400" ht="15.75" customHeight="1">
      <c r="A400" s="45"/>
      <c r="B400" s="45"/>
      <c r="C400" s="45"/>
      <c r="D400" s="45"/>
      <c r="E400" s="45"/>
    </row>
    <row r="401" ht="15.75" customHeight="1">
      <c r="A401" s="45"/>
      <c r="B401" s="45"/>
      <c r="C401" s="45"/>
      <c r="D401" s="45"/>
      <c r="E401" s="45"/>
    </row>
    <row r="402" ht="15.75" customHeight="1">
      <c r="A402" s="45"/>
      <c r="B402" s="45"/>
      <c r="C402" s="45"/>
      <c r="D402" s="45"/>
      <c r="E402" s="45"/>
    </row>
    <row r="403" ht="15.75" customHeight="1">
      <c r="A403" s="45"/>
      <c r="B403" s="45"/>
      <c r="C403" s="45"/>
      <c r="D403" s="45"/>
      <c r="E403" s="45"/>
    </row>
    <row r="404" ht="15.75" customHeight="1">
      <c r="A404" s="45"/>
      <c r="B404" s="45"/>
      <c r="C404" s="45"/>
      <c r="D404" s="45"/>
      <c r="E404" s="45"/>
    </row>
    <row r="405" ht="15.75" customHeight="1">
      <c r="A405" s="45"/>
      <c r="B405" s="45"/>
      <c r="C405" s="45"/>
      <c r="D405" s="45"/>
      <c r="E405" s="45"/>
    </row>
    <row r="406" ht="15.75" customHeight="1">
      <c r="A406" s="45"/>
      <c r="B406" s="45"/>
      <c r="C406" s="45"/>
      <c r="D406" s="45"/>
      <c r="E406" s="45"/>
    </row>
    <row r="407" ht="15.75" customHeight="1">
      <c r="A407" s="45"/>
      <c r="B407" s="45"/>
      <c r="C407" s="45"/>
      <c r="D407" s="45"/>
      <c r="E407" s="45"/>
    </row>
    <row r="408" ht="15.75" customHeight="1">
      <c r="A408" s="45"/>
      <c r="B408" s="45"/>
      <c r="C408" s="45"/>
      <c r="D408" s="45"/>
      <c r="E408" s="45"/>
    </row>
    <row r="409" ht="15.75" customHeight="1">
      <c r="A409" s="45"/>
      <c r="B409" s="45"/>
      <c r="C409" s="45"/>
      <c r="D409" s="45"/>
      <c r="E409" s="45"/>
    </row>
    <row r="410" ht="15.75" customHeight="1">
      <c r="A410" s="45"/>
      <c r="B410" s="45"/>
      <c r="C410" s="45"/>
      <c r="D410" s="45"/>
      <c r="E410" s="45"/>
    </row>
    <row r="411" ht="15.75" customHeight="1">
      <c r="A411" s="45"/>
      <c r="B411" s="45"/>
      <c r="C411" s="45"/>
      <c r="D411" s="45"/>
      <c r="E411" s="45"/>
    </row>
    <row r="412" ht="15.75" customHeight="1">
      <c r="A412" s="45"/>
      <c r="B412" s="45"/>
      <c r="C412" s="45"/>
      <c r="D412" s="45"/>
      <c r="E412" s="45"/>
    </row>
    <row r="413" ht="15.75" customHeight="1">
      <c r="A413" s="45"/>
      <c r="B413" s="45"/>
      <c r="C413" s="45"/>
      <c r="D413" s="45"/>
      <c r="E413" s="45"/>
    </row>
    <row r="414" ht="15.75" customHeight="1">
      <c r="A414" s="45"/>
      <c r="B414" s="45"/>
      <c r="C414" s="45"/>
      <c r="D414" s="45"/>
      <c r="E414" s="45"/>
    </row>
    <row r="415" ht="15.75" customHeight="1">
      <c r="A415" s="45"/>
      <c r="B415" s="45"/>
      <c r="C415" s="45"/>
      <c r="D415" s="45"/>
      <c r="E415" s="45"/>
    </row>
    <row r="416" ht="15.75" customHeight="1">
      <c r="A416" s="45"/>
      <c r="B416" s="45"/>
      <c r="C416" s="45"/>
      <c r="D416" s="45"/>
      <c r="E416" s="45"/>
    </row>
    <row r="417" ht="15.75" customHeight="1">
      <c r="A417" s="45"/>
      <c r="B417" s="45"/>
      <c r="C417" s="45"/>
      <c r="D417" s="45"/>
      <c r="E417" s="45"/>
    </row>
    <row r="418" ht="15.75" customHeight="1">
      <c r="A418" s="45"/>
      <c r="B418" s="45"/>
      <c r="C418" s="45"/>
      <c r="D418" s="45"/>
      <c r="E418" s="45"/>
    </row>
    <row r="419" ht="15.75" customHeight="1">
      <c r="A419" s="45"/>
      <c r="B419" s="45"/>
      <c r="C419" s="45"/>
      <c r="D419" s="45"/>
      <c r="E419" s="45"/>
    </row>
    <row r="420" ht="15.75" customHeight="1">
      <c r="A420" s="45"/>
      <c r="B420" s="45"/>
      <c r="C420" s="45"/>
      <c r="D420" s="45"/>
      <c r="E420" s="45"/>
    </row>
    <row r="421" ht="15.75" customHeight="1">
      <c r="A421" s="45"/>
      <c r="B421" s="45"/>
      <c r="C421" s="45"/>
      <c r="D421" s="45"/>
      <c r="E421" s="45"/>
    </row>
    <row r="422" ht="15.75" customHeight="1">
      <c r="A422" s="45"/>
      <c r="B422" s="45"/>
      <c r="C422" s="45"/>
      <c r="D422" s="45"/>
      <c r="E422" s="45"/>
    </row>
    <row r="423" ht="15.75" customHeight="1">
      <c r="A423" s="45"/>
      <c r="B423" s="45"/>
      <c r="C423" s="45"/>
      <c r="D423" s="45"/>
      <c r="E423" s="45"/>
    </row>
    <row r="424" ht="15.75" customHeight="1">
      <c r="A424" s="45"/>
      <c r="B424" s="45"/>
      <c r="C424" s="45"/>
      <c r="D424" s="45"/>
      <c r="E424" s="45"/>
    </row>
    <row r="425" ht="15.75" customHeight="1">
      <c r="A425" s="45"/>
      <c r="B425" s="45"/>
      <c r="C425" s="45"/>
      <c r="D425" s="45"/>
      <c r="E425" s="45"/>
    </row>
    <row r="426" ht="15.75" customHeight="1">
      <c r="A426" s="45"/>
      <c r="B426" s="45"/>
      <c r="C426" s="45"/>
      <c r="D426" s="45"/>
      <c r="E426" s="45"/>
    </row>
    <row r="427" ht="15.75" customHeight="1">
      <c r="A427" s="45"/>
      <c r="B427" s="45"/>
      <c r="C427" s="45"/>
      <c r="D427" s="45"/>
      <c r="E427" s="45"/>
    </row>
    <row r="428" ht="15.75" customHeight="1">
      <c r="A428" s="45"/>
      <c r="B428" s="45"/>
      <c r="C428" s="45"/>
      <c r="D428" s="45"/>
      <c r="E428" s="45"/>
    </row>
    <row r="429" ht="15.75" customHeight="1">
      <c r="A429" s="45"/>
      <c r="B429" s="45"/>
      <c r="C429" s="45"/>
      <c r="D429" s="45"/>
      <c r="E429" s="45"/>
    </row>
    <row r="430" ht="15.75" customHeight="1">
      <c r="A430" s="45"/>
      <c r="B430" s="45"/>
      <c r="C430" s="45"/>
      <c r="D430" s="45"/>
      <c r="E430" s="45"/>
    </row>
    <row r="431" ht="15.75" customHeight="1">
      <c r="A431" s="45"/>
      <c r="B431" s="45"/>
      <c r="C431" s="45"/>
      <c r="D431" s="45"/>
      <c r="E431" s="45"/>
    </row>
    <row r="432" ht="15.75" customHeight="1">
      <c r="A432" s="45"/>
      <c r="B432" s="45"/>
      <c r="C432" s="45"/>
      <c r="D432" s="45"/>
      <c r="E432" s="45"/>
    </row>
    <row r="433" ht="15.75" customHeight="1">
      <c r="A433" s="45"/>
      <c r="B433" s="45"/>
      <c r="C433" s="45"/>
      <c r="D433" s="45"/>
      <c r="E433" s="45"/>
    </row>
    <row r="434" ht="15.75" customHeight="1">
      <c r="A434" s="45"/>
      <c r="B434" s="45"/>
      <c r="C434" s="45"/>
      <c r="D434" s="45"/>
      <c r="E434" s="45"/>
    </row>
    <row r="435" ht="15.75" customHeight="1">
      <c r="A435" s="45"/>
      <c r="B435" s="45"/>
      <c r="C435" s="45"/>
      <c r="D435" s="45"/>
      <c r="E435" s="45"/>
    </row>
    <row r="436" ht="15.75" customHeight="1">
      <c r="A436" s="45"/>
      <c r="B436" s="45"/>
      <c r="C436" s="45"/>
      <c r="D436" s="45"/>
      <c r="E436" s="45"/>
    </row>
    <row r="437" ht="15.75" customHeight="1">
      <c r="A437" s="45"/>
      <c r="B437" s="45"/>
      <c r="C437" s="45"/>
      <c r="D437" s="45"/>
      <c r="E437" s="45"/>
    </row>
    <row r="438" ht="15.75" customHeight="1">
      <c r="A438" s="45"/>
      <c r="B438" s="45"/>
      <c r="C438" s="45"/>
      <c r="D438" s="45"/>
      <c r="E438" s="45"/>
    </row>
    <row r="439" ht="15.75" customHeight="1">
      <c r="A439" s="45"/>
      <c r="B439" s="45"/>
      <c r="C439" s="45"/>
      <c r="D439" s="45"/>
      <c r="E439" s="45"/>
    </row>
    <row r="440" ht="15.75" customHeight="1">
      <c r="A440" s="45"/>
      <c r="B440" s="45"/>
      <c r="C440" s="45"/>
      <c r="D440" s="45"/>
      <c r="E440" s="45"/>
    </row>
    <row r="441" ht="15.75" customHeight="1">
      <c r="A441" s="45"/>
      <c r="B441" s="45"/>
      <c r="C441" s="45"/>
      <c r="D441" s="45"/>
      <c r="E441" s="45"/>
    </row>
    <row r="442" ht="15.75" customHeight="1">
      <c r="A442" s="45"/>
      <c r="B442" s="45"/>
      <c r="C442" s="45"/>
      <c r="D442" s="45"/>
      <c r="E442" s="45"/>
    </row>
    <row r="443" ht="15.75" customHeight="1">
      <c r="A443" s="45"/>
      <c r="B443" s="45"/>
      <c r="C443" s="45"/>
      <c r="D443" s="45"/>
      <c r="E443" s="45"/>
    </row>
    <row r="444" ht="15.75" customHeight="1">
      <c r="A444" s="45"/>
      <c r="B444" s="45"/>
      <c r="C444" s="45"/>
      <c r="D444" s="45"/>
      <c r="E444" s="45"/>
    </row>
    <row r="445" ht="15.75" customHeight="1">
      <c r="A445" s="45"/>
      <c r="B445" s="45"/>
      <c r="C445" s="45"/>
      <c r="D445" s="45"/>
      <c r="E445" s="45"/>
    </row>
    <row r="446" ht="15.75" customHeight="1">
      <c r="A446" s="45"/>
      <c r="B446" s="45"/>
      <c r="C446" s="45"/>
      <c r="D446" s="45"/>
      <c r="E446" s="45"/>
    </row>
    <row r="447" ht="15.75" customHeight="1">
      <c r="A447" s="45"/>
      <c r="B447" s="45"/>
      <c r="C447" s="45"/>
      <c r="D447" s="45"/>
      <c r="E447" s="45"/>
    </row>
    <row r="448" ht="15.75" customHeight="1">
      <c r="A448" s="45"/>
      <c r="B448" s="45"/>
      <c r="C448" s="45"/>
      <c r="D448" s="45"/>
      <c r="E448" s="45"/>
    </row>
    <row r="449" ht="15.75" customHeight="1">
      <c r="A449" s="45"/>
      <c r="B449" s="45"/>
      <c r="C449" s="45"/>
      <c r="D449" s="45"/>
      <c r="E449" s="45"/>
    </row>
    <row r="450" ht="15.75" customHeight="1">
      <c r="A450" s="45"/>
      <c r="B450" s="45"/>
      <c r="C450" s="45"/>
      <c r="D450" s="45"/>
      <c r="E450" s="45"/>
    </row>
    <row r="451" ht="15.75" customHeight="1">
      <c r="A451" s="45"/>
      <c r="B451" s="45"/>
      <c r="C451" s="45"/>
      <c r="D451" s="45"/>
      <c r="E451" s="45"/>
    </row>
    <row r="452" ht="15.75" customHeight="1">
      <c r="A452" s="45"/>
      <c r="B452" s="45"/>
      <c r="C452" s="45"/>
      <c r="D452" s="45"/>
      <c r="E452" s="45"/>
    </row>
    <row r="453" ht="15.75" customHeight="1">
      <c r="A453" s="45"/>
      <c r="B453" s="45"/>
      <c r="C453" s="45"/>
      <c r="D453" s="45"/>
      <c r="E453" s="45"/>
    </row>
    <row r="454" ht="15.75" customHeight="1">
      <c r="A454" s="45"/>
      <c r="B454" s="45"/>
      <c r="C454" s="45"/>
      <c r="D454" s="45"/>
      <c r="E454" s="45"/>
    </row>
    <row r="455" ht="15.75" customHeight="1">
      <c r="A455" s="45"/>
      <c r="B455" s="45"/>
      <c r="C455" s="45"/>
      <c r="D455" s="45"/>
      <c r="E455" s="45"/>
    </row>
    <row r="456" ht="15.75" customHeight="1">
      <c r="A456" s="45"/>
      <c r="B456" s="45"/>
      <c r="C456" s="45"/>
      <c r="D456" s="45"/>
      <c r="E456" s="45"/>
    </row>
    <row r="457" ht="15.75" customHeight="1">
      <c r="A457" s="45"/>
      <c r="B457" s="45"/>
      <c r="C457" s="45"/>
      <c r="D457" s="45"/>
      <c r="E457" s="45"/>
    </row>
    <row r="458" ht="15.75" customHeight="1">
      <c r="A458" s="45"/>
      <c r="B458" s="45"/>
      <c r="C458" s="45"/>
      <c r="D458" s="45"/>
      <c r="E458" s="45"/>
    </row>
    <row r="459" ht="15.75" customHeight="1">
      <c r="A459" s="45"/>
      <c r="B459" s="45"/>
      <c r="C459" s="45"/>
      <c r="D459" s="45"/>
      <c r="E459" s="45"/>
    </row>
    <row r="460" ht="15.75" customHeight="1">
      <c r="A460" s="45"/>
      <c r="B460" s="45"/>
      <c r="C460" s="45"/>
      <c r="D460" s="45"/>
      <c r="E460" s="45"/>
    </row>
    <row r="461" ht="15.75" customHeight="1">
      <c r="A461" s="45"/>
      <c r="B461" s="45"/>
      <c r="C461" s="45"/>
      <c r="D461" s="45"/>
      <c r="E461" s="45"/>
    </row>
    <row r="462" ht="15.75" customHeight="1">
      <c r="A462" s="45"/>
      <c r="B462" s="45"/>
      <c r="C462" s="45"/>
      <c r="D462" s="45"/>
      <c r="E462" s="45"/>
    </row>
    <row r="463" ht="15.75" customHeight="1">
      <c r="A463" s="45"/>
      <c r="B463" s="45"/>
      <c r="C463" s="45"/>
      <c r="D463" s="45"/>
      <c r="E463" s="45"/>
    </row>
    <row r="464" ht="15.75" customHeight="1">
      <c r="A464" s="45"/>
      <c r="B464" s="45"/>
      <c r="C464" s="45"/>
      <c r="D464" s="45"/>
      <c r="E464" s="45"/>
    </row>
    <row r="465" ht="15.75" customHeight="1">
      <c r="A465" s="45"/>
      <c r="B465" s="45"/>
      <c r="C465" s="45"/>
      <c r="D465" s="45"/>
      <c r="E465" s="45"/>
    </row>
    <row r="466" ht="15.75" customHeight="1">
      <c r="A466" s="45"/>
      <c r="B466" s="45"/>
      <c r="C466" s="45"/>
      <c r="D466" s="45"/>
      <c r="E466" s="45"/>
    </row>
    <row r="467" ht="15.75" customHeight="1">
      <c r="A467" s="45"/>
      <c r="B467" s="45"/>
      <c r="C467" s="45"/>
      <c r="D467" s="45"/>
      <c r="E467" s="45"/>
    </row>
    <row r="468" ht="15.75" customHeight="1">
      <c r="A468" s="45"/>
      <c r="B468" s="45"/>
      <c r="C468" s="45"/>
      <c r="D468" s="45"/>
      <c r="E468" s="45"/>
    </row>
    <row r="469" ht="15.75" customHeight="1">
      <c r="A469" s="45"/>
      <c r="B469" s="45"/>
      <c r="C469" s="45"/>
      <c r="D469" s="45"/>
      <c r="E469" s="45"/>
    </row>
    <row r="470" ht="15.75" customHeight="1">
      <c r="A470" s="45"/>
      <c r="B470" s="45"/>
      <c r="C470" s="45"/>
      <c r="D470" s="45"/>
      <c r="E470" s="45"/>
    </row>
    <row r="471" ht="15.75" customHeight="1">
      <c r="A471" s="45"/>
      <c r="B471" s="45"/>
      <c r="C471" s="45"/>
      <c r="D471" s="45"/>
      <c r="E471" s="45"/>
    </row>
    <row r="472" ht="15.75" customHeight="1">
      <c r="A472" s="45"/>
      <c r="B472" s="45"/>
      <c r="C472" s="45"/>
      <c r="D472" s="45"/>
      <c r="E472" s="45"/>
    </row>
    <row r="473" ht="15.75" customHeight="1">
      <c r="A473" s="45"/>
      <c r="B473" s="45"/>
      <c r="C473" s="45"/>
      <c r="D473" s="45"/>
      <c r="E473" s="45"/>
    </row>
    <row r="474" ht="15.75" customHeight="1">
      <c r="A474" s="45"/>
      <c r="B474" s="45"/>
      <c r="C474" s="45"/>
      <c r="D474" s="45"/>
      <c r="E474" s="45"/>
    </row>
    <row r="475" ht="15.75" customHeight="1">
      <c r="A475" s="45"/>
      <c r="B475" s="45"/>
      <c r="C475" s="45"/>
      <c r="D475" s="45"/>
      <c r="E475" s="45"/>
    </row>
    <row r="476" ht="15.75" customHeight="1">
      <c r="A476" s="45"/>
      <c r="B476" s="45"/>
      <c r="C476" s="45"/>
      <c r="D476" s="45"/>
      <c r="E476" s="45"/>
    </row>
    <row r="477" ht="15.75" customHeight="1">
      <c r="A477" s="45"/>
      <c r="B477" s="45"/>
      <c r="C477" s="45"/>
      <c r="D477" s="45"/>
      <c r="E477" s="45"/>
    </row>
    <row r="478" ht="15.75" customHeight="1">
      <c r="A478" s="45"/>
      <c r="B478" s="45"/>
      <c r="C478" s="45"/>
      <c r="D478" s="45"/>
      <c r="E478" s="45"/>
    </row>
    <row r="479" ht="15.75" customHeight="1">
      <c r="A479" s="45"/>
      <c r="B479" s="45"/>
      <c r="C479" s="45"/>
      <c r="D479" s="45"/>
      <c r="E479" s="45"/>
    </row>
    <row r="480" ht="15.75" customHeight="1">
      <c r="A480" s="45"/>
      <c r="B480" s="45"/>
      <c r="C480" s="45"/>
      <c r="D480" s="45"/>
      <c r="E480" s="45"/>
    </row>
    <row r="481" ht="15.75" customHeight="1">
      <c r="A481" s="45"/>
      <c r="B481" s="45"/>
      <c r="C481" s="45"/>
      <c r="D481" s="45"/>
      <c r="E481" s="45"/>
    </row>
    <row r="482" ht="15.75" customHeight="1">
      <c r="A482" s="45"/>
      <c r="B482" s="45"/>
      <c r="C482" s="45"/>
      <c r="D482" s="45"/>
      <c r="E482" s="45"/>
    </row>
    <row r="483" ht="15.75" customHeight="1">
      <c r="A483" s="45"/>
      <c r="B483" s="45"/>
      <c r="C483" s="45"/>
      <c r="D483" s="45"/>
      <c r="E483" s="45"/>
    </row>
    <row r="484" ht="15.75" customHeight="1">
      <c r="A484" s="45"/>
      <c r="B484" s="45"/>
      <c r="C484" s="45"/>
      <c r="D484" s="45"/>
      <c r="E484" s="45"/>
    </row>
    <row r="485" ht="15.75" customHeight="1">
      <c r="A485" s="45"/>
      <c r="B485" s="45"/>
      <c r="C485" s="45"/>
      <c r="D485" s="45"/>
      <c r="E485" s="45"/>
    </row>
    <row r="486" ht="15.75" customHeight="1">
      <c r="A486" s="45"/>
      <c r="B486" s="45"/>
      <c r="C486" s="45"/>
      <c r="D486" s="45"/>
      <c r="E486" s="45"/>
    </row>
    <row r="487" ht="15.75" customHeight="1">
      <c r="A487" s="45"/>
      <c r="B487" s="45"/>
      <c r="C487" s="45"/>
      <c r="D487" s="45"/>
      <c r="E487" s="45"/>
    </row>
    <row r="488" ht="15.75" customHeight="1">
      <c r="A488" s="45"/>
      <c r="B488" s="45"/>
      <c r="C488" s="45"/>
      <c r="D488" s="45"/>
      <c r="E488" s="45"/>
    </row>
    <row r="489" ht="15.75" customHeight="1">
      <c r="A489" s="45"/>
      <c r="B489" s="45"/>
      <c r="C489" s="45"/>
      <c r="D489" s="45"/>
      <c r="E489" s="45"/>
    </row>
    <row r="490" ht="15.75" customHeight="1">
      <c r="A490" s="45"/>
      <c r="B490" s="45"/>
      <c r="C490" s="45"/>
      <c r="D490" s="45"/>
      <c r="E490" s="45"/>
    </row>
    <row r="491" ht="15.75" customHeight="1">
      <c r="A491" s="45"/>
      <c r="B491" s="45"/>
      <c r="C491" s="45"/>
      <c r="D491" s="45"/>
      <c r="E491" s="45"/>
    </row>
    <row r="492" ht="15.75" customHeight="1">
      <c r="A492" s="45"/>
      <c r="B492" s="45"/>
      <c r="C492" s="45"/>
      <c r="D492" s="45"/>
      <c r="E492" s="45"/>
    </row>
    <row r="493" ht="15.75" customHeight="1">
      <c r="A493" s="45"/>
      <c r="B493" s="45"/>
      <c r="C493" s="45"/>
      <c r="D493" s="45"/>
      <c r="E493" s="45"/>
    </row>
    <row r="494" ht="15.75" customHeight="1">
      <c r="A494" s="45"/>
      <c r="B494" s="45"/>
      <c r="C494" s="45"/>
      <c r="D494" s="45"/>
      <c r="E494" s="45"/>
    </row>
    <row r="495" ht="15.75" customHeight="1">
      <c r="A495" s="45"/>
      <c r="B495" s="45"/>
      <c r="C495" s="45"/>
      <c r="D495" s="45"/>
      <c r="E495" s="45"/>
    </row>
    <row r="496" ht="15.75" customHeight="1">
      <c r="A496" s="45"/>
      <c r="B496" s="45"/>
      <c r="C496" s="45"/>
      <c r="D496" s="45"/>
      <c r="E496" s="45"/>
    </row>
    <row r="497" ht="15.75" customHeight="1">
      <c r="A497" s="45"/>
      <c r="B497" s="45"/>
      <c r="C497" s="45"/>
      <c r="D497" s="45"/>
      <c r="E497" s="45"/>
    </row>
    <row r="498" ht="15.75" customHeight="1">
      <c r="A498" s="45"/>
      <c r="B498" s="45"/>
      <c r="C498" s="45"/>
      <c r="D498" s="45"/>
      <c r="E498" s="45"/>
    </row>
    <row r="499" ht="15.75" customHeight="1">
      <c r="A499" s="45"/>
      <c r="B499" s="45"/>
      <c r="C499" s="45"/>
      <c r="D499" s="45"/>
      <c r="E499" s="45"/>
    </row>
    <row r="500" ht="15.75" customHeight="1">
      <c r="A500" s="45"/>
      <c r="B500" s="45"/>
      <c r="C500" s="45"/>
      <c r="D500" s="45"/>
      <c r="E500" s="45"/>
    </row>
    <row r="501" ht="15.75" customHeight="1">
      <c r="A501" s="45"/>
      <c r="B501" s="45"/>
      <c r="C501" s="45"/>
      <c r="D501" s="45"/>
      <c r="E501" s="45"/>
    </row>
    <row r="502" ht="15.75" customHeight="1">
      <c r="A502" s="45"/>
      <c r="B502" s="45"/>
      <c r="C502" s="45"/>
      <c r="D502" s="45"/>
      <c r="E502" s="45"/>
    </row>
    <row r="503" ht="15.75" customHeight="1">
      <c r="A503" s="45"/>
      <c r="B503" s="45"/>
      <c r="C503" s="45"/>
      <c r="D503" s="45"/>
      <c r="E503" s="45"/>
    </row>
    <row r="504" ht="15.75" customHeight="1">
      <c r="A504" s="45"/>
      <c r="B504" s="45"/>
      <c r="C504" s="45"/>
      <c r="D504" s="45"/>
      <c r="E504" s="45"/>
    </row>
    <row r="505" ht="15.75" customHeight="1">
      <c r="A505" s="45"/>
      <c r="B505" s="45"/>
      <c r="C505" s="45"/>
      <c r="D505" s="45"/>
      <c r="E505" s="45"/>
    </row>
    <row r="506" ht="15.75" customHeight="1">
      <c r="A506" s="45"/>
      <c r="B506" s="45"/>
      <c r="C506" s="45"/>
      <c r="D506" s="45"/>
      <c r="E506" s="45"/>
    </row>
    <row r="507" ht="15.75" customHeight="1">
      <c r="A507" s="45"/>
      <c r="B507" s="45"/>
      <c r="C507" s="45"/>
      <c r="D507" s="45"/>
      <c r="E507" s="45"/>
    </row>
    <row r="508" ht="15.75" customHeight="1">
      <c r="A508" s="45"/>
      <c r="B508" s="45"/>
      <c r="C508" s="45"/>
      <c r="D508" s="45"/>
      <c r="E508" s="45"/>
    </row>
    <row r="509" ht="15.75" customHeight="1">
      <c r="A509" s="45"/>
      <c r="B509" s="45"/>
      <c r="C509" s="45"/>
      <c r="D509" s="45"/>
      <c r="E509" s="45"/>
    </row>
    <row r="510" ht="15.75" customHeight="1">
      <c r="A510" s="45"/>
      <c r="B510" s="45"/>
      <c r="C510" s="45"/>
      <c r="D510" s="45"/>
      <c r="E510" s="45"/>
    </row>
    <row r="511" ht="15.75" customHeight="1">
      <c r="A511" s="45"/>
      <c r="B511" s="45"/>
      <c r="C511" s="45"/>
      <c r="D511" s="45"/>
      <c r="E511" s="45"/>
    </row>
    <row r="512" ht="15.75" customHeight="1">
      <c r="A512" s="45"/>
      <c r="B512" s="45"/>
      <c r="C512" s="45"/>
      <c r="D512" s="45"/>
      <c r="E512" s="45"/>
    </row>
    <row r="513" ht="15.75" customHeight="1">
      <c r="A513" s="45"/>
      <c r="B513" s="45"/>
      <c r="C513" s="45"/>
      <c r="D513" s="45"/>
      <c r="E513" s="45"/>
    </row>
    <row r="514" ht="15.75" customHeight="1">
      <c r="A514" s="45"/>
      <c r="B514" s="45"/>
      <c r="C514" s="45"/>
      <c r="D514" s="45"/>
      <c r="E514" s="45"/>
    </row>
    <row r="515" ht="15.75" customHeight="1">
      <c r="A515" s="45"/>
      <c r="B515" s="45"/>
      <c r="C515" s="45"/>
      <c r="D515" s="45"/>
      <c r="E515" s="45"/>
    </row>
    <row r="516" ht="15.75" customHeight="1">
      <c r="A516" s="45"/>
      <c r="B516" s="45"/>
      <c r="C516" s="45"/>
      <c r="D516" s="45"/>
      <c r="E516" s="45"/>
    </row>
    <row r="517" ht="15.75" customHeight="1">
      <c r="A517" s="45"/>
      <c r="B517" s="45"/>
      <c r="C517" s="45"/>
      <c r="D517" s="45"/>
      <c r="E517" s="45"/>
    </row>
    <row r="518" ht="15.75" customHeight="1">
      <c r="A518" s="45"/>
      <c r="B518" s="45"/>
      <c r="C518" s="45"/>
      <c r="D518" s="45"/>
      <c r="E518" s="45"/>
    </row>
    <row r="519" ht="15.75" customHeight="1">
      <c r="A519" s="45"/>
      <c r="B519" s="45"/>
      <c r="C519" s="45"/>
      <c r="D519" s="45"/>
      <c r="E519" s="45"/>
    </row>
    <row r="520" ht="15.75" customHeight="1">
      <c r="A520" s="45"/>
      <c r="B520" s="45"/>
      <c r="C520" s="45"/>
      <c r="D520" s="45"/>
      <c r="E520" s="45"/>
    </row>
    <row r="521" ht="15.75" customHeight="1">
      <c r="A521" s="45"/>
      <c r="B521" s="45"/>
      <c r="C521" s="45"/>
      <c r="D521" s="45"/>
      <c r="E521" s="45"/>
    </row>
    <row r="522" ht="15.75" customHeight="1">
      <c r="A522" s="45"/>
      <c r="B522" s="45"/>
      <c r="C522" s="45"/>
      <c r="D522" s="45"/>
      <c r="E522" s="45"/>
    </row>
    <row r="523" ht="15.75" customHeight="1">
      <c r="A523" s="45"/>
      <c r="B523" s="45"/>
      <c r="C523" s="45"/>
      <c r="D523" s="45"/>
      <c r="E523" s="45"/>
    </row>
    <row r="524" ht="15.75" customHeight="1">
      <c r="A524" s="45"/>
      <c r="B524" s="45"/>
      <c r="C524" s="45"/>
      <c r="D524" s="45"/>
      <c r="E524" s="45"/>
    </row>
    <row r="525" ht="15.75" customHeight="1">
      <c r="A525" s="45"/>
      <c r="B525" s="45"/>
      <c r="C525" s="45"/>
      <c r="D525" s="45"/>
      <c r="E525" s="45"/>
    </row>
    <row r="526" ht="15.75" customHeight="1">
      <c r="A526" s="45"/>
      <c r="B526" s="45"/>
      <c r="C526" s="45"/>
      <c r="D526" s="45"/>
      <c r="E526" s="45"/>
    </row>
    <row r="527" ht="15.75" customHeight="1">
      <c r="A527" s="45"/>
      <c r="B527" s="45"/>
      <c r="C527" s="45"/>
      <c r="D527" s="45"/>
      <c r="E527" s="45"/>
    </row>
    <row r="528" ht="15.75" customHeight="1">
      <c r="A528" s="45"/>
      <c r="B528" s="45"/>
      <c r="C528" s="45"/>
      <c r="D528" s="45"/>
      <c r="E528" s="45"/>
    </row>
    <row r="529" ht="15.75" customHeight="1">
      <c r="A529" s="45"/>
      <c r="B529" s="45"/>
      <c r="C529" s="45"/>
      <c r="D529" s="45"/>
      <c r="E529" s="45"/>
    </row>
    <row r="530" ht="15.75" customHeight="1">
      <c r="A530" s="45"/>
      <c r="B530" s="45"/>
      <c r="C530" s="45"/>
      <c r="D530" s="45"/>
      <c r="E530" s="45"/>
    </row>
    <row r="531" ht="15.75" customHeight="1">
      <c r="A531" s="45"/>
      <c r="B531" s="45"/>
      <c r="C531" s="45"/>
      <c r="D531" s="45"/>
      <c r="E531" s="45"/>
    </row>
    <row r="532" ht="15.75" customHeight="1">
      <c r="A532" s="45"/>
      <c r="B532" s="45"/>
      <c r="C532" s="45"/>
      <c r="D532" s="45"/>
      <c r="E532" s="45"/>
    </row>
    <row r="533" ht="15.75" customHeight="1">
      <c r="A533" s="45"/>
      <c r="B533" s="45"/>
      <c r="C533" s="45"/>
      <c r="D533" s="45"/>
      <c r="E533" s="45"/>
    </row>
    <row r="534" ht="15.75" customHeight="1">
      <c r="A534" s="45"/>
      <c r="B534" s="45"/>
      <c r="C534" s="45"/>
      <c r="D534" s="45"/>
      <c r="E534" s="45"/>
    </row>
    <row r="535" ht="15.75" customHeight="1">
      <c r="A535" s="45"/>
      <c r="B535" s="45"/>
      <c r="C535" s="45"/>
      <c r="D535" s="45"/>
      <c r="E535" s="45"/>
    </row>
    <row r="536" ht="15.75" customHeight="1">
      <c r="A536" s="45"/>
      <c r="B536" s="45"/>
      <c r="C536" s="45"/>
      <c r="D536" s="45"/>
      <c r="E536" s="45"/>
    </row>
    <row r="537" ht="15.75" customHeight="1">
      <c r="A537" s="45"/>
      <c r="B537" s="45"/>
      <c r="C537" s="45"/>
      <c r="D537" s="45"/>
      <c r="E537" s="45"/>
    </row>
    <row r="538" ht="15.75" customHeight="1">
      <c r="A538" s="45"/>
      <c r="B538" s="45"/>
      <c r="C538" s="45"/>
      <c r="D538" s="45"/>
      <c r="E538" s="45"/>
    </row>
    <row r="539" ht="15.75" customHeight="1">
      <c r="A539" s="45"/>
      <c r="B539" s="45"/>
      <c r="C539" s="45"/>
      <c r="D539" s="45"/>
      <c r="E539" s="45"/>
    </row>
    <row r="540" ht="15.75" customHeight="1">
      <c r="A540" s="45"/>
      <c r="B540" s="45"/>
      <c r="C540" s="45"/>
      <c r="D540" s="45"/>
      <c r="E540" s="45"/>
    </row>
    <row r="541" ht="15.75" customHeight="1">
      <c r="A541" s="45"/>
      <c r="B541" s="45"/>
      <c r="C541" s="45"/>
      <c r="D541" s="45"/>
      <c r="E541" s="45"/>
    </row>
    <row r="542" ht="15.75" customHeight="1">
      <c r="A542" s="45"/>
      <c r="B542" s="45"/>
      <c r="C542" s="45"/>
      <c r="D542" s="45"/>
      <c r="E542" s="45"/>
    </row>
    <row r="543" ht="15.75" customHeight="1">
      <c r="A543" s="45"/>
      <c r="B543" s="45"/>
      <c r="C543" s="45"/>
      <c r="D543" s="45"/>
      <c r="E543" s="45"/>
    </row>
    <row r="544" ht="15.75" customHeight="1">
      <c r="A544" s="45"/>
      <c r="B544" s="45"/>
      <c r="C544" s="45"/>
      <c r="D544" s="45"/>
      <c r="E544" s="45"/>
    </row>
    <row r="545" ht="15.75" customHeight="1">
      <c r="A545" s="45"/>
      <c r="B545" s="45"/>
      <c r="C545" s="45"/>
      <c r="D545" s="45"/>
      <c r="E545" s="45"/>
    </row>
    <row r="546" ht="15.75" customHeight="1">
      <c r="A546" s="45"/>
      <c r="B546" s="45"/>
      <c r="C546" s="45"/>
      <c r="D546" s="45"/>
      <c r="E546" s="45"/>
    </row>
    <row r="547" ht="15.75" customHeight="1">
      <c r="A547" s="45"/>
      <c r="B547" s="45"/>
      <c r="C547" s="45"/>
      <c r="D547" s="45"/>
      <c r="E547" s="45"/>
    </row>
    <row r="548" ht="15.75" customHeight="1">
      <c r="A548" s="45"/>
      <c r="B548" s="45"/>
      <c r="C548" s="45"/>
      <c r="D548" s="45"/>
      <c r="E548" s="45"/>
    </row>
    <row r="549" ht="15.75" customHeight="1">
      <c r="A549" s="45"/>
      <c r="B549" s="45"/>
      <c r="C549" s="45"/>
      <c r="D549" s="45"/>
      <c r="E549" s="45"/>
    </row>
    <row r="550" ht="15.75" customHeight="1">
      <c r="A550" s="45"/>
      <c r="B550" s="45"/>
      <c r="C550" s="45"/>
      <c r="D550" s="45"/>
      <c r="E550" s="45"/>
    </row>
    <row r="551" ht="15.75" customHeight="1">
      <c r="A551" s="45"/>
      <c r="B551" s="45"/>
      <c r="C551" s="45"/>
      <c r="D551" s="45"/>
      <c r="E551" s="45"/>
    </row>
    <row r="552" ht="15.75" customHeight="1">
      <c r="A552" s="45"/>
      <c r="B552" s="45"/>
      <c r="C552" s="45"/>
      <c r="D552" s="45"/>
      <c r="E552" s="45"/>
    </row>
    <row r="553" ht="15.75" customHeight="1">
      <c r="A553" s="45"/>
      <c r="B553" s="45"/>
      <c r="C553" s="45"/>
      <c r="D553" s="45"/>
      <c r="E553" s="45"/>
    </row>
    <row r="554" ht="15.75" customHeight="1">
      <c r="A554" s="45"/>
      <c r="B554" s="45"/>
      <c r="C554" s="45"/>
      <c r="D554" s="45"/>
      <c r="E554" s="45"/>
    </row>
    <row r="555" ht="15.75" customHeight="1">
      <c r="A555" s="45"/>
      <c r="B555" s="45"/>
      <c r="C555" s="45"/>
      <c r="D555" s="45"/>
      <c r="E555" s="45"/>
    </row>
    <row r="556" ht="15.75" customHeight="1">
      <c r="A556" s="45"/>
      <c r="B556" s="45"/>
      <c r="C556" s="45"/>
      <c r="D556" s="45"/>
      <c r="E556" s="45"/>
    </row>
    <row r="557" ht="15.75" customHeight="1">
      <c r="A557" s="45"/>
      <c r="B557" s="45"/>
      <c r="C557" s="45"/>
      <c r="D557" s="45"/>
      <c r="E557" s="45"/>
    </row>
    <row r="558" ht="15.75" customHeight="1">
      <c r="A558" s="45"/>
      <c r="B558" s="45"/>
      <c r="C558" s="45"/>
      <c r="D558" s="45"/>
      <c r="E558" s="45"/>
    </row>
    <row r="559" ht="15.75" customHeight="1">
      <c r="A559" s="45"/>
      <c r="B559" s="45"/>
      <c r="C559" s="45"/>
      <c r="D559" s="45"/>
      <c r="E559" s="45"/>
    </row>
    <row r="560" ht="15.75" customHeight="1">
      <c r="A560" s="45"/>
      <c r="B560" s="45"/>
      <c r="C560" s="45"/>
      <c r="D560" s="45"/>
      <c r="E560" s="45"/>
    </row>
    <row r="561" ht="15.75" customHeight="1">
      <c r="A561" s="45"/>
      <c r="B561" s="45"/>
      <c r="C561" s="45"/>
      <c r="D561" s="45"/>
      <c r="E561" s="45"/>
    </row>
    <row r="562" ht="15.75" customHeight="1">
      <c r="A562" s="45"/>
      <c r="B562" s="45"/>
      <c r="C562" s="45"/>
      <c r="D562" s="45"/>
      <c r="E562" s="45"/>
    </row>
    <row r="563" ht="15.75" customHeight="1">
      <c r="A563" s="45"/>
      <c r="B563" s="45"/>
      <c r="C563" s="45"/>
      <c r="D563" s="45"/>
      <c r="E563" s="45"/>
    </row>
    <row r="564" ht="15.75" customHeight="1">
      <c r="A564" s="45"/>
      <c r="B564" s="45"/>
      <c r="C564" s="45"/>
      <c r="D564" s="45"/>
      <c r="E564" s="45"/>
    </row>
    <row r="565" ht="15.75" customHeight="1">
      <c r="A565" s="45"/>
      <c r="B565" s="45"/>
      <c r="C565" s="45"/>
      <c r="D565" s="45"/>
      <c r="E565" s="45"/>
    </row>
    <row r="566" ht="15.75" customHeight="1">
      <c r="A566" s="45"/>
      <c r="B566" s="45"/>
      <c r="C566" s="45"/>
      <c r="D566" s="45"/>
      <c r="E566" s="45"/>
    </row>
    <row r="567" ht="15.75" customHeight="1">
      <c r="A567" s="45"/>
      <c r="B567" s="45"/>
      <c r="C567" s="45"/>
      <c r="D567" s="45"/>
      <c r="E567" s="45"/>
    </row>
    <row r="568" ht="15.75" customHeight="1">
      <c r="A568" s="45"/>
      <c r="B568" s="45"/>
      <c r="C568" s="45"/>
      <c r="D568" s="45"/>
      <c r="E568" s="45"/>
    </row>
    <row r="569" ht="15.75" customHeight="1">
      <c r="A569" s="45"/>
      <c r="B569" s="45"/>
      <c r="C569" s="45"/>
      <c r="D569" s="45"/>
      <c r="E569" s="45"/>
    </row>
    <row r="570" ht="15.75" customHeight="1">
      <c r="A570" s="45"/>
      <c r="B570" s="45"/>
      <c r="C570" s="45"/>
      <c r="D570" s="45"/>
      <c r="E570" s="45"/>
    </row>
    <row r="571" ht="15.75" customHeight="1">
      <c r="A571" s="45"/>
      <c r="B571" s="45"/>
      <c r="C571" s="45"/>
      <c r="D571" s="45"/>
      <c r="E571" s="45"/>
    </row>
    <row r="572" ht="15.75" customHeight="1">
      <c r="A572" s="45"/>
      <c r="B572" s="45"/>
      <c r="C572" s="45"/>
      <c r="D572" s="45"/>
      <c r="E572" s="45"/>
    </row>
    <row r="573" ht="15.75" customHeight="1">
      <c r="A573" s="45"/>
      <c r="B573" s="45"/>
      <c r="C573" s="45"/>
      <c r="D573" s="45"/>
      <c r="E573" s="45"/>
    </row>
    <row r="574" ht="15.75" customHeight="1">
      <c r="A574" s="45"/>
      <c r="B574" s="45"/>
      <c r="C574" s="45"/>
      <c r="D574" s="45"/>
      <c r="E574" s="45"/>
    </row>
    <row r="575" ht="15.75" customHeight="1">
      <c r="A575" s="45"/>
      <c r="B575" s="45"/>
      <c r="C575" s="45"/>
      <c r="D575" s="45"/>
      <c r="E575" s="45"/>
    </row>
    <row r="576" ht="15.75" customHeight="1">
      <c r="A576" s="45"/>
      <c r="B576" s="45"/>
      <c r="C576" s="45"/>
      <c r="D576" s="45"/>
      <c r="E576" s="45"/>
    </row>
    <row r="577" ht="15.75" customHeight="1">
      <c r="A577" s="45"/>
      <c r="B577" s="45"/>
      <c r="C577" s="45"/>
      <c r="D577" s="45"/>
      <c r="E577" s="45"/>
    </row>
    <row r="578" ht="15.75" customHeight="1">
      <c r="A578" s="45"/>
      <c r="B578" s="45"/>
      <c r="C578" s="45"/>
      <c r="D578" s="45"/>
      <c r="E578" s="45"/>
    </row>
    <row r="579" ht="15.75" customHeight="1">
      <c r="A579" s="45"/>
      <c r="B579" s="45"/>
      <c r="C579" s="45"/>
      <c r="D579" s="45"/>
      <c r="E579" s="45"/>
    </row>
    <row r="580" ht="15.75" customHeight="1">
      <c r="A580" s="45"/>
      <c r="B580" s="45"/>
      <c r="C580" s="45"/>
      <c r="D580" s="45"/>
      <c r="E580" s="45"/>
    </row>
    <row r="581" ht="15.75" customHeight="1">
      <c r="A581" s="45"/>
      <c r="B581" s="45"/>
      <c r="C581" s="45"/>
      <c r="D581" s="45"/>
      <c r="E581" s="45"/>
    </row>
    <row r="582" ht="15.75" customHeight="1">
      <c r="A582" s="45"/>
      <c r="B582" s="45"/>
      <c r="C582" s="45"/>
      <c r="D582" s="45"/>
      <c r="E582" s="45"/>
    </row>
    <row r="583" ht="15.75" customHeight="1">
      <c r="A583" s="45"/>
      <c r="B583" s="45"/>
      <c r="C583" s="45"/>
      <c r="D583" s="45"/>
      <c r="E583" s="45"/>
    </row>
    <row r="584" ht="15.75" customHeight="1">
      <c r="A584" s="45"/>
      <c r="B584" s="45"/>
      <c r="C584" s="45"/>
      <c r="D584" s="45"/>
      <c r="E584" s="45"/>
    </row>
    <row r="585" ht="15.75" customHeight="1">
      <c r="A585" s="45"/>
      <c r="B585" s="45"/>
      <c r="C585" s="45"/>
      <c r="D585" s="45"/>
      <c r="E585" s="45"/>
    </row>
    <row r="586" ht="15.75" customHeight="1">
      <c r="A586" s="45"/>
      <c r="B586" s="45"/>
      <c r="C586" s="45"/>
      <c r="D586" s="45"/>
      <c r="E586" s="45"/>
    </row>
    <row r="587" ht="15.75" customHeight="1">
      <c r="A587" s="45"/>
      <c r="B587" s="45"/>
      <c r="C587" s="45"/>
      <c r="D587" s="45"/>
      <c r="E587" s="45"/>
    </row>
    <row r="588" ht="15.75" customHeight="1">
      <c r="A588" s="45"/>
      <c r="B588" s="45"/>
      <c r="C588" s="45"/>
      <c r="D588" s="45"/>
      <c r="E588" s="45"/>
    </row>
    <row r="589" ht="15.75" customHeight="1">
      <c r="A589" s="45"/>
      <c r="B589" s="45"/>
      <c r="C589" s="45"/>
      <c r="D589" s="45"/>
      <c r="E589" s="45"/>
    </row>
    <row r="590" ht="15.75" customHeight="1">
      <c r="A590" s="45"/>
      <c r="B590" s="45"/>
      <c r="C590" s="45"/>
      <c r="D590" s="45"/>
      <c r="E590" s="45"/>
    </row>
    <row r="591" ht="15.75" customHeight="1">
      <c r="A591" s="45"/>
      <c r="B591" s="45"/>
      <c r="C591" s="45"/>
      <c r="D591" s="45"/>
      <c r="E591" s="45"/>
    </row>
    <row r="592" ht="15.75" customHeight="1">
      <c r="A592" s="45"/>
      <c r="B592" s="45"/>
      <c r="C592" s="45"/>
      <c r="D592" s="45"/>
      <c r="E592" s="45"/>
    </row>
    <row r="593" ht="15.75" customHeight="1">
      <c r="A593" s="45"/>
      <c r="B593" s="45"/>
      <c r="C593" s="45"/>
      <c r="D593" s="45"/>
      <c r="E593" s="45"/>
    </row>
    <row r="594" ht="15.75" customHeight="1">
      <c r="A594" s="45"/>
      <c r="B594" s="45"/>
      <c r="C594" s="45"/>
      <c r="D594" s="45"/>
      <c r="E594" s="45"/>
    </row>
    <row r="595" ht="15.75" customHeight="1">
      <c r="A595" s="45"/>
      <c r="B595" s="45"/>
      <c r="C595" s="45"/>
      <c r="D595" s="45"/>
      <c r="E595" s="45"/>
    </row>
    <row r="596" ht="15.75" customHeight="1">
      <c r="A596" s="45"/>
      <c r="B596" s="45"/>
      <c r="C596" s="45"/>
      <c r="D596" s="45"/>
      <c r="E596" s="45"/>
    </row>
    <row r="597" ht="15.75" customHeight="1">
      <c r="A597" s="45"/>
      <c r="B597" s="45"/>
      <c r="C597" s="45"/>
      <c r="D597" s="45"/>
      <c r="E597" s="45"/>
    </row>
    <row r="598" ht="15.75" customHeight="1">
      <c r="A598" s="45"/>
      <c r="B598" s="45"/>
      <c r="C598" s="45"/>
      <c r="D598" s="45"/>
      <c r="E598" s="45"/>
    </row>
    <row r="599" ht="15.75" customHeight="1">
      <c r="A599" s="45"/>
      <c r="B599" s="45"/>
      <c r="C599" s="45"/>
      <c r="D599" s="45"/>
      <c r="E599" s="45"/>
    </row>
    <row r="600" ht="15.75" customHeight="1">
      <c r="A600" s="45"/>
      <c r="B600" s="45"/>
      <c r="C600" s="45"/>
      <c r="D600" s="45"/>
      <c r="E600" s="45"/>
    </row>
    <row r="601" ht="15.75" customHeight="1">
      <c r="A601" s="45"/>
      <c r="B601" s="45"/>
      <c r="C601" s="45"/>
      <c r="D601" s="45"/>
      <c r="E601" s="45"/>
    </row>
    <row r="602" ht="15.75" customHeight="1">
      <c r="A602" s="45"/>
      <c r="B602" s="45"/>
      <c r="C602" s="45"/>
      <c r="D602" s="45"/>
      <c r="E602" s="45"/>
    </row>
    <row r="603" ht="15.75" customHeight="1">
      <c r="A603" s="45"/>
      <c r="B603" s="45"/>
      <c r="C603" s="45"/>
      <c r="D603" s="45"/>
      <c r="E603" s="45"/>
    </row>
    <row r="604" ht="15.75" customHeight="1">
      <c r="A604" s="45"/>
      <c r="B604" s="45"/>
      <c r="C604" s="45"/>
      <c r="D604" s="45"/>
      <c r="E604" s="45"/>
    </row>
    <row r="605" ht="15.75" customHeight="1">
      <c r="A605" s="45"/>
      <c r="B605" s="45"/>
      <c r="C605" s="45"/>
      <c r="D605" s="45"/>
      <c r="E605" s="45"/>
    </row>
    <row r="606" ht="15.75" customHeight="1">
      <c r="A606" s="45"/>
      <c r="B606" s="45"/>
      <c r="C606" s="45"/>
      <c r="D606" s="45"/>
      <c r="E606" s="45"/>
    </row>
    <row r="607" ht="15.75" customHeight="1">
      <c r="A607" s="45"/>
      <c r="B607" s="45"/>
      <c r="C607" s="45"/>
      <c r="D607" s="45"/>
      <c r="E607" s="45"/>
    </row>
    <row r="608" ht="15.75" customHeight="1">
      <c r="A608" s="45"/>
      <c r="B608" s="45"/>
      <c r="C608" s="45"/>
      <c r="D608" s="45"/>
      <c r="E608" s="45"/>
    </row>
    <row r="609" ht="15.75" customHeight="1">
      <c r="A609" s="45"/>
      <c r="B609" s="45"/>
      <c r="C609" s="45"/>
      <c r="D609" s="45"/>
      <c r="E609" s="45"/>
    </row>
    <row r="610" ht="15.75" customHeight="1">
      <c r="A610" s="45"/>
      <c r="B610" s="45"/>
      <c r="C610" s="45"/>
      <c r="D610" s="45"/>
      <c r="E610" s="45"/>
    </row>
    <row r="611" ht="15.75" customHeight="1">
      <c r="A611" s="45"/>
      <c r="B611" s="45"/>
      <c r="C611" s="45"/>
      <c r="D611" s="45"/>
      <c r="E611" s="45"/>
    </row>
    <row r="612" ht="15.75" customHeight="1">
      <c r="A612" s="45"/>
      <c r="B612" s="45"/>
      <c r="C612" s="45"/>
      <c r="D612" s="45"/>
      <c r="E612" s="45"/>
    </row>
    <row r="613" ht="15.75" customHeight="1">
      <c r="A613" s="45"/>
      <c r="B613" s="45"/>
      <c r="C613" s="45"/>
      <c r="D613" s="45"/>
      <c r="E613" s="45"/>
    </row>
    <row r="614" ht="15.75" customHeight="1">
      <c r="A614" s="45"/>
      <c r="B614" s="45"/>
      <c r="C614" s="45"/>
      <c r="D614" s="45"/>
      <c r="E614" s="45"/>
    </row>
    <row r="615" ht="15.75" customHeight="1">
      <c r="A615" s="45"/>
      <c r="B615" s="45"/>
      <c r="C615" s="45"/>
      <c r="D615" s="45"/>
      <c r="E615" s="45"/>
    </row>
    <row r="616" ht="15.75" customHeight="1">
      <c r="A616" s="45"/>
      <c r="B616" s="45"/>
      <c r="C616" s="45"/>
      <c r="D616" s="45"/>
      <c r="E616" s="45"/>
    </row>
    <row r="617" ht="15.75" customHeight="1">
      <c r="A617" s="45"/>
      <c r="B617" s="45"/>
      <c r="C617" s="45"/>
      <c r="D617" s="45"/>
      <c r="E617" s="45"/>
    </row>
    <row r="618" ht="15.75" customHeight="1">
      <c r="A618" s="45"/>
      <c r="B618" s="45"/>
      <c r="C618" s="45"/>
      <c r="D618" s="45"/>
      <c r="E618" s="45"/>
    </row>
    <row r="619" ht="15.75" customHeight="1">
      <c r="A619" s="45"/>
      <c r="B619" s="45"/>
      <c r="C619" s="45"/>
      <c r="D619" s="45"/>
      <c r="E619" s="45"/>
    </row>
    <row r="620" ht="15.75" customHeight="1">
      <c r="A620" s="45"/>
      <c r="B620" s="45"/>
      <c r="C620" s="45"/>
      <c r="D620" s="45"/>
      <c r="E620" s="45"/>
    </row>
    <row r="621" ht="15.75" customHeight="1">
      <c r="A621" s="45"/>
      <c r="B621" s="45"/>
      <c r="C621" s="45"/>
      <c r="D621" s="45"/>
      <c r="E621" s="45"/>
    </row>
    <row r="622" ht="15.75" customHeight="1">
      <c r="A622" s="45"/>
      <c r="B622" s="45"/>
      <c r="C622" s="45"/>
      <c r="D622" s="45"/>
      <c r="E622" s="45"/>
    </row>
    <row r="623" ht="15.75" customHeight="1">
      <c r="A623" s="45"/>
      <c r="B623" s="45"/>
      <c r="C623" s="45"/>
      <c r="D623" s="45"/>
      <c r="E623" s="45"/>
    </row>
    <row r="624" ht="15.75" customHeight="1">
      <c r="A624" s="45"/>
      <c r="B624" s="45"/>
      <c r="C624" s="45"/>
      <c r="D624" s="45"/>
      <c r="E624" s="45"/>
    </row>
    <row r="625" ht="15.75" customHeight="1">
      <c r="A625" s="45"/>
      <c r="B625" s="45"/>
      <c r="C625" s="45"/>
      <c r="D625" s="45"/>
      <c r="E625" s="45"/>
    </row>
    <row r="626" ht="15.75" customHeight="1">
      <c r="A626" s="45"/>
      <c r="B626" s="45"/>
      <c r="C626" s="45"/>
      <c r="D626" s="45"/>
      <c r="E626" s="45"/>
    </row>
    <row r="627" ht="15.75" customHeight="1">
      <c r="A627" s="45"/>
      <c r="B627" s="45"/>
      <c r="C627" s="45"/>
      <c r="D627" s="45"/>
      <c r="E627" s="45"/>
    </row>
    <row r="628" ht="15.75" customHeight="1">
      <c r="A628" s="45"/>
      <c r="B628" s="45"/>
      <c r="C628" s="45"/>
      <c r="D628" s="45"/>
      <c r="E628" s="45"/>
    </row>
    <row r="629" ht="15.75" customHeight="1">
      <c r="A629" s="45"/>
      <c r="B629" s="45"/>
      <c r="C629" s="45"/>
      <c r="D629" s="45"/>
      <c r="E629" s="45"/>
    </row>
    <row r="630" ht="15.75" customHeight="1">
      <c r="A630" s="45"/>
      <c r="B630" s="45"/>
      <c r="C630" s="45"/>
      <c r="D630" s="45"/>
      <c r="E630" s="45"/>
    </row>
    <row r="631" ht="15.75" customHeight="1">
      <c r="A631" s="45"/>
      <c r="B631" s="45"/>
      <c r="C631" s="45"/>
      <c r="D631" s="45"/>
      <c r="E631" s="45"/>
    </row>
    <row r="632" ht="15.75" customHeight="1">
      <c r="A632" s="45"/>
      <c r="B632" s="45"/>
      <c r="C632" s="45"/>
      <c r="D632" s="45"/>
      <c r="E632" s="45"/>
    </row>
    <row r="633" ht="15.75" customHeight="1">
      <c r="A633" s="45"/>
      <c r="B633" s="45"/>
      <c r="C633" s="45"/>
      <c r="D633" s="45"/>
      <c r="E633" s="45"/>
    </row>
    <row r="634" ht="15.75" customHeight="1">
      <c r="A634" s="45"/>
      <c r="B634" s="45"/>
      <c r="C634" s="45"/>
      <c r="D634" s="45"/>
      <c r="E634" s="45"/>
    </row>
    <row r="635" ht="15.75" customHeight="1">
      <c r="A635" s="45"/>
      <c r="B635" s="45"/>
      <c r="C635" s="45"/>
      <c r="D635" s="45"/>
      <c r="E635" s="45"/>
    </row>
    <row r="636" ht="15.75" customHeight="1">
      <c r="A636" s="45"/>
      <c r="B636" s="45"/>
      <c r="C636" s="45"/>
      <c r="D636" s="45"/>
      <c r="E636" s="45"/>
    </row>
    <row r="637" ht="15.75" customHeight="1">
      <c r="A637" s="45"/>
      <c r="B637" s="45"/>
      <c r="C637" s="45"/>
      <c r="D637" s="45"/>
      <c r="E637" s="45"/>
    </row>
    <row r="638" ht="15.75" customHeight="1">
      <c r="A638" s="45"/>
      <c r="B638" s="45"/>
      <c r="C638" s="45"/>
      <c r="D638" s="45"/>
      <c r="E638" s="45"/>
    </row>
    <row r="639" ht="15.75" customHeight="1">
      <c r="A639" s="45"/>
      <c r="B639" s="45"/>
      <c r="C639" s="45"/>
      <c r="D639" s="45"/>
      <c r="E639" s="45"/>
    </row>
    <row r="640" ht="15.75" customHeight="1">
      <c r="A640" s="45"/>
      <c r="B640" s="45"/>
      <c r="C640" s="45"/>
      <c r="D640" s="45"/>
      <c r="E640" s="45"/>
    </row>
    <row r="641" ht="15.75" customHeight="1">
      <c r="A641" s="45"/>
      <c r="B641" s="45"/>
      <c r="C641" s="45"/>
      <c r="D641" s="45"/>
      <c r="E641" s="45"/>
    </row>
    <row r="642" ht="15.75" customHeight="1">
      <c r="A642" s="45"/>
      <c r="B642" s="45"/>
      <c r="C642" s="45"/>
      <c r="D642" s="45"/>
      <c r="E642" s="45"/>
    </row>
    <row r="643" ht="15.75" customHeight="1">
      <c r="A643" s="45"/>
      <c r="B643" s="45"/>
      <c r="C643" s="45"/>
      <c r="D643" s="45"/>
      <c r="E643" s="45"/>
    </row>
    <row r="644" ht="15.75" customHeight="1">
      <c r="A644" s="45"/>
      <c r="B644" s="45"/>
      <c r="C644" s="45"/>
      <c r="D644" s="45"/>
      <c r="E644" s="45"/>
    </row>
    <row r="645" ht="15.75" customHeight="1">
      <c r="A645" s="45"/>
      <c r="B645" s="45"/>
      <c r="C645" s="45"/>
      <c r="D645" s="45"/>
      <c r="E645" s="45"/>
    </row>
    <row r="646" ht="15.75" customHeight="1">
      <c r="A646" s="45"/>
      <c r="B646" s="45"/>
      <c r="C646" s="45"/>
      <c r="D646" s="45"/>
      <c r="E646" s="45"/>
    </row>
    <row r="647" ht="15.75" customHeight="1">
      <c r="A647" s="45"/>
      <c r="B647" s="45"/>
      <c r="C647" s="45"/>
      <c r="D647" s="45"/>
      <c r="E647" s="45"/>
    </row>
    <row r="648" ht="15.75" customHeight="1">
      <c r="A648" s="45"/>
      <c r="B648" s="45"/>
      <c r="C648" s="45"/>
      <c r="D648" s="45"/>
      <c r="E648" s="45"/>
    </row>
    <row r="649" ht="15.75" customHeight="1">
      <c r="A649" s="45"/>
      <c r="B649" s="45"/>
      <c r="C649" s="45"/>
      <c r="D649" s="45"/>
      <c r="E649" s="45"/>
    </row>
    <row r="650" ht="15.75" customHeight="1">
      <c r="A650" s="45"/>
      <c r="B650" s="45"/>
      <c r="C650" s="45"/>
      <c r="D650" s="45"/>
      <c r="E650" s="45"/>
    </row>
    <row r="651" ht="15.75" customHeight="1">
      <c r="A651" s="45"/>
      <c r="B651" s="45"/>
      <c r="C651" s="45"/>
      <c r="D651" s="45"/>
      <c r="E651" s="45"/>
    </row>
    <row r="652" ht="15.75" customHeight="1">
      <c r="A652" s="45"/>
      <c r="B652" s="45"/>
      <c r="C652" s="45"/>
      <c r="D652" s="45"/>
      <c r="E652" s="45"/>
    </row>
    <row r="653" ht="15.75" customHeight="1">
      <c r="A653" s="45"/>
      <c r="B653" s="45"/>
      <c r="C653" s="45"/>
      <c r="D653" s="45"/>
      <c r="E653" s="45"/>
    </row>
    <row r="654" ht="15.75" customHeight="1">
      <c r="A654" s="45"/>
      <c r="B654" s="45"/>
      <c r="C654" s="45"/>
      <c r="D654" s="45"/>
      <c r="E654" s="45"/>
    </row>
    <row r="655" ht="15.75" customHeight="1">
      <c r="A655" s="45"/>
      <c r="B655" s="45"/>
      <c r="C655" s="45"/>
      <c r="D655" s="45"/>
      <c r="E655" s="45"/>
    </row>
    <row r="656" ht="15.75" customHeight="1">
      <c r="A656" s="45"/>
      <c r="B656" s="45"/>
      <c r="C656" s="45"/>
      <c r="D656" s="45"/>
      <c r="E656" s="45"/>
    </row>
    <row r="657" ht="15.75" customHeight="1">
      <c r="A657" s="45"/>
      <c r="B657" s="45"/>
      <c r="C657" s="45"/>
      <c r="D657" s="45"/>
      <c r="E657" s="45"/>
    </row>
    <row r="658" ht="15.75" customHeight="1">
      <c r="A658" s="45"/>
      <c r="B658" s="45"/>
      <c r="C658" s="45"/>
      <c r="D658" s="45"/>
      <c r="E658" s="45"/>
    </row>
    <row r="659" ht="15.75" customHeight="1">
      <c r="A659" s="45"/>
      <c r="B659" s="45"/>
      <c r="C659" s="45"/>
      <c r="D659" s="45"/>
      <c r="E659" s="45"/>
    </row>
    <row r="660" ht="15.75" customHeight="1">
      <c r="A660" s="45"/>
      <c r="B660" s="45"/>
      <c r="C660" s="45"/>
      <c r="D660" s="45"/>
      <c r="E660" s="45"/>
    </row>
    <row r="661" ht="15.75" customHeight="1">
      <c r="A661" s="45"/>
      <c r="B661" s="45"/>
      <c r="C661" s="45"/>
      <c r="D661" s="45"/>
      <c r="E661" s="45"/>
    </row>
    <row r="662" ht="15.75" customHeight="1">
      <c r="A662" s="45"/>
      <c r="B662" s="45"/>
      <c r="C662" s="45"/>
      <c r="D662" s="45"/>
      <c r="E662" s="45"/>
    </row>
    <row r="663" ht="15.75" customHeight="1">
      <c r="A663" s="45"/>
      <c r="B663" s="45"/>
      <c r="C663" s="45"/>
      <c r="D663" s="45"/>
      <c r="E663" s="45"/>
    </row>
    <row r="664" ht="15.75" customHeight="1">
      <c r="A664" s="45"/>
      <c r="B664" s="45"/>
      <c r="C664" s="45"/>
      <c r="D664" s="45"/>
      <c r="E664" s="45"/>
    </row>
    <row r="665" ht="15.75" customHeight="1">
      <c r="A665" s="45"/>
      <c r="B665" s="45"/>
      <c r="C665" s="45"/>
      <c r="D665" s="45"/>
      <c r="E665" s="45"/>
    </row>
    <row r="666" ht="15.75" customHeight="1">
      <c r="A666" s="45"/>
      <c r="B666" s="45"/>
      <c r="C666" s="45"/>
      <c r="D666" s="45"/>
      <c r="E666" s="45"/>
    </row>
    <row r="667" ht="15.75" customHeight="1">
      <c r="A667" s="45"/>
      <c r="B667" s="45"/>
      <c r="C667" s="45"/>
      <c r="D667" s="45"/>
      <c r="E667" s="45"/>
    </row>
    <row r="668" ht="15.75" customHeight="1">
      <c r="A668" s="45"/>
      <c r="B668" s="45"/>
      <c r="C668" s="45"/>
      <c r="D668" s="45"/>
      <c r="E668" s="45"/>
    </row>
    <row r="669" ht="15.75" customHeight="1">
      <c r="A669" s="45"/>
      <c r="B669" s="45"/>
      <c r="C669" s="45"/>
      <c r="D669" s="45"/>
      <c r="E669" s="45"/>
    </row>
    <row r="670" ht="15.75" customHeight="1">
      <c r="A670" s="45"/>
      <c r="B670" s="45"/>
      <c r="C670" s="45"/>
      <c r="D670" s="45"/>
      <c r="E670" s="45"/>
    </row>
    <row r="671" ht="15.75" customHeight="1">
      <c r="A671" s="45"/>
      <c r="B671" s="45"/>
      <c r="C671" s="45"/>
      <c r="D671" s="45"/>
      <c r="E671" s="45"/>
    </row>
    <row r="672" ht="15.75" customHeight="1">
      <c r="A672" s="45"/>
      <c r="B672" s="45"/>
      <c r="C672" s="45"/>
      <c r="D672" s="45"/>
      <c r="E672" s="45"/>
    </row>
    <row r="673" ht="15.75" customHeight="1">
      <c r="A673" s="45"/>
      <c r="B673" s="45"/>
      <c r="C673" s="45"/>
      <c r="D673" s="45"/>
      <c r="E673" s="45"/>
    </row>
    <row r="674" ht="15.75" customHeight="1">
      <c r="A674" s="45"/>
      <c r="B674" s="45"/>
      <c r="C674" s="45"/>
      <c r="D674" s="45"/>
      <c r="E674" s="45"/>
    </row>
    <row r="675" ht="15.75" customHeight="1">
      <c r="A675" s="45"/>
      <c r="B675" s="45"/>
      <c r="C675" s="45"/>
      <c r="D675" s="45"/>
      <c r="E675" s="45"/>
    </row>
    <row r="676" ht="15.75" customHeight="1">
      <c r="A676" s="45"/>
      <c r="B676" s="45"/>
      <c r="C676" s="45"/>
      <c r="D676" s="45"/>
      <c r="E676" s="45"/>
    </row>
    <row r="677" ht="15.75" customHeight="1">
      <c r="A677" s="45"/>
      <c r="B677" s="45"/>
      <c r="C677" s="45"/>
      <c r="D677" s="45"/>
      <c r="E677" s="45"/>
    </row>
    <row r="678" ht="15.75" customHeight="1">
      <c r="A678" s="45"/>
      <c r="B678" s="45"/>
      <c r="C678" s="45"/>
      <c r="D678" s="45"/>
      <c r="E678" s="45"/>
    </row>
    <row r="679" ht="15.75" customHeight="1">
      <c r="A679" s="45"/>
      <c r="B679" s="45"/>
      <c r="C679" s="45"/>
      <c r="D679" s="45"/>
      <c r="E679" s="45"/>
    </row>
    <row r="680" ht="15.75" customHeight="1">
      <c r="A680" s="45"/>
      <c r="B680" s="45"/>
      <c r="C680" s="45"/>
      <c r="D680" s="45"/>
      <c r="E680" s="45"/>
    </row>
    <row r="681" ht="15.75" customHeight="1">
      <c r="A681" s="45"/>
      <c r="B681" s="45"/>
      <c r="C681" s="45"/>
      <c r="D681" s="45"/>
      <c r="E681" s="45"/>
    </row>
    <row r="682" ht="15.75" customHeight="1">
      <c r="A682" s="45"/>
      <c r="B682" s="45"/>
      <c r="C682" s="45"/>
      <c r="D682" s="45"/>
      <c r="E682" s="45"/>
    </row>
    <row r="683" ht="15.75" customHeight="1">
      <c r="A683" s="45"/>
      <c r="B683" s="45"/>
      <c r="C683" s="45"/>
      <c r="D683" s="45"/>
      <c r="E683" s="45"/>
    </row>
    <row r="684" ht="15.75" customHeight="1">
      <c r="A684" s="45"/>
      <c r="B684" s="45"/>
      <c r="C684" s="45"/>
      <c r="D684" s="45"/>
      <c r="E684" s="45"/>
    </row>
    <row r="685" ht="15.75" customHeight="1">
      <c r="A685" s="45"/>
      <c r="B685" s="45"/>
      <c r="C685" s="45"/>
      <c r="D685" s="45"/>
      <c r="E685" s="45"/>
    </row>
    <row r="686" ht="15.75" customHeight="1">
      <c r="A686" s="45"/>
      <c r="B686" s="45"/>
      <c r="C686" s="45"/>
      <c r="D686" s="45"/>
      <c r="E686" s="45"/>
    </row>
    <row r="687" ht="15.75" customHeight="1">
      <c r="A687" s="45"/>
      <c r="B687" s="45"/>
      <c r="C687" s="45"/>
      <c r="D687" s="45"/>
      <c r="E687" s="45"/>
    </row>
    <row r="688" ht="15.75" customHeight="1">
      <c r="A688" s="45"/>
      <c r="B688" s="45"/>
      <c r="C688" s="45"/>
      <c r="D688" s="45"/>
      <c r="E688" s="45"/>
    </row>
    <row r="689" ht="15.75" customHeight="1">
      <c r="A689" s="45"/>
      <c r="B689" s="45"/>
      <c r="C689" s="45"/>
      <c r="D689" s="45"/>
      <c r="E689" s="45"/>
    </row>
    <row r="690" ht="15.75" customHeight="1">
      <c r="A690" s="45"/>
      <c r="B690" s="45"/>
      <c r="C690" s="45"/>
      <c r="D690" s="45"/>
      <c r="E690" s="45"/>
    </row>
    <row r="691" ht="15.75" customHeight="1">
      <c r="A691" s="45"/>
      <c r="B691" s="45"/>
      <c r="C691" s="45"/>
      <c r="D691" s="45"/>
      <c r="E691" s="45"/>
    </row>
    <row r="692" ht="15.75" customHeight="1">
      <c r="A692" s="45"/>
      <c r="B692" s="45"/>
      <c r="C692" s="45"/>
      <c r="D692" s="45"/>
      <c r="E692" s="45"/>
    </row>
    <row r="693" ht="15.75" customHeight="1">
      <c r="A693" s="45"/>
      <c r="B693" s="45"/>
      <c r="C693" s="45"/>
      <c r="D693" s="45"/>
      <c r="E693" s="45"/>
    </row>
    <row r="694" ht="15.75" customHeight="1">
      <c r="A694" s="45"/>
      <c r="B694" s="45"/>
      <c r="C694" s="45"/>
      <c r="D694" s="45"/>
      <c r="E694" s="45"/>
    </row>
    <row r="695" ht="15.75" customHeight="1">
      <c r="A695" s="45"/>
      <c r="B695" s="45"/>
      <c r="C695" s="45"/>
      <c r="D695" s="45"/>
      <c r="E695" s="45"/>
    </row>
    <row r="696" ht="15.75" customHeight="1">
      <c r="A696" s="45"/>
      <c r="B696" s="45"/>
      <c r="C696" s="45"/>
      <c r="D696" s="45"/>
      <c r="E696" s="45"/>
    </row>
    <row r="697" ht="15.75" customHeight="1">
      <c r="A697" s="45"/>
      <c r="B697" s="45"/>
      <c r="C697" s="45"/>
      <c r="D697" s="45"/>
      <c r="E697" s="45"/>
    </row>
    <row r="698" ht="15.75" customHeight="1">
      <c r="A698" s="45"/>
      <c r="B698" s="45"/>
      <c r="C698" s="45"/>
      <c r="D698" s="45"/>
      <c r="E698" s="45"/>
    </row>
    <row r="699" ht="15.75" customHeight="1">
      <c r="A699" s="45"/>
      <c r="B699" s="45"/>
      <c r="C699" s="45"/>
      <c r="D699" s="45"/>
      <c r="E699" s="45"/>
    </row>
    <row r="700" ht="15.75" customHeight="1">
      <c r="A700" s="45"/>
      <c r="B700" s="45"/>
      <c r="C700" s="45"/>
      <c r="D700" s="45"/>
      <c r="E700" s="45"/>
    </row>
    <row r="701" ht="15.75" customHeight="1">
      <c r="A701" s="45"/>
      <c r="B701" s="45"/>
      <c r="C701" s="45"/>
      <c r="D701" s="45"/>
      <c r="E701" s="45"/>
    </row>
    <row r="702" ht="15.75" customHeight="1">
      <c r="A702" s="45"/>
      <c r="B702" s="45"/>
      <c r="C702" s="45"/>
      <c r="D702" s="45"/>
      <c r="E702" s="45"/>
    </row>
    <row r="703" ht="15.75" customHeight="1">
      <c r="A703" s="45"/>
      <c r="B703" s="45"/>
      <c r="C703" s="45"/>
      <c r="D703" s="45"/>
      <c r="E703" s="45"/>
    </row>
    <row r="704" ht="15.75" customHeight="1">
      <c r="A704" s="45"/>
      <c r="B704" s="45"/>
      <c r="C704" s="45"/>
      <c r="D704" s="45"/>
      <c r="E704" s="45"/>
    </row>
    <row r="705" ht="15.75" customHeight="1">
      <c r="A705" s="45"/>
      <c r="B705" s="45"/>
      <c r="C705" s="45"/>
      <c r="D705" s="45"/>
      <c r="E705" s="45"/>
    </row>
    <row r="706" ht="15.75" customHeight="1">
      <c r="A706" s="45"/>
      <c r="B706" s="45"/>
      <c r="C706" s="45"/>
      <c r="D706" s="45"/>
      <c r="E706" s="45"/>
    </row>
    <row r="707" ht="15.75" customHeight="1">
      <c r="A707" s="45"/>
      <c r="B707" s="45"/>
      <c r="C707" s="45"/>
      <c r="D707" s="45"/>
      <c r="E707" s="45"/>
    </row>
    <row r="708" ht="15.75" customHeight="1">
      <c r="A708" s="45"/>
      <c r="B708" s="45"/>
      <c r="C708" s="45"/>
      <c r="D708" s="45"/>
      <c r="E708" s="45"/>
    </row>
    <row r="709" ht="15.75" customHeight="1">
      <c r="A709" s="45"/>
      <c r="B709" s="45"/>
      <c r="C709" s="45"/>
      <c r="D709" s="45"/>
      <c r="E709" s="45"/>
    </row>
    <row r="710" ht="15.75" customHeight="1">
      <c r="A710" s="45"/>
      <c r="B710" s="45"/>
      <c r="C710" s="45"/>
      <c r="D710" s="45"/>
      <c r="E710" s="45"/>
    </row>
    <row r="711" ht="15.75" customHeight="1">
      <c r="A711" s="45"/>
      <c r="B711" s="45"/>
      <c r="C711" s="45"/>
      <c r="D711" s="45"/>
      <c r="E711" s="45"/>
    </row>
    <row r="712" ht="15.75" customHeight="1">
      <c r="A712" s="45"/>
      <c r="B712" s="45"/>
      <c r="C712" s="45"/>
      <c r="D712" s="45"/>
      <c r="E712" s="45"/>
    </row>
    <row r="713" ht="15.75" customHeight="1">
      <c r="A713" s="45"/>
      <c r="B713" s="45"/>
      <c r="C713" s="45"/>
      <c r="D713" s="45"/>
      <c r="E713" s="45"/>
    </row>
    <row r="714" ht="15.75" customHeight="1">
      <c r="A714" s="45"/>
      <c r="B714" s="45"/>
      <c r="C714" s="45"/>
      <c r="D714" s="45"/>
      <c r="E714" s="45"/>
    </row>
    <row r="715" ht="15.75" customHeight="1">
      <c r="A715" s="45"/>
      <c r="B715" s="45"/>
      <c r="C715" s="45"/>
      <c r="D715" s="45"/>
      <c r="E715" s="45"/>
    </row>
    <row r="716" ht="15.75" customHeight="1">
      <c r="A716" s="45"/>
      <c r="B716" s="45"/>
      <c r="C716" s="45"/>
      <c r="D716" s="45"/>
      <c r="E716" s="45"/>
    </row>
    <row r="717" ht="15.75" customHeight="1">
      <c r="A717" s="45"/>
      <c r="B717" s="45"/>
      <c r="C717" s="45"/>
      <c r="D717" s="45"/>
      <c r="E717" s="45"/>
    </row>
    <row r="718" ht="15.75" customHeight="1">
      <c r="A718" s="45"/>
      <c r="B718" s="45"/>
      <c r="C718" s="45"/>
      <c r="D718" s="45"/>
      <c r="E718" s="45"/>
    </row>
    <row r="719" ht="15.75" customHeight="1">
      <c r="A719" s="45"/>
      <c r="B719" s="45"/>
      <c r="C719" s="45"/>
      <c r="D719" s="45"/>
      <c r="E719" s="45"/>
    </row>
    <row r="720" ht="15.75" customHeight="1">
      <c r="A720" s="45"/>
      <c r="B720" s="45"/>
      <c r="C720" s="45"/>
      <c r="D720" s="45"/>
      <c r="E720" s="45"/>
    </row>
    <row r="721" ht="15.75" customHeight="1">
      <c r="A721" s="45"/>
      <c r="B721" s="45"/>
      <c r="C721" s="45"/>
      <c r="D721" s="45"/>
      <c r="E721" s="45"/>
    </row>
    <row r="722" ht="15.75" customHeight="1">
      <c r="A722" s="45"/>
      <c r="B722" s="45"/>
      <c r="C722" s="45"/>
      <c r="D722" s="45"/>
      <c r="E722" s="45"/>
    </row>
    <row r="723" ht="15.75" customHeight="1">
      <c r="A723" s="45"/>
      <c r="B723" s="45"/>
      <c r="C723" s="45"/>
      <c r="D723" s="45"/>
      <c r="E723" s="45"/>
    </row>
    <row r="724" ht="15.75" customHeight="1">
      <c r="A724" s="45"/>
      <c r="B724" s="45"/>
      <c r="C724" s="45"/>
      <c r="D724" s="45"/>
      <c r="E724" s="45"/>
    </row>
    <row r="725" ht="15.75" customHeight="1">
      <c r="A725" s="45"/>
      <c r="B725" s="45"/>
      <c r="C725" s="45"/>
      <c r="D725" s="45"/>
      <c r="E725" s="45"/>
    </row>
    <row r="726" ht="15.75" customHeight="1">
      <c r="A726" s="45"/>
      <c r="B726" s="45"/>
      <c r="C726" s="45"/>
      <c r="D726" s="45"/>
      <c r="E726" s="45"/>
    </row>
    <row r="727" ht="15.75" customHeight="1">
      <c r="A727" s="45"/>
      <c r="B727" s="45"/>
      <c r="C727" s="45"/>
      <c r="D727" s="45"/>
      <c r="E727" s="45"/>
    </row>
    <row r="728" ht="15.75" customHeight="1">
      <c r="A728" s="45"/>
      <c r="B728" s="45"/>
      <c r="C728" s="45"/>
      <c r="D728" s="45"/>
      <c r="E728" s="45"/>
    </row>
    <row r="729" ht="15.75" customHeight="1">
      <c r="A729" s="45"/>
      <c r="B729" s="45"/>
      <c r="C729" s="45"/>
      <c r="D729" s="45"/>
      <c r="E729" s="45"/>
    </row>
    <row r="730" ht="15.75" customHeight="1">
      <c r="A730" s="45"/>
      <c r="B730" s="45"/>
      <c r="C730" s="45"/>
      <c r="D730" s="45"/>
      <c r="E730" s="45"/>
    </row>
    <row r="731" ht="15.75" customHeight="1">
      <c r="A731" s="45"/>
      <c r="B731" s="45"/>
      <c r="C731" s="45"/>
      <c r="D731" s="45"/>
      <c r="E731" s="45"/>
    </row>
    <row r="732" ht="15.75" customHeight="1">
      <c r="A732" s="45"/>
      <c r="B732" s="45"/>
      <c r="C732" s="45"/>
      <c r="D732" s="45"/>
      <c r="E732" s="45"/>
    </row>
    <row r="733" ht="15.75" customHeight="1">
      <c r="A733" s="45"/>
      <c r="B733" s="45"/>
      <c r="C733" s="45"/>
      <c r="D733" s="45"/>
      <c r="E733" s="45"/>
    </row>
    <row r="734" ht="15.75" customHeight="1">
      <c r="A734" s="45"/>
      <c r="B734" s="45"/>
      <c r="C734" s="45"/>
      <c r="D734" s="45"/>
      <c r="E734" s="45"/>
    </row>
    <row r="735" ht="15.75" customHeight="1">
      <c r="A735" s="45"/>
      <c r="B735" s="45"/>
      <c r="C735" s="45"/>
      <c r="D735" s="45"/>
      <c r="E735" s="45"/>
    </row>
    <row r="736" ht="15.75" customHeight="1">
      <c r="A736" s="45"/>
      <c r="B736" s="45"/>
      <c r="C736" s="45"/>
      <c r="D736" s="45"/>
      <c r="E736" s="45"/>
    </row>
    <row r="737" ht="15.75" customHeight="1">
      <c r="A737" s="45"/>
      <c r="B737" s="45"/>
      <c r="C737" s="45"/>
      <c r="D737" s="45"/>
      <c r="E737" s="45"/>
    </row>
    <row r="738" ht="15.75" customHeight="1">
      <c r="A738" s="45"/>
      <c r="B738" s="45"/>
      <c r="C738" s="45"/>
      <c r="D738" s="45"/>
      <c r="E738" s="45"/>
    </row>
    <row r="739" ht="15.75" customHeight="1">
      <c r="A739" s="45"/>
      <c r="B739" s="45"/>
      <c r="C739" s="45"/>
      <c r="D739" s="45"/>
      <c r="E739" s="45"/>
    </row>
    <row r="740" ht="15.75" customHeight="1">
      <c r="A740" s="45"/>
      <c r="B740" s="45"/>
      <c r="C740" s="45"/>
      <c r="D740" s="45"/>
      <c r="E740" s="45"/>
    </row>
    <row r="741" ht="15.75" customHeight="1">
      <c r="A741" s="45"/>
      <c r="B741" s="45"/>
      <c r="C741" s="45"/>
      <c r="D741" s="45"/>
      <c r="E741" s="45"/>
    </row>
    <row r="742" ht="15.75" customHeight="1">
      <c r="A742" s="45"/>
      <c r="B742" s="45"/>
      <c r="C742" s="45"/>
      <c r="D742" s="45"/>
      <c r="E742" s="45"/>
    </row>
    <row r="743" ht="15.75" customHeight="1">
      <c r="A743" s="45"/>
      <c r="B743" s="45"/>
      <c r="C743" s="45"/>
      <c r="D743" s="45"/>
      <c r="E743" s="45"/>
    </row>
    <row r="744" ht="15.75" customHeight="1">
      <c r="A744" s="45"/>
      <c r="B744" s="45"/>
      <c r="C744" s="45"/>
      <c r="D744" s="45"/>
      <c r="E744" s="45"/>
    </row>
    <row r="745" ht="15.75" customHeight="1">
      <c r="A745" s="45"/>
      <c r="B745" s="45"/>
      <c r="C745" s="45"/>
      <c r="D745" s="45"/>
      <c r="E745" s="45"/>
    </row>
    <row r="746" ht="15.75" customHeight="1">
      <c r="A746" s="45"/>
      <c r="B746" s="45"/>
      <c r="C746" s="45"/>
      <c r="D746" s="45"/>
      <c r="E746" s="45"/>
    </row>
    <row r="747" ht="15.75" customHeight="1">
      <c r="A747" s="45"/>
      <c r="B747" s="45"/>
      <c r="C747" s="45"/>
      <c r="D747" s="45"/>
      <c r="E747" s="45"/>
    </row>
    <row r="748" ht="15.75" customHeight="1">
      <c r="A748" s="45"/>
      <c r="B748" s="45"/>
      <c r="C748" s="45"/>
      <c r="D748" s="45"/>
      <c r="E748" s="45"/>
    </row>
    <row r="749" ht="15.75" customHeight="1">
      <c r="A749" s="45"/>
      <c r="B749" s="45"/>
      <c r="C749" s="45"/>
      <c r="D749" s="45"/>
      <c r="E749" s="45"/>
    </row>
    <row r="750" ht="15.75" customHeight="1">
      <c r="A750" s="45"/>
      <c r="B750" s="45"/>
      <c r="C750" s="45"/>
      <c r="D750" s="45"/>
      <c r="E750" s="45"/>
    </row>
    <row r="751" ht="15.75" customHeight="1">
      <c r="A751" s="45"/>
      <c r="B751" s="45"/>
      <c r="C751" s="45"/>
      <c r="D751" s="45"/>
      <c r="E751" s="45"/>
    </row>
    <row r="752" ht="15.75" customHeight="1">
      <c r="A752" s="45"/>
      <c r="B752" s="45"/>
      <c r="C752" s="45"/>
      <c r="D752" s="45"/>
      <c r="E752" s="45"/>
    </row>
    <row r="753" ht="15.75" customHeight="1">
      <c r="A753" s="45"/>
      <c r="B753" s="45"/>
      <c r="C753" s="45"/>
      <c r="D753" s="45"/>
      <c r="E753" s="45"/>
    </row>
    <row r="754" ht="15.75" customHeight="1">
      <c r="A754" s="45"/>
      <c r="B754" s="45"/>
      <c r="C754" s="45"/>
      <c r="D754" s="45"/>
      <c r="E754" s="45"/>
    </row>
    <row r="755" ht="15.75" customHeight="1">
      <c r="A755" s="45"/>
      <c r="B755" s="45"/>
      <c r="C755" s="45"/>
      <c r="D755" s="45"/>
      <c r="E755" s="45"/>
    </row>
    <row r="756" ht="15.75" customHeight="1">
      <c r="A756" s="45"/>
      <c r="B756" s="45"/>
      <c r="C756" s="45"/>
      <c r="D756" s="45"/>
      <c r="E756" s="45"/>
    </row>
    <row r="757" ht="15.75" customHeight="1">
      <c r="A757" s="45"/>
      <c r="B757" s="45"/>
      <c r="C757" s="45"/>
      <c r="D757" s="45"/>
      <c r="E757" s="45"/>
    </row>
    <row r="758" ht="15.75" customHeight="1">
      <c r="A758" s="45"/>
      <c r="B758" s="45"/>
      <c r="C758" s="45"/>
      <c r="D758" s="45"/>
      <c r="E758" s="45"/>
    </row>
    <row r="759" ht="15.75" customHeight="1">
      <c r="A759" s="45"/>
      <c r="B759" s="45"/>
      <c r="C759" s="45"/>
      <c r="D759" s="45"/>
      <c r="E759" s="45"/>
    </row>
    <row r="760" ht="15.75" customHeight="1">
      <c r="A760" s="45"/>
      <c r="B760" s="45"/>
      <c r="C760" s="45"/>
      <c r="D760" s="45"/>
      <c r="E760" s="45"/>
    </row>
    <row r="761" ht="15.75" customHeight="1">
      <c r="A761" s="45"/>
      <c r="B761" s="45"/>
      <c r="C761" s="45"/>
      <c r="D761" s="45"/>
      <c r="E761" s="45"/>
    </row>
    <row r="762" ht="15.75" customHeight="1">
      <c r="A762" s="45"/>
      <c r="B762" s="45"/>
      <c r="C762" s="45"/>
      <c r="D762" s="45"/>
      <c r="E762" s="45"/>
    </row>
    <row r="763" ht="15.75" customHeight="1">
      <c r="A763" s="45"/>
      <c r="B763" s="45"/>
      <c r="C763" s="45"/>
      <c r="D763" s="45"/>
      <c r="E763" s="45"/>
    </row>
    <row r="764" ht="15.75" customHeight="1">
      <c r="A764" s="45"/>
      <c r="B764" s="45"/>
      <c r="C764" s="45"/>
      <c r="D764" s="45"/>
      <c r="E764" s="45"/>
    </row>
    <row r="765" ht="15.75" customHeight="1">
      <c r="A765" s="45"/>
      <c r="B765" s="45"/>
      <c r="C765" s="45"/>
      <c r="D765" s="45"/>
      <c r="E765" s="45"/>
    </row>
    <row r="766" ht="15.75" customHeight="1">
      <c r="A766" s="45"/>
      <c r="B766" s="45"/>
      <c r="C766" s="45"/>
      <c r="D766" s="45"/>
      <c r="E766" s="45"/>
    </row>
    <row r="767" ht="15.75" customHeight="1">
      <c r="A767" s="45"/>
      <c r="B767" s="45"/>
      <c r="C767" s="45"/>
      <c r="D767" s="45"/>
      <c r="E767" s="45"/>
    </row>
    <row r="768" ht="15.75" customHeight="1">
      <c r="A768" s="45"/>
      <c r="B768" s="45"/>
      <c r="C768" s="45"/>
      <c r="D768" s="45"/>
      <c r="E768" s="45"/>
    </row>
    <row r="769" ht="15.75" customHeight="1">
      <c r="A769" s="45"/>
      <c r="B769" s="45"/>
      <c r="C769" s="45"/>
      <c r="D769" s="45"/>
      <c r="E769" s="45"/>
    </row>
    <row r="770" ht="15.75" customHeight="1">
      <c r="A770" s="45"/>
      <c r="B770" s="45"/>
      <c r="C770" s="45"/>
      <c r="D770" s="45"/>
      <c r="E770" s="45"/>
    </row>
    <row r="771" ht="15.75" customHeight="1">
      <c r="A771" s="45"/>
      <c r="B771" s="45"/>
      <c r="C771" s="45"/>
      <c r="D771" s="45"/>
      <c r="E771" s="45"/>
    </row>
    <row r="772" ht="15.75" customHeight="1">
      <c r="A772" s="45"/>
      <c r="B772" s="45"/>
      <c r="C772" s="45"/>
      <c r="D772" s="45"/>
      <c r="E772" s="45"/>
    </row>
    <row r="773" ht="15.75" customHeight="1">
      <c r="A773" s="45"/>
      <c r="B773" s="45"/>
      <c r="C773" s="45"/>
      <c r="D773" s="45"/>
      <c r="E773" s="45"/>
    </row>
    <row r="774" ht="15.75" customHeight="1">
      <c r="A774" s="45"/>
      <c r="B774" s="45"/>
      <c r="C774" s="45"/>
      <c r="D774" s="45"/>
      <c r="E774" s="45"/>
    </row>
    <row r="775" ht="15.75" customHeight="1">
      <c r="A775" s="45"/>
      <c r="B775" s="45"/>
      <c r="C775" s="45"/>
      <c r="D775" s="45"/>
      <c r="E775" s="45"/>
    </row>
    <row r="776" ht="15.75" customHeight="1">
      <c r="A776" s="45"/>
      <c r="B776" s="45"/>
      <c r="C776" s="45"/>
      <c r="D776" s="45"/>
      <c r="E776" s="45"/>
    </row>
    <row r="777" ht="15.75" customHeight="1">
      <c r="A777" s="45"/>
      <c r="B777" s="45"/>
      <c r="C777" s="45"/>
      <c r="D777" s="45"/>
      <c r="E777" s="45"/>
    </row>
    <row r="778" ht="15.75" customHeight="1">
      <c r="A778" s="45"/>
      <c r="B778" s="45"/>
      <c r="C778" s="45"/>
      <c r="D778" s="45"/>
      <c r="E778" s="45"/>
    </row>
    <row r="779" ht="15.75" customHeight="1">
      <c r="A779" s="45"/>
      <c r="B779" s="45"/>
      <c r="C779" s="45"/>
      <c r="D779" s="45"/>
      <c r="E779" s="45"/>
    </row>
    <row r="780" ht="15.75" customHeight="1">
      <c r="A780" s="45"/>
      <c r="B780" s="45"/>
      <c r="C780" s="45"/>
      <c r="D780" s="45"/>
      <c r="E780" s="45"/>
    </row>
    <row r="781" ht="15.75" customHeight="1">
      <c r="A781" s="45"/>
      <c r="B781" s="45"/>
      <c r="C781" s="45"/>
      <c r="D781" s="45"/>
      <c r="E781" s="45"/>
    </row>
    <row r="782" ht="15.75" customHeight="1">
      <c r="A782" s="45"/>
      <c r="B782" s="45"/>
      <c r="C782" s="45"/>
      <c r="D782" s="45"/>
      <c r="E782" s="45"/>
    </row>
    <row r="783" ht="15.75" customHeight="1">
      <c r="A783" s="45"/>
      <c r="B783" s="45"/>
      <c r="C783" s="45"/>
      <c r="D783" s="45"/>
      <c r="E783" s="45"/>
    </row>
    <row r="784" ht="15.75" customHeight="1">
      <c r="A784" s="45"/>
      <c r="B784" s="45"/>
      <c r="C784" s="45"/>
      <c r="D784" s="45"/>
      <c r="E784" s="45"/>
    </row>
    <row r="785" ht="15.75" customHeight="1">
      <c r="A785" s="45"/>
      <c r="B785" s="45"/>
      <c r="C785" s="45"/>
      <c r="D785" s="45"/>
      <c r="E785" s="45"/>
    </row>
    <row r="786" ht="15.75" customHeight="1">
      <c r="A786" s="45"/>
      <c r="B786" s="45"/>
      <c r="C786" s="45"/>
      <c r="D786" s="45"/>
      <c r="E786" s="45"/>
    </row>
    <row r="787" ht="15.75" customHeight="1">
      <c r="A787" s="45"/>
      <c r="B787" s="45"/>
      <c r="C787" s="45"/>
      <c r="D787" s="45"/>
      <c r="E787" s="45"/>
    </row>
    <row r="788" ht="15.75" customHeight="1">
      <c r="A788" s="45"/>
      <c r="B788" s="45"/>
      <c r="C788" s="45"/>
      <c r="D788" s="45"/>
      <c r="E788" s="45"/>
    </row>
    <row r="789" ht="15.75" customHeight="1">
      <c r="A789" s="45"/>
      <c r="B789" s="45"/>
      <c r="C789" s="45"/>
      <c r="D789" s="45"/>
      <c r="E789" s="45"/>
    </row>
    <row r="790" ht="15.75" customHeight="1">
      <c r="A790" s="45"/>
      <c r="B790" s="45"/>
      <c r="C790" s="45"/>
      <c r="D790" s="45"/>
      <c r="E790" s="45"/>
    </row>
    <row r="791" ht="15.75" customHeight="1">
      <c r="A791" s="45"/>
      <c r="B791" s="45"/>
      <c r="C791" s="45"/>
      <c r="D791" s="45"/>
      <c r="E791" s="45"/>
    </row>
    <row r="792" ht="15.75" customHeight="1">
      <c r="A792" s="45"/>
      <c r="B792" s="45"/>
      <c r="C792" s="45"/>
      <c r="D792" s="45"/>
      <c r="E792" s="45"/>
    </row>
    <row r="793" ht="15.75" customHeight="1">
      <c r="A793" s="45"/>
      <c r="B793" s="45"/>
      <c r="C793" s="45"/>
      <c r="D793" s="45"/>
      <c r="E793" s="45"/>
    </row>
    <row r="794" ht="15.75" customHeight="1">
      <c r="A794" s="45"/>
      <c r="B794" s="45"/>
      <c r="C794" s="45"/>
      <c r="D794" s="45"/>
      <c r="E794" s="45"/>
    </row>
    <row r="795" ht="15.75" customHeight="1">
      <c r="A795" s="45"/>
      <c r="B795" s="45"/>
      <c r="C795" s="45"/>
      <c r="D795" s="45"/>
      <c r="E795" s="45"/>
    </row>
    <row r="796" ht="15.75" customHeight="1">
      <c r="A796" s="45"/>
      <c r="B796" s="45"/>
      <c r="C796" s="45"/>
      <c r="D796" s="45"/>
      <c r="E796" s="45"/>
    </row>
    <row r="797" ht="15.75" customHeight="1">
      <c r="A797" s="45"/>
      <c r="B797" s="45"/>
      <c r="C797" s="45"/>
      <c r="D797" s="45"/>
      <c r="E797" s="45"/>
    </row>
    <row r="798" ht="15.75" customHeight="1">
      <c r="A798" s="45"/>
      <c r="B798" s="45"/>
      <c r="C798" s="45"/>
      <c r="D798" s="45"/>
      <c r="E798" s="45"/>
    </row>
    <row r="799" ht="15.75" customHeight="1">
      <c r="A799" s="45"/>
      <c r="B799" s="45"/>
      <c r="C799" s="45"/>
      <c r="D799" s="45"/>
      <c r="E799" s="45"/>
    </row>
    <row r="800" ht="15.75" customHeight="1">
      <c r="A800" s="45"/>
      <c r="B800" s="45"/>
      <c r="C800" s="45"/>
      <c r="D800" s="45"/>
      <c r="E800" s="45"/>
    </row>
    <row r="801" ht="15.75" customHeight="1">
      <c r="A801" s="45"/>
      <c r="B801" s="45"/>
      <c r="C801" s="45"/>
      <c r="D801" s="45"/>
      <c r="E801" s="45"/>
    </row>
    <row r="802" ht="15.75" customHeight="1">
      <c r="A802" s="45"/>
      <c r="B802" s="45"/>
      <c r="C802" s="45"/>
      <c r="D802" s="45"/>
      <c r="E802" s="45"/>
    </row>
    <row r="803" ht="15.75" customHeight="1">
      <c r="A803" s="45"/>
      <c r="B803" s="45"/>
      <c r="C803" s="45"/>
      <c r="D803" s="45"/>
      <c r="E803" s="45"/>
    </row>
    <row r="804" ht="15.75" customHeight="1">
      <c r="A804" s="45"/>
      <c r="B804" s="45"/>
      <c r="C804" s="45"/>
      <c r="D804" s="45"/>
      <c r="E804" s="45"/>
    </row>
    <row r="805" ht="15.75" customHeight="1">
      <c r="A805" s="45"/>
      <c r="B805" s="45"/>
      <c r="C805" s="45"/>
      <c r="D805" s="45"/>
      <c r="E805" s="45"/>
    </row>
    <row r="806" ht="15.75" customHeight="1">
      <c r="A806" s="45"/>
      <c r="B806" s="45"/>
      <c r="C806" s="45"/>
      <c r="D806" s="45"/>
      <c r="E806" s="45"/>
    </row>
    <row r="807" ht="15.75" customHeight="1">
      <c r="A807" s="45"/>
      <c r="B807" s="45"/>
      <c r="C807" s="45"/>
      <c r="D807" s="45"/>
      <c r="E807" s="45"/>
    </row>
    <row r="808" ht="15.75" customHeight="1">
      <c r="A808" s="45"/>
      <c r="B808" s="45"/>
      <c r="C808" s="45"/>
      <c r="D808" s="45"/>
      <c r="E808" s="45"/>
    </row>
    <row r="809" ht="15.75" customHeight="1">
      <c r="A809" s="45"/>
      <c r="B809" s="45"/>
      <c r="C809" s="45"/>
      <c r="D809" s="45"/>
      <c r="E809" s="45"/>
    </row>
    <row r="810" ht="15.75" customHeight="1">
      <c r="A810" s="45"/>
      <c r="B810" s="45"/>
      <c r="C810" s="45"/>
      <c r="D810" s="45"/>
      <c r="E810" s="45"/>
    </row>
    <row r="811" ht="15.75" customHeight="1">
      <c r="A811" s="45"/>
      <c r="B811" s="45"/>
      <c r="C811" s="45"/>
      <c r="D811" s="45"/>
      <c r="E811" s="45"/>
    </row>
    <row r="812" ht="15.75" customHeight="1">
      <c r="A812" s="45"/>
      <c r="B812" s="45"/>
      <c r="C812" s="45"/>
      <c r="D812" s="45"/>
      <c r="E812" s="45"/>
    </row>
    <row r="813" ht="15.75" customHeight="1">
      <c r="A813" s="45"/>
      <c r="B813" s="45"/>
      <c r="C813" s="45"/>
      <c r="D813" s="45"/>
      <c r="E813" s="45"/>
    </row>
    <row r="814" ht="15.75" customHeight="1">
      <c r="A814" s="45"/>
      <c r="B814" s="45"/>
      <c r="C814" s="45"/>
      <c r="D814" s="45"/>
      <c r="E814" s="45"/>
    </row>
    <row r="815" ht="15.75" customHeight="1">
      <c r="A815" s="45"/>
      <c r="B815" s="45"/>
      <c r="C815" s="45"/>
      <c r="D815" s="45"/>
      <c r="E815" s="45"/>
    </row>
    <row r="816" ht="15.75" customHeight="1">
      <c r="A816" s="45"/>
      <c r="B816" s="45"/>
      <c r="C816" s="45"/>
      <c r="D816" s="45"/>
      <c r="E816" s="45"/>
    </row>
    <row r="817" ht="15.75" customHeight="1">
      <c r="A817" s="45"/>
      <c r="B817" s="45"/>
      <c r="C817" s="45"/>
      <c r="D817" s="45"/>
      <c r="E817" s="45"/>
    </row>
    <row r="818" ht="15.75" customHeight="1">
      <c r="A818" s="45"/>
      <c r="B818" s="45"/>
      <c r="C818" s="45"/>
      <c r="D818" s="45"/>
      <c r="E818" s="45"/>
    </row>
    <row r="819" ht="15.75" customHeight="1">
      <c r="A819" s="45"/>
      <c r="B819" s="45"/>
      <c r="C819" s="45"/>
      <c r="D819" s="45"/>
      <c r="E819" s="45"/>
    </row>
    <row r="820" ht="15.75" customHeight="1">
      <c r="A820" s="45"/>
      <c r="B820" s="45"/>
      <c r="C820" s="45"/>
      <c r="D820" s="45"/>
      <c r="E820" s="45"/>
    </row>
    <row r="821" ht="15.75" customHeight="1">
      <c r="A821" s="45"/>
      <c r="B821" s="45"/>
      <c r="C821" s="45"/>
      <c r="D821" s="45"/>
      <c r="E821" s="45"/>
    </row>
    <row r="822" ht="15.75" customHeight="1">
      <c r="A822" s="45"/>
      <c r="B822" s="45"/>
      <c r="C822" s="45"/>
      <c r="D822" s="45"/>
      <c r="E822" s="45"/>
    </row>
    <row r="823" ht="15.75" customHeight="1">
      <c r="A823" s="45"/>
      <c r="B823" s="45"/>
      <c r="C823" s="45"/>
      <c r="D823" s="45"/>
      <c r="E823" s="45"/>
    </row>
    <row r="824" ht="15.75" customHeight="1">
      <c r="A824" s="45"/>
      <c r="B824" s="45"/>
      <c r="C824" s="45"/>
      <c r="D824" s="45"/>
      <c r="E824" s="45"/>
    </row>
    <row r="825" ht="15.75" customHeight="1">
      <c r="A825" s="45"/>
      <c r="B825" s="45"/>
      <c r="C825" s="45"/>
      <c r="D825" s="45"/>
      <c r="E825" s="45"/>
    </row>
    <row r="826" ht="15.75" customHeight="1">
      <c r="A826" s="45"/>
      <c r="B826" s="45"/>
      <c r="C826" s="45"/>
      <c r="D826" s="45"/>
      <c r="E826" s="45"/>
    </row>
    <row r="827" ht="15.75" customHeight="1">
      <c r="A827" s="45"/>
      <c r="B827" s="45"/>
      <c r="C827" s="45"/>
      <c r="D827" s="45"/>
      <c r="E827" s="45"/>
    </row>
    <row r="828" ht="15.75" customHeight="1">
      <c r="A828" s="45"/>
      <c r="B828" s="45"/>
      <c r="C828" s="45"/>
      <c r="D828" s="45"/>
      <c r="E828" s="45"/>
    </row>
    <row r="829" ht="15.75" customHeight="1">
      <c r="A829" s="45"/>
      <c r="B829" s="45"/>
      <c r="C829" s="45"/>
      <c r="D829" s="45"/>
      <c r="E829" s="45"/>
    </row>
    <row r="830" ht="15.75" customHeight="1">
      <c r="A830" s="45"/>
      <c r="B830" s="45"/>
      <c r="C830" s="45"/>
      <c r="D830" s="45"/>
      <c r="E830" s="45"/>
    </row>
    <row r="831" ht="15.75" customHeight="1">
      <c r="A831" s="45"/>
      <c r="B831" s="45"/>
      <c r="C831" s="45"/>
      <c r="D831" s="45"/>
      <c r="E831" s="45"/>
    </row>
    <row r="832" ht="15.75" customHeight="1">
      <c r="A832" s="45"/>
      <c r="B832" s="45"/>
      <c r="C832" s="45"/>
      <c r="D832" s="45"/>
      <c r="E832" s="45"/>
    </row>
    <row r="833" ht="15.75" customHeight="1">
      <c r="A833" s="45"/>
      <c r="B833" s="45"/>
      <c r="C833" s="45"/>
      <c r="D833" s="45"/>
      <c r="E833" s="45"/>
    </row>
    <row r="834" ht="15.75" customHeight="1">
      <c r="A834" s="45"/>
      <c r="B834" s="45"/>
      <c r="C834" s="45"/>
      <c r="D834" s="45"/>
      <c r="E834" s="45"/>
    </row>
    <row r="835" ht="15.75" customHeight="1">
      <c r="A835" s="45"/>
      <c r="B835" s="45"/>
      <c r="C835" s="45"/>
      <c r="D835" s="45"/>
      <c r="E835" s="45"/>
    </row>
    <row r="836" ht="15.75" customHeight="1">
      <c r="A836" s="45"/>
      <c r="B836" s="45"/>
      <c r="C836" s="45"/>
      <c r="D836" s="45"/>
      <c r="E836" s="45"/>
    </row>
    <row r="837" ht="15.75" customHeight="1">
      <c r="A837" s="45"/>
      <c r="B837" s="45"/>
      <c r="C837" s="45"/>
      <c r="D837" s="45"/>
      <c r="E837" s="45"/>
    </row>
    <row r="838" ht="15.75" customHeight="1">
      <c r="A838" s="45"/>
      <c r="B838" s="45"/>
      <c r="C838" s="45"/>
      <c r="D838" s="45"/>
      <c r="E838" s="45"/>
    </row>
    <row r="839" ht="15.75" customHeight="1">
      <c r="A839" s="45"/>
      <c r="B839" s="45"/>
      <c r="C839" s="45"/>
      <c r="D839" s="45"/>
      <c r="E839" s="45"/>
    </row>
    <row r="840" ht="15.75" customHeight="1">
      <c r="A840" s="45"/>
      <c r="B840" s="45"/>
      <c r="C840" s="45"/>
      <c r="D840" s="45"/>
      <c r="E840" s="45"/>
    </row>
    <row r="841" ht="15.75" customHeight="1">
      <c r="A841" s="45"/>
      <c r="B841" s="45"/>
      <c r="C841" s="45"/>
      <c r="D841" s="45"/>
      <c r="E841" s="45"/>
    </row>
    <row r="842" ht="15.75" customHeight="1">
      <c r="A842" s="45"/>
      <c r="B842" s="45"/>
      <c r="C842" s="45"/>
      <c r="D842" s="45"/>
      <c r="E842" s="45"/>
    </row>
    <row r="843" ht="15.75" customHeight="1">
      <c r="A843" s="45"/>
      <c r="B843" s="45"/>
      <c r="C843" s="45"/>
      <c r="D843" s="45"/>
      <c r="E843" s="45"/>
    </row>
    <row r="844" ht="15.75" customHeight="1">
      <c r="A844" s="45"/>
      <c r="B844" s="45"/>
      <c r="C844" s="45"/>
      <c r="D844" s="45"/>
      <c r="E844" s="45"/>
    </row>
    <row r="845" ht="15.75" customHeight="1">
      <c r="A845" s="45"/>
      <c r="B845" s="45"/>
      <c r="C845" s="45"/>
      <c r="D845" s="45"/>
      <c r="E845" s="45"/>
    </row>
    <row r="846" ht="15.75" customHeight="1">
      <c r="A846" s="45"/>
      <c r="B846" s="45"/>
      <c r="C846" s="45"/>
      <c r="D846" s="45"/>
      <c r="E846" s="45"/>
    </row>
    <row r="847" ht="15.75" customHeight="1">
      <c r="A847" s="45"/>
      <c r="B847" s="45"/>
      <c r="C847" s="45"/>
      <c r="D847" s="45"/>
      <c r="E847" s="45"/>
    </row>
    <row r="848" ht="15.75" customHeight="1">
      <c r="A848" s="45"/>
      <c r="B848" s="45"/>
      <c r="C848" s="45"/>
      <c r="D848" s="45"/>
      <c r="E848" s="45"/>
    </row>
    <row r="849" ht="15.75" customHeight="1">
      <c r="A849" s="45"/>
      <c r="B849" s="45"/>
      <c r="C849" s="45"/>
      <c r="D849" s="45"/>
      <c r="E849" s="45"/>
    </row>
    <row r="850" ht="15.75" customHeight="1">
      <c r="A850" s="45"/>
      <c r="B850" s="45"/>
      <c r="C850" s="45"/>
      <c r="D850" s="45"/>
      <c r="E850" s="45"/>
    </row>
    <row r="851" ht="15.75" customHeight="1">
      <c r="A851" s="45"/>
      <c r="B851" s="45"/>
      <c r="C851" s="45"/>
      <c r="D851" s="45"/>
      <c r="E851" s="45"/>
    </row>
    <row r="852" ht="15.75" customHeight="1">
      <c r="A852" s="45"/>
      <c r="B852" s="45"/>
      <c r="C852" s="45"/>
      <c r="D852" s="45"/>
      <c r="E852" s="45"/>
    </row>
    <row r="853" ht="15.75" customHeight="1">
      <c r="A853" s="45"/>
      <c r="B853" s="45"/>
      <c r="C853" s="45"/>
      <c r="D853" s="45"/>
      <c r="E853" s="45"/>
    </row>
    <row r="854" ht="15.75" customHeight="1">
      <c r="A854" s="45"/>
      <c r="B854" s="45"/>
      <c r="C854" s="45"/>
      <c r="D854" s="45"/>
      <c r="E854" s="45"/>
    </row>
    <row r="855" ht="15.75" customHeight="1">
      <c r="A855" s="45"/>
      <c r="B855" s="45"/>
      <c r="C855" s="45"/>
      <c r="D855" s="45"/>
      <c r="E855" s="45"/>
    </row>
    <row r="856" ht="15.75" customHeight="1">
      <c r="A856" s="45"/>
      <c r="B856" s="45"/>
      <c r="C856" s="45"/>
      <c r="D856" s="45"/>
      <c r="E856" s="45"/>
    </row>
    <row r="857" ht="15.75" customHeight="1">
      <c r="A857" s="45"/>
      <c r="B857" s="45"/>
      <c r="C857" s="45"/>
      <c r="D857" s="45"/>
      <c r="E857" s="45"/>
    </row>
    <row r="858" ht="15.75" customHeight="1">
      <c r="A858" s="45"/>
      <c r="B858" s="45"/>
      <c r="C858" s="45"/>
      <c r="D858" s="45"/>
      <c r="E858" s="45"/>
    </row>
    <row r="859" ht="15.75" customHeight="1">
      <c r="A859" s="45"/>
      <c r="B859" s="45"/>
      <c r="C859" s="45"/>
      <c r="D859" s="45"/>
      <c r="E859" s="45"/>
    </row>
    <row r="860" ht="15.75" customHeight="1">
      <c r="A860" s="45"/>
      <c r="B860" s="45"/>
      <c r="C860" s="45"/>
      <c r="D860" s="45"/>
      <c r="E860" s="45"/>
    </row>
    <row r="861" ht="15.75" customHeight="1">
      <c r="A861" s="45"/>
      <c r="B861" s="45"/>
      <c r="C861" s="45"/>
      <c r="D861" s="45"/>
      <c r="E861" s="45"/>
    </row>
    <row r="862" ht="15.75" customHeight="1">
      <c r="A862" s="45"/>
      <c r="B862" s="45"/>
      <c r="C862" s="45"/>
      <c r="D862" s="45"/>
      <c r="E862" s="45"/>
    </row>
    <row r="863" ht="15.75" customHeight="1">
      <c r="A863" s="45"/>
      <c r="B863" s="45"/>
      <c r="C863" s="45"/>
      <c r="D863" s="45"/>
      <c r="E863" s="45"/>
    </row>
    <row r="864" ht="15.75" customHeight="1">
      <c r="A864" s="45"/>
      <c r="B864" s="45"/>
      <c r="C864" s="45"/>
      <c r="D864" s="45"/>
      <c r="E864" s="45"/>
    </row>
    <row r="865" ht="15.75" customHeight="1">
      <c r="A865" s="45"/>
      <c r="B865" s="45"/>
      <c r="C865" s="45"/>
      <c r="D865" s="45"/>
      <c r="E865" s="45"/>
    </row>
    <row r="866" ht="15.75" customHeight="1">
      <c r="A866" s="45"/>
      <c r="B866" s="45"/>
      <c r="C866" s="45"/>
      <c r="D866" s="45"/>
      <c r="E866" s="45"/>
    </row>
    <row r="867" ht="15.75" customHeight="1">
      <c r="A867" s="45"/>
      <c r="B867" s="45"/>
      <c r="C867" s="45"/>
      <c r="D867" s="45"/>
      <c r="E867" s="45"/>
    </row>
    <row r="868" ht="15.75" customHeight="1">
      <c r="A868" s="45"/>
      <c r="B868" s="45"/>
      <c r="C868" s="45"/>
      <c r="D868" s="45"/>
      <c r="E868" s="45"/>
    </row>
    <row r="869" ht="15.75" customHeight="1">
      <c r="A869" s="45"/>
      <c r="B869" s="45"/>
      <c r="C869" s="45"/>
      <c r="D869" s="45"/>
      <c r="E869" s="45"/>
    </row>
    <row r="870" ht="15.75" customHeight="1">
      <c r="A870" s="45"/>
      <c r="B870" s="45"/>
      <c r="C870" s="45"/>
      <c r="D870" s="45"/>
      <c r="E870" s="45"/>
    </row>
    <row r="871" ht="15.75" customHeight="1">
      <c r="A871" s="45"/>
      <c r="B871" s="45"/>
      <c r="C871" s="45"/>
      <c r="D871" s="45"/>
      <c r="E871" s="45"/>
    </row>
    <row r="872" ht="15.75" customHeight="1">
      <c r="A872" s="45"/>
      <c r="B872" s="45"/>
      <c r="C872" s="45"/>
      <c r="D872" s="45"/>
      <c r="E872" s="45"/>
    </row>
    <row r="873" ht="15.75" customHeight="1">
      <c r="A873" s="45"/>
      <c r="B873" s="45"/>
      <c r="C873" s="45"/>
      <c r="D873" s="45"/>
      <c r="E873" s="45"/>
    </row>
    <row r="874" ht="15.75" customHeight="1">
      <c r="A874" s="45"/>
      <c r="B874" s="45"/>
      <c r="C874" s="45"/>
      <c r="D874" s="45"/>
      <c r="E874" s="45"/>
    </row>
    <row r="875" ht="15.75" customHeight="1">
      <c r="A875" s="45"/>
      <c r="B875" s="45"/>
      <c r="C875" s="45"/>
      <c r="D875" s="45"/>
      <c r="E875" s="45"/>
    </row>
    <row r="876" ht="15.75" customHeight="1">
      <c r="A876" s="45"/>
      <c r="B876" s="45"/>
      <c r="C876" s="45"/>
      <c r="D876" s="45"/>
      <c r="E876" s="45"/>
    </row>
    <row r="877" ht="15.75" customHeight="1">
      <c r="A877" s="45"/>
      <c r="B877" s="45"/>
      <c r="C877" s="45"/>
      <c r="D877" s="45"/>
      <c r="E877" s="45"/>
    </row>
    <row r="878" ht="15.75" customHeight="1">
      <c r="A878" s="45"/>
      <c r="B878" s="45"/>
      <c r="C878" s="45"/>
      <c r="D878" s="45"/>
      <c r="E878" s="45"/>
    </row>
    <row r="879" ht="15.75" customHeight="1">
      <c r="A879" s="45"/>
      <c r="B879" s="45"/>
      <c r="C879" s="45"/>
      <c r="D879" s="45"/>
      <c r="E879" s="45"/>
    </row>
    <row r="880" ht="15.75" customHeight="1">
      <c r="A880" s="45"/>
      <c r="B880" s="45"/>
      <c r="C880" s="45"/>
      <c r="D880" s="45"/>
      <c r="E880" s="45"/>
    </row>
    <row r="881" ht="15.75" customHeight="1">
      <c r="A881" s="45"/>
      <c r="B881" s="45"/>
      <c r="C881" s="45"/>
      <c r="D881" s="45"/>
      <c r="E881" s="45"/>
    </row>
    <row r="882" ht="15.75" customHeight="1">
      <c r="A882" s="45"/>
      <c r="B882" s="45"/>
      <c r="C882" s="45"/>
      <c r="D882" s="45"/>
      <c r="E882" s="4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6.0"/>
    <col customWidth="1" min="2" max="2" width="11.5"/>
    <col customWidth="1" min="3" max="3" width="10.38"/>
    <col customWidth="1" min="4" max="4" width="9.88"/>
    <col customWidth="1" min="5" max="5" width="11.63"/>
    <col customWidth="1" min="6" max="6" width="11.75"/>
    <col customWidth="1" min="7" max="7" width="11.5"/>
    <col customWidth="1" min="8" max="8" width="10.88"/>
    <col customWidth="1" min="9" max="11" width="11.38"/>
    <col customWidth="1" min="12" max="12" width="10.75"/>
  </cols>
  <sheetData>
    <row r="1" ht="15.75" customHeight="1">
      <c r="A1" s="1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>
        <v>2025.0</v>
      </c>
      <c r="H1" s="3" t="s">
        <v>7</v>
      </c>
      <c r="I1" s="3" t="s">
        <v>10</v>
      </c>
      <c r="J1" s="3" t="s">
        <v>11</v>
      </c>
      <c r="K1" s="3" t="s">
        <v>13</v>
      </c>
      <c r="L1" s="3" t="s">
        <v>9</v>
      </c>
    </row>
    <row r="2" ht="15.75" customHeight="1">
      <c r="A2" s="12" t="s">
        <v>14</v>
      </c>
      <c r="B2" s="14" t="s">
        <v>15</v>
      </c>
      <c r="C2" s="14" t="s">
        <v>16</v>
      </c>
      <c r="D2" s="14" t="s">
        <v>17</v>
      </c>
      <c r="E2" s="14" t="s">
        <v>18</v>
      </c>
      <c r="F2" s="16" t="s">
        <v>19</v>
      </c>
      <c r="G2" s="16">
        <v>2025.0</v>
      </c>
      <c r="H2" s="14"/>
      <c r="I2" s="14"/>
      <c r="J2" s="21"/>
      <c r="K2" s="21"/>
      <c r="L2" s="21"/>
    </row>
    <row r="3" ht="15.75" customHeight="1">
      <c r="A3" s="24" t="s">
        <v>23</v>
      </c>
      <c r="B3" s="14">
        <v>46023.0</v>
      </c>
      <c r="C3" s="14">
        <v>46073.0</v>
      </c>
      <c r="D3" s="14">
        <v>46081.0</v>
      </c>
      <c r="E3" s="14">
        <v>46143.0</v>
      </c>
      <c r="F3" s="14">
        <v>46174.0</v>
      </c>
      <c r="G3" s="14">
        <v>46023.0</v>
      </c>
      <c r="H3" s="27"/>
      <c r="I3" s="27"/>
      <c r="J3" s="27"/>
      <c r="K3" s="27"/>
      <c r="L3" s="27"/>
    </row>
    <row r="4" ht="15.75" customHeight="1">
      <c r="A4" s="9" t="s">
        <v>12</v>
      </c>
      <c r="B4" s="17">
        <v>10000.0</v>
      </c>
      <c r="C4" s="17">
        <v>10000.0</v>
      </c>
      <c r="D4" s="17">
        <v>10000.0</v>
      </c>
      <c r="E4" s="17">
        <v>5000.0</v>
      </c>
      <c r="F4" s="17">
        <v>5000.0</v>
      </c>
      <c r="G4" s="17"/>
      <c r="H4" s="17"/>
      <c r="I4" s="17"/>
      <c r="J4" s="17"/>
      <c r="K4" s="17"/>
      <c r="L4" s="17"/>
    </row>
    <row r="5" ht="15.75" customHeight="1">
      <c r="A5" s="18" t="s">
        <v>22</v>
      </c>
      <c r="B5" s="19">
        <f>SUMIFS(Dados!$N:$N,Dados!$P:$P,$B$2,Dados!$B:$B,A5)</f>
        <v>418.5</v>
      </c>
      <c r="C5" s="19">
        <f>SUMIFS(Dados!$N:$N,Dados!$P:$P,$C$2,Dados!$B:$B,A5)</f>
        <v>10</v>
      </c>
      <c r="D5" s="19">
        <f>SUMIFS(Dados!$N:$N,Dados!$P:$P,$D$2,Dados!$B:$B,A5)</f>
        <v>0</v>
      </c>
      <c r="E5" s="19">
        <f>SUMIFS(Dados!$N:$N,Dados!$P:$P,$E$2,Dados!$B:$B,A5)</f>
        <v>0</v>
      </c>
      <c r="F5" s="19">
        <f>SUMIFS(Dados!$N:$N,Dados!$P:$P,$F$2,Dados!$B:$B,A5)</f>
        <v>0</v>
      </c>
      <c r="G5" s="19">
        <f>SUMIFS(Dados!$N:$N,Dados!$P:$P,$G$2,Dados!$B:$B,A5)</f>
        <v>0</v>
      </c>
      <c r="H5" s="19">
        <f>SUMIFS(Dados!$N:$N,Dados!$D:$D,$H$1,Dados!$B:$B,A5,Dados!$P:$P,"")</f>
        <v>409.32</v>
      </c>
      <c r="I5" s="19">
        <f>SUMIFS(Dados!$N:$N,Dados!$D:$D,$I$1,Dados!$B:$B,A5)</f>
        <v>0</v>
      </c>
      <c r="J5" s="19">
        <f>SUMIFS(Dados!$N:$N,Dados!$D:$D,$J$1,Dados!$B:$B,A5)</f>
        <v>0</v>
      </c>
      <c r="K5" s="19">
        <f>SUMIFS(Dados!$N:$N,Dados!$D:$D,$K$1,Dados!$B:$B,A5)</f>
        <v>0</v>
      </c>
      <c r="L5" s="19">
        <f t="shared" ref="L5:L10" si="1">SUM(B5:K5)</f>
        <v>837.82</v>
      </c>
    </row>
    <row r="6" ht="15.75" customHeight="1">
      <c r="A6" s="18" t="s">
        <v>25</v>
      </c>
      <c r="B6" s="19">
        <f>SUMIFS(Dados!$N:$N,Dados!$P:$P,$B$2,Dados!$B:$B,A6)</f>
        <v>0</v>
      </c>
      <c r="C6" s="19">
        <f>SUMIFS(Dados!$N:$N,Dados!$P:$P,$C$2,Dados!$B:$B,A6)</f>
        <v>7000</v>
      </c>
      <c r="D6" s="19">
        <f>SUMIFS(Dados!$N:$N,Dados!$P:$P,$D$2,Dados!$B:$B,A6)</f>
        <v>50</v>
      </c>
      <c r="E6" s="19">
        <f>SUMIFS(Dados!$N:$N,Dados!$P:$P,$E$2,Dados!$B:$B,A6)</f>
        <v>1200</v>
      </c>
      <c r="F6" s="19">
        <f>SUMIFS(Dados!$N:$N,Dados!$P:$P,$F$2,Dados!$B:$B,A6)</f>
        <v>1665</v>
      </c>
      <c r="G6" s="19">
        <f>SUMIFS(Dados!$N:$N,Dados!$P:$P,$G$2,Dados!$B:$B,A6)</f>
        <v>0</v>
      </c>
      <c r="H6" s="19">
        <f>SUMIFS(Dados!$N:$N,Dados!$D:$D,$H$1,Dados!$B:$B,A6,Dados!$P:$P,"")</f>
        <v>8196.86</v>
      </c>
      <c r="I6" s="19">
        <f>SUMIFS(Dados!$N:$N,Dados!$D:$D,$I$1,Dados!$B:$B,A6)</f>
        <v>0</v>
      </c>
      <c r="J6" s="19">
        <f>SUMIFS(Dados!$N:$N,Dados!$D:$D,$J$1,Dados!$B:$B,A6)</f>
        <v>0</v>
      </c>
      <c r="K6" s="19">
        <f>SUMIFS(Dados!$N:$N,Dados!$D:$D,$K$1,Dados!$B:$B,A6)</f>
        <v>0</v>
      </c>
      <c r="L6" s="19">
        <f t="shared" si="1"/>
        <v>18111.86</v>
      </c>
    </row>
    <row r="7" ht="15.75" customHeight="1">
      <c r="A7" s="18" t="s">
        <v>29</v>
      </c>
      <c r="B7" s="19">
        <f>SUMIFS(Dados!$N:$N,Dados!$P:$P,$B$2,Dados!$B:$B,A7)</f>
        <v>6605.4</v>
      </c>
      <c r="C7" s="19">
        <f>SUMIFS(Dados!$N:$N,Dados!$P:$P,$C$2,Dados!$B:$B,A7)</f>
        <v>2600</v>
      </c>
      <c r="D7" s="19">
        <f>SUMIFS(Dados!$N:$N,Dados!$P:$P,$D$2,Dados!$B:$B,A7)</f>
        <v>8690</v>
      </c>
      <c r="E7" s="19">
        <f>SUMIFS(Dados!$N:$N,Dados!$P:$P,$E$2,Dados!$B:$B,A7)</f>
        <v>3765</v>
      </c>
      <c r="F7" s="19">
        <f>SUMIFS(Dados!$N:$N,Dados!$P:$P,$F$2,Dados!$B:$B,A7)</f>
        <v>700</v>
      </c>
      <c r="G7" s="19">
        <f>SUMIFS(Dados!$N:$N,Dados!$P:$P,$G$2,Dados!$B:$B,A7)</f>
        <v>0</v>
      </c>
      <c r="H7" s="19">
        <f>SUMIFS(Dados!$N:$N,Dados!$D:$D,$H$1,Dados!$B:$B,A7,Dados!$P:$P,"")</f>
        <v>1245.13</v>
      </c>
      <c r="I7" s="19">
        <f>SUMIFS(Dados!$N:$N,Dados!$D:$D,$I$1,Dados!$B:$B,A7)</f>
        <v>0</v>
      </c>
      <c r="J7" s="19">
        <f>SUMIFS(Dados!$N:$N,Dados!$D:$D,$J$1,Dados!$B:$B,A7)</f>
        <v>0</v>
      </c>
      <c r="K7" s="19">
        <f>SUMIFS(Dados!$N:$N,Dados!$D:$D,$K$1,Dados!$B:$B,A7)</f>
        <v>0</v>
      </c>
      <c r="L7" s="19">
        <f t="shared" si="1"/>
        <v>23605.53</v>
      </c>
    </row>
    <row r="8" ht="15.75" customHeight="1">
      <c r="A8" s="18" t="s">
        <v>31</v>
      </c>
      <c r="B8" s="19">
        <f>SUMIFS(Dados!$N:$N,Dados!$P:$P,$B$2,Dados!$B:$B,A8)</f>
        <v>2927.33</v>
      </c>
      <c r="C8" s="19">
        <f>SUMIFS(Dados!$N:$N,Dados!$P:$P,$C$2,Dados!$B:$B,A8)</f>
        <v>320.73</v>
      </c>
      <c r="D8" s="19">
        <f>SUMIFS(Dados!$N:$N,Dados!$P:$P,$D$2,Dados!$B:$B,A8)</f>
        <v>900</v>
      </c>
      <c r="E8" s="19">
        <f>SUMIFS(Dados!$N:$N,Dados!$P:$P,$E$2,Dados!$B:$B,A8)</f>
        <v>0</v>
      </c>
      <c r="F8" s="19">
        <f>SUMIFS(Dados!$N:$N,Dados!$P:$P,$F$2,Dados!$B:$B,A8)</f>
        <v>0</v>
      </c>
      <c r="G8" s="19">
        <f>SUMIFS(Dados!$N:$N,Dados!$P:$P,$G$2,Dados!$B:$B,A8)</f>
        <v>337.59</v>
      </c>
      <c r="H8" s="19">
        <f>SUMIFS(Dados!$N:$N,Dados!$D:$D,$H$1,Dados!$B:$B,A8,Dados!$P:$P,"")</f>
        <v>22285.12</v>
      </c>
      <c r="I8" s="19">
        <f>SUMIFS(Dados!$N:$N,Dados!$D:$D,$I$1,Dados!$B:$B,A8)</f>
        <v>0</v>
      </c>
      <c r="J8" s="19">
        <f>SUMIFS(Dados!$N:$N,Dados!$D:$D,$J$1,Dados!$B:$B,A8)</f>
        <v>0</v>
      </c>
      <c r="K8" s="19">
        <f>SUMIFS(Dados!$N:$N,Dados!$D:$D,$K$1,Dados!$B:$B,A8)</f>
        <v>0</v>
      </c>
      <c r="L8" s="19">
        <f t="shared" si="1"/>
        <v>26770.77</v>
      </c>
    </row>
    <row r="9" ht="15.75" customHeight="1">
      <c r="A9" s="18" t="s">
        <v>33</v>
      </c>
      <c r="B9" s="19">
        <f>SUMIFS(Dados!$N:$N,Dados!$P:$P,$B$2,Dados!$B:$B,A9)</f>
        <v>0</v>
      </c>
      <c r="C9" s="19">
        <f>SUMIFS(Dados!$N:$N,Dados!$P:$P,$C$2,Dados!$B:$B,A9)</f>
        <v>15</v>
      </c>
      <c r="D9" s="19">
        <f>SUMIFS(Dados!$N:$N,Dados!$P:$P,$D$2,Dados!$B:$B,A9)</f>
        <v>350</v>
      </c>
      <c r="E9" s="19">
        <f>SUMIFS(Dados!$N:$N,Dados!$P:$P,$E$2,Dados!$B:$B,A9)</f>
        <v>0</v>
      </c>
      <c r="F9" s="19">
        <f>SUMIFS(Dados!$N:$N,Dados!$P:$P,$F$2,Dados!$B:$B,A9)</f>
        <v>0</v>
      </c>
      <c r="G9" s="19">
        <f>SUMIFS(Dados!$N:$N,Dados!$P:$P,$G$2,Dados!$B:$B,A9)</f>
        <v>2380.1</v>
      </c>
      <c r="H9" s="19">
        <f>SUMIFS(Dados!$N:$N,Dados!$D:$D,$H$1,Dados!$B:$B,A9,Dados!$P:$P,"")</f>
        <v>6340.51</v>
      </c>
      <c r="I9" s="19">
        <f>SUMIFS(Dados!$N:$N,Dados!$D:$D,$I$1,Dados!$B:$B,A9)</f>
        <v>0</v>
      </c>
      <c r="J9" s="19">
        <f>SUMIFS(Dados!$N:$N,Dados!$D:$D,$J$1,Dados!$B:$B,A9)</f>
        <v>0</v>
      </c>
      <c r="K9" s="19">
        <f>SUMIFS(Dados!$N:$N,Dados!$D:$D,$K$1,Dados!$B:$B,A9)</f>
        <v>0</v>
      </c>
      <c r="L9" s="19">
        <f t="shared" si="1"/>
        <v>9085.61</v>
      </c>
    </row>
    <row r="10" ht="15.75" customHeight="1">
      <c r="A10" s="18" t="s">
        <v>34</v>
      </c>
      <c r="B10" s="19">
        <f>SUMIFS(Dados!$N:$N,Dados!$P:$P,$B$2,Dados!$B:$B,A10)</f>
        <v>50</v>
      </c>
      <c r="C10" s="19">
        <f>SUMIFS(Dados!$N:$N,Dados!$P:$P,$C$2,Dados!$B:$B,A10)</f>
        <v>0</v>
      </c>
      <c r="D10" s="19">
        <f>SUMIFS(Dados!$N:$N,Dados!$P:$P,$D$2,Dados!$B:$B,A10)</f>
        <v>0</v>
      </c>
      <c r="E10" s="19">
        <f>SUMIFS(Dados!$N:$N,Dados!$P:$P,$E$2,Dados!$B:$B,A10)</f>
        <v>0</v>
      </c>
      <c r="F10" s="19">
        <f>SUMIFS(Dados!$N:$N,Dados!$P:$P,$F$2,Dados!$B:$B,A10)</f>
        <v>0</v>
      </c>
      <c r="G10" s="19">
        <f>SUMIFS(Dados!$N:$N,Dados!$P:$P,$G$2,Dados!$B:$B,A10)</f>
        <v>0</v>
      </c>
      <c r="H10" s="19">
        <f>SUMIFS(Dados!$N:$N,Dados!$D:$D,$H$1,Dados!$B:$B,A10,Dados!$P:$P,"")</f>
        <v>338.85</v>
      </c>
      <c r="I10" s="19">
        <f>SUMIFS(Dados!$N:$N,Dados!$D:$D,$I$1,Dados!$B:$B,A10)</f>
        <v>7.52</v>
      </c>
      <c r="J10" s="19">
        <f>SUMIFS(Dados!$N:$N,Dados!$D:$D,$J$1,Dados!$B:$B,A10)</f>
        <v>0</v>
      </c>
      <c r="K10" s="19">
        <f>SUMIFS(Dados!$N:$N,Dados!$D:$D,$K$1,Dados!$B:$B,A10)</f>
        <v>0</v>
      </c>
      <c r="L10" s="19">
        <f t="shared" si="1"/>
        <v>396.37</v>
      </c>
    </row>
    <row r="11" ht="15.75" customHeight="1">
      <c r="A11" s="36" t="s">
        <v>36</v>
      </c>
      <c r="B11" s="37">
        <f t="shared" ref="B11:L11" si="2">SUM(B5:B10)</f>
        <v>10001.23</v>
      </c>
      <c r="C11" s="37">
        <f t="shared" si="2"/>
        <v>9945.73</v>
      </c>
      <c r="D11" s="37">
        <f t="shared" si="2"/>
        <v>9990</v>
      </c>
      <c r="E11" s="37">
        <f t="shared" si="2"/>
        <v>4965</v>
      </c>
      <c r="F11" s="37">
        <f t="shared" si="2"/>
        <v>2365</v>
      </c>
      <c r="G11" s="37">
        <f t="shared" si="2"/>
        <v>2717.69</v>
      </c>
      <c r="H11" s="37">
        <f t="shared" si="2"/>
        <v>38815.79</v>
      </c>
      <c r="I11" s="37">
        <f t="shared" si="2"/>
        <v>7.52</v>
      </c>
      <c r="J11" s="37">
        <f t="shared" si="2"/>
        <v>0</v>
      </c>
      <c r="K11" s="37">
        <f t="shared" si="2"/>
        <v>0</v>
      </c>
      <c r="L11" s="37">
        <f t="shared" si="2"/>
        <v>78807.96</v>
      </c>
    </row>
    <row r="12" ht="15.75" customHeight="1">
      <c r="A12" s="38" t="s">
        <v>50</v>
      </c>
      <c r="B12" s="48">
        <f t="shared" ref="B12:F12" si="3">B4-B11</f>
        <v>-1.23</v>
      </c>
      <c r="C12" s="48">
        <f t="shared" si="3"/>
        <v>54.27</v>
      </c>
      <c r="D12" s="48">
        <f t="shared" si="3"/>
        <v>10</v>
      </c>
      <c r="E12" s="48">
        <f t="shared" si="3"/>
        <v>35</v>
      </c>
      <c r="F12" s="48">
        <f t="shared" si="3"/>
        <v>2635</v>
      </c>
      <c r="G12" s="38"/>
      <c r="H12" s="38"/>
      <c r="I12" s="38"/>
      <c r="J12" s="38"/>
      <c r="K12" s="38"/>
      <c r="L12" s="48">
        <f t="shared" ref="L12:L14" si="4">SUM(B12:J12)</f>
        <v>2733.04</v>
      </c>
    </row>
    <row r="13" ht="15.75" customHeight="1">
      <c r="A13" s="38" t="s">
        <v>51</v>
      </c>
      <c r="B13" s="49">
        <v>0.0</v>
      </c>
      <c r="C13" s="49">
        <v>0.0</v>
      </c>
      <c r="D13" s="49">
        <v>0.0</v>
      </c>
      <c r="E13" s="49">
        <v>45.0</v>
      </c>
      <c r="F13" s="49">
        <v>2635.0</v>
      </c>
      <c r="G13" s="19"/>
      <c r="H13" s="19"/>
      <c r="I13" s="19"/>
      <c r="J13" s="19"/>
      <c r="K13" s="19"/>
      <c r="L13" s="40">
        <f t="shared" si="4"/>
        <v>2680</v>
      </c>
    </row>
    <row r="14" ht="15.75" customHeight="1">
      <c r="A14" s="41" t="s">
        <v>53</v>
      </c>
      <c r="B14" s="40">
        <f t="shared" ref="B14:K14" si="5">B12-B13</f>
        <v>-1.23</v>
      </c>
      <c r="C14" s="40">
        <f t="shared" si="5"/>
        <v>54.27</v>
      </c>
      <c r="D14" s="40">
        <f t="shared" si="5"/>
        <v>10</v>
      </c>
      <c r="E14" s="40">
        <f t="shared" si="5"/>
        <v>-10</v>
      </c>
      <c r="F14" s="40">
        <f t="shared" si="5"/>
        <v>0</v>
      </c>
      <c r="G14" s="40">
        <f t="shared" si="5"/>
        <v>0</v>
      </c>
      <c r="H14" s="40">
        <f t="shared" si="5"/>
        <v>0</v>
      </c>
      <c r="I14" s="40">
        <f t="shared" si="5"/>
        <v>0</v>
      </c>
      <c r="J14" s="40">
        <f t="shared" si="5"/>
        <v>0</v>
      </c>
      <c r="K14" s="40">
        <f t="shared" si="5"/>
        <v>0</v>
      </c>
      <c r="L14" s="40">
        <f t="shared" si="4"/>
        <v>53.04</v>
      </c>
    </row>
    <row r="15" ht="15.75" customHeight="1">
      <c r="A15" s="43"/>
      <c r="B15" s="44"/>
      <c r="C15" s="44"/>
      <c r="D15" s="44"/>
      <c r="E15" s="44"/>
      <c r="F15" s="51"/>
      <c r="G15" s="44"/>
      <c r="H15" s="44"/>
      <c r="I15" s="44"/>
      <c r="J15" s="44"/>
      <c r="K15" s="44"/>
      <c r="L15" s="43"/>
    </row>
    <row r="16" ht="15.75" customHeight="1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</row>
    <row r="17" ht="15.75" customHeight="1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</row>
    <row r="18" ht="15.75" customHeight="1">
      <c r="A18" s="5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</row>
    <row r="19" ht="15.75" customHeight="1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</row>
    <row r="20" ht="15.75" customHeight="1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</row>
    <row r="21" ht="15.75" customHeight="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</row>
    <row r="22" ht="15.75" customHeight="1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</row>
    <row r="23" ht="15.75" customHeight="1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</row>
    <row r="24" ht="15.75" customHeight="1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</row>
    <row r="25" ht="15.75" customHeight="1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4"/>
    </row>
    <row r="26" ht="15.75" customHeight="1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</row>
    <row r="27" ht="15.75" customHeigh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5"/>
    </row>
    <row r="28" ht="15.75" customHeigh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5"/>
    </row>
    <row r="29" ht="15.75" customHeight="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</row>
    <row r="30" ht="15.75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</row>
    <row r="31" ht="15.75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</row>
    <row r="32" ht="15.7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</row>
    <row r="33" ht="15.7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</row>
    <row r="34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</row>
    <row r="38" ht="15.7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</row>
    <row r="39" ht="15.7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</row>
    <row r="40" ht="15.7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</row>
    <row r="41" ht="15.7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</row>
    <row r="42" ht="15.7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</row>
    <row r="43" ht="15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</row>
    <row r="44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</row>
    <row r="45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</row>
    <row r="47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</row>
    <row r="201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</row>
    <row r="202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</row>
    <row r="203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</row>
    <row r="204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</row>
    <row r="205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</row>
    <row r="206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</row>
    <row r="207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</row>
    <row r="20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</row>
    <row r="209" ht="15.75" customHeight="1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3"/>
    </row>
    <row r="210" ht="15.75" customHeight="1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3"/>
    </row>
    <row r="211" ht="15.75" customHeight="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3"/>
    </row>
    <row r="212" ht="15.75" customHeight="1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3"/>
    </row>
    <row r="213" ht="15.75" customHeight="1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3"/>
    </row>
    <row r="214" ht="15.75" customHeight="1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3"/>
    </row>
    <row r="215" ht="15.75" customHeight="1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3"/>
    </row>
    <row r="216" ht="15.75" customHeight="1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3"/>
    </row>
    <row r="217" ht="15.75" customHeight="1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3"/>
    </row>
    <row r="218" ht="15.75" customHeight="1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3"/>
    </row>
    <row r="219" ht="15.75" customHeight="1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</row>
    <row r="220" ht="15.75" customHeight="1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</row>
    <row r="221" ht="15.75" customHeight="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</row>
    <row r="222" ht="15.75" customHeight="1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</row>
    <row r="223" ht="15.75" customHeight="1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</row>
    <row r="224" ht="15.75" customHeight="1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</row>
    <row r="225" ht="15.75" customHeight="1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</row>
    <row r="226" ht="15.75" customHeight="1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</row>
    <row r="227" ht="15.75" customHeight="1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</row>
    <row r="228" ht="15.75" customHeight="1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</row>
    <row r="229" ht="15.75" customHeight="1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</row>
    <row r="230" ht="15.75" customHeight="1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</row>
    <row r="231" ht="15.75" customHeight="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</row>
    <row r="232" ht="15.75" customHeight="1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</row>
    <row r="233" ht="15.75" customHeight="1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</row>
    <row r="234" ht="15.75" customHeight="1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</row>
    <row r="235" ht="15.75" customHeight="1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</row>
    <row r="236" ht="15.75" customHeight="1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</row>
    <row r="237" ht="15.75" customHeight="1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</row>
    <row r="238" ht="15.75" customHeight="1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</row>
    <row r="239" ht="15.75" customHeight="1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</row>
    <row r="240" ht="15.75" customHeight="1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</row>
    <row r="241" ht="15.75" customHeight="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</row>
    <row r="242" ht="15.75" customHeight="1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</row>
    <row r="243" ht="15.75" customHeight="1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</row>
    <row r="244" ht="15.75" customHeight="1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</row>
    <row r="245" ht="15.75" customHeight="1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</row>
    <row r="246" ht="15.75" customHeight="1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</row>
    <row r="247" ht="15.75" customHeight="1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</row>
    <row r="248" ht="15.75" customHeight="1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</row>
    <row r="249" ht="15.75" customHeight="1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</row>
    <row r="250" ht="15.75" customHeight="1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</row>
    <row r="251" ht="15.75" customHeight="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</row>
    <row r="252" ht="15.75" customHeight="1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</row>
    <row r="253" ht="15.75" customHeight="1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</row>
    <row r="254" ht="15.75" customHeight="1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</row>
    <row r="255" ht="15.75" customHeight="1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</row>
    <row r="256" ht="15.75" customHeight="1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</row>
    <row r="257" ht="15.75" customHeight="1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</row>
    <row r="258" ht="15.75" customHeight="1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</row>
    <row r="259" ht="15.75" customHeight="1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</row>
    <row r="260" ht="15.75" customHeight="1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</row>
    <row r="261" ht="15.75" customHeight="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</row>
    <row r="262" ht="15.75" customHeight="1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</row>
    <row r="263" ht="15.75" customHeight="1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</row>
    <row r="264" ht="15.75" customHeight="1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</row>
    <row r="265" ht="15.75" customHeight="1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</row>
    <row r="266" ht="15.75" customHeight="1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</row>
    <row r="267" ht="15.75" customHeight="1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</row>
    <row r="268" ht="15.75" customHeight="1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</row>
    <row r="269" ht="15.75" customHeight="1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</row>
    <row r="270" ht="15.75" customHeight="1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</row>
    <row r="271" ht="15.75" customHeight="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</row>
    <row r="272" ht="15.75" customHeight="1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</row>
    <row r="273" ht="15.75" customHeight="1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</row>
    <row r="274" ht="15.75" customHeight="1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</row>
    <row r="275" ht="15.75" customHeight="1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</row>
    <row r="276" ht="15.75" customHeight="1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</row>
    <row r="277" ht="15.75" customHeight="1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</row>
    <row r="278" ht="15.75" customHeight="1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</row>
    <row r="279" ht="15.75" customHeight="1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</row>
    <row r="280" ht="15.75" customHeight="1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</row>
    <row r="281" ht="15.75" customHeight="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</row>
    <row r="282" ht="15.75" customHeight="1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</row>
    <row r="283" ht="15.75" customHeight="1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</row>
    <row r="284" ht="15.75" customHeight="1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</row>
    <row r="285" ht="15.75" customHeight="1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</row>
    <row r="286" ht="15.75" customHeight="1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</row>
    <row r="287" ht="15.75" customHeight="1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</row>
    <row r="288" ht="15.75" customHeight="1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</row>
    <row r="289" ht="15.75" customHeight="1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</row>
    <row r="290" ht="15.75" customHeight="1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</row>
    <row r="291" ht="15.75" customHeight="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</row>
    <row r="292" ht="15.75" customHeight="1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</row>
    <row r="293" ht="15.75" customHeight="1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</row>
    <row r="294" ht="15.75" customHeight="1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</row>
    <row r="295" ht="15.75" customHeight="1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</row>
    <row r="296" ht="15.75" customHeight="1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</row>
    <row r="297" ht="15.75" customHeight="1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</row>
    <row r="298" ht="15.75" customHeight="1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</row>
    <row r="299" ht="15.75" customHeight="1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</row>
    <row r="300" ht="15.75" customHeight="1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</row>
    <row r="301" ht="15.75" customHeight="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</row>
    <row r="302" ht="15.75" customHeight="1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</row>
    <row r="303" ht="15.75" customHeight="1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</row>
    <row r="304" ht="15.75" customHeight="1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</row>
    <row r="305" ht="15.75" customHeight="1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</row>
    <row r="306" ht="15.75" customHeight="1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</row>
    <row r="307" ht="15.75" customHeight="1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</row>
    <row r="308" ht="15.75" customHeight="1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</row>
    <row r="309" ht="15.75" customHeight="1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</row>
    <row r="310" ht="15.75" customHeight="1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</row>
    <row r="311" ht="15.75" customHeight="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</row>
    <row r="312" ht="15.75" customHeight="1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</row>
    <row r="313" ht="15.75" customHeight="1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</row>
    <row r="314" ht="15.75" customHeight="1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</row>
    <row r="315" ht="15.75" customHeight="1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</row>
    <row r="316" ht="15.75" customHeight="1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</row>
    <row r="317" ht="15.75" customHeight="1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</row>
    <row r="318" ht="15.75" customHeight="1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</row>
    <row r="319" ht="15.75" customHeight="1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</row>
    <row r="320" ht="15.75" customHeight="1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</row>
    <row r="321" ht="15.75" customHeight="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</row>
    <row r="322" ht="15.75" customHeight="1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</row>
    <row r="323" ht="15.75" customHeight="1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</row>
    <row r="324" ht="15.75" customHeight="1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</row>
    <row r="325" ht="15.75" customHeight="1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</row>
    <row r="326" ht="15.75" customHeight="1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</row>
    <row r="327" ht="15.75" customHeight="1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</row>
    <row r="328" ht="15.75" customHeight="1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</row>
    <row r="329" ht="15.75" customHeight="1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</row>
    <row r="330" ht="15.75" customHeight="1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</row>
    <row r="331" ht="15.75" customHeight="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</row>
    <row r="332" ht="15.75" customHeight="1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</row>
    <row r="333" ht="15.75" customHeight="1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</row>
    <row r="334" ht="15.75" customHeight="1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</row>
    <row r="335" ht="15.75" customHeight="1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</row>
    <row r="336" ht="15.75" customHeight="1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</row>
    <row r="337" ht="15.75" customHeight="1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</row>
    <row r="338" ht="15.75" customHeight="1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</row>
    <row r="339" ht="15.75" customHeight="1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</row>
    <row r="340" ht="15.75" customHeight="1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</row>
    <row r="341" ht="15.75" customHeight="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</row>
    <row r="342" ht="15.75" customHeight="1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</row>
    <row r="343" ht="15.75" customHeight="1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</row>
    <row r="344" ht="15.75" customHeight="1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</row>
    <row r="345" ht="15.75" customHeight="1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</row>
    <row r="346" ht="15.75" customHeight="1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</row>
    <row r="347" ht="15.75" customHeight="1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</row>
    <row r="348" ht="15.75" customHeight="1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</row>
    <row r="349" ht="15.75" customHeight="1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</row>
    <row r="350" ht="15.75" customHeight="1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</row>
    <row r="351" ht="15.75" customHeight="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</row>
    <row r="352" ht="15.75" customHeight="1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</row>
    <row r="353" ht="15.75" customHeight="1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</row>
    <row r="354" ht="15.75" customHeight="1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</row>
    <row r="355" ht="15.75" customHeight="1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</row>
    <row r="356" ht="15.75" customHeight="1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</row>
    <row r="357" ht="15.75" customHeight="1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</row>
    <row r="358" ht="15.75" customHeight="1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</row>
    <row r="359" ht="15.75" customHeight="1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</row>
    <row r="360" ht="15.75" customHeight="1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</row>
    <row r="361" ht="15.75" customHeight="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</row>
    <row r="362" ht="15.75" customHeight="1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</row>
    <row r="363" ht="15.75" customHeight="1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</row>
    <row r="364" ht="15.75" customHeight="1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</row>
    <row r="365" ht="15.75" customHeight="1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</row>
    <row r="366" ht="15.75" customHeight="1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</row>
    <row r="367" ht="15.75" customHeight="1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</row>
    <row r="368" ht="15.75" customHeight="1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</row>
    <row r="369" ht="15.75" customHeight="1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</row>
    <row r="370" ht="15.75" customHeight="1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</row>
    <row r="371" ht="15.75" customHeight="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</row>
    <row r="372" ht="15.75" customHeight="1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</row>
    <row r="373" ht="15.75" customHeight="1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</row>
    <row r="374" ht="15.75" customHeight="1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</row>
    <row r="375" ht="15.75" customHeight="1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</row>
    <row r="376" ht="15.75" customHeight="1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</row>
    <row r="377" ht="15.75" customHeight="1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</row>
    <row r="378" ht="15.75" customHeight="1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</row>
    <row r="379" ht="15.75" customHeight="1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</row>
    <row r="380" ht="15.75" customHeight="1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</row>
    <row r="381" ht="15.75" customHeight="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</row>
    <row r="382" ht="15.75" customHeight="1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</row>
    <row r="383" ht="15.75" customHeight="1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</row>
    <row r="384" ht="15.75" customHeight="1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</row>
    <row r="385" ht="15.75" customHeight="1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</row>
    <row r="386" ht="15.75" customHeight="1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</row>
    <row r="387" ht="15.75" customHeight="1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</row>
    <row r="388" ht="15.75" customHeight="1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</row>
    <row r="389" ht="15.75" customHeight="1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</row>
    <row r="390" ht="15.75" customHeight="1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</row>
    <row r="391" ht="15.75" customHeight="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</row>
    <row r="392" ht="15.75" customHeight="1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</row>
    <row r="393" ht="15.75" customHeight="1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</row>
    <row r="394" ht="15.75" customHeight="1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</row>
    <row r="395" ht="15.75" customHeight="1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</row>
    <row r="396" ht="15.75" customHeight="1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</row>
    <row r="397" ht="15.75" customHeight="1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</row>
    <row r="398" ht="15.75" customHeight="1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</row>
    <row r="399" ht="15.75" customHeight="1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</row>
    <row r="400" ht="15.75" customHeight="1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</row>
    <row r="401" ht="15.75" customHeight="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</row>
    <row r="402" ht="15.75" customHeight="1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</row>
    <row r="403" ht="15.75" customHeight="1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</row>
    <row r="404" ht="15.75" customHeight="1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</row>
    <row r="405" ht="15.75" customHeight="1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</row>
    <row r="406" ht="15.75" customHeight="1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</row>
    <row r="407" ht="15.75" customHeight="1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</row>
    <row r="408" ht="15.75" customHeight="1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</row>
    <row r="409" ht="15.75" customHeight="1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</row>
    <row r="410" ht="15.75" customHeight="1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</row>
    <row r="411" ht="15.75" customHeight="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</row>
    <row r="412" ht="15.75" customHeight="1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</row>
    <row r="413" ht="15.75" customHeight="1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</row>
    <row r="414" ht="15.75" customHeight="1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</row>
    <row r="415" ht="15.75" customHeight="1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</row>
    <row r="416" ht="15.75" customHeight="1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</row>
    <row r="417" ht="15.75" customHeight="1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</row>
    <row r="418" ht="15.75" customHeight="1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</row>
    <row r="419" ht="15.75" customHeight="1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</row>
    <row r="420" ht="15.75" customHeight="1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</row>
    <row r="421" ht="15.75" customHeight="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</row>
    <row r="422" ht="15.75" customHeight="1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</row>
    <row r="423" ht="15.75" customHeight="1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</row>
    <row r="424" ht="15.75" customHeight="1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</row>
    <row r="425" ht="15.75" customHeight="1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</row>
    <row r="426" ht="15.75" customHeight="1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</row>
    <row r="427" ht="15.75" customHeight="1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</row>
    <row r="428" ht="15.75" customHeight="1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</row>
    <row r="429" ht="15.75" customHeight="1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</row>
    <row r="430" ht="15.75" customHeight="1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</row>
    <row r="431" ht="15.75" customHeight="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</row>
    <row r="432" ht="15.75" customHeight="1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</row>
    <row r="433" ht="15.75" customHeight="1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</row>
    <row r="434" ht="15.75" customHeight="1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</row>
    <row r="435" ht="15.75" customHeight="1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</row>
    <row r="436" ht="15.75" customHeight="1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</row>
    <row r="437" ht="15.75" customHeight="1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</row>
    <row r="438" ht="15.75" customHeight="1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</row>
    <row r="439" ht="15.75" customHeight="1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</row>
    <row r="440" ht="15.75" customHeight="1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</row>
    <row r="441" ht="15.75" customHeight="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</row>
    <row r="442" ht="15.75" customHeight="1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</row>
    <row r="443" ht="15.75" customHeight="1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</row>
    <row r="444" ht="15.75" customHeight="1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</row>
    <row r="445" ht="15.75" customHeight="1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</row>
    <row r="446" ht="15.75" customHeight="1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</row>
    <row r="447" ht="15.75" customHeight="1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</row>
    <row r="448" ht="15.75" customHeight="1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</row>
    <row r="449" ht="15.75" customHeight="1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</row>
    <row r="450" ht="15.75" customHeight="1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</row>
    <row r="451" ht="15.75" customHeight="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</row>
    <row r="452" ht="15.75" customHeight="1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</row>
    <row r="453" ht="15.75" customHeight="1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</row>
    <row r="454" ht="15.75" customHeight="1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</row>
    <row r="455" ht="15.75" customHeight="1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</row>
    <row r="456" ht="15.75" customHeight="1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</row>
    <row r="457" ht="15.75" customHeight="1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</row>
    <row r="458" ht="15.75" customHeight="1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</row>
    <row r="459" ht="15.75" customHeight="1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</row>
    <row r="460" ht="15.75" customHeight="1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</row>
    <row r="461" ht="15.75" customHeight="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</row>
    <row r="462" ht="15.75" customHeight="1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</row>
    <row r="463" ht="15.75" customHeight="1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</row>
    <row r="464" ht="15.75" customHeight="1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</row>
    <row r="465" ht="15.75" customHeight="1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</row>
    <row r="466" ht="15.75" customHeight="1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</row>
    <row r="467" ht="15.75" customHeight="1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</row>
    <row r="468" ht="15.75" customHeight="1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</row>
    <row r="469" ht="15.75" customHeight="1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</row>
    <row r="470" ht="15.75" customHeight="1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</row>
    <row r="471" ht="15.75" customHeight="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</row>
    <row r="472" ht="15.75" customHeight="1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</row>
    <row r="473" ht="15.75" customHeight="1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</row>
    <row r="474" ht="15.75" customHeight="1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</row>
    <row r="475" ht="15.75" customHeight="1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</row>
    <row r="476" ht="15.75" customHeight="1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</row>
    <row r="477" ht="15.75" customHeight="1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</row>
    <row r="478" ht="15.75" customHeight="1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</row>
    <row r="479" ht="15.75" customHeight="1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</row>
    <row r="480" ht="15.75" customHeight="1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</row>
    <row r="481" ht="15.75" customHeight="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</row>
    <row r="482" ht="15.75" customHeight="1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</row>
    <row r="483" ht="15.75" customHeight="1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</row>
    <row r="484" ht="15.75" customHeight="1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</row>
    <row r="485" ht="15.75" customHeight="1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</row>
    <row r="486" ht="15.75" customHeight="1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</row>
    <row r="487" ht="15.75" customHeight="1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</row>
    <row r="488" ht="15.75" customHeight="1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</row>
    <row r="489" ht="15.75" customHeight="1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</row>
    <row r="490" ht="15.75" customHeight="1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</row>
    <row r="491" ht="15.75" customHeight="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</row>
    <row r="492" ht="15.75" customHeight="1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</row>
    <row r="493" ht="15.75" customHeight="1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</row>
    <row r="494" ht="15.75" customHeight="1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</row>
    <row r="495" ht="15.75" customHeight="1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</row>
    <row r="496" ht="15.75" customHeight="1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</row>
    <row r="497" ht="15.75" customHeight="1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</row>
    <row r="498" ht="15.75" customHeight="1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</row>
    <row r="499" ht="15.75" customHeight="1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</row>
    <row r="500" ht="15.75" customHeight="1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</row>
    <row r="501" ht="15.75" customHeight="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</row>
    <row r="502" ht="15.75" customHeight="1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</row>
    <row r="503" ht="15.75" customHeight="1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</row>
    <row r="504" ht="15.75" customHeight="1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</row>
    <row r="505" ht="15.75" customHeight="1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</row>
    <row r="506" ht="15.75" customHeight="1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</row>
    <row r="507" ht="15.75" customHeight="1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</row>
    <row r="508" ht="15.75" customHeight="1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</row>
    <row r="509" ht="15.75" customHeight="1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</row>
    <row r="510" ht="15.75" customHeight="1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</row>
    <row r="511" ht="15.75" customHeight="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</row>
    <row r="512" ht="15.75" customHeight="1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</row>
    <row r="513" ht="15.75" customHeight="1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</row>
    <row r="514" ht="15.75" customHeight="1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</row>
    <row r="515" ht="15.75" customHeight="1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</row>
    <row r="516" ht="15.75" customHeight="1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</row>
    <row r="517" ht="15.75" customHeight="1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</row>
    <row r="518" ht="15.75" customHeight="1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</row>
    <row r="519" ht="15.75" customHeight="1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</row>
    <row r="520" ht="15.75" customHeight="1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</row>
    <row r="521" ht="15.75" customHeight="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</row>
    <row r="522" ht="15.75" customHeight="1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</row>
    <row r="523" ht="15.75" customHeight="1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</row>
    <row r="524" ht="15.75" customHeight="1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</row>
    <row r="525" ht="15.75" customHeight="1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</row>
    <row r="526" ht="15.75" customHeight="1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</row>
    <row r="527" ht="15.75" customHeight="1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</row>
    <row r="528" ht="15.75" customHeight="1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</row>
    <row r="529" ht="15.75" customHeight="1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</row>
    <row r="530" ht="15.75" customHeight="1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</row>
    <row r="531" ht="15.75" customHeight="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</row>
    <row r="532" ht="15.75" customHeight="1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</row>
    <row r="533" ht="15.75" customHeight="1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</row>
    <row r="534" ht="15.75" customHeight="1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</row>
    <row r="535" ht="15.75" customHeight="1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</row>
    <row r="536" ht="15.75" customHeight="1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</row>
    <row r="537" ht="15.75" customHeight="1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</row>
    <row r="538" ht="15.75" customHeight="1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</row>
    <row r="539" ht="15.75" customHeight="1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</row>
    <row r="540" ht="15.75" customHeight="1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</row>
    <row r="541" ht="15.75" customHeight="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</row>
    <row r="542" ht="15.75" customHeight="1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</row>
    <row r="543" ht="15.75" customHeight="1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</row>
    <row r="544" ht="15.75" customHeight="1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</row>
    <row r="545" ht="15.75" customHeight="1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</row>
    <row r="546" ht="15.75" customHeight="1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</row>
    <row r="547" ht="15.75" customHeight="1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</row>
    <row r="548" ht="15.75" customHeight="1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</row>
    <row r="549" ht="15.75" customHeight="1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</row>
    <row r="550" ht="15.75" customHeight="1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</row>
    <row r="551" ht="15.75" customHeight="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</row>
    <row r="552" ht="15.75" customHeight="1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</row>
    <row r="553" ht="15.75" customHeight="1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</row>
    <row r="554" ht="15.75" customHeight="1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</row>
    <row r="555" ht="15.75" customHeight="1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</row>
    <row r="556" ht="15.75" customHeight="1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</row>
    <row r="557" ht="15.75" customHeight="1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</row>
    <row r="558" ht="15.75" customHeight="1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</row>
    <row r="559" ht="15.75" customHeight="1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</row>
    <row r="560" ht="15.75" customHeight="1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</row>
    <row r="561" ht="15.75" customHeight="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</row>
    <row r="562" ht="15.75" customHeight="1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</row>
    <row r="563" ht="15.75" customHeight="1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</row>
    <row r="564" ht="15.75" customHeight="1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</row>
    <row r="565" ht="15.75" customHeight="1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</row>
    <row r="566" ht="15.75" customHeight="1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</row>
    <row r="567" ht="15.75" customHeight="1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</row>
    <row r="568" ht="15.75" customHeight="1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</row>
    <row r="569" ht="15.75" customHeight="1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</row>
    <row r="570" ht="15.75" customHeight="1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</row>
    <row r="571" ht="15.75" customHeight="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</row>
    <row r="572" ht="15.75" customHeight="1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</row>
    <row r="573" ht="15.75" customHeight="1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</row>
    <row r="574" ht="15.75" customHeight="1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</row>
    <row r="575" ht="15.75" customHeight="1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</row>
    <row r="576" ht="15.75" customHeight="1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</row>
    <row r="577" ht="15.75" customHeight="1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</row>
    <row r="578" ht="15.75" customHeight="1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</row>
    <row r="579" ht="15.75" customHeight="1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</row>
    <row r="580" ht="15.75" customHeight="1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</row>
    <row r="581" ht="15.75" customHeight="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</row>
    <row r="582" ht="15.75" customHeight="1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</row>
    <row r="583" ht="15.75" customHeight="1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</row>
    <row r="584" ht="15.75" customHeight="1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</row>
    <row r="585" ht="15.75" customHeight="1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</row>
    <row r="586" ht="15.75" customHeight="1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</row>
    <row r="587" ht="15.75" customHeight="1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</row>
    <row r="588" ht="15.75" customHeight="1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</row>
    <row r="589" ht="15.75" customHeight="1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</row>
    <row r="590" ht="15.75" customHeight="1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</row>
    <row r="591" ht="15.75" customHeight="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</row>
    <row r="592" ht="15.75" customHeight="1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</row>
    <row r="593" ht="15.75" customHeight="1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</row>
    <row r="594" ht="15.75" customHeight="1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</row>
    <row r="595" ht="15.75" customHeight="1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</row>
    <row r="596" ht="15.75" customHeight="1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</row>
    <row r="597" ht="15.75" customHeight="1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</row>
    <row r="598" ht="15.75" customHeight="1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</row>
    <row r="599" ht="15.75" customHeight="1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</row>
    <row r="600" ht="15.75" customHeight="1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</row>
    <row r="601" ht="15.75" customHeight="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</row>
    <row r="602" ht="15.75" customHeight="1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</row>
    <row r="603" ht="15.75" customHeight="1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</row>
    <row r="604" ht="15.75" customHeight="1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</row>
    <row r="605" ht="15.75" customHeight="1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</row>
    <row r="606" ht="15.75" customHeight="1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</row>
    <row r="607" ht="15.75" customHeight="1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</row>
    <row r="608" ht="15.75" customHeight="1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</row>
    <row r="609" ht="15.75" customHeight="1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</row>
    <row r="610" ht="15.75" customHeight="1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</row>
    <row r="611" ht="15.75" customHeight="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</row>
    <row r="612" ht="15.75" customHeight="1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</row>
    <row r="613" ht="15.75" customHeight="1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</row>
    <row r="614" ht="15.75" customHeight="1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</row>
    <row r="615" ht="15.75" customHeight="1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</row>
    <row r="616" ht="15.75" customHeight="1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</row>
    <row r="617" ht="15.75" customHeight="1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</row>
    <row r="618" ht="15.75" customHeight="1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</row>
    <row r="619" ht="15.75" customHeight="1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</row>
    <row r="620" ht="15.75" customHeight="1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</row>
    <row r="621" ht="15.75" customHeight="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</row>
    <row r="622" ht="15.75" customHeight="1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</row>
    <row r="623" ht="15.75" customHeight="1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</row>
    <row r="624" ht="15.75" customHeight="1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</row>
    <row r="625" ht="15.75" customHeight="1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</row>
    <row r="626" ht="15.75" customHeight="1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</row>
    <row r="627" ht="15.75" customHeight="1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</row>
    <row r="628" ht="15.75" customHeight="1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</row>
    <row r="629" ht="15.75" customHeight="1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</row>
    <row r="630" ht="15.75" customHeight="1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</row>
    <row r="631" ht="15.75" customHeight="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</row>
    <row r="632" ht="15.75" customHeight="1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</row>
    <row r="633" ht="15.75" customHeight="1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</row>
    <row r="634" ht="15.75" customHeight="1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</row>
    <row r="635" ht="15.75" customHeight="1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</row>
    <row r="636" ht="15.75" customHeight="1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</row>
    <row r="637" ht="15.75" customHeight="1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</row>
    <row r="638" ht="15.75" customHeight="1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</row>
    <row r="639" ht="15.75" customHeight="1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</row>
    <row r="640" ht="15.75" customHeight="1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</row>
    <row r="641" ht="15.75" customHeight="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</row>
    <row r="642" ht="15.75" customHeight="1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</row>
    <row r="643" ht="15.75" customHeight="1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</row>
    <row r="644" ht="15.75" customHeight="1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</row>
    <row r="645" ht="15.75" customHeight="1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</row>
    <row r="646" ht="15.75" customHeight="1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</row>
    <row r="647" ht="15.75" customHeight="1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</row>
    <row r="648" ht="15.75" customHeight="1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</row>
    <row r="649" ht="15.75" customHeight="1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</row>
    <row r="650" ht="15.75" customHeight="1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</row>
    <row r="651" ht="15.75" customHeight="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</row>
    <row r="652" ht="15.75" customHeight="1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</row>
    <row r="653" ht="15.75" customHeight="1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</row>
    <row r="654" ht="15.75" customHeight="1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</row>
    <row r="655" ht="15.75" customHeight="1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</row>
    <row r="656" ht="15.75" customHeight="1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</row>
    <row r="657" ht="15.75" customHeight="1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</row>
    <row r="658" ht="15.75" customHeight="1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</row>
    <row r="659" ht="15.75" customHeight="1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</row>
    <row r="660" ht="15.75" customHeight="1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</row>
    <row r="661" ht="15.75" customHeight="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</row>
    <row r="662" ht="15.75" customHeight="1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</row>
    <row r="663" ht="15.75" customHeight="1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</row>
    <row r="664" ht="15.75" customHeight="1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</row>
    <row r="665" ht="15.75" customHeight="1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</row>
    <row r="666" ht="15.75" customHeight="1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</row>
    <row r="667" ht="15.75" customHeight="1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</row>
    <row r="668" ht="15.75" customHeight="1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</row>
    <row r="669" ht="15.75" customHeight="1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</row>
    <row r="670" ht="15.75" customHeight="1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</row>
    <row r="671" ht="15.75" customHeight="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</row>
    <row r="672" ht="15.75" customHeight="1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</row>
    <row r="673" ht="15.75" customHeight="1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</row>
    <row r="674" ht="15.75" customHeight="1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</row>
    <row r="675" ht="15.75" customHeight="1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</row>
    <row r="676" ht="15.75" customHeight="1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</row>
    <row r="677" ht="15.75" customHeight="1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</row>
    <row r="678" ht="15.75" customHeight="1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</row>
    <row r="679" ht="15.75" customHeight="1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</row>
    <row r="680" ht="15.75" customHeight="1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</row>
    <row r="681" ht="15.75" customHeight="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</row>
    <row r="682" ht="15.75" customHeight="1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</row>
    <row r="683" ht="15.75" customHeight="1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</row>
    <row r="684" ht="15.75" customHeight="1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</row>
    <row r="685" ht="15.75" customHeight="1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</row>
    <row r="686" ht="15.75" customHeight="1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</row>
    <row r="687" ht="15.75" customHeight="1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</row>
    <row r="688" ht="15.75" customHeight="1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</row>
    <row r="689" ht="15.75" customHeight="1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</row>
    <row r="690" ht="15.75" customHeight="1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</row>
    <row r="691" ht="15.75" customHeight="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</row>
    <row r="692" ht="15.75" customHeight="1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</row>
    <row r="693" ht="15.75" customHeight="1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</row>
    <row r="694" ht="15.75" customHeight="1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</row>
    <row r="695" ht="15.75" customHeight="1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</row>
    <row r="696" ht="15.75" customHeight="1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</row>
    <row r="697" ht="15.75" customHeight="1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</row>
    <row r="698" ht="15.75" customHeight="1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</row>
    <row r="699" ht="15.75" customHeight="1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</row>
    <row r="700" ht="15.75" customHeight="1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</row>
    <row r="701" ht="15.75" customHeight="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</row>
    <row r="702" ht="15.75" customHeight="1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</row>
    <row r="703" ht="15.75" customHeight="1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</row>
    <row r="704" ht="15.75" customHeight="1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</row>
    <row r="705" ht="15.75" customHeight="1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</row>
    <row r="706" ht="15.75" customHeight="1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</row>
    <row r="707" ht="15.75" customHeight="1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</row>
    <row r="708" ht="15.75" customHeight="1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</row>
    <row r="709" ht="15.75" customHeight="1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</row>
    <row r="710" ht="15.75" customHeight="1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</row>
    <row r="711" ht="15.75" customHeight="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</row>
    <row r="712" ht="15.75" customHeight="1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</row>
    <row r="713" ht="15.75" customHeight="1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</row>
    <row r="714" ht="15.75" customHeight="1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</row>
    <row r="715" ht="15.75" customHeight="1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</row>
    <row r="716" ht="15.75" customHeight="1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</row>
    <row r="717" ht="15.75" customHeight="1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</row>
    <row r="718" ht="15.75" customHeight="1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</row>
    <row r="719" ht="15.75" customHeight="1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</row>
    <row r="720" ht="15.75" customHeight="1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</row>
    <row r="721" ht="15.75" customHeight="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</row>
    <row r="722" ht="15.75" customHeight="1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</row>
    <row r="723" ht="15.75" customHeight="1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</row>
    <row r="724" ht="15.75" customHeight="1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</row>
    <row r="725" ht="15.75" customHeight="1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</row>
    <row r="726" ht="15.75" customHeight="1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</row>
    <row r="727" ht="15.75" customHeight="1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</row>
    <row r="728" ht="15.75" customHeight="1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</row>
    <row r="729" ht="15.75" customHeight="1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</row>
    <row r="730" ht="15.75" customHeight="1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</row>
    <row r="731" ht="15.75" customHeight="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</row>
    <row r="732" ht="15.75" customHeight="1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</row>
    <row r="733" ht="15.75" customHeight="1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</row>
    <row r="734" ht="15.75" customHeight="1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</row>
    <row r="735" ht="15.75" customHeight="1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</row>
    <row r="736" ht="15.75" customHeight="1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</row>
    <row r="737" ht="15.75" customHeight="1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</row>
    <row r="738" ht="15.75" customHeight="1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</row>
    <row r="739" ht="15.75" customHeight="1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</row>
    <row r="740" ht="15.75" customHeight="1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</row>
    <row r="741" ht="15.75" customHeight="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</row>
    <row r="742" ht="15.75" customHeight="1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</row>
    <row r="743" ht="15.75" customHeight="1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</row>
    <row r="744" ht="15.75" customHeight="1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</row>
    <row r="745" ht="15.75" customHeight="1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</row>
    <row r="746" ht="15.75" customHeight="1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</row>
    <row r="747" ht="15.75" customHeight="1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</row>
    <row r="748" ht="15.75" customHeight="1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</row>
    <row r="749" ht="15.75" customHeight="1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</row>
    <row r="750" ht="15.75" customHeight="1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</row>
    <row r="751" ht="15.75" customHeight="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</row>
    <row r="752" ht="15.75" customHeight="1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</row>
    <row r="753" ht="15.75" customHeight="1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</row>
    <row r="754" ht="15.75" customHeight="1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</row>
    <row r="755" ht="15.75" customHeight="1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</row>
    <row r="756" ht="15.75" customHeight="1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</row>
    <row r="757" ht="15.75" customHeight="1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</row>
    <row r="758" ht="15.75" customHeight="1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</row>
    <row r="759" ht="15.75" customHeight="1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</row>
    <row r="760" ht="15.75" customHeight="1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</row>
    <row r="761" ht="15.75" customHeight="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</row>
    <row r="762" ht="15.75" customHeight="1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</row>
    <row r="763" ht="15.75" customHeight="1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</row>
    <row r="764" ht="15.75" customHeight="1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</row>
    <row r="765" ht="15.75" customHeight="1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</row>
    <row r="766" ht="15.75" customHeight="1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</row>
    <row r="767" ht="15.75" customHeight="1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</row>
    <row r="768" ht="15.75" customHeight="1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</row>
    <row r="769" ht="15.75" customHeight="1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</row>
    <row r="770" ht="15.75" customHeight="1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</row>
    <row r="771" ht="15.75" customHeight="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</row>
    <row r="772" ht="15.75" customHeight="1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</row>
    <row r="773" ht="15.75" customHeight="1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</row>
    <row r="774" ht="15.75" customHeight="1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</row>
    <row r="775" ht="15.75" customHeight="1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</row>
    <row r="776" ht="15.75" customHeight="1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</row>
    <row r="777" ht="15.75" customHeight="1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</row>
    <row r="778" ht="15.75" customHeight="1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</row>
    <row r="779" ht="15.75" customHeight="1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</row>
    <row r="780" ht="15.75" customHeight="1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</row>
    <row r="781" ht="15.75" customHeight="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</row>
    <row r="782" ht="15.75" customHeight="1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</row>
    <row r="783" ht="15.75" customHeight="1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</row>
    <row r="784" ht="15.75" customHeight="1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</row>
    <row r="785" ht="15.75" customHeight="1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</row>
    <row r="786" ht="15.75" customHeight="1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</row>
    <row r="787" ht="15.75" customHeight="1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</row>
    <row r="788" ht="15.75" customHeight="1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</row>
    <row r="789" ht="15.75" customHeight="1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</row>
    <row r="790" ht="15.75" customHeight="1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</row>
    <row r="791" ht="15.75" customHeight="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</row>
    <row r="792" ht="15.75" customHeight="1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</row>
    <row r="793" ht="15.75" customHeight="1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</row>
    <row r="794" ht="15.75" customHeight="1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</row>
    <row r="795" ht="15.75" customHeight="1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</row>
    <row r="796" ht="15.75" customHeight="1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</row>
    <row r="797" ht="15.75" customHeight="1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</row>
    <row r="798" ht="15.75" customHeight="1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</row>
    <row r="799" ht="15.75" customHeight="1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</row>
    <row r="800" ht="15.75" customHeight="1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</row>
    <row r="801" ht="15.75" customHeight="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</row>
    <row r="802" ht="15.75" customHeight="1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</row>
    <row r="803" ht="15.75" customHeight="1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</row>
    <row r="804" ht="15.75" customHeight="1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</row>
    <row r="805" ht="15.75" customHeight="1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</row>
    <row r="806" ht="15.75" customHeight="1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</row>
    <row r="807" ht="15.75" customHeight="1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</row>
    <row r="808" ht="15.75" customHeight="1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</row>
    <row r="809" ht="15.75" customHeight="1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</row>
    <row r="810" ht="15.75" customHeight="1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</row>
    <row r="811" ht="15.75" customHeight="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</row>
    <row r="812" ht="15.75" customHeight="1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</row>
    <row r="813" ht="15.75" customHeight="1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</row>
    <row r="814" ht="15.75" customHeight="1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</row>
    <row r="815" ht="15.75" customHeight="1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</row>
    <row r="816" ht="15.75" customHeight="1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</row>
    <row r="817" ht="15.75" customHeight="1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</row>
    <row r="818" ht="15.75" customHeight="1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</row>
    <row r="819" ht="15.75" customHeight="1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</row>
    <row r="820" ht="15.75" customHeight="1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</row>
    <row r="821" ht="15.75" customHeight="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</row>
    <row r="822" ht="15.75" customHeight="1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</row>
    <row r="823" ht="15.75" customHeight="1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</row>
    <row r="824" ht="15.75" customHeight="1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</row>
    <row r="825" ht="15.75" customHeight="1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</row>
    <row r="826" ht="15.75" customHeight="1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</row>
    <row r="827" ht="15.75" customHeight="1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</row>
    <row r="828" ht="15.75" customHeight="1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</row>
    <row r="829" ht="15.75" customHeight="1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</row>
    <row r="830" ht="15.75" customHeight="1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</row>
    <row r="831" ht="15.75" customHeight="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</row>
    <row r="832" ht="15.75" customHeight="1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</row>
    <row r="833" ht="15.75" customHeight="1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</row>
    <row r="834" ht="15.75" customHeight="1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</row>
    <row r="835" ht="15.75" customHeight="1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</row>
    <row r="836" ht="15.75" customHeight="1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</row>
    <row r="837" ht="15.75" customHeight="1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</row>
    <row r="838" ht="15.75" customHeight="1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</row>
    <row r="839" ht="15.75" customHeight="1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</row>
    <row r="840" ht="15.75" customHeight="1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</row>
    <row r="841" ht="15.75" customHeight="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</row>
    <row r="842" ht="15.75" customHeight="1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</row>
    <row r="843" ht="15.75" customHeight="1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</row>
    <row r="844" ht="15.75" customHeight="1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</row>
    <row r="845" ht="15.75" customHeight="1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</row>
    <row r="846" ht="15.75" customHeight="1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</row>
    <row r="847" ht="15.75" customHeight="1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</row>
    <row r="848" ht="15.75" customHeight="1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</row>
    <row r="849" ht="15.75" customHeight="1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</row>
    <row r="850" ht="15.75" customHeight="1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</row>
    <row r="851" ht="15.75" customHeight="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</row>
    <row r="852" ht="15.75" customHeight="1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</row>
    <row r="853" ht="15.75" customHeight="1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</row>
    <row r="854" ht="15.75" customHeight="1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</row>
    <row r="855" ht="15.75" customHeight="1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</row>
    <row r="856" ht="15.75" customHeight="1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</row>
    <row r="857" ht="15.75" customHeight="1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</row>
    <row r="858" ht="15.75" customHeight="1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</row>
    <row r="859" ht="15.75" customHeight="1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</row>
    <row r="860" ht="15.75" customHeight="1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</row>
    <row r="861" ht="15.75" customHeight="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</row>
    <row r="862" ht="15.75" customHeight="1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</row>
    <row r="863" ht="15.75" customHeight="1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</row>
    <row r="864" ht="15.75" customHeight="1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</row>
    <row r="865" ht="15.75" customHeight="1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</row>
    <row r="866" ht="15.75" customHeight="1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</row>
    <row r="867" ht="15.75" customHeight="1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</row>
    <row r="868" ht="15.75" customHeight="1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</row>
    <row r="869" ht="15.75" customHeight="1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</row>
    <row r="870" ht="15.75" customHeight="1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</row>
    <row r="871" ht="15.75" customHeight="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</row>
    <row r="872" ht="15.75" customHeight="1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</row>
    <row r="873" ht="15.75" customHeight="1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</row>
    <row r="874" ht="15.75" customHeight="1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</row>
    <row r="875" ht="15.75" customHeight="1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1.13"/>
    <col customWidth="1" min="2" max="2" width="11.5"/>
    <col customWidth="1" min="3" max="3" width="18.25"/>
    <col customWidth="1" min="4" max="4" width="23.75"/>
    <col customWidth="1" min="5" max="5" width="14.63"/>
    <col customWidth="1" min="6" max="6" width="19.25"/>
    <col customWidth="1" min="7" max="7" width="16.88"/>
    <col customWidth="1" min="8" max="8" width="10.88"/>
    <col customWidth="1" min="9" max="9" width="11.38"/>
    <col customWidth="1" min="10" max="10" width="18.25"/>
    <col customWidth="1" min="11" max="21" width="10.75"/>
  </cols>
  <sheetData>
    <row r="1" ht="15.75" customHeight="1">
      <c r="A1" s="2" t="s">
        <v>0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2">
        <v>2025.0</v>
      </c>
      <c r="H1" s="5" t="s">
        <v>7</v>
      </c>
      <c r="I1" s="5" t="s">
        <v>10</v>
      </c>
      <c r="J1" s="5" t="s">
        <v>9</v>
      </c>
    </row>
    <row r="2" ht="15.75" customHeight="1">
      <c r="A2" s="2" t="s">
        <v>12</v>
      </c>
      <c r="B2" s="15">
        <v>10000.0</v>
      </c>
      <c r="C2" s="15">
        <v>10000.0</v>
      </c>
      <c r="D2" s="15">
        <v>10000.0</v>
      </c>
      <c r="E2" s="15">
        <v>5000.0</v>
      </c>
      <c r="F2" s="15">
        <v>5000.0</v>
      </c>
      <c r="G2" s="15"/>
      <c r="H2" s="15"/>
      <c r="I2" s="15"/>
      <c r="J2" s="15"/>
    </row>
    <row r="3" ht="15.75" customHeight="1">
      <c r="A3" s="23" t="s">
        <v>22</v>
      </c>
      <c r="B3" s="25">
        <v>418.5</v>
      </c>
      <c r="C3" s="25">
        <v>10.0</v>
      </c>
      <c r="D3" s="25">
        <v>0.0</v>
      </c>
      <c r="E3" s="25">
        <v>0.0</v>
      </c>
      <c r="F3" s="25">
        <v>0.0</v>
      </c>
      <c r="G3" s="25">
        <v>0.0</v>
      </c>
      <c r="H3" s="25">
        <v>409.32</v>
      </c>
      <c r="I3" s="25">
        <v>0.0</v>
      </c>
      <c r="J3" s="25">
        <v>837.8199999999999</v>
      </c>
    </row>
    <row r="4" ht="15.75" customHeight="1">
      <c r="A4" s="23" t="s">
        <v>25</v>
      </c>
      <c r="B4" s="25">
        <v>0.0</v>
      </c>
      <c r="C4" s="25">
        <v>7000.0</v>
      </c>
      <c r="D4" s="25">
        <v>50.0</v>
      </c>
      <c r="E4" s="25">
        <v>1200.0</v>
      </c>
      <c r="F4" s="25">
        <v>1665.0</v>
      </c>
      <c r="G4" s="25">
        <v>0.0</v>
      </c>
      <c r="H4" s="25">
        <v>8196.859999999999</v>
      </c>
      <c r="I4" s="25">
        <v>0.0</v>
      </c>
      <c r="J4" s="25">
        <v>18111.86</v>
      </c>
    </row>
    <row r="5" ht="15.75" customHeight="1">
      <c r="A5" s="23" t="s">
        <v>29</v>
      </c>
      <c r="B5" s="25">
        <v>6605.4</v>
      </c>
      <c r="C5" s="25">
        <v>2600.0</v>
      </c>
      <c r="D5" s="25">
        <v>8690.0</v>
      </c>
      <c r="E5" s="25">
        <v>3765.0</v>
      </c>
      <c r="F5" s="25">
        <v>700.0</v>
      </c>
      <c r="G5" s="25">
        <v>0.0</v>
      </c>
      <c r="H5" s="25">
        <v>1245.13</v>
      </c>
      <c r="I5" s="25">
        <v>0.0</v>
      </c>
      <c r="J5" s="25">
        <v>23605.530000000002</v>
      </c>
    </row>
    <row r="6" ht="15.75" customHeight="1">
      <c r="A6" s="23" t="s">
        <v>31</v>
      </c>
      <c r="B6" s="25">
        <v>2927.3300000000004</v>
      </c>
      <c r="C6" s="25">
        <v>320.7300000000001</v>
      </c>
      <c r="D6" s="25">
        <v>900.0</v>
      </c>
      <c r="E6" s="25">
        <v>0.0</v>
      </c>
      <c r="F6" s="25">
        <v>0.0</v>
      </c>
      <c r="G6" s="25">
        <v>337.59</v>
      </c>
      <c r="H6" s="25">
        <v>22285.11999999999</v>
      </c>
      <c r="I6" s="25">
        <v>0.0</v>
      </c>
      <c r="J6" s="25">
        <v>26770.769999999993</v>
      </c>
    </row>
    <row r="7" ht="15.75" customHeight="1">
      <c r="A7" s="23" t="s">
        <v>33</v>
      </c>
      <c r="B7" s="25">
        <v>0.0</v>
      </c>
      <c r="C7" s="25">
        <v>15.0</v>
      </c>
      <c r="D7" s="25">
        <v>350.0</v>
      </c>
      <c r="E7" s="25">
        <v>0.0</v>
      </c>
      <c r="F7" s="25">
        <v>0.0</v>
      </c>
      <c r="G7" s="25">
        <v>2380.1</v>
      </c>
      <c r="H7" s="25">
        <v>6340.509999999999</v>
      </c>
      <c r="I7" s="25">
        <v>0.0</v>
      </c>
      <c r="J7" s="25">
        <v>9085.609999999999</v>
      </c>
    </row>
    <row r="8" ht="15.75" customHeight="1">
      <c r="A8" s="23" t="s">
        <v>34</v>
      </c>
      <c r="B8" s="25">
        <v>50.0</v>
      </c>
      <c r="C8" s="25">
        <v>0.0</v>
      </c>
      <c r="D8" s="25">
        <v>0.0</v>
      </c>
      <c r="E8" s="25">
        <v>0.0</v>
      </c>
      <c r="F8" s="25">
        <v>0.0</v>
      </c>
      <c r="G8" s="25">
        <v>0.0</v>
      </c>
      <c r="H8" s="25">
        <v>338.85</v>
      </c>
      <c r="I8" s="25">
        <v>7.52</v>
      </c>
      <c r="J8" s="25">
        <v>396.37</v>
      </c>
    </row>
    <row r="9" ht="15.75" customHeight="1">
      <c r="A9" s="2" t="s">
        <v>36</v>
      </c>
      <c r="B9" s="15">
        <v>10001.23</v>
      </c>
      <c r="C9" s="15">
        <v>9945.73</v>
      </c>
      <c r="D9" s="15">
        <v>9990.0</v>
      </c>
      <c r="E9" s="15">
        <v>4965.0</v>
      </c>
      <c r="F9" s="15">
        <v>2365.0</v>
      </c>
      <c r="G9" s="15">
        <v>2717.69</v>
      </c>
      <c r="H9" s="15">
        <v>38815.789999999986</v>
      </c>
      <c r="I9" s="15">
        <v>7.52</v>
      </c>
      <c r="J9" s="15">
        <v>78807.95999999999</v>
      </c>
    </row>
    <row r="10" ht="15.75" customHeight="1">
      <c r="A10" s="32"/>
    </row>
    <row r="11" ht="15.75" customHeight="1">
      <c r="A11" s="32"/>
      <c r="B11" s="34"/>
    </row>
    <row r="12" ht="15.75" customHeight="1">
      <c r="A12" s="32"/>
      <c r="B12" s="34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3.88"/>
    <col customWidth="1" hidden="1" min="2" max="2" width="6.5"/>
    <col customWidth="1" min="3" max="3" width="5.5"/>
    <col customWidth="1" min="4" max="4" width="6.13"/>
    <col customWidth="1" min="5" max="5" width="9.63"/>
    <col customWidth="1" min="6" max="6" width="13.25"/>
  </cols>
  <sheetData>
    <row r="1" ht="15.75" customHeight="1">
      <c r="A1" s="4" t="s">
        <v>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7"/>
      <c r="N1" s="8"/>
    </row>
    <row r="2" ht="8.25" hidden="1" customHeight="1">
      <c r="A2" s="10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8"/>
    </row>
    <row r="3" ht="15.75" hidden="1" customHeight="1">
      <c r="A3" s="20" t="s">
        <v>21</v>
      </c>
      <c r="B3" s="22">
        <v>2025.0</v>
      </c>
      <c r="C3" s="22">
        <v>2025.0</v>
      </c>
      <c r="D3" s="22">
        <v>2025.0</v>
      </c>
      <c r="E3" s="22">
        <v>2025.0</v>
      </c>
      <c r="F3" s="22">
        <v>2025.0</v>
      </c>
      <c r="G3" s="22">
        <v>2025.0</v>
      </c>
      <c r="H3" s="22">
        <v>2025.0</v>
      </c>
      <c r="I3" s="22">
        <v>2025.0</v>
      </c>
      <c r="J3" s="22">
        <v>2025.0</v>
      </c>
      <c r="K3" s="22">
        <v>2025.0</v>
      </c>
      <c r="L3" s="22">
        <v>2025.0</v>
      </c>
      <c r="M3" s="22">
        <v>2025.0</v>
      </c>
      <c r="N3" s="22">
        <v>2025.0</v>
      </c>
    </row>
    <row r="4" ht="15.75" customHeight="1">
      <c r="A4" s="26" t="s">
        <v>24</v>
      </c>
      <c r="B4" s="22">
        <v>1.0</v>
      </c>
      <c r="C4" s="22">
        <v>2.0</v>
      </c>
      <c r="D4" s="22">
        <v>3.0</v>
      </c>
      <c r="E4" s="22">
        <v>4.0</v>
      </c>
      <c r="F4" s="22">
        <v>5.0</v>
      </c>
      <c r="G4" s="13">
        <v>6.0</v>
      </c>
      <c r="H4" s="22">
        <v>7.0</v>
      </c>
      <c r="I4" s="22">
        <v>8.0</v>
      </c>
      <c r="J4" s="22">
        <v>9.0</v>
      </c>
      <c r="K4" s="22">
        <v>10.0</v>
      </c>
      <c r="L4" s="22">
        <v>11.0</v>
      </c>
      <c r="M4" s="22">
        <v>12.0</v>
      </c>
      <c r="N4" s="29" t="s">
        <v>27</v>
      </c>
    </row>
    <row r="5" ht="15.75" customHeight="1">
      <c r="A5" s="30" t="s">
        <v>28</v>
      </c>
      <c r="B5" s="31"/>
      <c r="C5" s="31"/>
      <c r="D5" s="31"/>
      <c r="E5" s="31"/>
      <c r="F5" s="31">
        <f>sumifs(CloudBed!$U:$U,CloudBed!$K:$K,$A$5,CloudBed!$E:$E,F4)</f>
        <v>6758</v>
      </c>
      <c r="G5" s="31">
        <f>sumifs(CloudBed!$U:$U,CloudBed!$K:$K,$A$5,CloudBed!$E:$E,G4)</f>
        <v>8459.71</v>
      </c>
      <c r="H5" s="31">
        <f>sumifs(CloudBed!$U:$U,CloudBed!$K:$K,$A$5,CloudBed!$E:$E,H4)</f>
        <v>8025.79</v>
      </c>
      <c r="I5" s="31">
        <f>sumifs(CloudBed!$U:$U,CloudBed!$K:$K,$A$5,CloudBed!$E:$E,I4)</f>
        <v>0</v>
      </c>
      <c r="J5" s="31">
        <f>sumifs(CloudBed!$U:$U,CloudBed!$K:$K,$A$5,CloudBed!$E:$E,J4)</f>
        <v>0</v>
      </c>
      <c r="K5" s="31">
        <f>sumifs(CloudBed!$U:$U,CloudBed!$K:$K,$A$5,CloudBed!$E:$E,K4)</f>
        <v>0</v>
      </c>
      <c r="L5" s="31">
        <f>sumifs(CloudBed!$U:$U,CloudBed!$K:$K,$A$5,CloudBed!$E:$E,L4)</f>
        <v>0</v>
      </c>
      <c r="M5" s="31">
        <f>sumifs(CloudBed!$U:$U,CloudBed!$K:$K,$A$5,CloudBed!$E:$E,M4)</f>
        <v>0</v>
      </c>
      <c r="N5" s="33">
        <f t="shared" ref="N5:N11" si="1">SUM(B5:M5)</f>
        <v>23243.5</v>
      </c>
    </row>
    <row r="6" ht="15.75" customHeight="1">
      <c r="A6" s="35" t="s">
        <v>38</v>
      </c>
      <c r="B6" s="31"/>
      <c r="C6" s="31"/>
      <c r="D6" s="31"/>
      <c r="E6" s="31"/>
      <c r="F6" s="31">
        <f>sumifs(CloudBed!$U:$U,CloudBed!$K:$K,$A$6,CloudBed!$E:$E,F4)</f>
        <v>2470.5</v>
      </c>
      <c r="G6" s="31">
        <f>sumifs(CloudBed!$U:$U,CloudBed!$K:$K,$A$6,CloudBed!$E:$E,G4)</f>
        <v>5678</v>
      </c>
      <c r="H6" s="31">
        <f>sumifs(CloudBed!$U:$U,CloudBed!$K:$K,$A$6,CloudBed!$E:$E,H4)</f>
        <v>8233.95</v>
      </c>
      <c r="I6" s="31">
        <f>sumifs(CloudBed!$U:$U,CloudBed!$K:$K,$A$6,CloudBed!$E:$E,I4)</f>
        <v>0</v>
      </c>
      <c r="J6" s="31">
        <f>sumifs(CloudBed!$J:$J,CloudBed!$H:$H,"Hostelworld (Hotel Collect Booking)",CloudBed!$T:$T,J4)</f>
        <v>0</v>
      </c>
      <c r="K6" s="31">
        <f>sumifs(CloudBed!$J:$J,CloudBed!$H:$H,"Hostelworld (Hotel Collect Booking)",CloudBed!$T:$T,K4)</f>
        <v>0</v>
      </c>
      <c r="L6" s="31">
        <f>sumifs(CloudBed!$J:$J,CloudBed!$H:$H,"Hostelworld (Hotel Collect Booking)",CloudBed!$T:$T,L4)</f>
        <v>0</v>
      </c>
      <c r="M6" s="31">
        <f>sumifs(CloudBed!$J:$J,CloudBed!$H:$H,"Hostelworld (Hotel Collect Booking)",CloudBed!$T:$T,M4)</f>
        <v>0</v>
      </c>
      <c r="N6" s="33">
        <f t="shared" si="1"/>
        <v>16382.45</v>
      </c>
    </row>
    <row r="7" ht="15.75" customHeight="1">
      <c r="A7" s="30" t="s">
        <v>43</v>
      </c>
      <c r="B7" s="31"/>
      <c r="C7" s="31"/>
      <c r="D7" s="31"/>
      <c r="E7" s="31"/>
      <c r="F7" s="31">
        <f>sumifs(CloudBed!$U:$U,CloudBed!$K:$K,$A$7,CloudBed!$E:$E,F4)</f>
        <v>5253.208881</v>
      </c>
      <c r="G7" s="31">
        <f>sumifs(CloudBed!$U:$U,CloudBed!$K:$K,$A$7,CloudBed!$E:$E,G4)</f>
        <v>6570.14</v>
      </c>
      <c r="H7" s="31">
        <f>sumifs(CloudBed!$U:$U,CloudBed!$K:$K,$A$7,CloudBed!$E:$E,H4)</f>
        <v>4760.15</v>
      </c>
      <c r="I7" s="31">
        <f>sumifs(CloudBed!$U:$U,CloudBed!$K:$K,$A$7,CloudBed!$E:$E,I4)</f>
        <v>0</v>
      </c>
      <c r="J7" s="31">
        <f>sumifs(CloudBed!$U:$U,CloudBed!$K:$K,$A$7,CloudBed!$E:$E,J4)</f>
        <v>0</v>
      </c>
      <c r="K7" s="31">
        <f>sumifs(CloudBed!$J:$J,CloudBed!$H:$H,"Airbnb (API) (Channel Collect Booking)",CloudBed!$T:$T,K4)</f>
        <v>0</v>
      </c>
      <c r="L7" s="31">
        <f>sumifs(CloudBed!$J:$J,CloudBed!$H:$H,"Airbnb (API) (Channel Collect Booking)",CloudBed!$T:$T,L4)</f>
        <v>0</v>
      </c>
      <c r="M7" s="31">
        <f>sumifs(CloudBed!$J:$J,CloudBed!$H:$H,"Airbnb (API) (Channel Collect Booking)",CloudBed!$T:$T,M4)</f>
        <v>0</v>
      </c>
      <c r="N7" s="33">
        <f t="shared" si="1"/>
        <v>16583.49888</v>
      </c>
    </row>
    <row r="8" ht="15.75" customHeight="1">
      <c r="A8" s="35" t="s">
        <v>49</v>
      </c>
      <c r="B8" s="31"/>
      <c r="C8" s="31"/>
      <c r="D8" s="31"/>
      <c r="E8" s="31"/>
      <c r="F8" s="31">
        <f>sumifs(CloudBed!$U:$U,CloudBed!$K:$K,"*Website*",CloudBed!$E:$E,F4)</f>
        <v>0</v>
      </c>
      <c r="G8" s="31">
        <f>sumifs(CloudBed!$U:$U,CloudBed!$K:$K,"*Website*",CloudBed!$E:$E,G4)</f>
        <v>483.26</v>
      </c>
      <c r="H8" s="31">
        <f>sumifs(CloudBed!$U:$U,CloudBed!$K:$K,"*Website*",CloudBed!$E:$E,H4)</f>
        <v>224.5</v>
      </c>
      <c r="I8" s="31">
        <f>sumifs(CloudBed!$U:$U,CloudBed!$K:$K,"*Website*",CloudBed!$E:$E,I4)</f>
        <v>0</v>
      </c>
      <c r="J8" s="31">
        <f>sumifs(CloudBed!$U:$U,CloudBed!$K:$K,"*Website*",CloudBed!$E:$E,J4)</f>
        <v>0</v>
      </c>
      <c r="K8" s="31"/>
      <c r="L8" s="31"/>
      <c r="M8" s="31"/>
      <c r="N8" s="33">
        <f t="shared" si="1"/>
        <v>707.76</v>
      </c>
    </row>
    <row r="9" ht="15.75" customHeight="1">
      <c r="A9" s="39" t="s">
        <v>52</v>
      </c>
      <c r="B9" s="42">
        <f t="shared" ref="B9:M9" si="2">SUM(B5:B8)</f>
        <v>0</v>
      </c>
      <c r="C9" s="42">
        <f t="shared" si="2"/>
        <v>0</v>
      </c>
      <c r="D9" s="42">
        <f t="shared" si="2"/>
        <v>0</v>
      </c>
      <c r="E9" s="42">
        <f t="shared" si="2"/>
        <v>0</v>
      </c>
      <c r="F9" s="42">
        <f t="shared" si="2"/>
        <v>14481.70888</v>
      </c>
      <c r="G9" s="42">
        <f t="shared" si="2"/>
        <v>21191.11</v>
      </c>
      <c r="H9" s="42">
        <f t="shared" si="2"/>
        <v>21244.39</v>
      </c>
      <c r="I9" s="42">
        <f t="shared" si="2"/>
        <v>0</v>
      </c>
      <c r="J9" s="42">
        <f t="shared" si="2"/>
        <v>0</v>
      </c>
      <c r="K9" s="42">
        <f t="shared" si="2"/>
        <v>0</v>
      </c>
      <c r="L9" s="42">
        <f t="shared" si="2"/>
        <v>0</v>
      </c>
      <c r="M9" s="42">
        <f t="shared" si="2"/>
        <v>0</v>
      </c>
      <c r="N9" s="42">
        <f t="shared" si="1"/>
        <v>56917.20888</v>
      </c>
    </row>
    <row r="10" ht="15.75" customHeight="1">
      <c r="A10" s="35" t="s">
        <v>54</v>
      </c>
      <c r="B10" s="31"/>
      <c r="C10" s="31"/>
      <c r="D10" s="31"/>
      <c r="E10" s="31"/>
      <c r="F10" s="31">
        <f>sumifs(CloudBed!$U:$U,CloudBed!$K:$K,"Walk-In",CloudBed!$E:$E,F4)</f>
        <v>0</v>
      </c>
      <c r="G10" s="31">
        <f>sumifs(CloudBed!$U:$U,CloudBed!$K:$K,"Walk-In",CloudBed!$E:$E,G4)</f>
        <v>32</v>
      </c>
      <c r="H10" s="31">
        <f>sumifs(CloudBed!$U:$U,CloudBed!$K:$K,"Walk-In",CloudBed!$E:$E,H4)</f>
        <v>0</v>
      </c>
      <c r="I10" s="31">
        <f>sumifs(CloudBed!$U:$U,CloudBed!$K:$K,"Walk-In",CloudBed!$E:$E,I4)</f>
        <v>0</v>
      </c>
      <c r="J10" s="31"/>
      <c r="K10" s="31"/>
      <c r="L10" s="31"/>
      <c r="M10" s="31"/>
      <c r="N10" s="33">
        <f t="shared" si="1"/>
        <v>32</v>
      </c>
    </row>
    <row r="11" ht="15.75" hidden="1" customHeight="1">
      <c r="A11" s="35" t="s">
        <v>55</v>
      </c>
      <c r="B11" s="31"/>
      <c r="C11" s="31"/>
      <c r="D11" s="31"/>
      <c r="E11" s="31"/>
      <c r="F11" s="31">
        <f>sumifs(CloudBed!$U:$U,CloudBed!$K:$K,$A$11,CloudBed!$E:$E,F4)</f>
        <v>0</v>
      </c>
      <c r="G11" s="31">
        <f>sumifs(CloudBed!$U:$U,CloudBed!$K:$K,$A$11,CloudBed!$E:$E,G4)</f>
        <v>214.5</v>
      </c>
      <c r="H11" s="31">
        <f>sumifs(CloudBed!$U:$U,CloudBed!$K:$K,$A$11,CloudBed!$E:$E,H4)</f>
        <v>220</v>
      </c>
      <c r="I11" s="31">
        <f>sumifs(CloudBed!$U:$U,CloudBed!$K:$K,$A$11,CloudBed!$E:$E,I4)</f>
        <v>0</v>
      </c>
      <c r="J11" s="31">
        <f>sumifs(CloudBed!$U:$U,CloudBed!$K:$K,$A$11,CloudBed!$E:$E,J4)</f>
        <v>0</v>
      </c>
      <c r="K11" s="31">
        <f>sumifs(FF!$E:$E,FF!$C:$C,K4)</f>
        <v>0</v>
      </c>
      <c r="L11" s="31">
        <f>sumifs(FF!$E:$E,FF!$C:$C,L4)</f>
        <v>0</v>
      </c>
      <c r="M11" s="31">
        <f>sumifs(FF!$E:$E,FF!$C:$C,M4)</f>
        <v>82</v>
      </c>
      <c r="N11" s="33">
        <f t="shared" si="1"/>
        <v>516.5</v>
      </c>
    </row>
    <row r="12" ht="15.75" hidden="1" customHeight="1">
      <c r="A12" s="35" t="s">
        <v>55</v>
      </c>
      <c r="B12" s="31"/>
      <c r="C12" s="31"/>
      <c r="D12" s="31"/>
      <c r="E12" s="31"/>
      <c r="F12" s="31">
        <f>sumifs(FF!$E:$E,FF!$C:$C,F4)</f>
        <v>1331</v>
      </c>
      <c r="G12" s="31">
        <f>sumifs(FF!$E:$E,FF!$C:$C,G4)</f>
        <v>2027</v>
      </c>
      <c r="H12" s="31">
        <f>sumifs(FF!$E:$E,FF!$C:$C,H4)</f>
        <v>2825</v>
      </c>
      <c r="I12" s="31">
        <f>sumifs(FF!$E:$E,FF!$C:$C,I4)</f>
        <v>0</v>
      </c>
      <c r="J12" s="31">
        <f>sumifs(FF!$E:$E,FF!$C:$C,J4)</f>
        <v>0</v>
      </c>
      <c r="K12" s="31"/>
      <c r="L12" s="31"/>
      <c r="M12" s="31"/>
      <c r="N12" s="33"/>
    </row>
    <row r="13" ht="15.75" customHeight="1">
      <c r="A13" s="35" t="s">
        <v>55</v>
      </c>
      <c r="B13" s="31"/>
      <c r="C13" s="31"/>
      <c r="D13" s="31"/>
      <c r="E13" s="31"/>
      <c r="F13" s="31">
        <f t="shared" ref="F13:N13" si="3">F11+F12</f>
        <v>1331</v>
      </c>
      <c r="G13" s="31">
        <f t="shared" si="3"/>
        <v>2241.5</v>
      </c>
      <c r="H13" s="31">
        <f t="shared" si="3"/>
        <v>3045</v>
      </c>
      <c r="I13" s="31">
        <f t="shared" si="3"/>
        <v>0</v>
      </c>
      <c r="J13" s="31">
        <f t="shared" si="3"/>
        <v>0</v>
      </c>
      <c r="K13" s="31">
        <f t="shared" si="3"/>
        <v>0</v>
      </c>
      <c r="L13" s="31">
        <f t="shared" si="3"/>
        <v>0</v>
      </c>
      <c r="M13" s="31">
        <f t="shared" si="3"/>
        <v>82</v>
      </c>
      <c r="N13" s="33">
        <f t="shared" si="3"/>
        <v>516.5</v>
      </c>
    </row>
    <row r="14" ht="15.75" customHeight="1">
      <c r="A14" s="46" t="s">
        <v>57</v>
      </c>
      <c r="B14" s="47">
        <f t="shared" ref="B14:E14" si="4">SUM(B10:B12)</f>
        <v>0</v>
      </c>
      <c r="C14" s="47">
        <f t="shared" si="4"/>
        <v>0</v>
      </c>
      <c r="D14" s="47">
        <f t="shared" si="4"/>
        <v>0</v>
      </c>
      <c r="E14" s="47">
        <f t="shared" si="4"/>
        <v>0</v>
      </c>
      <c r="F14" s="47">
        <f t="shared" ref="F14:M14" si="5">F10+F13</f>
        <v>1331</v>
      </c>
      <c r="G14" s="47">
        <f t="shared" si="5"/>
        <v>2273.5</v>
      </c>
      <c r="H14" s="47">
        <f t="shared" si="5"/>
        <v>3045</v>
      </c>
      <c r="I14" s="47">
        <f t="shared" si="5"/>
        <v>0</v>
      </c>
      <c r="J14" s="47">
        <f t="shared" si="5"/>
        <v>0</v>
      </c>
      <c r="K14" s="47">
        <f t="shared" si="5"/>
        <v>0</v>
      </c>
      <c r="L14" s="47">
        <f t="shared" si="5"/>
        <v>0</v>
      </c>
      <c r="M14" s="47">
        <f t="shared" si="5"/>
        <v>82</v>
      </c>
      <c r="N14" s="47">
        <f>SUM(B14:M14)</f>
        <v>6731.5</v>
      </c>
    </row>
    <row r="16" ht="15.75" customHeight="1">
      <c r="A16" s="30" t="s">
        <v>58</v>
      </c>
      <c r="B16" s="31"/>
      <c r="C16" s="31"/>
      <c r="D16" s="31"/>
      <c r="E16" s="31"/>
      <c r="F16" s="31">
        <f>sumifs(CloudBed!$O:$O,CloudBed!$E:$E,F4)</f>
        <v>666</v>
      </c>
      <c r="G16" s="31">
        <f>sumifs(CloudBed!$O:$O,CloudBed!$E:$E,G4)</f>
        <v>1216</v>
      </c>
      <c r="H16" s="31">
        <f>sumifs(CloudBed!$O:$O,CloudBed!$E:$E,H4)</f>
        <v>1154</v>
      </c>
      <c r="I16" s="31">
        <f>sumifs(CloudBed!$O:$O,CloudBed!$E:$E,I4)</f>
        <v>0</v>
      </c>
      <c r="J16" s="31">
        <f>sumifs(CloudBed!$O:$O,CloudBed!$E:$E,J4)</f>
        <v>0</v>
      </c>
      <c r="K16" s="31">
        <f>sumifs(CloudBed!$O:$O,CloudBed!$E:$E,K4)</f>
        <v>0</v>
      </c>
      <c r="L16" s="31">
        <f>sumifs(CloudBed!$O:$O,CloudBed!$E:$E,L4)</f>
        <v>0</v>
      </c>
      <c r="M16" s="31">
        <f>sumifs(CloudBed!$O:$O,CloudBed!$E:$E,M4)</f>
        <v>0</v>
      </c>
      <c r="N16" s="33">
        <f>SUM(B16:M16)</f>
        <v>3036</v>
      </c>
    </row>
    <row r="18" ht="15.75" customHeight="1">
      <c r="A18" s="30" t="s">
        <v>59</v>
      </c>
      <c r="B18" s="50"/>
      <c r="C18" s="50"/>
      <c r="D18" s="50"/>
      <c r="E18" s="50">
        <v>0.0</v>
      </c>
      <c r="F18" s="31">
        <f t="shared" ref="F18:M18" si="6">F9+F14</f>
        <v>15812.70888</v>
      </c>
      <c r="G18" s="31">
        <f t="shared" si="6"/>
        <v>23464.61</v>
      </c>
      <c r="H18" s="31">
        <f t="shared" si="6"/>
        <v>24289.39</v>
      </c>
      <c r="I18" s="31">
        <f t="shared" si="6"/>
        <v>0</v>
      </c>
      <c r="J18" s="31">
        <f t="shared" si="6"/>
        <v>0</v>
      </c>
      <c r="K18" s="31">
        <f t="shared" si="6"/>
        <v>0</v>
      </c>
      <c r="L18" s="31">
        <f t="shared" si="6"/>
        <v>0</v>
      </c>
      <c r="M18" s="31">
        <f t="shared" si="6"/>
        <v>82</v>
      </c>
      <c r="N18" s="33">
        <f t="shared" ref="N18:N19" si="7">SUM(B18:M18)</f>
        <v>63648.70888</v>
      </c>
    </row>
    <row r="19" ht="15.75" customHeight="1">
      <c r="A19" s="35" t="s">
        <v>60</v>
      </c>
      <c r="B19" s="31"/>
      <c r="C19" s="31"/>
      <c r="D19" s="31"/>
      <c r="E19" s="31">
        <v>5662.450000000001</v>
      </c>
      <c r="F19" s="31">
        <v>16662.5</v>
      </c>
      <c r="G19" s="31">
        <v>18547.4</v>
      </c>
      <c r="H19" s="31">
        <v>28367.360000000004</v>
      </c>
      <c r="I19" s="31">
        <v>38195.5</v>
      </c>
      <c r="J19" s="31">
        <v>28669.66</v>
      </c>
      <c r="K19" s="31">
        <v>20442.63</v>
      </c>
      <c r="L19" s="31">
        <v>0.0</v>
      </c>
      <c r="M19" s="31">
        <v>0.0</v>
      </c>
      <c r="N19" s="33">
        <f t="shared" si="7"/>
        <v>156547.5</v>
      </c>
    </row>
    <row r="20" ht="15.75" customHeight="1">
      <c r="A20" s="39" t="s">
        <v>61</v>
      </c>
      <c r="B20" s="52"/>
      <c r="C20" s="52"/>
      <c r="D20" s="52"/>
      <c r="E20" s="52">
        <f t="shared" ref="E20:K20" si="8">(E18-E19)/E19</f>
        <v>-1</v>
      </c>
      <c r="F20" s="52">
        <f t="shared" si="8"/>
        <v>-0.05100021718</v>
      </c>
      <c r="G20" s="52">
        <f t="shared" si="8"/>
        <v>0.2651158653</v>
      </c>
      <c r="H20" s="52">
        <f t="shared" si="8"/>
        <v>-0.1437557108</v>
      </c>
      <c r="I20" s="52">
        <f t="shared" si="8"/>
        <v>-1</v>
      </c>
      <c r="J20" s="52">
        <f t="shared" si="8"/>
        <v>-1</v>
      </c>
      <c r="K20" s="52">
        <f t="shared" si="8"/>
        <v>-1</v>
      </c>
      <c r="L20" s="52"/>
      <c r="M20" s="52"/>
      <c r="N20" s="54">
        <f>AVERAGE(D20:K20)</f>
        <v>-0.5613771518</v>
      </c>
    </row>
    <row r="22" ht="15.75" customHeight="1">
      <c r="A22" s="30" t="s">
        <v>62</v>
      </c>
      <c r="B22" s="50"/>
      <c r="C22" s="50"/>
      <c r="D22" s="50"/>
      <c r="E22" s="55"/>
      <c r="F22" s="55">
        <v>177.0</v>
      </c>
      <c r="G22" s="55">
        <v>286.0</v>
      </c>
      <c r="H22" s="55">
        <v>295.0</v>
      </c>
      <c r="I22" s="55"/>
      <c r="J22" s="55"/>
      <c r="K22" s="55"/>
      <c r="L22" s="31"/>
      <c r="M22" s="31"/>
      <c r="N22" s="33"/>
    </row>
    <row r="23" ht="15.75" customHeight="1">
      <c r="A23" s="35" t="s">
        <v>63</v>
      </c>
      <c r="B23" s="50"/>
      <c r="C23" s="50"/>
      <c r="D23" s="50"/>
      <c r="E23" s="55"/>
      <c r="F23" s="55">
        <v>391.0</v>
      </c>
      <c r="G23" s="55">
        <v>619.0</v>
      </c>
      <c r="H23" s="55">
        <v>515.0</v>
      </c>
      <c r="I23" s="55"/>
      <c r="J23" s="55"/>
      <c r="K23" s="55"/>
      <c r="L23" s="31"/>
      <c r="M23" s="31"/>
      <c r="N23" s="33"/>
    </row>
    <row r="24" ht="15.75" customHeight="1">
      <c r="A24" s="56" t="s">
        <v>64</v>
      </c>
      <c r="B24" s="57"/>
      <c r="C24" s="57"/>
      <c r="D24" s="57"/>
      <c r="E24" s="56"/>
      <c r="F24" s="56">
        <v>0.5341</v>
      </c>
      <c r="G24" s="56">
        <v>0.8456</v>
      </c>
      <c r="H24" s="56">
        <v>0.7</v>
      </c>
      <c r="I24" s="56"/>
      <c r="J24" s="56"/>
      <c r="K24" s="56"/>
      <c r="L24" s="56"/>
      <c r="M24" s="56"/>
      <c r="N24" s="54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</row>
    <row r="25" ht="15.75" customHeight="1">
      <c r="A25" s="56" t="s">
        <v>65</v>
      </c>
      <c r="B25" s="57"/>
      <c r="C25" s="57"/>
      <c r="D25" s="57"/>
      <c r="E25" s="56">
        <v>0.3510125361620058</v>
      </c>
      <c r="F25" s="56">
        <v>0.8158148505303761</v>
      </c>
      <c r="G25" s="56">
        <v>0.8775313404050145</v>
      </c>
      <c r="H25" s="56">
        <v>0.9057377049180327</v>
      </c>
      <c r="I25" s="56">
        <v>1.0177595628415301</v>
      </c>
      <c r="J25" s="56">
        <v>0.9740437158469946</v>
      </c>
      <c r="K25" s="56">
        <v>0.8415300546448088</v>
      </c>
      <c r="L25" s="56"/>
      <c r="M25" s="56"/>
      <c r="N25" s="54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</row>
    <row r="26" ht="15.75" customHeight="1">
      <c r="A26" s="39" t="s">
        <v>61</v>
      </c>
      <c r="B26" s="52"/>
      <c r="C26" s="52"/>
      <c r="D26" s="52"/>
      <c r="E26" s="52"/>
      <c r="F26" s="52">
        <f t="shared" ref="F26:H26" si="9">F24-F25</f>
        <v>-0.2817148505</v>
      </c>
      <c r="G26" s="52">
        <f t="shared" si="9"/>
        <v>-0.03193134041</v>
      </c>
      <c r="H26" s="52">
        <f t="shared" si="9"/>
        <v>-0.2057377049</v>
      </c>
      <c r="I26" s="52"/>
      <c r="J26" s="52"/>
      <c r="K26" s="52"/>
      <c r="L26" s="52"/>
      <c r="M26" s="52"/>
      <c r="N26" s="33"/>
    </row>
    <row r="28" ht="15.75" customHeight="1">
      <c r="A28" s="30" t="s">
        <v>66</v>
      </c>
      <c r="B28" s="50"/>
      <c r="C28" s="50"/>
      <c r="D28" s="50"/>
      <c r="E28" s="50"/>
      <c r="F28" s="50">
        <v>37.9</v>
      </c>
      <c r="G28" s="50">
        <v>34.19</v>
      </c>
      <c r="H28" s="31">
        <v>34.55</v>
      </c>
      <c r="I28" s="31"/>
      <c r="J28" s="31"/>
      <c r="K28" s="31"/>
      <c r="L28" s="31"/>
      <c r="M28" s="31"/>
      <c r="N28" s="33"/>
    </row>
    <row r="29" ht="15.75" customHeight="1">
      <c r="A29" s="30" t="s">
        <v>65</v>
      </c>
      <c r="B29" s="50"/>
      <c r="C29" s="50"/>
      <c r="D29" s="50"/>
      <c r="E29" s="50">
        <v>31.11236263736264</v>
      </c>
      <c r="F29" s="31">
        <v>39.39125295508274</v>
      </c>
      <c r="G29" s="31">
        <v>40.76351648351649</v>
      </c>
      <c r="H29" s="31">
        <v>42.786365007541484</v>
      </c>
      <c r="I29" s="31">
        <v>51.269127516778525</v>
      </c>
      <c r="J29" s="31">
        <v>40.20990182328191</v>
      </c>
      <c r="K29" s="31">
        <v>33.18608766233766</v>
      </c>
      <c r="L29" s="31"/>
      <c r="M29" s="31"/>
      <c r="N29" s="33"/>
    </row>
    <row r="30" ht="15.75" customHeight="1">
      <c r="A30" s="39" t="s">
        <v>61</v>
      </c>
      <c r="B30" s="52"/>
      <c r="C30" s="52"/>
      <c r="D30" s="52"/>
      <c r="E30" s="52"/>
      <c r="F30" s="52">
        <f t="shared" ref="F30:H30" si="10">F28/F29</f>
        <v>0.9621425356</v>
      </c>
      <c r="G30" s="52">
        <f t="shared" si="10"/>
        <v>0.8387402008</v>
      </c>
      <c r="H30" s="52">
        <f t="shared" si="10"/>
        <v>0.8075002397</v>
      </c>
      <c r="I30" s="52"/>
      <c r="J30" s="52"/>
      <c r="K30" s="52"/>
      <c r="L30" s="52"/>
      <c r="M30" s="52"/>
      <c r="N30" s="33"/>
    </row>
    <row r="32" ht="15.75" customHeight="1">
      <c r="A32" s="35" t="s">
        <v>67</v>
      </c>
      <c r="B32" s="50"/>
      <c r="C32" s="50"/>
      <c r="D32" s="50"/>
      <c r="E32" s="50"/>
      <c r="F32" s="31">
        <f>'Final Result'!F22/F23</f>
        <v>24.97051151</v>
      </c>
      <c r="G32" s="31">
        <f>'Final Result'!G22/G23</f>
        <v>23.33746365</v>
      </c>
      <c r="H32" s="31">
        <f>'Final Result'!H22/H23</f>
        <v>21.19782524</v>
      </c>
      <c r="I32" s="31" t="str">
        <f>'Final Result'!I22/I23</f>
        <v>#DIV/0!</v>
      </c>
      <c r="J32" s="31" t="str">
        <f>'Final Result'!J22/J23</f>
        <v>#DIV/0!</v>
      </c>
      <c r="K32" s="31" t="str">
        <f>'Final Result'!K22/K23</f>
        <v>#DIV/0!</v>
      </c>
      <c r="L32" s="31" t="str">
        <f>'Final Result'!L22/L23</f>
        <v>#DIV/0!</v>
      </c>
      <c r="M32" s="31" t="str">
        <f>'Final Result'!M22/M23</f>
        <v>#DIV/0!</v>
      </c>
      <c r="N32" s="33"/>
    </row>
    <row r="33" ht="15.75" customHeight="1">
      <c r="A33" s="56" t="s">
        <v>65</v>
      </c>
      <c r="B33" s="50"/>
      <c r="C33" s="50"/>
      <c r="D33" s="50"/>
      <c r="E33" s="31">
        <v>22.824893543956044</v>
      </c>
      <c r="F33" s="31">
        <v>19.625530437352246</v>
      </c>
      <c r="G33" s="31">
        <v>24.827332417582415</v>
      </c>
      <c r="H33" s="31">
        <v>25.706002986425336</v>
      </c>
      <c r="I33" s="31">
        <v>22.821302013422823</v>
      </c>
      <c r="J33" s="31">
        <v>19.086552594670408</v>
      </c>
      <c r="K33" s="31">
        <v>20.93888928571429</v>
      </c>
      <c r="L33" s="31"/>
      <c r="M33" s="31"/>
      <c r="N33" s="33"/>
    </row>
    <row r="34" ht="15.75" customHeight="1">
      <c r="A34" s="39" t="s">
        <v>61</v>
      </c>
      <c r="B34" s="52"/>
      <c r="C34" s="52"/>
      <c r="D34" s="52"/>
      <c r="E34" s="52"/>
      <c r="F34" s="52">
        <f t="shared" ref="F34:H34" si="11">F32/F33</f>
        <v>1.272348362</v>
      </c>
      <c r="G34" s="52">
        <f t="shared" si="11"/>
        <v>0.9399907835</v>
      </c>
      <c r="H34" s="52">
        <f t="shared" si="11"/>
        <v>0.8246254874</v>
      </c>
      <c r="I34" s="52"/>
      <c r="J34" s="52"/>
      <c r="K34" s="52"/>
      <c r="L34" s="52"/>
      <c r="M34" s="52"/>
      <c r="N34" s="33"/>
    </row>
    <row r="36" ht="15.75" customHeight="1">
      <c r="A36" s="35" t="s">
        <v>68</v>
      </c>
      <c r="B36" s="50"/>
      <c r="C36" s="50"/>
      <c r="D36" s="50"/>
      <c r="E36" s="31">
        <f>'Final Result'!E22/(24*30.5)</f>
        <v>2.542814208</v>
      </c>
      <c r="F36" s="31">
        <f>'Final Result'!F22/(24*30.5)</f>
        <v>13.33807377</v>
      </c>
      <c r="G36" s="31">
        <f>'Final Result'!G22/(24*30.5)</f>
        <v>19.7348224</v>
      </c>
      <c r="H36" s="31">
        <f>'Final Result'!H22/(24*30.5)</f>
        <v>14.91377049</v>
      </c>
      <c r="I36" s="31">
        <f>'Final Result'!I22/(24*30.5)</f>
        <v>0</v>
      </c>
      <c r="J36" s="31">
        <f>'Final Result'!J22/(24*30.5)</f>
        <v>0</v>
      </c>
      <c r="K36" s="31">
        <f>'Final Result'!K22/(24*30.5)</f>
        <v>0</v>
      </c>
      <c r="L36" s="31">
        <f>'Final Result'!L22/(24*30.5)</f>
        <v>0</v>
      </c>
      <c r="M36" s="31">
        <f>'Final Result'!M22/(24*30.5)</f>
        <v>0</v>
      </c>
      <c r="N36" s="33"/>
    </row>
    <row r="37" ht="15.75" customHeight="1">
      <c r="A37" s="35" t="s">
        <v>65</v>
      </c>
      <c r="B37" s="50"/>
      <c r="C37" s="50"/>
      <c r="D37" s="50"/>
      <c r="E37" s="50">
        <v>8.011823770491803</v>
      </c>
      <c r="F37" s="31">
        <v>16.01079918032787</v>
      </c>
      <c r="G37" s="31">
        <v>21.786762295081964</v>
      </c>
      <c r="H37" s="31">
        <v>23.28289614754098</v>
      </c>
      <c r="I37" s="31">
        <v>23.226598360655743</v>
      </c>
      <c r="J37" s="31">
        <v>18.59113661202186</v>
      </c>
      <c r="K37" s="31">
        <v>17.620704644808743</v>
      </c>
      <c r="L37" s="31">
        <v>10.454494535519126</v>
      </c>
      <c r="M37" s="31">
        <v>9.632581967213115</v>
      </c>
      <c r="N37" s="33">
        <v>13.302400988160294</v>
      </c>
    </row>
    <row r="38" ht="15.75" customHeight="1">
      <c r="A38" s="39" t="s">
        <v>61</v>
      </c>
      <c r="B38" s="52"/>
      <c r="C38" s="52"/>
      <c r="D38" s="52"/>
      <c r="E38" s="52"/>
      <c r="F38" s="52">
        <f t="shared" ref="F38:H38" si="12">F36/F37</f>
        <v>0.8330673329</v>
      </c>
      <c r="G38" s="52">
        <f t="shared" si="12"/>
        <v>0.9058171259</v>
      </c>
      <c r="H38" s="52">
        <f t="shared" si="12"/>
        <v>0.6405461931</v>
      </c>
      <c r="I38" s="52"/>
      <c r="J38" s="52"/>
      <c r="K38" s="52"/>
      <c r="L38" s="52"/>
      <c r="M38" s="52"/>
      <c r="N38" s="33"/>
    </row>
    <row r="39" ht="15.75" customHeight="1">
      <c r="B39" s="59"/>
      <c r="C39" s="59"/>
      <c r="D39" s="59"/>
      <c r="E39" s="59"/>
      <c r="F39" s="59"/>
      <c r="G39" s="59"/>
      <c r="N39" s="60"/>
    </row>
    <row r="40" ht="15.75" customHeight="1">
      <c r="B40" s="59"/>
      <c r="C40" s="59"/>
      <c r="D40" s="59"/>
      <c r="E40" s="59"/>
      <c r="F40" s="59"/>
      <c r="G40" s="59"/>
      <c r="N40" s="60"/>
    </row>
    <row r="41" ht="15.75" customHeight="1">
      <c r="B41" s="59"/>
      <c r="C41" s="59"/>
      <c r="D41" s="59"/>
      <c r="E41" s="59"/>
      <c r="F41" s="59"/>
      <c r="G41" s="59"/>
      <c r="N41" s="60"/>
    </row>
    <row r="42" ht="15.75" customHeight="1">
      <c r="B42" s="59"/>
      <c r="C42" s="59"/>
      <c r="D42" s="59"/>
      <c r="E42" s="59"/>
      <c r="F42" s="59"/>
      <c r="G42" s="59"/>
      <c r="N42" s="60"/>
    </row>
    <row r="43" ht="15.75" customHeight="1">
      <c r="B43" s="59"/>
      <c r="C43" s="59"/>
      <c r="D43" s="59"/>
      <c r="E43" s="59"/>
      <c r="F43" s="59"/>
      <c r="G43" s="59"/>
      <c r="N43" s="60"/>
    </row>
    <row r="44" ht="15.75" customHeight="1">
      <c r="B44" s="59"/>
      <c r="C44" s="59"/>
      <c r="D44" s="59"/>
      <c r="E44" s="59"/>
      <c r="F44" s="59"/>
      <c r="G44" s="59"/>
      <c r="N44" s="60"/>
    </row>
    <row r="45" ht="15.75" customHeight="1">
      <c r="B45" s="59"/>
      <c r="C45" s="59"/>
      <c r="D45" s="59"/>
      <c r="E45" s="59"/>
      <c r="F45" s="59"/>
      <c r="G45" s="59"/>
      <c r="N45" s="60"/>
    </row>
    <row r="46" ht="15.75" customHeight="1">
      <c r="B46" s="59"/>
      <c r="C46" s="59"/>
      <c r="D46" s="59"/>
      <c r="E46" s="59"/>
      <c r="F46" s="59"/>
      <c r="G46" s="59"/>
      <c r="N46" s="60"/>
    </row>
    <row r="47" ht="15.75" customHeight="1">
      <c r="B47" s="59"/>
      <c r="C47" s="59"/>
      <c r="D47" s="59"/>
      <c r="E47" s="59"/>
      <c r="F47" s="59"/>
      <c r="G47" s="59"/>
      <c r="N47" s="60"/>
    </row>
    <row r="48" ht="15.75" customHeight="1">
      <c r="B48" s="59"/>
      <c r="C48" s="59"/>
      <c r="D48" s="59"/>
      <c r="E48" s="59"/>
      <c r="F48" s="59"/>
      <c r="G48" s="59"/>
      <c r="N48" s="60"/>
    </row>
    <row r="49" ht="15.75" customHeight="1">
      <c r="B49" s="59"/>
      <c r="C49" s="59"/>
      <c r="D49" s="59"/>
      <c r="E49" s="59"/>
      <c r="F49" s="59"/>
      <c r="G49" s="59"/>
      <c r="N49" s="60"/>
    </row>
    <row r="50" ht="15.75" customHeight="1">
      <c r="B50" s="59"/>
      <c r="C50" s="59"/>
      <c r="D50" s="59"/>
      <c r="E50" s="59"/>
      <c r="F50" s="59"/>
      <c r="G50" s="59"/>
      <c r="N50" s="60"/>
    </row>
    <row r="51" ht="15.75" customHeight="1">
      <c r="B51" s="59"/>
      <c r="C51" s="59"/>
      <c r="D51" s="59"/>
      <c r="E51" s="59"/>
      <c r="F51" s="59"/>
      <c r="G51" s="59"/>
      <c r="N51" s="60"/>
    </row>
    <row r="52" ht="15.75" customHeight="1">
      <c r="B52" s="59"/>
      <c r="C52" s="59"/>
      <c r="D52" s="59"/>
      <c r="E52" s="59"/>
      <c r="F52" s="59"/>
      <c r="G52" s="59"/>
      <c r="N52" s="60"/>
    </row>
    <row r="53" ht="15.75" customHeight="1">
      <c r="B53" s="59"/>
      <c r="C53" s="59"/>
      <c r="D53" s="59"/>
      <c r="E53" s="59"/>
      <c r="F53" s="59"/>
      <c r="G53" s="59"/>
      <c r="N53" s="60"/>
    </row>
    <row r="54" ht="15.75" customHeight="1">
      <c r="B54" s="59"/>
      <c r="C54" s="59"/>
      <c r="D54" s="59"/>
      <c r="E54" s="59"/>
      <c r="F54" s="59"/>
      <c r="G54" s="59"/>
      <c r="N54" s="60"/>
    </row>
    <row r="55" ht="15.75" customHeight="1">
      <c r="B55" s="59"/>
      <c r="C55" s="59"/>
      <c r="D55" s="59"/>
      <c r="E55" s="59"/>
      <c r="F55" s="59"/>
      <c r="G55" s="59"/>
      <c r="N55" s="60"/>
    </row>
    <row r="56" ht="15.75" customHeight="1">
      <c r="B56" s="59"/>
      <c r="C56" s="59"/>
      <c r="D56" s="59"/>
      <c r="E56" s="59"/>
      <c r="F56" s="59"/>
      <c r="G56" s="59"/>
      <c r="N56" s="60"/>
    </row>
    <row r="57" ht="15.75" customHeight="1">
      <c r="B57" s="59"/>
      <c r="C57" s="59"/>
      <c r="D57" s="59"/>
      <c r="E57" s="59"/>
      <c r="F57" s="59"/>
      <c r="G57" s="59"/>
      <c r="N57" s="60"/>
    </row>
    <row r="58" ht="15.75" customHeight="1">
      <c r="B58" s="59"/>
      <c r="C58" s="59"/>
      <c r="D58" s="59"/>
      <c r="E58" s="59"/>
      <c r="F58" s="59"/>
      <c r="G58" s="59"/>
      <c r="N58" s="60"/>
    </row>
    <row r="59" ht="15.75" customHeight="1">
      <c r="B59" s="59"/>
      <c r="C59" s="59"/>
      <c r="D59" s="59"/>
      <c r="E59" s="59"/>
      <c r="F59" s="59"/>
      <c r="G59" s="59"/>
      <c r="N59" s="60"/>
    </row>
    <row r="60" ht="15.75" customHeight="1">
      <c r="B60" s="59"/>
      <c r="C60" s="59"/>
      <c r="D60" s="59"/>
      <c r="E60" s="59"/>
      <c r="F60" s="59"/>
      <c r="G60" s="59"/>
      <c r="N60" s="60"/>
    </row>
    <row r="61" ht="15.75" customHeight="1">
      <c r="B61" s="59"/>
      <c r="C61" s="59"/>
      <c r="D61" s="59"/>
      <c r="E61" s="59"/>
      <c r="F61" s="59"/>
      <c r="G61" s="59"/>
      <c r="N61" s="60"/>
    </row>
    <row r="62" ht="15.75" customHeight="1">
      <c r="B62" s="59"/>
      <c r="C62" s="59"/>
      <c r="D62" s="59"/>
      <c r="E62" s="59"/>
      <c r="F62" s="59"/>
      <c r="G62" s="59"/>
      <c r="N62" s="60"/>
    </row>
    <row r="63" ht="15.75" customHeight="1">
      <c r="B63" s="59"/>
      <c r="C63" s="59"/>
      <c r="D63" s="59"/>
      <c r="E63" s="59"/>
      <c r="F63" s="59"/>
      <c r="G63" s="59"/>
      <c r="N63" s="60"/>
    </row>
    <row r="64" ht="15.75" customHeight="1">
      <c r="B64" s="59"/>
      <c r="C64" s="59"/>
      <c r="D64" s="59"/>
      <c r="E64" s="59"/>
      <c r="F64" s="59"/>
      <c r="G64" s="59"/>
      <c r="N64" s="60"/>
    </row>
    <row r="65" ht="15.75" customHeight="1">
      <c r="B65" s="59"/>
      <c r="C65" s="59"/>
      <c r="D65" s="59"/>
      <c r="E65" s="59"/>
      <c r="F65" s="59"/>
      <c r="G65" s="59"/>
      <c r="N65" s="60"/>
    </row>
    <row r="66" ht="15.75" customHeight="1">
      <c r="B66" s="59"/>
      <c r="C66" s="59"/>
      <c r="D66" s="59"/>
      <c r="E66" s="59"/>
      <c r="F66" s="59"/>
      <c r="G66" s="59"/>
      <c r="N66" s="60"/>
    </row>
    <row r="67" ht="15.75" customHeight="1">
      <c r="B67" s="59"/>
      <c r="C67" s="59"/>
      <c r="D67" s="59"/>
      <c r="E67" s="59"/>
      <c r="F67" s="59"/>
      <c r="G67" s="59"/>
      <c r="N67" s="60"/>
    </row>
    <row r="68" ht="15.75" customHeight="1">
      <c r="B68" s="59"/>
      <c r="C68" s="59"/>
      <c r="D68" s="59"/>
      <c r="E68" s="59"/>
      <c r="F68" s="59"/>
      <c r="G68" s="59"/>
      <c r="N68" s="60"/>
    </row>
    <row r="69" ht="15.75" customHeight="1">
      <c r="B69" s="59"/>
      <c r="C69" s="59"/>
      <c r="D69" s="59"/>
      <c r="E69" s="59"/>
      <c r="F69" s="59"/>
      <c r="G69" s="59"/>
      <c r="N69" s="60"/>
    </row>
    <row r="70" ht="15.75" customHeight="1">
      <c r="B70" s="59"/>
      <c r="C70" s="59"/>
      <c r="D70" s="59"/>
      <c r="E70" s="59"/>
      <c r="F70" s="59"/>
      <c r="G70" s="59"/>
      <c r="N70" s="60"/>
    </row>
    <row r="71" ht="15.75" customHeight="1">
      <c r="B71" s="59"/>
      <c r="C71" s="59"/>
      <c r="D71" s="59"/>
      <c r="E71" s="59"/>
      <c r="F71" s="59"/>
      <c r="G71" s="59"/>
      <c r="N71" s="60"/>
    </row>
    <row r="72" ht="15.75" customHeight="1">
      <c r="B72" s="59"/>
      <c r="C72" s="59"/>
      <c r="D72" s="59"/>
      <c r="E72" s="59"/>
      <c r="F72" s="59"/>
      <c r="G72" s="59"/>
      <c r="N72" s="60"/>
    </row>
    <row r="73" ht="15.75" customHeight="1">
      <c r="B73" s="59"/>
      <c r="C73" s="59"/>
      <c r="D73" s="59"/>
      <c r="E73" s="59"/>
      <c r="F73" s="59"/>
      <c r="G73" s="59"/>
      <c r="N73" s="60"/>
    </row>
    <row r="74" ht="15.75" customHeight="1">
      <c r="B74" s="59"/>
      <c r="C74" s="59"/>
      <c r="D74" s="59"/>
      <c r="E74" s="59"/>
      <c r="F74" s="59"/>
      <c r="G74" s="59"/>
      <c r="N74" s="60"/>
    </row>
    <row r="75" ht="15.75" customHeight="1">
      <c r="B75" s="59"/>
      <c r="C75" s="59"/>
      <c r="D75" s="59"/>
      <c r="E75" s="59"/>
      <c r="F75" s="59"/>
      <c r="G75" s="59"/>
      <c r="N75" s="60"/>
    </row>
    <row r="76" ht="15.75" customHeight="1">
      <c r="B76" s="59"/>
      <c r="C76" s="59"/>
      <c r="D76" s="59"/>
      <c r="E76" s="59"/>
      <c r="F76" s="59"/>
      <c r="G76" s="59"/>
      <c r="N76" s="60"/>
    </row>
    <row r="77" ht="15.75" customHeight="1">
      <c r="B77" s="59"/>
      <c r="C77" s="59"/>
      <c r="D77" s="59"/>
      <c r="E77" s="59"/>
      <c r="F77" s="59"/>
      <c r="G77" s="59"/>
      <c r="N77" s="60"/>
    </row>
    <row r="78" ht="15.75" customHeight="1">
      <c r="B78" s="59"/>
      <c r="C78" s="59"/>
      <c r="D78" s="59"/>
      <c r="E78" s="59"/>
      <c r="F78" s="59"/>
      <c r="G78" s="59"/>
      <c r="N78" s="60"/>
    </row>
    <row r="79" ht="15.75" customHeight="1">
      <c r="B79" s="59"/>
      <c r="C79" s="59"/>
      <c r="D79" s="59"/>
      <c r="E79" s="59"/>
      <c r="F79" s="59"/>
      <c r="G79" s="59"/>
      <c r="N79" s="60"/>
    </row>
    <row r="80" ht="15.75" customHeight="1">
      <c r="B80" s="59"/>
      <c r="C80" s="59"/>
      <c r="D80" s="59"/>
      <c r="E80" s="59"/>
      <c r="F80" s="59"/>
      <c r="G80" s="59"/>
      <c r="N80" s="60"/>
    </row>
    <row r="81" ht="15.75" customHeight="1">
      <c r="B81" s="59"/>
      <c r="C81" s="59"/>
      <c r="D81" s="59"/>
      <c r="E81" s="59"/>
      <c r="F81" s="59"/>
      <c r="G81" s="59"/>
      <c r="N81" s="60"/>
    </row>
    <row r="82" ht="15.75" customHeight="1">
      <c r="B82" s="59"/>
      <c r="C82" s="59"/>
      <c r="D82" s="59"/>
      <c r="E82" s="59"/>
      <c r="F82" s="59"/>
      <c r="G82" s="59"/>
      <c r="N82" s="60"/>
    </row>
    <row r="83" ht="15.75" customHeight="1">
      <c r="B83" s="59"/>
      <c r="C83" s="59"/>
      <c r="D83" s="59"/>
      <c r="E83" s="59"/>
      <c r="F83" s="59"/>
      <c r="G83" s="59"/>
      <c r="N83" s="60"/>
    </row>
    <row r="84" ht="15.75" customHeight="1">
      <c r="B84" s="59"/>
      <c r="C84" s="59"/>
      <c r="D84" s="59"/>
      <c r="E84" s="59"/>
      <c r="F84" s="59"/>
      <c r="G84" s="59"/>
      <c r="N84" s="60"/>
    </row>
    <row r="85" ht="15.75" customHeight="1">
      <c r="B85" s="59"/>
      <c r="C85" s="59"/>
      <c r="D85" s="59"/>
      <c r="E85" s="59"/>
      <c r="F85" s="59"/>
      <c r="G85" s="59"/>
      <c r="N85" s="60"/>
    </row>
    <row r="86" ht="15.75" customHeight="1">
      <c r="B86" s="59"/>
      <c r="C86" s="59"/>
      <c r="D86" s="59"/>
      <c r="E86" s="59"/>
      <c r="F86" s="59"/>
      <c r="G86" s="59"/>
      <c r="N86" s="60"/>
    </row>
    <row r="87" ht="15.75" customHeight="1">
      <c r="B87" s="59"/>
      <c r="C87" s="59"/>
      <c r="D87" s="59"/>
      <c r="E87" s="59"/>
      <c r="F87" s="59"/>
      <c r="G87" s="59"/>
      <c r="N87" s="60"/>
    </row>
    <row r="88" ht="15.75" customHeight="1">
      <c r="B88" s="59"/>
      <c r="C88" s="59"/>
      <c r="D88" s="59"/>
      <c r="E88" s="59"/>
      <c r="F88" s="59"/>
      <c r="G88" s="59"/>
      <c r="N88" s="60"/>
    </row>
    <row r="89" ht="15.75" customHeight="1">
      <c r="B89" s="59"/>
      <c r="C89" s="59"/>
      <c r="D89" s="59"/>
      <c r="E89" s="59"/>
      <c r="F89" s="59"/>
      <c r="G89" s="59"/>
      <c r="N89" s="60"/>
    </row>
    <row r="90" ht="15.75" customHeight="1">
      <c r="B90" s="59"/>
      <c r="C90" s="59"/>
      <c r="D90" s="59"/>
      <c r="E90" s="59"/>
      <c r="F90" s="59"/>
      <c r="G90" s="59"/>
      <c r="N90" s="60"/>
    </row>
    <row r="91" ht="15.75" customHeight="1">
      <c r="B91" s="59"/>
      <c r="C91" s="59"/>
      <c r="D91" s="59"/>
      <c r="E91" s="59"/>
      <c r="F91" s="59"/>
      <c r="G91" s="59"/>
      <c r="N91" s="60"/>
    </row>
    <row r="92" ht="15.75" customHeight="1">
      <c r="B92" s="59"/>
      <c r="C92" s="59"/>
      <c r="D92" s="59"/>
      <c r="E92" s="59"/>
      <c r="F92" s="59"/>
      <c r="G92" s="59"/>
      <c r="N92" s="60"/>
    </row>
    <row r="93" ht="15.75" customHeight="1">
      <c r="B93" s="59"/>
      <c r="C93" s="59"/>
      <c r="D93" s="59"/>
      <c r="E93" s="59"/>
      <c r="F93" s="59"/>
      <c r="G93" s="59"/>
      <c r="N93" s="60"/>
    </row>
    <row r="94" ht="15.75" customHeight="1">
      <c r="B94" s="59"/>
      <c r="C94" s="59"/>
      <c r="D94" s="59"/>
      <c r="E94" s="59"/>
      <c r="F94" s="59"/>
      <c r="G94" s="59"/>
      <c r="N94" s="60"/>
    </row>
    <row r="95" ht="15.75" customHeight="1">
      <c r="B95" s="59"/>
      <c r="C95" s="59"/>
      <c r="D95" s="59"/>
      <c r="E95" s="59"/>
      <c r="F95" s="59"/>
      <c r="G95" s="59"/>
      <c r="N95" s="60"/>
    </row>
    <row r="96" ht="15.75" customHeight="1">
      <c r="B96" s="59"/>
      <c r="C96" s="59"/>
      <c r="D96" s="59"/>
      <c r="E96" s="59"/>
      <c r="F96" s="59"/>
      <c r="G96" s="59"/>
      <c r="N96" s="60"/>
    </row>
    <row r="97" ht="15.75" customHeight="1">
      <c r="B97" s="59"/>
      <c r="C97" s="59"/>
      <c r="D97" s="59"/>
      <c r="E97" s="59"/>
      <c r="F97" s="59"/>
      <c r="G97" s="59"/>
      <c r="N97" s="60"/>
    </row>
    <row r="98" ht="15.75" customHeight="1">
      <c r="B98" s="59"/>
      <c r="C98" s="59"/>
      <c r="D98" s="59"/>
      <c r="E98" s="59"/>
      <c r="F98" s="59"/>
      <c r="G98" s="59"/>
      <c r="N98" s="60"/>
    </row>
    <row r="99" ht="15.75" customHeight="1">
      <c r="B99" s="59"/>
      <c r="C99" s="59"/>
      <c r="D99" s="59"/>
      <c r="E99" s="59"/>
      <c r="F99" s="59"/>
      <c r="G99" s="59"/>
      <c r="N99" s="60"/>
    </row>
    <row r="100" ht="15.75" customHeight="1">
      <c r="B100" s="59"/>
      <c r="C100" s="59"/>
      <c r="D100" s="59"/>
      <c r="E100" s="59"/>
      <c r="F100" s="59"/>
      <c r="G100" s="59"/>
      <c r="N100" s="60"/>
    </row>
    <row r="101" ht="15.75" customHeight="1">
      <c r="B101" s="59"/>
      <c r="C101" s="59"/>
      <c r="D101" s="59"/>
      <c r="E101" s="59"/>
      <c r="F101" s="59"/>
      <c r="G101" s="59"/>
      <c r="N101" s="60"/>
    </row>
    <row r="102" ht="15.75" customHeight="1">
      <c r="B102" s="59"/>
      <c r="C102" s="59"/>
      <c r="D102" s="59"/>
      <c r="E102" s="59"/>
      <c r="F102" s="59"/>
      <c r="G102" s="59"/>
      <c r="N102" s="60"/>
    </row>
    <row r="103" ht="15.75" customHeight="1">
      <c r="B103" s="59"/>
      <c r="C103" s="59"/>
      <c r="D103" s="59"/>
      <c r="E103" s="59"/>
      <c r="F103" s="59"/>
      <c r="G103" s="59"/>
      <c r="N103" s="60"/>
    </row>
    <row r="104" ht="15.75" customHeight="1">
      <c r="B104" s="59"/>
      <c r="C104" s="59"/>
      <c r="D104" s="59"/>
      <c r="E104" s="59"/>
      <c r="F104" s="59"/>
      <c r="G104" s="59"/>
      <c r="N104" s="60"/>
    </row>
    <row r="105" ht="15.75" customHeight="1">
      <c r="B105" s="59"/>
      <c r="C105" s="59"/>
      <c r="D105" s="59"/>
      <c r="E105" s="59"/>
      <c r="F105" s="59"/>
      <c r="G105" s="59"/>
      <c r="N105" s="60"/>
    </row>
    <row r="106" ht="15.75" customHeight="1">
      <c r="B106" s="59"/>
      <c r="C106" s="59"/>
      <c r="D106" s="59"/>
      <c r="E106" s="59"/>
      <c r="F106" s="59"/>
      <c r="G106" s="59"/>
      <c r="N106" s="60"/>
    </row>
    <row r="107" ht="15.75" customHeight="1">
      <c r="B107" s="59"/>
      <c r="C107" s="59"/>
      <c r="D107" s="59"/>
      <c r="E107" s="59"/>
      <c r="F107" s="59"/>
      <c r="G107" s="59"/>
      <c r="N107" s="60"/>
    </row>
    <row r="108" ht="15.75" customHeight="1">
      <c r="B108" s="59"/>
      <c r="C108" s="59"/>
      <c r="D108" s="59"/>
      <c r="E108" s="59"/>
      <c r="F108" s="59"/>
      <c r="G108" s="59"/>
      <c r="N108" s="60"/>
    </row>
    <row r="109" ht="15.75" customHeight="1">
      <c r="B109" s="59"/>
      <c r="C109" s="59"/>
      <c r="D109" s="59"/>
      <c r="E109" s="59"/>
      <c r="F109" s="59"/>
      <c r="G109" s="59"/>
      <c r="N109" s="60"/>
    </row>
    <row r="110" ht="15.75" customHeight="1">
      <c r="B110" s="59"/>
      <c r="C110" s="59"/>
      <c r="D110" s="59"/>
      <c r="E110" s="59"/>
      <c r="F110" s="59"/>
      <c r="G110" s="59"/>
      <c r="N110" s="60"/>
    </row>
    <row r="111" ht="15.75" customHeight="1">
      <c r="B111" s="59"/>
      <c r="C111" s="59"/>
      <c r="D111" s="59"/>
      <c r="E111" s="59"/>
      <c r="F111" s="59"/>
      <c r="G111" s="59"/>
      <c r="N111" s="60"/>
    </row>
    <row r="112" ht="15.75" customHeight="1">
      <c r="B112" s="59"/>
      <c r="C112" s="59"/>
      <c r="D112" s="59"/>
      <c r="E112" s="59"/>
      <c r="F112" s="59"/>
      <c r="G112" s="59"/>
      <c r="N112" s="60"/>
    </row>
    <row r="113" ht="15.75" customHeight="1">
      <c r="B113" s="59"/>
      <c r="C113" s="59"/>
      <c r="D113" s="59"/>
      <c r="E113" s="59"/>
      <c r="F113" s="59"/>
      <c r="G113" s="59"/>
      <c r="N113" s="60"/>
    </row>
    <row r="114" ht="15.75" customHeight="1">
      <c r="B114" s="59"/>
      <c r="C114" s="59"/>
      <c r="D114" s="59"/>
      <c r="E114" s="59"/>
      <c r="F114" s="59"/>
      <c r="G114" s="59"/>
      <c r="N114" s="60"/>
    </row>
    <row r="115" ht="15.75" customHeight="1">
      <c r="B115" s="59"/>
      <c r="C115" s="59"/>
      <c r="D115" s="59"/>
      <c r="E115" s="59"/>
      <c r="F115" s="59"/>
      <c r="G115" s="59"/>
      <c r="N115" s="60"/>
    </row>
    <row r="116" ht="15.75" customHeight="1">
      <c r="B116" s="59"/>
      <c r="C116" s="59"/>
      <c r="D116" s="59"/>
      <c r="E116" s="59"/>
      <c r="F116" s="59"/>
      <c r="G116" s="59"/>
      <c r="N116" s="60"/>
    </row>
    <row r="117" ht="15.75" customHeight="1">
      <c r="B117" s="59"/>
      <c r="C117" s="59"/>
      <c r="D117" s="59"/>
      <c r="E117" s="59"/>
      <c r="F117" s="59"/>
      <c r="G117" s="59"/>
      <c r="N117" s="60"/>
    </row>
    <row r="118" ht="15.75" customHeight="1">
      <c r="B118" s="59"/>
      <c r="C118" s="59"/>
      <c r="D118" s="59"/>
      <c r="E118" s="59"/>
      <c r="F118" s="59"/>
      <c r="G118" s="59"/>
      <c r="N118" s="60"/>
    </row>
    <row r="119" ht="15.75" customHeight="1">
      <c r="B119" s="59"/>
      <c r="C119" s="59"/>
      <c r="D119" s="59"/>
      <c r="E119" s="59"/>
      <c r="F119" s="59"/>
      <c r="G119" s="59"/>
      <c r="N119" s="60"/>
    </row>
    <row r="120" ht="15.75" customHeight="1">
      <c r="B120" s="59"/>
      <c r="C120" s="59"/>
      <c r="D120" s="59"/>
      <c r="E120" s="59"/>
      <c r="F120" s="59"/>
      <c r="G120" s="59"/>
      <c r="N120" s="60"/>
    </row>
    <row r="121" ht="15.75" customHeight="1">
      <c r="B121" s="59"/>
      <c r="C121" s="59"/>
      <c r="D121" s="59"/>
      <c r="E121" s="59"/>
      <c r="F121" s="59"/>
      <c r="G121" s="59"/>
      <c r="N121" s="60"/>
    </row>
    <row r="122" ht="15.75" customHeight="1">
      <c r="B122" s="59"/>
      <c r="C122" s="59"/>
      <c r="D122" s="59"/>
      <c r="E122" s="59"/>
      <c r="F122" s="59"/>
      <c r="G122" s="59"/>
      <c r="N122" s="60"/>
    </row>
    <row r="123" ht="15.75" customHeight="1">
      <c r="B123" s="59"/>
      <c r="C123" s="59"/>
      <c r="D123" s="59"/>
      <c r="E123" s="59"/>
      <c r="F123" s="59"/>
      <c r="G123" s="59"/>
      <c r="N123" s="60"/>
    </row>
    <row r="124" ht="15.75" customHeight="1">
      <c r="B124" s="59"/>
      <c r="C124" s="59"/>
      <c r="D124" s="59"/>
      <c r="E124" s="59"/>
      <c r="F124" s="59"/>
      <c r="G124" s="59"/>
      <c r="N124" s="60"/>
    </row>
    <row r="125" ht="15.75" customHeight="1">
      <c r="B125" s="59"/>
      <c r="C125" s="59"/>
      <c r="D125" s="59"/>
      <c r="E125" s="59"/>
      <c r="F125" s="59"/>
      <c r="G125" s="59"/>
      <c r="N125" s="60"/>
    </row>
    <row r="126" ht="15.75" customHeight="1">
      <c r="B126" s="59"/>
      <c r="C126" s="59"/>
      <c r="D126" s="59"/>
      <c r="E126" s="59"/>
      <c r="F126" s="59"/>
      <c r="G126" s="59"/>
      <c r="N126" s="60"/>
    </row>
    <row r="127" ht="15.75" customHeight="1">
      <c r="B127" s="59"/>
      <c r="C127" s="59"/>
      <c r="D127" s="59"/>
      <c r="E127" s="59"/>
      <c r="F127" s="59"/>
      <c r="G127" s="59"/>
      <c r="N127" s="60"/>
    </row>
    <row r="128" ht="15.75" customHeight="1">
      <c r="B128" s="59"/>
      <c r="C128" s="59"/>
      <c r="D128" s="59"/>
      <c r="E128" s="59"/>
      <c r="F128" s="59"/>
      <c r="G128" s="59"/>
      <c r="N128" s="60"/>
    </row>
    <row r="129" ht="15.75" customHeight="1">
      <c r="B129" s="59"/>
      <c r="C129" s="59"/>
      <c r="D129" s="59"/>
      <c r="E129" s="59"/>
      <c r="F129" s="59"/>
      <c r="G129" s="59"/>
      <c r="N129" s="60"/>
    </row>
    <row r="130" ht="15.75" customHeight="1">
      <c r="B130" s="59"/>
      <c r="C130" s="59"/>
      <c r="D130" s="59"/>
      <c r="E130" s="59"/>
      <c r="F130" s="59"/>
      <c r="G130" s="59"/>
      <c r="N130" s="60"/>
    </row>
    <row r="131" ht="15.75" customHeight="1">
      <c r="B131" s="59"/>
      <c r="C131" s="59"/>
      <c r="D131" s="59"/>
      <c r="E131" s="59"/>
      <c r="F131" s="59"/>
      <c r="G131" s="59"/>
      <c r="N131" s="60"/>
    </row>
    <row r="132" ht="15.75" customHeight="1">
      <c r="B132" s="59"/>
      <c r="C132" s="59"/>
      <c r="D132" s="59"/>
      <c r="E132" s="59"/>
      <c r="F132" s="59"/>
      <c r="G132" s="59"/>
      <c r="N132" s="60"/>
    </row>
    <row r="133" ht="15.75" customHeight="1">
      <c r="B133" s="59"/>
      <c r="C133" s="59"/>
      <c r="D133" s="59"/>
      <c r="E133" s="59"/>
      <c r="F133" s="59"/>
      <c r="G133" s="59"/>
      <c r="N133" s="60"/>
    </row>
    <row r="134" ht="15.75" customHeight="1">
      <c r="B134" s="59"/>
      <c r="C134" s="59"/>
      <c r="D134" s="59"/>
      <c r="E134" s="59"/>
      <c r="F134" s="59"/>
      <c r="G134" s="59"/>
      <c r="N134" s="60"/>
    </row>
    <row r="135" ht="15.75" customHeight="1">
      <c r="B135" s="59"/>
      <c r="C135" s="59"/>
      <c r="D135" s="59"/>
      <c r="E135" s="59"/>
      <c r="F135" s="59"/>
      <c r="G135" s="59"/>
      <c r="N135" s="60"/>
    </row>
    <row r="136" ht="15.75" customHeight="1">
      <c r="B136" s="59"/>
      <c r="C136" s="59"/>
      <c r="D136" s="59"/>
      <c r="E136" s="59"/>
      <c r="F136" s="59"/>
      <c r="G136" s="59"/>
      <c r="N136" s="60"/>
    </row>
    <row r="137" ht="15.75" customHeight="1">
      <c r="B137" s="59"/>
      <c r="C137" s="59"/>
      <c r="D137" s="59"/>
      <c r="E137" s="59"/>
      <c r="F137" s="59"/>
      <c r="G137" s="59"/>
      <c r="N137" s="60"/>
    </row>
    <row r="138" ht="15.75" customHeight="1">
      <c r="B138" s="59"/>
      <c r="C138" s="59"/>
      <c r="D138" s="59"/>
      <c r="E138" s="59"/>
      <c r="F138" s="59"/>
      <c r="G138" s="59"/>
      <c r="N138" s="60"/>
    </row>
    <row r="139" ht="15.75" customHeight="1">
      <c r="B139" s="59"/>
      <c r="C139" s="59"/>
      <c r="D139" s="59"/>
      <c r="E139" s="59"/>
      <c r="F139" s="59"/>
      <c r="G139" s="59"/>
      <c r="N139" s="60"/>
    </row>
    <row r="140" ht="15.75" customHeight="1">
      <c r="B140" s="59"/>
      <c r="C140" s="59"/>
      <c r="D140" s="59"/>
      <c r="E140" s="59"/>
      <c r="F140" s="59"/>
      <c r="G140" s="59"/>
      <c r="N140" s="60"/>
    </row>
    <row r="141" ht="15.75" customHeight="1">
      <c r="B141" s="59"/>
      <c r="C141" s="59"/>
      <c r="D141" s="59"/>
      <c r="E141" s="59"/>
      <c r="F141" s="59"/>
      <c r="G141" s="59"/>
      <c r="N141" s="60"/>
    </row>
    <row r="142" ht="15.75" customHeight="1">
      <c r="B142" s="59"/>
      <c r="C142" s="59"/>
      <c r="D142" s="59"/>
      <c r="E142" s="59"/>
      <c r="F142" s="59"/>
      <c r="G142" s="59"/>
      <c r="N142" s="60"/>
    </row>
    <row r="143" ht="15.75" customHeight="1">
      <c r="B143" s="59"/>
      <c r="C143" s="59"/>
      <c r="D143" s="59"/>
      <c r="E143" s="59"/>
      <c r="F143" s="59"/>
      <c r="G143" s="59"/>
      <c r="N143" s="60"/>
    </row>
    <row r="144" ht="15.75" customHeight="1">
      <c r="B144" s="59"/>
      <c r="C144" s="59"/>
      <c r="D144" s="59"/>
      <c r="E144" s="59"/>
      <c r="F144" s="59"/>
      <c r="G144" s="59"/>
      <c r="N144" s="60"/>
    </row>
    <row r="145" ht="15.75" customHeight="1">
      <c r="B145" s="59"/>
      <c r="C145" s="59"/>
      <c r="D145" s="59"/>
      <c r="E145" s="59"/>
      <c r="F145" s="59"/>
      <c r="G145" s="59"/>
      <c r="N145" s="60"/>
    </row>
    <row r="146" ht="15.75" customHeight="1">
      <c r="B146" s="59"/>
      <c r="C146" s="59"/>
      <c r="D146" s="59"/>
      <c r="E146" s="59"/>
      <c r="F146" s="59"/>
      <c r="G146" s="59"/>
      <c r="N146" s="60"/>
    </row>
    <row r="147" ht="15.75" customHeight="1">
      <c r="B147" s="59"/>
      <c r="C147" s="59"/>
      <c r="D147" s="59"/>
      <c r="E147" s="59"/>
      <c r="F147" s="59"/>
      <c r="G147" s="59"/>
      <c r="N147" s="60"/>
    </row>
    <row r="148" ht="15.75" customHeight="1">
      <c r="B148" s="59"/>
      <c r="C148" s="59"/>
      <c r="D148" s="59"/>
      <c r="E148" s="59"/>
      <c r="F148" s="59"/>
      <c r="G148" s="59"/>
      <c r="N148" s="60"/>
    </row>
    <row r="149" ht="15.75" customHeight="1">
      <c r="B149" s="59"/>
      <c r="C149" s="59"/>
      <c r="D149" s="59"/>
      <c r="E149" s="59"/>
      <c r="F149" s="59"/>
      <c r="G149" s="59"/>
      <c r="N149" s="60"/>
    </row>
    <row r="150" ht="15.75" customHeight="1">
      <c r="B150" s="59"/>
      <c r="C150" s="59"/>
      <c r="D150" s="59"/>
      <c r="E150" s="59"/>
      <c r="F150" s="59"/>
      <c r="G150" s="59"/>
      <c r="N150" s="60"/>
    </row>
    <row r="151" ht="15.75" customHeight="1">
      <c r="B151" s="59"/>
      <c r="C151" s="59"/>
      <c r="D151" s="59"/>
      <c r="E151" s="59"/>
      <c r="F151" s="59"/>
      <c r="G151" s="59"/>
      <c r="N151" s="60"/>
    </row>
    <row r="152" ht="15.75" customHeight="1">
      <c r="B152" s="59"/>
      <c r="C152" s="59"/>
      <c r="D152" s="59"/>
      <c r="E152" s="59"/>
      <c r="F152" s="59"/>
      <c r="G152" s="59"/>
      <c r="N152" s="60"/>
    </row>
    <row r="153" ht="15.75" customHeight="1">
      <c r="B153" s="59"/>
      <c r="C153" s="59"/>
      <c r="D153" s="59"/>
      <c r="E153" s="59"/>
      <c r="F153" s="59"/>
      <c r="G153" s="59"/>
      <c r="N153" s="60"/>
    </row>
    <row r="154" ht="15.75" customHeight="1">
      <c r="B154" s="59"/>
      <c r="C154" s="59"/>
      <c r="D154" s="59"/>
      <c r="E154" s="59"/>
      <c r="F154" s="59"/>
      <c r="G154" s="59"/>
      <c r="N154" s="60"/>
    </row>
    <row r="155" ht="15.75" customHeight="1">
      <c r="B155" s="59"/>
      <c r="C155" s="59"/>
      <c r="D155" s="59"/>
      <c r="E155" s="59"/>
      <c r="F155" s="59"/>
      <c r="G155" s="59"/>
      <c r="N155" s="60"/>
    </row>
    <row r="156" ht="15.75" customHeight="1">
      <c r="B156" s="59"/>
      <c r="C156" s="59"/>
      <c r="D156" s="59"/>
      <c r="E156" s="59"/>
      <c r="F156" s="59"/>
      <c r="G156" s="59"/>
      <c r="N156" s="60"/>
    </row>
    <row r="157" ht="15.75" customHeight="1">
      <c r="B157" s="59"/>
      <c r="C157" s="59"/>
      <c r="D157" s="59"/>
      <c r="E157" s="59"/>
      <c r="F157" s="59"/>
      <c r="G157" s="59"/>
      <c r="N157" s="60"/>
    </row>
    <row r="158" ht="15.75" customHeight="1">
      <c r="B158" s="59"/>
      <c r="C158" s="59"/>
      <c r="D158" s="59"/>
      <c r="E158" s="59"/>
      <c r="F158" s="59"/>
      <c r="G158" s="59"/>
      <c r="N158" s="60"/>
    </row>
    <row r="159" ht="15.75" customHeight="1">
      <c r="B159" s="59"/>
      <c r="C159" s="59"/>
      <c r="D159" s="59"/>
      <c r="E159" s="59"/>
      <c r="F159" s="59"/>
      <c r="G159" s="59"/>
      <c r="N159" s="60"/>
    </row>
    <row r="160" ht="15.75" customHeight="1">
      <c r="B160" s="59"/>
      <c r="C160" s="59"/>
      <c r="D160" s="59"/>
      <c r="E160" s="59"/>
      <c r="F160" s="59"/>
      <c r="G160" s="59"/>
      <c r="N160" s="60"/>
    </row>
    <row r="161" ht="15.75" customHeight="1">
      <c r="B161" s="59"/>
      <c r="C161" s="59"/>
      <c r="D161" s="59"/>
      <c r="E161" s="59"/>
      <c r="F161" s="59"/>
      <c r="G161" s="59"/>
      <c r="N161" s="60"/>
    </row>
    <row r="162" ht="15.75" customHeight="1">
      <c r="B162" s="59"/>
      <c r="C162" s="59"/>
      <c r="D162" s="59"/>
      <c r="E162" s="59"/>
      <c r="F162" s="59"/>
      <c r="G162" s="59"/>
      <c r="N162" s="60"/>
    </row>
    <row r="163" ht="15.75" customHeight="1">
      <c r="B163" s="59"/>
      <c r="C163" s="59"/>
      <c r="D163" s="59"/>
      <c r="E163" s="59"/>
      <c r="F163" s="59"/>
      <c r="G163" s="59"/>
      <c r="N163" s="60"/>
    </row>
    <row r="164" ht="15.75" customHeight="1">
      <c r="B164" s="59"/>
      <c r="C164" s="59"/>
      <c r="D164" s="59"/>
      <c r="E164" s="59"/>
      <c r="F164" s="59"/>
      <c r="G164" s="59"/>
      <c r="N164" s="60"/>
    </row>
    <row r="165" ht="15.75" customHeight="1">
      <c r="B165" s="59"/>
      <c r="C165" s="59"/>
      <c r="D165" s="59"/>
      <c r="E165" s="59"/>
      <c r="F165" s="59"/>
      <c r="G165" s="59"/>
      <c r="N165" s="60"/>
    </row>
    <row r="166" ht="15.75" customHeight="1">
      <c r="B166" s="59"/>
      <c r="C166" s="59"/>
      <c r="D166" s="59"/>
      <c r="E166" s="59"/>
      <c r="F166" s="59"/>
      <c r="G166" s="59"/>
      <c r="N166" s="60"/>
    </row>
    <row r="167" ht="15.75" customHeight="1">
      <c r="B167" s="59"/>
      <c r="C167" s="59"/>
      <c r="D167" s="59"/>
      <c r="E167" s="59"/>
      <c r="F167" s="59"/>
      <c r="G167" s="59"/>
      <c r="N167" s="60"/>
    </row>
    <row r="168" ht="15.75" customHeight="1">
      <c r="B168" s="59"/>
      <c r="C168" s="59"/>
      <c r="D168" s="59"/>
      <c r="E168" s="59"/>
      <c r="F168" s="59"/>
      <c r="G168" s="59"/>
      <c r="N168" s="60"/>
    </row>
    <row r="169" ht="15.75" customHeight="1">
      <c r="B169" s="59"/>
      <c r="C169" s="59"/>
      <c r="D169" s="59"/>
      <c r="E169" s="59"/>
      <c r="F169" s="59"/>
      <c r="G169" s="59"/>
      <c r="N169" s="60"/>
    </row>
    <row r="170" ht="15.75" customHeight="1">
      <c r="B170" s="59"/>
      <c r="C170" s="59"/>
      <c r="D170" s="59"/>
      <c r="E170" s="59"/>
      <c r="F170" s="59"/>
      <c r="G170" s="59"/>
      <c r="N170" s="60"/>
    </row>
    <row r="171" ht="15.75" customHeight="1">
      <c r="B171" s="59"/>
      <c r="C171" s="59"/>
      <c r="D171" s="59"/>
      <c r="E171" s="59"/>
      <c r="F171" s="59"/>
      <c r="G171" s="59"/>
      <c r="N171" s="60"/>
    </row>
    <row r="172" ht="15.75" customHeight="1">
      <c r="B172" s="59"/>
      <c r="C172" s="59"/>
      <c r="D172" s="59"/>
      <c r="E172" s="59"/>
      <c r="F172" s="59"/>
      <c r="G172" s="59"/>
      <c r="N172" s="60"/>
    </row>
    <row r="173" ht="15.75" customHeight="1">
      <c r="B173" s="59"/>
      <c r="C173" s="59"/>
      <c r="D173" s="59"/>
      <c r="E173" s="59"/>
      <c r="F173" s="59"/>
      <c r="G173" s="59"/>
      <c r="N173" s="60"/>
    </row>
    <row r="174" ht="15.75" customHeight="1">
      <c r="B174" s="59"/>
      <c r="C174" s="59"/>
      <c r="D174" s="59"/>
      <c r="E174" s="59"/>
      <c r="F174" s="59"/>
      <c r="G174" s="59"/>
      <c r="N174" s="60"/>
    </row>
    <row r="175" ht="15.75" customHeight="1">
      <c r="B175" s="59"/>
      <c r="C175" s="59"/>
      <c r="D175" s="59"/>
      <c r="E175" s="59"/>
      <c r="F175" s="59"/>
      <c r="G175" s="59"/>
      <c r="N175" s="60"/>
    </row>
    <row r="176" ht="15.75" customHeight="1">
      <c r="B176" s="59"/>
      <c r="C176" s="59"/>
      <c r="D176" s="59"/>
      <c r="E176" s="59"/>
      <c r="F176" s="59"/>
      <c r="G176" s="59"/>
      <c r="N176" s="60"/>
    </row>
    <row r="177" ht="15.75" customHeight="1">
      <c r="B177" s="59"/>
      <c r="C177" s="59"/>
      <c r="D177" s="59"/>
      <c r="E177" s="59"/>
      <c r="F177" s="59"/>
      <c r="G177" s="59"/>
      <c r="N177" s="60"/>
    </row>
    <row r="178" ht="15.75" customHeight="1">
      <c r="B178" s="59"/>
      <c r="C178" s="59"/>
      <c r="D178" s="59"/>
      <c r="E178" s="59"/>
      <c r="F178" s="59"/>
      <c r="G178" s="59"/>
      <c r="N178" s="60"/>
    </row>
    <row r="179" ht="15.75" customHeight="1">
      <c r="B179" s="59"/>
      <c r="C179" s="59"/>
      <c r="D179" s="59"/>
      <c r="E179" s="59"/>
      <c r="F179" s="59"/>
      <c r="G179" s="59"/>
      <c r="N179" s="60"/>
    </row>
    <row r="180" ht="15.75" customHeight="1">
      <c r="B180" s="59"/>
      <c r="C180" s="59"/>
      <c r="D180" s="59"/>
      <c r="E180" s="59"/>
      <c r="F180" s="59"/>
      <c r="G180" s="59"/>
      <c r="N180" s="60"/>
    </row>
    <row r="181" ht="15.75" customHeight="1">
      <c r="B181" s="59"/>
      <c r="C181" s="59"/>
      <c r="D181" s="59"/>
      <c r="E181" s="59"/>
      <c r="F181" s="59"/>
      <c r="G181" s="59"/>
      <c r="N181" s="60"/>
    </row>
    <row r="182" ht="15.75" customHeight="1">
      <c r="B182" s="59"/>
      <c r="C182" s="59"/>
      <c r="D182" s="59"/>
      <c r="E182" s="59"/>
      <c r="F182" s="59"/>
      <c r="G182" s="59"/>
      <c r="N182" s="60"/>
    </row>
    <row r="183" ht="15.75" customHeight="1">
      <c r="B183" s="59"/>
      <c r="C183" s="59"/>
      <c r="D183" s="59"/>
      <c r="E183" s="59"/>
      <c r="F183" s="59"/>
      <c r="G183" s="59"/>
      <c r="N183" s="60"/>
    </row>
    <row r="184" ht="15.75" customHeight="1">
      <c r="B184" s="59"/>
      <c r="C184" s="59"/>
      <c r="D184" s="59"/>
      <c r="E184" s="59"/>
      <c r="F184" s="59"/>
      <c r="G184" s="59"/>
      <c r="N184" s="60"/>
    </row>
    <row r="185" ht="15.75" customHeight="1">
      <c r="B185" s="59"/>
      <c r="C185" s="59"/>
      <c r="D185" s="59"/>
      <c r="E185" s="59"/>
      <c r="F185" s="59"/>
      <c r="G185" s="59"/>
      <c r="N185" s="60"/>
    </row>
    <row r="186" ht="15.75" customHeight="1">
      <c r="B186" s="59"/>
      <c r="C186" s="59"/>
      <c r="D186" s="59"/>
      <c r="E186" s="59"/>
      <c r="F186" s="59"/>
      <c r="G186" s="59"/>
      <c r="N186" s="60"/>
    </row>
    <row r="187" ht="15.75" customHeight="1">
      <c r="B187" s="59"/>
      <c r="C187" s="59"/>
      <c r="D187" s="59"/>
      <c r="E187" s="59"/>
      <c r="F187" s="59"/>
      <c r="G187" s="59"/>
      <c r="N187" s="60"/>
    </row>
    <row r="188" ht="15.75" customHeight="1">
      <c r="B188" s="59"/>
      <c r="C188" s="59"/>
      <c r="D188" s="59"/>
      <c r="E188" s="59"/>
      <c r="F188" s="59"/>
      <c r="G188" s="59"/>
      <c r="N188" s="60"/>
    </row>
    <row r="189" ht="15.75" customHeight="1">
      <c r="B189" s="59"/>
      <c r="C189" s="59"/>
      <c r="D189" s="59"/>
      <c r="E189" s="59"/>
      <c r="F189" s="59"/>
      <c r="G189" s="59"/>
      <c r="N189" s="60"/>
    </row>
    <row r="190" ht="15.75" customHeight="1">
      <c r="B190" s="59"/>
      <c r="C190" s="59"/>
      <c r="D190" s="59"/>
      <c r="E190" s="59"/>
      <c r="F190" s="59"/>
      <c r="G190" s="59"/>
      <c r="N190" s="60"/>
    </row>
    <row r="191" ht="15.75" customHeight="1">
      <c r="B191" s="59"/>
      <c r="C191" s="59"/>
      <c r="D191" s="59"/>
      <c r="E191" s="59"/>
      <c r="F191" s="59"/>
      <c r="G191" s="59"/>
      <c r="N191" s="60"/>
    </row>
    <row r="192" ht="15.75" customHeight="1">
      <c r="B192" s="59"/>
      <c r="C192" s="59"/>
      <c r="D192" s="59"/>
      <c r="E192" s="59"/>
      <c r="F192" s="59"/>
      <c r="G192" s="59"/>
      <c r="N192" s="60"/>
    </row>
    <row r="193" ht="15.75" customHeight="1">
      <c r="B193" s="59"/>
      <c r="C193" s="59"/>
      <c r="D193" s="59"/>
      <c r="E193" s="59"/>
      <c r="F193" s="59"/>
      <c r="G193" s="59"/>
      <c r="N193" s="60"/>
    </row>
    <row r="194" ht="15.75" customHeight="1">
      <c r="B194" s="59"/>
      <c r="C194" s="59"/>
      <c r="D194" s="59"/>
      <c r="E194" s="59"/>
      <c r="F194" s="59"/>
      <c r="G194" s="59"/>
      <c r="N194" s="60"/>
    </row>
    <row r="195" ht="15.75" customHeight="1">
      <c r="B195" s="59"/>
      <c r="C195" s="59"/>
      <c r="D195" s="59"/>
      <c r="E195" s="59"/>
      <c r="F195" s="59"/>
      <c r="G195" s="59"/>
      <c r="N195" s="60"/>
    </row>
    <row r="196" ht="15.75" customHeight="1">
      <c r="B196" s="59"/>
      <c r="C196" s="59"/>
      <c r="D196" s="59"/>
      <c r="E196" s="59"/>
      <c r="F196" s="59"/>
      <c r="G196" s="59"/>
      <c r="N196" s="60"/>
    </row>
    <row r="197" ht="15.75" customHeight="1">
      <c r="B197" s="59"/>
      <c r="C197" s="59"/>
      <c r="D197" s="59"/>
      <c r="E197" s="59"/>
      <c r="F197" s="59"/>
      <c r="G197" s="59"/>
      <c r="N197" s="60"/>
    </row>
    <row r="198" ht="15.75" customHeight="1">
      <c r="B198" s="59"/>
      <c r="C198" s="59"/>
      <c r="D198" s="59"/>
      <c r="E198" s="59"/>
      <c r="F198" s="59"/>
      <c r="G198" s="59"/>
      <c r="N198" s="60"/>
    </row>
    <row r="199" ht="15.75" customHeight="1">
      <c r="B199" s="59"/>
      <c r="C199" s="59"/>
      <c r="D199" s="59"/>
      <c r="E199" s="59"/>
      <c r="F199" s="59"/>
      <c r="G199" s="59"/>
      <c r="N199" s="60"/>
    </row>
    <row r="200" ht="15.75" customHeight="1">
      <c r="B200" s="59"/>
      <c r="C200" s="59"/>
      <c r="D200" s="59"/>
      <c r="E200" s="59"/>
      <c r="F200" s="59"/>
      <c r="G200" s="59"/>
      <c r="N200" s="60"/>
    </row>
    <row r="201" ht="15.75" customHeight="1">
      <c r="B201" s="59"/>
      <c r="C201" s="59"/>
      <c r="D201" s="59"/>
      <c r="E201" s="59"/>
      <c r="F201" s="59"/>
      <c r="G201" s="59"/>
      <c r="N201" s="60"/>
    </row>
    <row r="202" ht="15.75" customHeight="1">
      <c r="B202" s="59"/>
      <c r="C202" s="59"/>
      <c r="D202" s="59"/>
      <c r="E202" s="59"/>
      <c r="F202" s="59"/>
      <c r="G202" s="59"/>
      <c r="N202" s="60"/>
    </row>
    <row r="203" ht="15.75" customHeight="1">
      <c r="B203" s="59"/>
      <c r="C203" s="59"/>
      <c r="D203" s="59"/>
      <c r="E203" s="59"/>
      <c r="F203" s="59"/>
      <c r="G203" s="59"/>
      <c r="N203" s="60"/>
    </row>
    <row r="204" ht="15.75" customHeight="1">
      <c r="B204" s="59"/>
      <c r="C204" s="59"/>
      <c r="D204" s="59"/>
      <c r="E204" s="59"/>
      <c r="F204" s="59"/>
      <c r="G204" s="59"/>
      <c r="N204" s="60"/>
    </row>
    <row r="205" ht="15.75" customHeight="1">
      <c r="B205" s="59"/>
      <c r="C205" s="59"/>
      <c r="D205" s="59"/>
      <c r="E205" s="59"/>
      <c r="F205" s="59"/>
      <c r="G205" s="59"/>
      <c r="N205" s="60"/>
    </row>
    <row r="206" ht="15.75" customHeight="1">
      <c r="B206" s="59"/>
      <c r="C206" s="59"/>
      <c r="D206" s="59"/>
      <c r="E206" s="59"/>
      <c r="F206" s="59"/>
      <c r="G206" s="59"/>
      <c r="N206" s="60"/>
    </row>
    <row r="207" ht="15.75" customHeight="1">
      <c r="B207" s="59"/>
      <c r="C207" s="59"/>
      <c r="D207" s="59"/>
      <c r="E207" s="59"/>
      <c r="F207" s="59"/>
      <c r="G207" s="59"/>
      <c r="N207" s="60"/>
    </row>
    <row r="208" ht="15.75" customHeight="1">
      <c r="B208" s="59"/>
      <c r="C208" s="59"/>
      <c r="D208" s="59"/>
      <c r="E208" s="59"/>
      <c r="F208" s="59"/>
      <c r="G208" s="59"/>
      <c r="N208" s="60"/>
    </row>
    <row r="209" ht="15.75" customHeight="1">
      <c r="B209" s="59"/>
      <c r="C209" s="59"/>
      <c r="D209" s="59"/>
      <c r="E209" s="59"/>
      <c r="F209" s="59"/>
      <c r="G209" s="59"/>
      <c r="N209" s="60"/>
    </row>
    <row r="210" ht="15.75" customHeight="1">
      <c r="B210" s="59"/>
      <c r="C210" s="59"/>
      <c r="D210" s="59"/>
      <c r="E210" s="59"/>
      <c r="F210" s="59"/>
      <c r="G210" s="59"/>
      <c r="N210" s="60"/>
    </row>
    <row r="211" ht="15.75" customHeight="1">
      <c r="B211" s="59"/>
      <c r="C211" s="59"/>
      <c r="D211" s="59"/>
      <c r="E211" s="59"/>
      <c r="F211" s="59"/>
      <c r="G211" s="59"/>
      <c r="N211" s="60"/>
    </row>
    <row r="212" ht="15.75" customHeight="1">
      <c r="B212" s="59"/>
      <c r="C212" s="59"/>
      <c r="D212" s="59"/>
      <c r="E212" s="59"/>
      <c r="F212" s="59"/>
      <c r="G212" s="59"/>
      <c r="N212" s="60"/>
    </row>
    <row r="213" ht="15.75" customHeight="1">
      <c r="B213" s="59"/>
      <c r="C213" s="59"/>
      <c r="D213" s="59"/>
      <c r="E213" s="59"/>
      <c r="F213" s="59"/>
      <c r="G213" s="59"/>
      <c r="N213" s="60"/>
    </row>
    <row r="214" ht="15.75" customHeight="1">
      <c r="B214" s="59"/>
      <c r="C214" s="59"/>
      <c r="D214" s="59"/>
      <c r="E214" s="59"/>
      <c r="F214" s="59"/>
      <c r="G214" s="59"/>
      <c r="N214" s="60"/>
    </row>
    <row r="215" ht="15.75" customHeight="1">
      <c r="B215" s="59"/>
      <c r="C215" s="59"/>
      <c r="D215" s="59"/>
      <c r="E215" s="59"/>
      <c r="F215" s="59"/>
      <c r="G215" s="59"/>
      <c r="N215" s="60"/>
    </row>
    <row r="216" ht="15.75" customHeight="1">
      <c r="B216" s="59"/>
      <c r="C216" s="59"/>
      <c r="D216" s="59"/>
      <c r="E216" s="59"/>
      <c r="F216" s="59"/>
      <c r="G216" s="59"/>
      <c r="N216" s="60"/>
    </row>
    <row r="217" ht="15.75" customHeight="1">
      <c r="B217" s="59"/>
      <c r="C217" s="59"/>
      <c r="D217" s="59"/>
      <c r="E217" s="59"/>
      <c r="F217" s="59"/>
      <c r="G217" s="59"/>
      <c r="N217" s="60"/>
    </row>
    <row r="218" ht="15.75" customHeight="1">
      <c r="B218" s="59"/>
      <c r="C218" s="59"/>
      <c r="D218" s="59"/>
      <c r="E218" s="59"/>
      <c r="F218" s="59"/>
      <c r="G218" s="59"/>
      <c r="N218" s="60"/>
    </row>
    <row r="219" ht="15.75" customHeight="1">
      <c r="B219" s="59"/>
      <c r="C219" s="59"/>
      <c r="D219" s="59"/>
      <c r="E219" s="59"/>
      <c r="F219" s="59"/>
      <c r="G219" s="59"/>
      <c r="N219" s="60"/>
    </row>
    <row r="220" ht="15.75" customHeight="1">
      <c r="B220" s="59"/>
      <c r="C220" s="59"/>
      <c r="D220" s="59"/>
      <c r="E220" s="59"/>
      <c r="F220" s="59"/>
      <c r="G220" s="59"/>
      <c r="N220" s="60"/>
    </row>
    <row r="221" ht="15.75" customHeight="1">
      <c r="B221" s="59"/>
      <c r="C221" s="59"/>
      <c r="D221" s="59"/>
      <c r="E221" s="59"/>
      <c r="F221" s="59"/>
      <c r="G221" s="59"/>
      <c r="N221" s="60"/>
    </row>
    <row r="222" ht="15.75" customHeight="1">
      <c r="B222" s="59"/>
      <c r="C222" s="59"/>
      <c r="D222" s="59"/>
      <c r="E222" s="59"/>
      <c r="F222" s="59"/>
      <c r="G222" s="59"/>
      <c r="N222" s="60"/>
    </row>
    <row r="223" ht="15.75" customHeight="1">
      <c r="B223" s="59"/>
      <c r="C223" s="59"/>
      <c r="D223" s="59"/>
      <c r="E223" s="59"/>
      <c r="F223" s="59"/>
      <c r="G223" s="59"/>
      <c r="N223" s="60"/>
    </row>
    <row r="224" ht="15.75" customHeight="1">
      <c r="B224" s="59"/>
      <c r="C224" s="59"/>
      <c r="D224" s="59"/>
      <c r="E224" s="59"/>
      <c r="F224" s="59"/>
      <c r="G224" s="59"/>
      <c r="N224" s="60"/>
    </row>
    <row r="225" ht="15.75" customHeight="1">
      <c r="B225" s="59"/>
      <c r="C225" s="59"/>
      <c r="D225" s="59"/>
      <c r="E225" s="59"/>
      <c r="F225" s="59"/>
      <c r="G225" s="59"/>
      <c r="N225" s="60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">
    <mergeCell ref="A1:M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7.25"/>
    <col customWidth="1" hidden="1" min="2" max="2" width="6.5"/>
    <col customWidth="1" hidden="1" min="3" max="3" width="7.13"/>
    <col customWidth="1" hidden="1" min="4" max="4" width="5.5"/>
    <col customWidth="1" hidden="1" min="5" max="5" width="9.63"/>
    <col customWidth="1" min="6" max="6" width="13.25"/>
  </cols>
  <sheetData>
    <row r="1" ht="15.75" customHeight="1">
      <c r="A1" s="4" t="s">
        <v>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7"/>
      <c r="N1" s="8"/>
    </row>
    <row r="2" ht="8.25" hidden="1" customHeight="1">
      <c r="A2" s="10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8"/>
    </row>
    <row r="3" ht="15.75" hidden="1" customHeight="1">
      <c r="A3" s="20" t="s">
        <v>21</v>
      </c>
      <c r="B3" s="22">
        <v>2025.0</v>
      </c>
      <c r="C3" s="22">
        <v>2025.0</v>
      </c>
      <c r="D3" s="22">
        <v>2025.0</v>
      </c>
      <c r="E3" s="22">
        <v>2025.0</v>
      </c>
      <c r="F3" s="22">
        <v>2025.0</v>
      </c>
      <c r="G3" s="22">
        <v>2025.0</v>
      </c>
      <c r="H3" s="22">
        <v>2025.0</v>
      </c>
      <c r="I3" s="22">
        <v>2025.0</v>
      </c>
      <c r="J3" s="22">
        <v>2025.0</v>
      </c>
      <c r="K3" s="22">
        <v>2025.0</v>
      </c>
      <c r="L3" s="22">
        <v>2025.0</v>
      </c>
      <c r="M3" s="22">
        <v>2025.0</v>
      </c>
      <c r="N3" s="22">
        <v>2025.0</v>
      </c>
    </row>
    <row r="4" ht="15.75" customHeight="1">
      <c r="A4" s="26" t="s">
        <v>56</v>
      </c>
      <c r="B4" s="22">
        <v>1.0</v>
      </c>
      <c r="C4" s="22">
        <v>2.0</v>
      </c>
      <c r="D4" s="22">
        <v>3.0</v>
      </c>
      <c r="E4" s="22">
        <v>4.0</v>
      </c>
      <c r="F4" s="22">
        <v>5.0</v>
      </c>
      <c r="G4" s="13">
        <v>6.0</v>
      </c>
      <c r="H4" s="22">
        <v>7.0</v>
      </c>
      <c r="I4" s="22">
        <v>8.0</v>
      </c>
      <c r="J4" s="22">
        <v>9.0</v>
      </c>
      <c r="K4" s="22">
        <v>10.0</v>
      </c>
      <c r="L4" s="22">
        <v>11.0</v>
      </c>
      <c r="M4" s="22">
        <v>12.0</v>
      </c>
      <c r="N4" s="29" t="s">
        <v>27</v>
      </c>
    </row>
    <row r="5" ht="15.75" customHeight="1">
      <c r="A5" s="30" t="s">
        <v>28</v>
      </c>
      <c r="B5" s="31"/>
      <c r="C5" s="31"/>
      <c r="D5" s="31"/>
      <c r="E5" s="31"/>
      <c r="F5" s="31">
        <f>sumifs(CloudBed!$U:$U,CloudBed!$K:$K,$A$5,CloudBed!$X:$X,F4)</f>
        <v>0</v>
      </c>
      <c r="G5" s="31">
        <f>sumifs(CloudBed!$U:$U,CloudBed!$K:$K,$A$5,CloudBed!$X:$X,G4)</f>
        <v>6419.64</v>
      </c>
      <c r="H5" s="31">
        <f>sumifs(CloudBed!$U:$U,CloudBed!$K:$K,$A$5,CloudBed!$X:$X,H4)</f>
        <v>8072.45</v>
      </c>
      <c r="I5" s="31">
        <f>sumifs(CloudBed!$U:$U,CloudBed!$K:$K,$A$5,CloudBed!$X:$X,I4)</f>
        <v>8751.41</v>
      </c>
      <c r="J5" s="31">
        <f>sumifs(CloudBed!$U:$U,CloudBed!$K:$K,$A$5,CloudBed!$X:$X,J4)</f>
        <v>0</v>
      </c>
      <c r="K5" s="31">
        <f>sumifs(CloudBed!$U:$U,CloudBed!$K:$K,$A$5,CloudBed!$X:$X,K4)</f>
        <v>0</v>
      </c>
      <c r="L5" s="31">
        <f>sumifs(CloudBed!$U:$U,CloudBed!$K:$K,$A$5,CloudBed!$X:$X,L4)</f>
        <v>0</v>
      </c>
      <c r="M5" s="31">
        <f>sumifs(CloudBed!$U:$U,CloudBed!$K:$K,$A$5,CloudBed!$X:$X,M4)</f>
        <v>0</v>
      </c>
      <c r="N5" s="33">
        <f t="shared" ref="N5:N11" si="1">SUM(B5:M5)</f>
        <v>23243.5</v>
      </c>
    </row>
    <row r="6" ht="15.75" customHeight="1">
      <c r="A6" s="35" t="s">
        <v>38</v>
      </c>
      <c r="B6" s="31"/>
      <c r="C6" s="31"/>
      <c r="D6" s="31"/>
      <c r="E6" s="31"/>
      <c r="F6" s="31">
        <f>sumifs(CloudBed!$U:$U,CloudBed!$K:$K,$A$6,CloudBed!$X:$X,F4)</f>
        <v>2470.5</v>
      </c>
      <c r="G6" s="31">
        <f>sumifs(CloudBed!$U:$U,CloudBed!$K:$K,$A$6,CloudBed!$X:$X,G4)</f>
        <v>5610</v>
      </c>
      <c r="H6" s="31">
        <f>sumifs(CloudBed!$U:$U,CloudBed!$K:$K,$A$6,CloudBed!$X:$X,H4)</f>
        <v>7634.7</v>
      </c>
      <c r="I6" s="31">
        <f>sumifs(CloudBed!$U:$U,CloudBed!$K:$K,$A$6,CloudBed!$X:$X,I4)</f>
        <v>667.25</v>
      </c>
      <c r="J6" s="31">
        <f>sumifs(CloudBed!$J:$J,CloudBed!$H:$H,"Hostelworld (Hotel Collect Booking)",CloudBed!$T:$T,J4)</f>
        <v>0</v>
      </c>
      <c r="K6" s="31">
        <f>sumifs(CloudBed!$J:$J,CloudBed!$H:$H,"Hostelworld (Hotel Collect Booking)",CloudBed!$T:$T,K4)</f>
        <v>0</v>
      </c>
      <c r="L6" s="31">
        <f>sumifs(CloudBed!$J:$J,CloudBed!$H:$H,"Hostelworld (Hotel Collect Booking)",CloudBed!$T:$T,L4)</f>
        <v>0</v>
      </c>
      <c r="M6" s="31">
        <f>sumifs(CloudBed!$J:$J,CloudBed!$H:$H,"Hostelworld (Hotel Collect Booking)",CloudBed!$T:$T,M4)</f>
        <v>0</v>
      </c>
      <c r="N6" s="33">
        <f t="shared" si="1"/>
        <v>16382.45</v>
      </c>
    </row>
    <row r="7" ht="15.75" customHeight="1">
      <c r="A7" s="35" t="s">
        <v>43</v>
      </c>
      <c r="B7" s="31"/>
      <c r="C7" s="31"/>
      <c r="D7" s="31"/>
      <c r="E7" s="31"/>
      <c r="F7" s="31">
        <f>sumifs(CloudBed!$U:$U,CloudBed!$K:$K,"Airbnb",CloudBed!$X:$X,F4)</f>
        <v>4244.358881</v>
      </c>
      <c r="G7" s="31">
        <f>sumifs(CloudBed!$U:$U,CloudBed!$K:$K,"Airbnb",CloudBed!$X:$X,G4)</f>
        <v>7211.42</v>
      </c>
      <c r="H7" s="31">
        <f>sumifs(CloudBed!$U:$U,CloudBed!$K:$K,"Airbnb",CloudBed!$X:$X,H4)</f>
        <v>5127.72</v>
      </c>
      <c r="I7" s="31">
        <f>sumifs(CloudBed!$U:$U,CloudBed!$K:$K,"Airbnb",CloudBed!$X:$X,I4)</f>
        <v>0</v>
      </c>
      <c r="J7" s="31">
        <f>sumifs(CloudBed!$U:$U,CloudBed!$K:$K,"Airbnb",CloudBed!$X:$X,J4)</f>
        <v>0</v>
      </c>
      <c r="K7" s="31">
        <f>sumifs(CloudBed!$U:$U,CloudBed!$K:$K,"Airbnb",CloudBed!$X:$X,K4)</f>
        <v>0</v>
      </c>
      <c r="L7" s="31">
        <f>sumifs(CloudBed!$U:$U,CloudBed!$K:$K,"Airbnb",CloudBed!$X:$X,L4)</f>
        <v>0</v>
      </c>
      <c r="M7" s="31">
        <f>sumifs(CloudBed!$U:$U,CloudBed!$K:$K,"Airbnb",CloudBed!$X:$X,M4)</f>
        <v>0</v>
      </c>
      <c r="N7" s="33">
        <f t="shared" si="1"/>
        <v>16583.49888</v>
      </c>
    </row>
    <row r="8" ht="15.75" customHeight="1">
      <c r="A8" s="35" t="s">
        <v>49</v>
      </c>
      <c r="B8" s="31"/>
      <c r="C8" s="31"/>
      <c r="D8" s="31"/>
      <c r="E8" s="31"/>
      <c r="F8" s="31">
        <f>sumifs(CloudBed!$U:$U,CloudBed!$K:$K,"*Website*",CloudBed!$X:$X,F4)</f>
        <v>0</v>
      </c>
      <c r="G8" s="31">
        <f>sumifs(CloudBed!$U:$U,CloudBed!$K:$K,"*Website*",CloudBed!$X:$X,G4)</f>
        <v>450</v>
      </c>
      <c r="H8" s="31">
        <f>sumifs(CloudBed!$U:$U,CloudBed!$K:$K,"*Website*",CloudBed!$X:$X,H4)</f>
        <v>257.76</v>
      </c>
      <c r="I8" s="31">
        <f>sumifs(CloudBed!$U:$U,CloudBed!$K:$K,"*Website*",CloudBed!$X:$X,I4)</f>
        <v>0</v>
      </c>
      <c r="J8" s="31">
        <f>sumifs(CloudBed!$U:$U,CloudBed!$K:$K,"*Website*",CloudBed!$X:$X,J4)</f>
        <v>0</v>
      </c>
      <c r="K8" s="31"/>
      <c r="L8" s="31"/>
      <c r="M8" s="31"/>
      <c r="N8" s="33">
        <f t="shared" si="1"/>
        <v>707.76</v>
      </c>
    </row>
    <row r="9" ht="15.75" customHeight="1">
      <c r="A9" s="39" t="s">
        <v>52</v>
      </c>
      <c r="B9" s="42">
        <f t="shared" ref="B9:M9" si="2">SUM(B5:B8)</f>
        <v>0</v>
      </c>
      <c r="C9" s="42">
        <f t="shared" si="2"/>
        <v>0</v>
      </c>
      <c r="D9" s="42">
        <f t="shared" si="2"/>
        <v>0</v>
      </c>
      <c r="E9" s="42">
        <f t="shared" si="2"/>
        <v>0</v>
      </c>
      <c r="F9" s="42">
        <f t="shared" si="2"/>
        <v>6714.858881</v>
      </c>
      <c r="G9" s="42">
        <f t="shared" si="2"/>
        <v>19691.06</v>
      </c>
      <c r="H9" s="42">
        <f t="shared" si="2"/>
        <v>21092.63</v>
      </c>
      <c r="I9" s="42">
        <f t="shared" si="2"/>
        <v>9418.66</v>
      </c>
      <c r="J9" s="42">
        <f t="shared" si="2"/>
        <v>0</v>
      </c>
      <c r="K9" s="42">
        <f t="shared" si="2"/>
        <v>0</v>
      </c>
      <c r="L9" s="42">
        <f t="shared" si="2"/>
        <v>0</v>
      </c>
      <c r="M9" s="42">
        <f t="shared" si="2"/>
        <v>0</v>
      </c>
      <c r="N9" s="42">
        <f t="shared" si="1"/>
        <v>56917.20888</v>
      </c>
    </row>
    <row r="10" ht="15.75" customHeight="1">
      <c r="A10" s="35" t="s">
        <v>54</v>
      </c>
      <c r="B10" s="31"/>
      <c r="C10" s="31"/>
      <c r="D10" s="31"/>
      <c r="E10" s="31"/>
      <c r="F10" s="31">
        <f>sumifs(CloudBed!$U:$U,CloudBed!$K:$K,"Walk-In",CloudBed!$X:$X,F4)</f>
        <v>0</v>
      </c>
      <c r="G10" s="31">
        <f>sumifs(CloudBed!$U:$U,CloudBed!$K:$K,"Walk-In",CloudBed!$X:$X,G4)</f>
        <v>32</v>
      </c>
      <c r="H10" s="31">
        <f>sumifs(CloudBed!$U:$U,CloudBed!$K:$K,"Walk-In",CloudBed!$X:$X,H4)</f>
        <v>0</v>
      </c>
      <c r="I10" s="31">
        <f>sumifs(CloudBed!$U:$U,CloudBed!$K:$K,"Walk-In",CloudBed!$X:$X,I4)</f>
        <v>0</v>
      </c>
      <c r="J10" s="31"/>
      <c r="K10" s="31"/>
      <c r="L10" s="31"/>
      <c r="M10" s="31"/>
      <c r="N10" s="33">
        <f t="shared" si="1"/>
        <v>32</v>
      </c>
    </row>
    <row r="11" ht="15.75" hidden="1" customHeight="1">
      <c r="A11" s="35" t="s">
        <v>55</v>
      </c>
      <c r="B11" s="31"/>
      <c r="C11" s="31"/>
      <c r="D11" s="31"/>
      <c r="E11" s="31"/>
      <c r="F11" s="31">
        <f>sumifs(CloudBed!$U:$U,CloudBed!$K:$K,$A$11,CloudBed!$X:$X,F4)</f>
        <v>0</v>
      </c>
      <c r="G11" s="31">
        <f>sumifs(CloudBed!$U:$U,CloudBed!$K:$K,$A$11,CloudBed!$X:$X,G4)</f>
        <v>214.5</v>
      </c>
      <c r="H11" s="31">
        <f>sumifs(CloudBed!$U:$U,CloudBed!$K:$K,$A$11,CloudBed!$X:$X,H4)</f>
        <v>220</v>
      </c>
      <c r="I11" s="31">
        <f>sumifs(CloudBed!$U:$U,CloudBed!$K:$K,$A$11,CloudBed!$X:$X,I4)</f>
        <v>0</v>
      </c>
      <c r="J11" s="31">
        <f>sumifs(CloudBed!$U:$U,CloudBed!$K:$K,$A$11,CloudBed!$X:$X,J4)</f>
        <v>0</v>
      </c>
      <c r="K11" s="31">
        <f>sumifs(FF!$X:$X,FF!$C:$C,K4)</f>
        <v>0</v>
      </c>
      <c r="L11" s="31">
        <f>sumifs(FF!$X:$X,FF!$C:$C,L4)</f>
        <v>0</v>
      </c>
      <c r="M11" s="31">
        <f>sumifs(FF!$X:$X,FF!$C:$C,M4)</f>
        <v>0</v>
      </c>
      <c r="N11" s="33">
        <f t="shared" si="1"/>
        <v>434.5</v>
      </c>
    </row>
    <row r="12" ht="15.75" hidden="1" customHeight="1">
      <c r="A12" s="35" t="s">
        <v>69</v>
      </c>
      <c r="B12" s="31"/>
      <c r="C12" s="31"/>
      <c r="D12" s="31"/>
      <c r="E12" s="31"/>
      <c r="F12" s="31">
        <f>sumifs(FF!$E:$E,FF!$C:$C,F4)</f>
        <v>1331</v>
      </c>
      <c r="G12" s="31">
        <f>sumifs(FF!$E:$E,FF!$C:$C,G4)</f>
        <v>2027</v>
      </c>
      <c r="H12" s="31">
        <f>sumifs(FF!$E:$E,FF!$C:$C,H4)</f>
        <v>2825</v>
      </c>
      <c r="I12" s="31">
        <f>sumifs(FF!$E:$E,FF!$C:$C,I4)</f>
        <v>0</v>
      </c>
      <c r="J12" s="31">
        <f>sumifs(FF!$E:$E,FF!$C:$C,J4)</f>
        <v>0</v>
      </c>
      <c r="K12" s="31">
        <f>sumifs(FF!$E:$E,FF!$C:$C,K4)</f>
        <v>0</v>
      </c>
      <c r="L12" s="31">
        <f>sumifs(FF!$E:$E,FF!$C:$C,L4)</f>
        <v>0</v>
      </c>
      <c r="M12" s="31">
        <f>sumifs(FF!$E:$E,FF!$C:$C,M4)</f>
        <v>82</v>
      </c>
      <c r="N12" s="33"/>
    </row>
    <row r="13" ht="15.75" customHeight="1">
      <c r="A13" s="35" t="s">
        <v>55</v>
      </c>
      <c r="B13" s="31"/>
      <c r="C13" s="31"/>
      <c r="D13" s="31"/>
      <c r="E13" s="31"/>
      <c r="F13" s="31">
        <f t="shared" ref="F13:M13" si="3">F11+F12</f>
        <v>1331</v>
      </c>
      <c r="G13" s="31">
        <f t="shared" si="3"/>
        <v>2241.5</v>
      </c>
      <c r="H13" s="31">
        <f t="shared" si="3"/>
        <v>3045</v>
      </c>
      <c r="I13" s="31">
        <f t="shared" si="3"/>
        <v>0</v>
      </c>
      <c r="J13" s="31">
        <f t="shared" si="3"/>
        <v>0</v>
      </c>
      <c r="K13" s="31">
        <f t="shared" si="3"/>
        <v>0</v>
      </c>
      <c r="L13" s="31">
        <f t="shared" si="3"/>
        <v>0</v>
      </c>
      <c r="M13" s="31">
        <f t="shared" si="3"/>
        <v>82</v>
      </c>
      <c r="N13" s="33">
        <f t="shared" ref="N13:N14" si="6">SUM(B13:M13)</f>
        <v>6699.5</v>
      </c>
    </row>
    <row r="14" ht="15.75" customHeight="1">
      <c r="A14" s="46" t="s">
        <v>57</v>
      </c>
      <c r="B14" s="47">
        <f t="shared" ref="B14:E14" si="4">SUM(B10:B12)</f>
        <v>0</v>
      </c>
      <c r="C14" s="47">
        <f t="shared" si="4"/>
        <v>0</v>
      </c>
      <c r="D14" s="47">
        <f t="shared" si="4"/>
        <v>0</v>
      </c>
      <c r="E14" s="47">
        <f t="shared" si="4"/>
        <v>0</v>
      </c>
      <c r="F14" s="47">
        <f t="shared" ref="F14:M14" si="5">F10+F13</f>
        <v>1331</v>
      </c>
      <c r="G14" s="47">
        <f t="shared" si="5"/>
        <v>2273.5</v>
      </c>
      <c r="H14" s="47">
        <f t="shared" si="5"/>
        <v>3045</v>
      </c>
      <c r="I14" s="47">
        <f t="shared" si="5"/>
        <v>0</v>
      </c>
      <c r="J14" s="47">
        <f t="shared" si="5"/>
        <v>0</v>
      </c>
      <c r="K14" s="47">
        <f t="shared" si="5"/>
        <v>0</v>
      </c>
      <c r="L14" s="47">
        <f t="shared" si="5"/>
        <v>0</v>
      </c>
      <c r="M14" s="47">
        <f t="shared" si="5"/>
        <v>82</v>
      </c>
      <c r="N14" s="47">
        <f t="shared" si="6"/>
        <v>6731.5</v>
      </c>
    </row>
    <row r="15" ht="15.75" customHeight="1">
      <c r="A15" s="61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3"/>
    </row>
    <row r="16" ht="15.75" customHeight="1">
      <c r="A16" s="30" t="s">
        <v>58</v>
      </c>
      <c r="B16" s="31"/>
      <c r="C16" s="31"/>
      <c r="D16" s="31"/>
      <c r="E16" s="31"/>
      <c r="F16" s="31">
        <f>sumifs(CloudBed!$O:$O,CloudBed!$X:$X,F4)</f>
        <v>260</v>
      </c>
      <c r="G16" s="31">
        <f>sumifs(CloudBed!$O:$O,CloudBed!$X:$X,G4)</f>
        <v>1094</v>
      </c>
      <c r="H16" s="31">
        <f>sumifs(CloudBed!$O:$O,CloudBed!$X:$X,H4)</f>
        <v>1156</v>
      </c>
      <c r="I16" s="31">
        <f>sumifs(CloudBed!$O:$O,CloudBed!$X:$X,I4)</f>
        <v>526</v>
      </c>
      <c r="J16" s="31">
        <f>sumifs(CloudBed!$O:$O,CloudBed!$X:$X,J4)</f>
        <v>0</v>
      </c>
      <c r="K16" s="31">
        <f>sumifs(CloudBed!$O:$O,CloudBed!$X:$X,K4)</f>
        <v>0</v>
      </c>
      <c r="L16" s="31">
        <f>sumifs(CloudBed!$O:$O,CloudBed!$X:$X,L4)</f>
        <v>0</v>
      </c>
      <c r="M16" s="31">
        <f>sumifs(CloudBed!$O:$O,CloudBed!$X:$X,M4)</f>
        <v>0</v>
      </c>
      <c r="N16" s="33">
        <f>SUM(B16:M16)</f>
        <v>3036</v>
      </c>
    </row>
    <row r="17" ht="15.75" customHeight="1">
      <c r="A17" s="64" t="s">
        <v>70</v>
      </c>
      <c r="B17" s="65"/>
      <c r="C17" s="65"/>
      <c r="D17" s="65"/>
      <c r="E17" s="65">
        <f>Receptor!E9+Receptor!E14</f>
        <v>0</v>
      </c>
      <c r="F17" s="65">
        <f t="shared" ref="F17:N17" si="7">F9+F14+F16</f>
        <v>8305.858881</v>
      </c>
      <c r="G17" s="65">
        <f t="shared" si="7"/>
        <v>23058.56</v>
      </c>
      <c r="H17" s="65">
        <f t="shared" si="7"/>
        <v>25293.63</v>
      </c>
      <c r="I17" s="65">
        <f t="shared" si="7"/>
        <v>9944.66</v>
      </c>
      <c r="J17" s="65">
        <f t="shared" si="7"/>
        <v>0</v>
      </c>
      <c r="K17" s="65">
        <f t="shared" si="7"/>
        <v>0</v>
      </c>
      <c r="L17" s="65">
        <f t="shared" si="7"/>
        <v>0</v>
      </c>
      <c r="M17" s="65">
        <f t="shared" si="7"/>
        <v>82</v>
      </c>
      <c r="N17" s="65">
        <f t="shared" si="7"/>
        <v>66684.70888</v>
      </c>
    </row>
    <row r="18" ht="15.75" customHeight="1">
      <c r="A18" s="64" t="s">
        <v>71</v>
      </c>
      <c r="B18" s="65"/>
      <c r="C18" s="65"/>
      <c r="D18" s="65"/>
      <c r="E18" s="65"/>
      <c r="F18" s="65">
        <f>Receptor!F9+Receptor!F14+Receptor!F16</f>
        <v>16478.70888</v>
      </c>
      <c r="G18" s="65">
        <f>Receptor!G9+Receptor!G14+Receptor!G16</f>
        <v>24680.61</v>
      </c>
      <c r="H18" s="65">
        <f>Receptor!H9+Receptor!H14+Receptor!H16</f>
        <v>25443.39</v>
      </c>
      <c r="I18" s="65">
        <f>Receptor!I9+Receptor!I14+Receptor!I16</f>
        <v>0</v>
      </c>
      <c r="J18" s="65">
        <f>Receptor!J9+Receptor!J14+Receptor!J16</f>
        <v>0</v>
      </c>
      <c r="K18" s="65">
        <f>Receptor!K9+Receptor!K14+Receptor!K16</f>
        <v>0</v>
      </c>
      <c r="L18" s="65">
        <f>Receptor!L9+Receptor!L14+Receptor!L16</f>
        <v>0</v>
      </c>
      <c r="M18" s="65">
        <f>Receptor!M9+Receptor!M14+Receptor!M16</f>
        <v>82</v>
      </c>
      <c r="N18" s="65">
        <f>Receptor!N9+Receptor!N14+Receptor!N16</f>
        <v>66684.70888</v>
      </c>
    </row>
    <row r="19" ht="15.75" customHeight="1">
      <c r="A19" s="66" t="s">
        <v>72</v>
      </c>
      <c r="B19" s="67"/>
      <c r="C19" s="67"/>
      <c r="D19" s="67"/>
      <c r="E19" s="67"/>
      <c r="F19" s="67">
        <f t="shared" ref="F19:N19" si="8">F17-F18</f>
        <v>-8172.85</v>
      </c>
      <c r="G19" s="67">
        <f t="shared" si="8"/>
        <v>-1622.05</v>
      </c>
      <c r="H19" s="67">
        <f t="shared" si="8"/>
        <v>-149.76</v>
      </c>
      <c r="I19" s="67">
        <f t="shared" si="8"/>
        <v>9944.66</v>
      </c>
      <c r="J19" s="67">
        <f t="shared" si="8"/>
        <v>0</v>
      </c>
      <c r="K19" s="67">
        <f t="shared" si="8"/>
        <v>0</v>
      </c>
      <c r="L19" s="67">
        <f t="shared" si="8"/>
        <v>0</v>
      </c>
      <c r="M19" s="67">
        <f t="shared" si="8"/>
        <v>0</v>
      </c>
      <c r="N19" s="67">
        <f t="shared" si="8"/>
        <v>0</v>
      </c>
    </row>
    <row r="20" ht="15.75" customHeight="1">
      <c r="B20" s="59"/>
      <c r="C20" s="59"/>
      <c r="D20" s="59"/>
      <c r="E20" s="59"/>
      <c r="F20" s="59"/>
      <c r="G20" s="59"/>
      <c r="N20" s="60"/>
    </row>
    <row r="21" ht="15.75" customHeight="1">
      <c r="B21" s="59"/>
      <c r="C21" s="59"/>
      <c r="D21" s="59"/>
      <c r="E21" s="59"/>
      <c r="F21" s="59"/>
      <c r="G21" s="59"/>
      <c r="N21" s="60"/>
    </row>
    <row r="22" ht="15.75" customHeight="1">
      <c r="B22" s="59"/>
      <c r="C22" s="59"/>
      <c r="D22" s="59"/>
      <c r="E22" s="59"/>
      <c r="F22" s="59"/>
      <c r="G22" s="59"/>
      <c r="N22" s="60"/>
    </row>
    <row r="23" ht="15.75" customHeight="1">
      <c r="B23" s="59"/>
      <c r="C23" s="59"/>
      <c r="D23" s="59"/>
      <c r="E23" s="59"/>
      <c r="F23" s="59"/>
      <c r="G23" s="59"/>
      <c r="N23" s="60"/>
    </row>
    <row r="24" ht="15.75" customHeight="1">
      <c r="B24" s="59"/>
      <c r="C24" s="59"/>
      <c r="D24" s="59"/>
      <c r="E24" s="59"/>
      <c r="F24" s="59"/>
      <c r="G24" s="59"/>
      <c r="N24" s="60"/>
    </row>
    <row r="25" ht="15.75" customHeight="1">
      <c r="B25" s="59"/>
      <c r="C25" s="59"/>
      <c r="D25" s="59"/>
      <c r="E25" s="59"/>
      <c r="F25" s="59"/>
      <c r="G25" s="59"/>
      <c r="N25" s="60"/>
    </row>
    <row r="26" ht="15.75" customHeight="1">
      <c r="B26" s="59"/>
      <c r="C26" s="59"/>
      <c r="D26" s="59"/>
      <c r="E26" s="59"/>
      <c r="F26" s="59"/>
      <c r="G26" s="59"/>
      <c r="N26" s="60"/>
    </row>
    <row r="27" ht="15.75" customHeight="1">
      <c r="B27" s="59"/>
      <c r="C27" s="59"/>
      <c r="D27" s="59"/>
      <c r="E27" s="59"/>
      <c r="F27" s="59"/>
      <c r="G27" s="59"/>
      <c r="N27" s="60"/>
    </row>
    <row r="28" ht="15.75" customHeight="1">
      <c r="B28" s="59"/>
      <c r="C28" s="59"/>
      <c r="D28" s="59"/>
      <c r="E28" s="59"/>
      <c r="F28" s="59"/>
      <c r="G28" s="59"/>
      <c r="N28" s="60"/>
    </row>
    <row r="29" ht="15.75" customHeight="1">
      <c r="B29" s="59"/>
      <c r="C29" s="59"/>
      <c r="D29" s="59"/>
      <c r="E29" s="59"/>
      <c r="F29" s="59"/>
      <c r="G29" s="59"/>
      <c r="N29" s="60"/>
    </row>
    <row r="30" ht="15.75" customHeight="1">
      <c r="B30" s="59"/>
      <c r="C30" s="59"/>
      <c r="D30" s="59"/>
      <c r="E30" s="59"/>
      <c r="F30" s="59"/>
      <c r="G30" s="59"/>
      <c r="N30" s="60"/>
    </row>
    <row r="31" ht="15.75" customHeight="1">
      <c r="B31" s="59"/>
      <c r="C31" s="59"/>
      <c r="D31" s="59"/>
      <c r="E31" s="59"/>
      <c r="F31" s="59"/>
      <c r="G31" s="59"/>
      <c r="N31" s="60"/>
    </row>
    <row r="32" ht="15.75" customHeight="1">
      <c r="B32" s="59"/>
      <c r="C32" s="59"/>
      <c r="D32" s="59"/>
      <c r="E32" s="59"/>
      <c r="F32" s="59"/>
      <c r="G32" s="59"/>
      <c r="N32" s="60"/>
    </row>
    <row r="33" ht="15.75" customHeight="1">
      <c r="B33" s="59"/>
      <c r="C33" s="59"/>
      <c r="D33" s="59"/>
      <c r="E33" s="59"/>
      <c r="F33" s="59"/>
      <c r="G33" s="59"/>
      <c r="N33" s="60"/>
    </row>
    <row r="34" ht="15.75" customHeight="1">
      <c r="B34" s="59"/>
      <c r="C34" s="59"/>
      <c r="D34" s="59"/>
      <c r="E34" s="59"/>
      <c r="F34" s="59"/>
      <c r="G34" s="59"/>
      <c r="N34" s="60"/>
    </row>
    <row r="35" ht="15.75" customHeight="1">
      <c r="B35" s="59"/>
      <c r="C35" s="59"/>
      <c r="D35" s="59"/>
      <c r="E35" s="59"/>
      <c r="F35" s="59"/>
      <c r="G35" s="59"/>
      <c r="N35" s="60"/>
    </row>
    <row r="36" ht="15.75" customHeight="1">
      <c r="B36" s="59"/>
      <c r="C36" s="59"/>
      <c r="D36" s="59"/>
      <c r="E36" s="59"/>
      <c r="F36" s="59"/>
      <c r="G36" s="59"/>
      <c r="N36" s="60"/>
    </row>
    <row r="37" ht="15.75" customHeight="1">
      <c r="B37" s="59"/>
      <c r="C37" s="59"/>
      <c r="D37" s="59"/>
      <c r="E37" s="59"/>
      <c r="F37" s="59"/>
      <c r="G37" s="59"/>
      <c r="N37" s="60"/>
    </row>
    <row r="38" ht="15.75" customHeight="1">
      <c r="B38" s="59"/>
      <c r="C38" s="59"/>
      <c r="D38" s="59"/>
      <c r="E38" s="59"/>
      <c r="F38" s="59"/>
      <c r="G38" s="59"/>
      <c r="N38" s="60"/>
    </row>
    <row r="39" ht="15.75" customHeight="1">
      <c r="B39" s="59"/>
      <c r="C39" s="59"/>
      <c r="D39" s="59"/>
      <c r="E39" s="59"/>
      <c r="F39" s="59"/>
      <c r="G39" s="59"/>
      <c r="N39" s="60"/>
    </row>
    <row r="40" ht="15.75" customHeight="1">
      <c r="B40" s="59"/>
      <c r="C40" s="59"/>
      <c r="D40" s="59"/>
      <c r="E40" s="59"/>
      <c r="F40" s="59"/>
      <c r="G40" s="59"/>
      <c r="N40" s="60"/>
    </row>
    <row r="41" ht="15.75" customHeight="1">
      <c r="B41" s="59"/>
      <c r="C41" s="59"/>
      <c r="D41" s="59"/>
      <c r="E41" s="59"/>
      <c r="F41" s="59"/>
      <c r="G41" s="59"/>
      <c r="N41" s="60"/>
    </row>
    <row r="42" ht="15.75" customHeight="1">
      <c r="B42" s="59"/>
      <c r="C42" s="59"/>
      <c r="D42" s="59"/>
      <c r="E42" s="59"/>
      <c r="F42" s="59"/>
      <c r="G42" s="59"/>
      <c r="N42" s="60"/>
    </row>
    <row r="43" ht="15.75" customHeight="1">
      <c r="B43" s="59"/>
      <c r="C43" s="59"/>
      <c r="D43" s="59"/>
      <c r="E43" s="59"/>
      <c r="F43" s="59"/>
      <c r="G43" s="59"/>
      <c r="N43" s="60"/>
    </row>
    <row r="44" ht="15.75" customHeight="1">
      <c r="B44" s="59"/>
      <c r="C44" s="59"/>
      <c r="D44" s="59"/>
      <c r="E44" s="59"/>
      <c r="F44" s="59"/>
      <c r="G44" s="59"/>
      <c r="N44" s="60"/>
    </row>
    <row r="45" ht="15.75" customHeight="1">
      <c r="B45" s="59"/>
      <c r="C45" s="59"/>
      <c r="D45" s="59"/>
      <c r="E45" s="59"/>
      <c r="F45" s="59"/>
      <c r="G45" s="59"/>
      <c r="N45" s="60"/>
    </row>
    <row r="46" ht="15.75" customHeight="1">
      <c r="B46" s="59"/>
      <c r="C46" s="59"/>
      <c r="D46" s="59"/>
      <c r="E46" s="59"/>
      <c r="F46" s="59"/>
      <c r="G46" s="59"/>
      <c r="N46" s="60"/>
    </row>
    <row r="47" ht="15.75" customHeight="1">
      <c r="B47" s="59"/>
      <c r="C47" s="59"/>
      <c r="D47" s="59"/>
      <c r="E47" s="59"/>
      <c r="F47" s="59"/>
      <c r="G47" s="59"/>
      <c r="N47" s="60"/>
    </row>
    <row r="48" ht="15.75" customHeight="1">
      <c r="B48" s="59"/>
      <c r="C48" s="59"/>
      <c r="D48" s="59"/>
      <c r="E48" s="59"/>
      <c r="F48" s="59"/>
      <c r="G48" s="59"/>
      <c r="N48" s="60"/>
    </row>
    <row r="49" ht="15.75" customHeight="1">
      <c r="B49" s="59"/>
      <c r="C49" s="59"/>
      <c r="D49" s="59"/>
      <c r="E49" s="59"/>
      <c r="F49" s="59"/>
      <c r="G49" s="59"/>
      <c r="N49" s="60"/>
    </row>
    <row r="50" ht="15.75" customHeight="1">
      <c r="B50" s="59"/>
      <c r="C50" s="59"/>
      <c r="D50" s="59"/>
      <c r="E50" s="59"/>
      <c r="F50" s="59"/>
      <c r="G50" s="59"/>
      <c r="N50" s="60"/>
    </row>
    <row r="51" ht="15.75" customHeight="1">
      <c r="B51" s="59"/>
      <c r="C51" s="59"/>
      <c r="D51" s="59"/>
      <c r="E51" s="59"/>
      <c r="F51" s="59"/>
      <c r="G51" s="59"/>
      <c r="N51" s="60"/>
    </row>
    <row r="52" ht="15.75" customHeight="1">
      <c r="B52" s="59"/>
      <c r="C52" s="59"/>
      <c r="D52" s="59"/>
      <c r="E52" s="59"/>
      <c r="F52" s="59"/>
      <c r="G52" s="59"/>
      <c r="N52" s="60"/>
    </row>
    <row r="53" ht="15.75" customHeight="1">
      <c r="B53" s="59"/>
      <c r="C53" s="59"/>
      <c r="D53" s="59"/>
      <c r="E53" s="59"/>
      <c r="F53" s="59"/>
      <c r="G53" s="59"/>
      <c r="N53" s="60"/>
    </row>
    <row r="54" ht="15.75" customHeight="1">
      <c r="B54" s="59"/>
      <c r="C54" s="59"/>
      <c r="D54" s="59"/>
      <c r="E54" s="59"/>
      <c r="F54" s="59"/>
      <c r="G54" s="59"/>
      <c r="N54" s="60"/>
    </row>
    <row r="55" ht="15.75" customHeight="1">
      <c r="B55" s="59"/>
      <c r="C55" s="59"/>
      <c r="D55" s="59"/>
      <c r="E55" s="59"/>
      <c r="F55" s="59"/>
      <c r="G55" s="59"/>
      <c r="N55" s="60"/>
    </row>
    <row r="56" ht="15.75" customHeight="1">
      <c r="B56" s="59"/>
      <c r="C56" s="59"/>
      <c r="D56" s="59"/>
      <c r="E56" s="59"/>
      <c r="F56" s="59"/>
      <c r="G56" s="59"/>
      <c r="N56" s="60"/>
    </row>
    <row r="57" ht="15.75" customHeight="1">
      <c r="B57" s="59"/>
      <c r="C57" s="59"/>
      <c r="D57" s="59"/>
      <c r="E57" s="59"/>
      <c r="F57" s="59"/>
      <c r="G57" s="59"/>
      <c r="N57" s="60"/>
    </row>
    <row r="58" ht="15.75" customHeight="1">
      <c r="B58" s="59"/>
      <c r="C58" s="59"/>
      <c r="D58" s="59"/>
      <c r="E58" s="59"/>
      <c r="F58" s="59"/>
      <c r="G58" s="59"/>
      <c r="N58" s="60"/>
    </row>
    <row r="59" ht="15.75" customHeight="1">
      <c r="B59" s="59"/>
      <c r="C59" s="59"/>
      <c r="D59" s="59"/>
      <c r="E59" s="59"/>
      <c r="F59" s="59"/>
      <c r="G59" s="59"/>
      <c r="N59" s="60"/>
    </row>
    <row r="60" ht="15.75" customHeight="1">
      <c r="B60" s="59"/>
      <c r="C60" s="59"/>
      <c r="D60" s="59"/>
      <c r="E60" s="59"/>
      <c r="F60" s="59"/>
      <c r="G60" s="59"/>
      <c r="N60" s="60"/>
    </row>
    <row r="61" ht="15.75" customHeight="1">
      <c r="B61" s="59"/>
      <c r="C61" s="59"/>
      <c r="D61" s="59"/>
      <c r="E61" s="59"/>
      <c r="F61" s="59"/>
      <c r="G61" s="59"/>
      <c r="N61" s="60"/>
    </row>
    <row r="62" ht="15.75" customHeight="1">
      <c r="B62" s="59"/>
      <c r="C62" s="59"/>
      <c r="D62" s="59"/>
      <c r="E62" s="59"/>
      <c r="F62" s="59"/>
      <c r="G62" s="59"/>
      <c r="N62" s="60"/>
    </row>
    <row r="63" ht="15.75" customHeight="1">
      <c r="B63" s="59"/>
      <c r="C63" s="59"/>
      <c r="D63" s="59"/>
      <c r="E63" s="59"/>
      <c r="F63" s="59"/>
      <c r="G63" s="59"/>
      <c r="N63" s="60"/>
    </row>
    <row r="64" ht="15.75" customHeight="1">
      <c r="B64" s="59"/>
      <c r="C64" s="59"/>
      <c r="D64" s="59"/>
      <c r="E64" s="59"/>
      <c r="F64" s="59"/>
      <c r="G64" s="59"/>
      <c r="N64" s="60"/>
    </row>
    <row r="65" ht="15.75" customHeight="1">
      <c r="B65" s="59"/>
      <c r="C65" s="59"/>
      <c r="D65" s="59"/>
      <c r="E65" s="59"/>
      <c r="F65" s="59"/>
      <c r="G65" s="59"/>
      <c r="N65" s="60"/>
    </row>
    <row r="66" ht="15.75" customHeight="1">
      <c r="B66" s="59"/>
      <c r="C66" s="59"/>
      <c r="D66" s="59"/>
      <c r="E66" s="59"/>
      <c r="F66" s="59"/>
      <c r="G66" s="59"/>
      <c r="N66" s="60"/>
    </row>
    <row r="67" ht="15.75" customHeight="1">
      <c r="B67" s="59"/>
      <c r="C67" s="59"/>
      <c r="D67" s="59"/>
      <c r="E67" s="59"/>
      <c r="F67" s="59"/>
      <c r="G67" s="59"/>
      <c r="N67" s="60"/>
    </row>
    <row r="68" ht="15.75" customHeight="1">
      <c r="B68" s="59"/>
      <c r="C68" s="59"/>
      <c r="D68" s="59"/>
      <c r="E68" s="59"/>
      <c r="F68" s="59"/>
      <c r="G68" s="59"/>
      <c r="N68" s="60"/>
    </row>
    <row r="69" ht="15.75" customHeight="1">
      <c r="B69" s="59"/>
      <c r="C69" s="59"/>
      <c r="D69" s="59"/>
      <c r="E69" s="59"/>
      <c r="F69" s="59"/>
      <c r="G69" s="59"/>
      <c r="N69" s="60"/>
    </row>
    <row r="70" ht="15.75" customHeight="1">
      <c r="B70" s="59"/>
      <c r="C70" s="59"/>
      <c r="D70" s="59"/>
      <c r="E70" s="59"/>
      <c r="F70" s="59"/>
      <c r="G70" s="59"/>
      <c r="N70" s="60"/>
    </row>
    <row r="71" ht="15.75" customHeight="1">
      <c r="B71" s="59"/>
      <c r="C71" s="59"/>
      <c r="D71" s="59"/>
      <c r="E71" s="59"/>
      <c r="F71" s="59"/>
      <c r="G71" s="59"/>
      <c r="N71" s="60"/>
    </row>
    <row r="72" ht="15.75" customHeight="1">
      <c r="B72" s="59"/>
      <c r="C72" s="59"/>
      <c r="D72" s="59"/>
      <c r="E72" s="59"/>
      <c r="F72" s="59"/>
      <c r="G72" s="59"/>
      <c r="N72" s="60"/>
    </row>
    <row r="73" ht="15.75" customHeight="1">
      <c r="B73" s="59"/>
      <c r="C73" s="59"/>
      <c r="D73" s="59"/>
      <c r="E73" s="59"/>
      <c r="F73" s="59"/>
      <c r="G73" s="59"/>
      <c r="N73" s="60"/>
    </row>
    <row r="74" ht="15.75" customHeight="1">
      <c r="B74" s="59"/>
      <c r="C74" s="59"/>
      <c r="D74" s="59"/>
      <c r="E74" s="59"/>
      <c r="F74" s="59"/>
      <c r="G74" s="59"/>
      <c r="N74" s="60"/>
    </row>
    <row r="75" ht="15.75" customHeight="1">
      <c r="B75" s="59"/>
      <c r="C75" s="59"/>
      <c r="D75" s="59"/>
      <c r="E75" s="59"/>
      <c r="F75" s="59"/>
      <c r="G75" s="59"/>
      <c r="N75" s="60"/>
    </row>
    <row r="76" ht="15.75" customHeight="1">
      <c r="B76" s="59"/>
      <c r="C76" s="59"/>
      <c r="D76" s="59"/>
      <c r="E76" s="59"/>
      <c r="F76" s="59"/>
      <c r="G76" s="59"/>
      <c r="N76" s="60"/>
    </row>
    <row r="77" ht="15.75" customHeight="1">
      <c r="B77" s="59"/>
      <c r="C77" s="59"/>
      <c r="D77" s="59"/>
      <c r="E77" s="59"/>
      <c r="F77" s="59"/>
      <c r="G77" s="59"/>
      <c r="N77" s="60"/>
    </row>
    <row r="78" ht="15.75" customHeight="1">
      <c r="B78" s="59"/>
      <c r="C78" s="59"/>
      <c r="D78" s="59"/>
      <c r="E78" s="59"/>
      <c r="F78" s="59"/>
      <c r="G78" s="59"/>
      <c r="N78" s="60"/>
    </row>
    <row r="79" ht="15.75" customHeight="1">
      <c r="B79" s="59"/>
      <c r="C79" s="59"/>
      <c r="D79" s="59"/>
      <c r="E79" s="59"/>
      <c r="F79" s="59"/>
      <c r="G79" s="59"/>
      <c r="N79" s="60"/>
    </row>
    <row r="80" ht="15.75" customHeight="1">
      <c r="B80" s="59"/>
      <c r="C80" s="59"/>
      <c r="D80" s="59"/>
      <c r="E80" s="59"/>
      <c r="F80" s="59"/>
      <c r="G80" s="59"/>
      <c r="N80" s="60"/>
    </row>
    <row r="81" ht="15.75" customHeight="1">
      <c r="B81" s="59"/>
      <c r="C81" s="59"/>
      <c r="D81" s="59"/>
      <c r="E81" s="59"/>
      <c r="F81" s="59"/>
      <c r="G81" s="59"/>
      <c r="N81" s="60"/>
    </row>
    <row r="82" ht="15.75" customHeight="1">
      <c r="B82" s="59"/>
      <c r="C82" s="59"/>
      <c r="D82" s="59"/>
      <c r="E82" s="59"/>
      <c r="F82" s="59"/>
      <c r="G82" s="59"/>
      <c r="N82" s="60"/>
    </row>
    <row r="83" ht="15.75" customHeight="1">
      <c r="B83" s="59"/>
      <c r="C83" s="59"/>
      <c r="D83" s="59"/>
      <c r="E83" s="59"/>
      <c r="F83" s="59"/>
      <c r="G83" s="59"/>
      <c r="N83" s="60"/>
    </row>
    <row r="84" ht="15.75" customHeight="1">
      <c r="B84" s="59"/>
      <c r="C84" s="59"/>
      <c r="D84" s="59"/>
      <c r="E84" s="59"/>
      <c r="F84" s="59"/>
      <c r="G84" s="59"/>
      <c r="N84" s="60"/>
    </row>
    <row r="85" ht="15.75" customHeight="1">
      <c r="B85" s="59"/>
      <c r="C85" s="59"/>
      <c r="D85" s="59"/>
      <c r="E85" s="59"/>
      <c r="F85" s="59"/>
      <c r="G85" s="59"/>
      <c r="N85" s="60"/>
    </row>
    <row r="86" ht="15.75" customHeight="1">
      <c r="B86" s="59"/>
      <c r="C86" s="59"/>
      <c r="D86" s="59"/>
      <c r="E86" s="59"/>
      <c r="F86" s="59"/>
      <c r="G86" s="59"/>
      <c r="N86" s="60"/>
    </row>
    <row r="87" ht="15.75" customHeight="1">
      <c r="B87" s="59"/>
      <c r="C87" s="59"/>
      <c r="D87" s="59"/>
      <c r="E87" s="59"/>
      <c r="F87" s="59"/>
      <c r="G87" s="59"/>
      <c r="N87" s="60"/>
    </row>
    <row r="88" ht="15.75" customHeight="1">
      <c r="B88" s="59"/>
      <c r="C88" s="59"/>
      <c r="D88" s="59"/>
      <c r="E88" s="59"/>
      <c r="F88" s="59"/>
      <c r="G88" s="59"/>
      <c r="N88" s="60"/>
    </row>
    <row r="89" ht="15.75" customHeight="1">
      <c r="B89" s="59"/>
      <c r="C89" s="59"/>
      <c r="D89" s="59"/>
      <c r="E89" s="59"/>
      <c r="F89" s="59"/>
      <c r="G89" s="59"/>
      <c r="N89" s="60"/>
    </row>
    <row r="90" ht="15.75" customHeight="1">
      <c r="B90" s="59"/>
      <c r="C90" s="59"/>
      <c r="D90" s="59"/>
      <c r="E90" s="59"/>
      <c r="F90" s="59"/>
      <c r="G90" s="59"/>
      <c r="N90" s="60"/>
    </row>
    <row r="91" ht="15.75" customHeight="1">
      <c r="B91" s="59"/>
      <c r="C91" s="59"/>
      <c r="D91" s="59"/>
      <c r="E91" s="59"/>
      <c r="F91" s="59"/>
      <c r="G91" s="59"/>
      <c r="N91" s="60"/>
    </row>
    <row r="92" ht="15.75" customHeight="1">
      <c r="B92" s="59"/>
      <c r="C92" s="59"/>
      <c r="D92" s="59"/>
      <c r="E92" s="59"/>
      <c r="F92" s="59"/>
      <c r="G92" s="59"/>
      <c r="N92" s="60"/>
    </row>
    <row r="93" ht="15.75" customHeight="1">
      <c r="B93" s="59"/>
      <c r="C93" s="59"/>
      <c r="D93" s="59"/>
      <c r="E93" s="59"/>
      <c r="F93" s="59"/>
      <c r="G93" s="59"/>
      <c r="N93" s="60"/>
    </row>
    <row r="94" ht="15.75" customHeight="1">
      <c r="B94" s="59"/>
      <c r="C94" s="59"/>
      <c r="D94" s="59"/>
      <c r="E94" s="59"/>
      <c r="F94" s="59"/>
      <c r="G94" s="59"/>
      <c r="N94" s="60"/>
    </row>
    <row r="95" ht="15.75" customHeight="1">
      <c r="B95" s="59"/>
      <c r="C95" s="59"/>
      <c r="D95" s="59"/>
      <c r="E95" s="59"/>
      <c r="F95" s="59"/>
      <c r="G95" s="59"/>
      <c r="N95" s="60"/>
    </row>
    <row r="96" ht="15.75" customHeight="1">
      <c r="B96" s="59"/>
      <c r="C96" s="59"/>
      <c r="D96" s="59"/>
      <c r="E96" s="59"/>
      <c r="F96" s="59"/>
      <c r="G96" s="59"/>
      <c r="N96" s="60"/>
    </row>
    <row r="97" ht="15.75" customHeight="1">
      <c r="B97" s="59"/>
      <c r="C97" s="59"/>
      <c r="D97" s="59"/>
      <c r="E97" s="59"/>
      <c r="F97" s="59"/>
      <c r="G97" s="59"/>
      <c r="N97" s="60"/>
    </row>
    <row r="98" ht="15.75" customHeight="1">
      <c r="B98" s="59"/>
      <c r="C98" s="59"/>
      <c r="D98" s="59"/>
      <c r="E98" s="59"/>
      <c r="F98" s="59"/>
      <c r="G98" s="59"/>
      <c r="N98" s="60"/>
    </row>
    <row r="99" ht="15.75" customHeight="1">
      <c r="B99" s="59"/>
      <c r="C99" s="59"/>
      <c r="D99" s="59"/>
      <c r="E99" s="59"/>
      <c r="F99" s="59"/>
      <c r="G99" s="59"/>
      <c r="N99" s="60"/>
    </row>
    <row r="100" ht="15.75" customHeight="1">
      <c r="B100" s="59"/>
      <c r="C100" s="59"/>
      <c r="D100" s="59"/>
      <c r="E100" s="59"/>
      <c r="F100" s="59"/>
      <c r="G100" s="59"/>
      <c r="N100" s="60"/>
    </row>
    <row r="101" ht="15.75" customHeight="1">
      <c r="B101" s="59"/>
      <c r="C101" s="59"/>
      <c r="D101" s="59"/>
      <c r="E101" s="59"/>
      <c r="F101" s="59"/>
      <c r="G101" s="59"/>
      <c r="N101" s="60"/>
    </row>
    <row r="102" ht="15.75" customHeight="1">
      <c r="B102" s="59"/>
      <c r="C102" s="59"/>
      <c r="D102" s="59"/>
      <c r="E102" s="59"/>
      <c r="F102" s="59"/>
      <c r="G102" s="59"/>
      <c r="N102" s="60"/>
    </row>
    <row r="103" ht="15.75" customHeight="1">
      <c r="B103" s="59"/>
      <c r="C103" s="59"/>
      <c r="D103" s="59"/>
      <c r="E103" s="59"/>
      <c r="F103" s="59"/>
      <c r="G103" s="59"/>
      <c r="N103" s="60"/>
    </row>
    <row r="104" ht="15.75" customHeight="1">
      <c r="B104" s="59"/>
      <c r="C104" s="59"/>
      <c r="D104" s="59"/>
      <c r="E104" s="59"/>
      <c r="F104" s="59"/>
      <c r="G104" s="59"/>
      <c r="N104" s="60"/>
    </row>
    <row r="105" ht="15.75" customHeight="1">
      <c r="B105" s="59"/>
      <c r="C105" s="59"/>
      <c r="D105" s="59"/>
      <c r="E105" s="59"/>
      <c r="F105" s="59"/>
      <c r="G105" s="59"/>
      <c r="N105" s="60"/>
    </row>
    <row r="106" ht="15.75" customHeight="1">
      <c r="B106" s="59"/>
      <c r="C106" s="59"/>
      <c r="D106" s="59"/>
      <c r="E106" s="59"/>
      <c r="F106" s="59"/>
      <c r="G106" s="59"/>
      <c r="N106" s="60"/>
    </row>
    <row r="107" ht="15.75" customHeight="1">
      <c r="B107" s="59"/>
      <c r="C107" s="59"/>
      <c r="D107" s="59"/>
      <c r="E107" s="59"/>
      <c r="F107" s="59"/>
      <c r="G107" s="59"/>
      <c r="N107" s="60"/>
    </row>
    <row r="108" ht="15.75" customHeight="1">
      <c r="B108" s="59"/>
      <c r="C108" s="59"/>
      <c r="D108" s="59"/>
      <c r="E108" s="59"/>
      <c r="F108" s="59"/>
      <c r="G108" s="59"/>
      <c r="N108" s="60"/>
    </row>
    <row r="109" ht="15.75" customHeight="1">
      <c r="B109" s="59"/>
      <c r="C109" s="59"/>
      <c r="D109" s="59"/>
      <c r="E109" s="59"/>
      <c r="F109" s="59"/>
      <c r="G109" s="59"/>
      <c r="N109" s="60"/>
    </row>
    <row r="110" ht="15.75" customHeight="1">
      <c r="B110" s="59"/>
      <c r="C110" s="59"/>
      <c r="D110" s="59"/>
      <c r="E110" s="59"/>
      <c r="F110" s="59"/>
      <c r="G110" s="59"/>
      <c r="N110" s="60"/>
    </row>
    <row r="111" ht="15.75" customHeight="1">
      <c r="B111" s="59"/>
      <c r="C111" s="59"/>
      <c r="D111" s="59"/>
      <c r="E111" s="59"/>
      <c r="F111" s="59"/>
      <c r="G111" s="59"/>
      <c r="N111" s="60"/>
    </row>
    <row r="112" ht="15.75" customHeight="1">
      <c r="B112" s="59"/>
      <c r="C112" s="59"/>
      <c r="D112" s="59"/>
      <c r="E112" s="59"/>
      <c r="F112" s="59"/>
      <c r="G112" s="59"/>
      <c r="N112" s="60"/>
    </row>
    <row r="113" ht="15.75" customHeight="1">
      <c r="B113" s="59"/>
      <c r="C113" s="59"/>
      <c r="D113" s="59"/>
      <c r="E113" s="59"/>
      <c r="F113" s="59"/>
      <c r="G113" s="59"/>
      <c r="N113" s="60"/>
    </row>
    <row r="114" ht="15.75" customHeight="1">
      <c r="B114" s="59"/>
      <c r="C114" s="59"/>
      <c r="D114" s="59"/>
      <c r="E114" s="59"/>
      <c r="F114" s="59"/>
      <c r="G114" s="59"/>
      <c r="N114" s="60"/>
    </row>
    <row r="115" ht="15.75" customHeight="1">
      <c r="B115" s="59"/>
      <c r="C115" s="59"/>
      <c r="D115" s="59"/>
      <c r="E115" s="59"/>
      <c r="F115" s="59"/>
      <c r="G115" s="59"/>
      <c r="N115" s="60"/>
    </row>
    <row r="116" ht="15.75" customHeight="1">
      <c r="B116" s="59"/>
      <c r="C116" s="59"/>
      <c r="D116" s="59"/>
      <c r="E116" s="59"/>
      <c r="F116" s="59"/>
      <c r="G116" s="59"/>
      <c r="N116" s="60"/>
    </row>
    <row r="117" ht="15.75" customHeight="1">
      <c r="B117" s="59"/>
      <c r="C117" s="59"/>
      <c r="D117" s="59"/>
      <c r="E117" s="59"/>
      <c r="F117" s="59"/>
      <c r="G117" s="59"/>
      <c r="N117" s="60"/>
    </row>
    <row r="118" ht="15.75" customHeight="1">
      <c r="B118" s="59"/>
      <c r="C118" s="59"/>
      <c r="D118" s="59"/>
      <c r="E118" s="59"/>
      <c r="F118" s="59"/>
      <c r="G118" s="59"/>
      <c r="N118" s="60"/>
    </row>
    <row r="119" ht="15.75" customHeight="1">
      <c r="B119" s="59"/>
      <c r="C119" s="59"/>
      <c r="D119" s="59"/>
      <c r="E119" s="59"/>
      <c r="F119" s="59"/>
      <c r="G119" s="59"/>
      <c r="N119" s="60"/>
    </row>
    <row r="120" ht="15.75" customHeight="1">
      <c r="B120" s="59"/>
      <c r="C120" s="59"/>
      <c r="D120" s="59"/>
      <c r="E120" s="59"/>
      <c r="F120" s="59"/>
      <c r="G120" s="59"/>
      <c r="N120" s="60"/>
    </row>
    <row r="121" ht="15.75" customHeight="1">
      <c r="B121" s="59"/>
      <c r="C121" s="59"/>
      <c r="D121" s="59"/>
      <c r="E121" s="59"/>
      <c r="F121" s="59"/>
      <c r="G121" s="59"/>
      <c r="N121" s="60"/>
    </row>
    <row r="122" ht="15.75" customHeight="1">
      <c r="B122" s="59"/>
      <c r="C122" s="59"/>
      <c r="D122" s="59"/>
      <c r="E122" s="59"/>
      <c r="F122" s="59"/>
      <c r="G122" s="59"/>
      <c r="N122" s="60"/>
    </row>
    <row r="123" ht="15.75" customHeight="1">
      <c r="B123" s="59"/>
      <c r="C123" s="59"/>
      <c r="D123" s="59"/>
      <c r="E123" s="59"/>
      <c r="F123" s="59"/>
      <c r="G123" s="59"/>
      <c r="N123" s="60"/>
    </row>
    <row r="124" ht="15.75" customHeight="1">
      <c r="B124" s="59"/>
      <c r="C124" s="59"/>
      <c r="D124" s="59"/>
      <c r="E124" s="59"/>
      <c r="F124" s="59"/>
      <c r="G124" s="59"/>
      <c r="N124" s="60"/>
    </row>
    <row r="125" ht="15.75" customHeight="1">
      <c r="B125" s="59"/>
      <c r="C125" s="59"/>
      <c r="D125" s="59"/>
      <c r="E125" s="59"/>
      <c r="F125" s="59"/>
      <c r="G125" s="59"/>
      <c r="N125" s="60"/>
    </row>
    <row r="126" ht="15.75" customHeight="1">
      <c r="B126" s="59"/>
      <c r="C126" s="59"/>
      <c r="D126" s="59"/>
      <c r="E126" s="59"/>
      <c r="F126" s="59"/>
      <c r="G126" s="59"/>
      <c r="N126" s="60"/>
    </row>
    <row r="127" ht="15.75" customHeight="1">
      <c r="B127" s="59"/>
      <c r="C127" s="59"/>
      <c r="D127" s="59"/>
      <c r="E127" s="59"/>
      <c r="F127" s="59"/>
      <c r="G127" s="59"/>
      <c r="N127" s="60"/>
    </row>
    <row r="128" ht="15.75" customHeight="1">
      <c r="B128" s="59"/>
      <c r="C128" s="59"/>
      <c r="D128" s="59"/>
      <c r="E128" s="59"/>
      <c r="F128" s="59"/>
      <c r="G128" s="59"/>
      <c r="N128" s="60"/>
    </row>
    <row r="129" ht="15.75" customHeight="1">
      <c r="B129" s="59"/>
      <c r="C129" s="59"/>
      <c r="D129" s="59"/>
      <c r="E129" s="59"/>
      <c r="F129" s="59"/>
      <c r="G129" s="59"/>
      <c r="N129" s="60"/>
    </row>
    <row r="130" ht="15.75" customHeight="1">
      <c r="B130" s="59"/>
      <c r="C130" s="59"/>
      <c r="D130" s="59"/>
      <c r="E130" s="59"/>
      <c r="F130" s="59"/>
      <c r="G130" s="59"/>
      <c r="N130" s="60"/>
    </row>
    <row r="131" ht="15.75" customHeight="1">
      <c r="B131" s="59"/>
      <c r="C131" s="59"/>
      <c r="D131" s="59"/>
      <c r="E131" s="59"/>
      <c r="F131" s="59"/>
      <c r="G131" s="59"/>
      <c r="N131" s="60"/>
    </row>
    <row r="132" ht="15.75" customHeight="1">
      <c r="B132" s="59"/>
      <c r="C132" s="59"/>
      <c r="D132" s="59"/>
      <c r="E132" s="59"/>
      <c r="F132" s="59"/>
      <c r="G132" s="59"/>
      <c r="N132" s="60"/>
    </row>
    <row r="133" ht="15.75" customHeight="1">
      <c r="B133" s="59"/>
      <c r="C133" s="59"/>
      <c r="D133" s="59"/>
      <c r="E133" s="59"/>
      <c r="F133" s="59"/>
      <c r="G133" s="59"/>
      <c r="N133" s="60"/>
    </row>
    <row r="134" ht="15.75" customHeight="1">
      <c r="B134" s="59"/>
      <c r="C134" s="59"/>
      <c r="D134" s="59"/>
      <c r="E134" s="59"/>
      <c r="F134" s="59"/>
      <c r="G134" s="59"/>
      <c r="N134" s="60"/>
    </row>
    <row r="135" ht="15.75" customHeight="1">
      <c r="B135" s="59"/>
      <c r="C135" s="59"/>
      <c r="D135" s="59"/>
      <c r="E135" s="59"/>
      <c r="F135" s="59"/>
      <c r="G135" s="59"/>
      <c r="N135" s="60"/>
    </row>
    <row r="136" ht="15.75" customHeight="1">
      <c r="B136" s="59"/>
      <c r="C136" s="59"/>
      <c r="D136" s="59"/>
      <c r="E136" s="59"/>
      <c r="F136" s="59"/>
      <c r="G136" s="59"/>
      <c r="N136" s="60"/>
    </row>
    <row r="137" ht="15.75" customHeight="1">
      <c r="B137" s="59"/>
      <c r="C137" s="59"/>
      <c r="D137" s="59"/>
      <c r="E137" s="59"/>
      <c r="F137" s="59"/>
      <c r="G137" s="59"/>
      <c r="N137" s="60"/>
    </row>
    <row r="138" ht="15.75" customHeight="1">
      <c r="B138" s="59"/>
      <c r="C138" s="59"/>
      <c r="D138" s="59"/>
      <c r="E138" s="59"/>
      <c r="F138" s="59"/>
      <c r="G138" s="59"/>
      <c r="N138" s="60"/>
    </row>
    <row r="139" ht="15.75" customHeight="1">
      <c r="B139" s="59"/>
      <c r="C139" s="59"/>
      <c r="D139" s="59"/>
      <c r="E139" s="59"/>
      <c r="F139" s="59"/>
      <c r="G139" s="59"/>
      <c r="N139" s="60"/>
    </row>
    <row r="140" ht="15.75" customHeight="1">
      <c r="B140" s="59"/>
      <c r="C140" s="59"/>
      <c r="D140" s="59"/>
      <c r="E140" s="59"/>
      <c r="F140" s="59"/>
      <c r="G140" s="59"/>
      <c r="N140" s="60"/>
    </row>
    <row r="141" ht="15.75" customHeight="1">
      <c r="B141" s="59"/>
      <c r="C141" s="59"/>
      <c r="D141" s="59"/>
      <c r="E141" s="59"/>
      <c r="F141" s="59"/>
      <c r="G141" s="59"/>
      <c r="N141" s="60"/>
    </row>
    <row r="142" ht="15.75" customHeight="1">
      <c r="B142" s="59"/>
      <c r="C142" s="59"/>
      <c r="D142" s="59"/>
      <c r="E142" s="59"/>
      <c r="F142" s="59"/>
      <c r="G142" s="59"/>
      <c r="N142" s="60"/>
    </row>
    <row r="143" ht="15.75" customHeight="1">
      <c r="B143" s="59"/>
      <c r="C143" s="59"/>
      <c r="D143" s="59"/>
      <c r="E143" s="59"/>
      <c r="F143" s="59"/>
      <c r="G143" s="59"/>
      <c r="N143" s="60"/>
    </row>
    <row r="144" ht="15.75" customHeight="1">
      <c r="B144" s="59"/>
      <c r="C144" s="59"/>
      <c r="D144" s="59"/>
      <c r="E144" s="59"/>
      <c r="F144" s="59"/>
      <c r="G144" s="59"/>
      <c r="N144" s="60"/>
    </row>
    <row r="145" ht="15.75" customHeight="1">
      <c r="B145" s="59"/>
      <c r="C145" s="59"/>
      <c r="D145" s="59"/>
      <c r="E145" s="59"/>
      <c r="F145" s="59"/>
      <c r="G145" s="59"/>
      <c r="N145" s="60"/>
    </row>
    <row r="146" ht="15.75" customHeight="1">
      <c r="B146" s="59"/>
      <c r="C146" s="59"/>
      <c r="D146" s="59"/>
      <c r="E146" s="59"/>
      <c r="F146" s="59"/>
      <c r="G146" s="59"/>
      <c r="N146" s="60"/>
    </row>
    <row r="147" ht="15.75" customHeight="1">
      <c r="B147" s="59"/>
      <c r="C147" s="59"/>
      <c r="D147" s="59"/>
      <c r="E147" s="59"/>
      <c r="F147" s="59"/>
      <c r="G147" s="59"/>
      <c r="N147" s="60"/>
    </row>
    <row r="148" ht="15.75" customHeight="1">
      <c r="B148" s="59"/>
      <c r="C148" s="59"/>
      <c r="D148" s="59"/>
      <c r="E148" s="59"/>
      <c r="F148" s="59"/>
      <c r="G148" s="59"/>
      <c r="N148" s="60"/>
    </row>
    <row r="149" ht="15.75" customHeight="1">
      <c r="B149" s="59"/>
      <c r="C149" s="59"/>
      <c r="D149" s="59"/>
      <c r="E149" s="59"/>
      <c r="F149" s="59"/>
      <c r="G149" s="59"/>
      <c r="N149" s="60"/>
    </row>
    <row r="150" ht="15.75" customHeight="1">
      <c r="B150" s="59"/>
      <c r="C150" s="59"/>
      <c r="D150" s="59"/>
      <c r="E150" s="59"/>
      <c r="F150" s="59"/>
      <c r="G150" s="59"/>
      <c r="N150" s="60"/>
    </row>
    <row r="151" ht="15.75" customHeight="1">
      <c r="B151" s="59"/>
      <c r="C151" s="59"/>
      <c r="D151" s="59"/>
      <c r="E151" s="59"/>
      <c r="F151" s="59"/>
      <c r="G151" s="59"/>
      <c r="N151" s="60"/>
    </row>
    <row r="152" ht="15.75" customHeight="1">
      <c r="B152" s="59"/>
      <c r="C152" s="59"/>
      <c r="D152" s="59"/>
      <c r="E152" s="59"/>
      <c r="F152" s="59"/>
      <c r="G152" s="59"/>
      <c r="N152" s="60"/>
    </row>
    <row r="153" ht="15.75" customHeight="1">
      <c r="B153" s="59"/>
      <c r="C153" s="59"/>
      <c r="D153" s="59"/>
      <c r="E153" s="59"/>
      <c r="F153" s="59"/>
      <c r="G153" s="59"/>
      <c r="N153" s="60"/>
    </row>
    <row r="154" ht="15.75" customHeight="1">
      <c r="B154" s="59"/>
      <c r="C154" s="59"/>
      <c r="D154" s="59"/>
      <c r="E154" s="59"/>
      <c r="F154" s="59"/>
      <c r="G154" s="59"/>
      <c r="N154" s="60"/>
    </row>
    <row r="155" ht="15.75" customHeight="1">
      <c r="B155" s="59"/>
      <c r="C155" s="59"/>
      <c r="D155" s="59"/>
      <c r="E155" s="59"/>
      <c r="F155" s="59"/>
      <c r="G155" s="59"/>
      <c r="N155" s="60"/>
    </row>
    <row r="156" ht="15.75" customHeight="1">
      <c r="B156" s="59"/>
      <c r="C156" s="59"/>
      <c r="D156" s="59"/>
      <c r="E156" s="59"/>
      <c r="F156" s="59"/>
      <c r="G156" s="59"/>
      <c r="N156" s="60"/>
    </row>
    <row r="157" ht="15.75" customHeight="1">
      <c r="B157" s="59"/>
      <c r="C157" s="59"/>
      <c r="D157" s="59"/>
      <c r="E157" s="59"/>
      <c r="F157" s="59"/>
      <c r="G157" s="59"/>
      <c r="N157" s="60"/>
    </row>
    <row r="158" ht="15.75" customHeight="1">
      <c r="B158" s="59"/>
      <c r="C158" s="59"/>
      <c r="D158" s="59"/>
      <c r="E158" s="59"/>
      <c r="F158" s="59"/>
      <c r="G158" s="59"/>
      <c r="N158" s="60"/>
    </row>
    <row r="159" ht="15.75" customHeight="1">
      <c r="B159" s="59"/>
      <c r="C159" s="59"/>
      <c r="D159" s="59"/>
      <c r="E159" s="59"/>
      <c r="F159" s="59"/>
      <c r="G159" s="59"/>
      <c r="N159" s="60"/>
    </row>
    <row r="160" ht="15.75" customHeight="1">
      <c r="B160" s="59"/>
      <c r="C160" s="59"/>
      <c r="D160" s="59"/>
      <c r="E160" s="59"/>
      <c r="F160" s="59"/>
      <c r="G160" s="59"/>
      <c r="N160" s="60"/>
    </row>
    <row r="161" ht="15.75" customHeight="1">
      <c r="B161" s="59"/>
      <c r="C161" s="59"/>
      <c r="D161" s="59"/>
      <c r="E161" s="59"/>
      <c r="F161" s="59"/>
      <c r="G161" s="59"/>
      <c r="N161" s="60"/>
    </row>
    <row r="162" ht="15.75" customHeight="1">
      <c r="B162" s="59"/>
      <c r="C162" s="59"/>
      <c r="D162" s="59"/>
      <c r="E162" s="59"/>
      <c r="F162" s="59"/>
      <c r="G162" s="59"/>
      <c r="N162" s="60"/>
    </row>
    <row r="163" ht="15.75" customHeight="1">
      <c r="B163" s="59"/>
      <c r="C163" s="59"/>
      <c r="D163" s="59"/>
      <c r="E163" s="59"/>
      <c r="F163" s="59"/>
      <c r="G163" s="59"/>
      <c r="N163" s="60"/>
    </row>
    <row r="164" ht="15.75" customHeight="1">
      <c r="B164" s="59"/>
      <c r="C164" s="59"/>
      <c r="D164" s="59"/>
      <c r="E164" s="59"/>
      <c r="F164" s="59"/>
      <c r="G164" s="59"/>
      <c r="N164" s="60"/>
    </row>
    <row r="165" ht="15.75" customHeight="1">
      <c r="B165" s="59"/>
      <c r="C165" s="59"/>
      <c r="D165" s="59"/>
      <c r="E165" s="59"/>
      <c r="F165" s="59"/>
      <c r="G165" s="59"/>
      <c r="N165" s="60"/>
    </row>
    <row r="166" ht="15.75" customHeight="1">
      <c r="B166" s="59"/>
      <c r="C166" s="59"/>
      <c r="D166" s="59"/>
      <c r="E166" s="59"/>
      <c r="F166" s="59"/>
      <c r="G166" s="59"/>
      <c r="N166" s="60"/>
    </row>
    <row r="167" ht="15.75" customHeight="1">
      <c r="B167" s="59"/>
      <c r="C167" s="59"/>
      <c r="D167" s="59"/>
      <c r="E167" s="59"/>
      <c r="F167" s="59"/>
      <c r="G167" s="59"/>
      <c r="N167" s="60"/>
    </row>
    <row r="168" ht="15.75" customHeight="1">
      <c r="B168" s="59"/>
      <c r="C168" s="59"/>
      <c r="D168" s="59"/>
      <c r="E168" s="59"/>
      <c r="F168" s="59"/>
      <c r="G168" s="59"/>
      <c r="N168" s="60"/>
    </row>
    <row r="169" ht="15.75" customHeight="1">
      <c r="B169" s="59"/>
      <c r="C169" s="59"/>
      <c r="D169" s="59"/>
      <c r="E169" s="59"/>
      <c r="F169" s="59"/>
      <c r="G169" s="59"/>
      <c r="N169" s="60"/>
    </row>
    <row r="170" ht="15.75" customHeight="1">
      <c r="B170" s="59"/>
      <c r="C170" s="59"/>
      <c r="D170" s="59"/>
      <c r="E170" s="59"/>
      <c r="F170" s="59"/>
      <c r="G170" s="59"/>
      <c r="N170" s="60"/>
    </row>
    <row r="171" ht="15.75" customHeight="1">
      <c r="B171" s="59"/>
      <c r="C171" s="59"/>
      <c r="D171" s="59"/>
      <c r="E171" s="59"/>
      <c r="F171" s="59"/>
      <c r="G171" s="59"/>
      <c r="N171" s="60"/>
    </row>
    <row r="172" ht="15.75" customHeight="1">
      <c r="B172" s="59"/>
      <c r="C172" s="59"/>
      <c r="D172" s="59"/>
      <c r="E172" s="59"/>
      <c r="F172" s="59"/>
      <c r="G172" s="59"/>
      <c r="N172" s="60"/>
    </row>
    <row r="173" ht="15.75" customHeight="1">
      <c r="B173" s="59"/>
      <c r="C173" s="59"/>
      <c r="D173" s="59"/>
      <c r="E173" s="59"/>
      <c r="F173" s="59"/>
      <c r="G173" s="59"/>
      <c r="N173" s="60"/>
    </row>
    <row r="174" ht="15.75" customHeight="1">
      <c r="B174" s="59"/>
      <c r="C174" s="59"/>
      <c r="D174" s="59"/>
      <c r="E174" s="59"/>
      <c r="F174" s="59"/>
      <c r="G174" s="59"/>
      <c r="N174" s="60"/>
    </row>
    <row r="175" ht="15.75" customHeight="1">
      <c r="B175" s="59"/>
      <c r="C175" s="59"/>
      <c r="D175" s="59"/>
      <c r="E175" s="59"/>
      <c r="F175" s="59"/>
      <c r="G175" s="59"/>
      <c r="N175" s="60"/>
    </row>
    <row r="176" ht="15.75" customHeight="1">
      <c r="B176" s="59"/>
      <c r="C176" s="59"/>
      <c r="D176" s="59"/>
      <c r="E176" s="59"/>
      <c r="F176" s="59"/>
      <c r="G176" s="59"/>
      <c r="N176" s="60"/>
    </row>
    <row r="177" ht="15.75" customHeight="1">
      <c r="B177" s="59"/>
      <c r="C177" s="59"/>
      <c r="D177" s="59"/>
      <c r="E177" s="59"/>
      <c r="F177" s="59"/>
      <c r="G177" s="59"/>
      <c r="N177" s="60"/>
    </row>
    <row r="178" ht="15.75" customHeight="1">
      <c r="B178" s="59"/>
      <c r="C178" s="59"/>
      <c r="D178" s="59"/>
      <c r="E178" s="59"/>
      <c r="F178" s="59"/>
      <c r="G178" s="59"/>
      <c r="N178" s="60"/>
    </row>
    <row r="179" ht="15.75" customHeight="1">
      <c r="B179" s="59"/>
      <c r="C179" s="59"/>
      <c r="D179" s="59"/>
      <c r="E179" s="59"/>
      <c r="F179" s="59"/>
      <c r="G179" s="59"/>
      <c r="N179" s="60"/>
    </row>
    <row r="180" ht="15.75" customHeight="1">
      <c r="B180" s="59"/>
      <c r="C180" s="59"/>
      <c r="D180" s="59"/>
      <c r="E180" s="59"/>
      <c r="F180" s="59"/>
      <c r="G180" s="59"/>
      <c r="N180" s="60"/>
    </row>
    <row r="181" ht="15.75" customHeight="1">
      <c r="B181" s="59"/>
      <c r="C181" s="59"/>
      <c r="D181" s="59"/>
      <c r="E181" s="59"/>
      <c r="F181" s="59"/>
      <c r="G181" s="59"/>
      <c r="N181" s="60"/>
    </row>
    <row r="182" ht="15.75" customHeight="1">
      <c r="B182" s="59"/>
      <c r="C182" s="59"/>
      <c r="D182" s="59"/>
      <c r="E182" s="59"/>
      <c r="F182" s="59"/>
      <c r="G182" s="59"/>
      <c r="N182" s="60"/>
    </row>
    <row r="183" ht="15.75" customHeight="1">
      <c r="B183" s="59"/>
      <c r="C183" s="59"/>
      <c r="D183" s="59"/>
      <c r="E183" s="59"/>
      <c r="F183" s="59"/>
      <c r="G183" s="59"/>
      <c r="N183" s="60"/>
    </row>
    <row r="184" ht="15.75" customHeight="1">
      <c r="B184" s="59"/>
      <c r="C184" s="59"/>
      <c r="D184" s="59"/>
      <c r="E184" s="59"/>
      <c r="F184" s="59"/>
      <c r="G184" s="59"/>
      <c r="N184" s="60"/>
    </row>
    <row r="185" ht="15.75" customHeight="1">
      <c r="B185" s="59"/>
      <c r="C185" s="59"/>
      <c r="D185" s="59"/>
      <c r="E185" s="59"/>
      <c r="F185" s="59"/>
      <c r="G185" s="59"/>
      <c r="N185" s="60"/>
    </row>
    <row r="186" ht="15.75" customHeight="1">
      <c r="B186" s="59"/>
      <c r="C186" s="59"/>
      <c r="D186" s="59"/>
      <c r="E186" s="59"/>
      <c r="F186" s="59"/>
      <c r="G186" s="59"/>
      <c r="N186" s="60"/>
    </row>
    <row r="187" ht="15.75" customHeight="1">
      <c r="B187" s="59"/>
      <c r="C187" s="59"/>
      <c r="D187" s="59"/>
      <c r="E187" s="59"/>
      <c r="F187" s="59"/>
      <c r="G187" s="59"/>
      <c r="N187" s="60"/>
    </row>
    <row r="188" ht="15.75" customHeight="1">
      <c r="B188" s="59"/>
      <c r="C188" s="59"/>
      <c r="D188" s="59"/>
      <c r="E188" s="59"/>
      <c r="F188" s="59"/>
      <c r="G188" s="59"/>
      <c r="N188" s="60"/>
    </row>
    <row r="189" ht="15.75" customHeight="1">
      <c r="B189" s="59"/>
      <c r="C189" s="59"/>
      <c r="D189" s="59"/>
      <c r="E189" s="59"/>
      <c r="F189" s="59"/>
      <c r="G189" s="59"/>
      <c r="N189" s="60"/>
    </row>
    <row r="190" ht="15.75" customHeight="1">
      <c r="B190" s="59"/>
      <c r="C190" s="59"/>
      <c r="D190" s="59"/>
      <c r="E190" s="59"/>
      <c r="F190" s="59"/>
      <c r="G190" s="59"/>
      <c r="N190" s="60"/>
    </row>
    <row r="191" ht="15.75" customHeight="1">
      <c r="B191" s="59"/>
      <c r="C191" s="59"/>
      <c r="D191" s="59"/>
      <c r="E191" s="59"/>
      <c r="F191" s="59"/>
      <c r="G191" s="59"/>
      <c r="N191" s="60"/>
    </row>
    <row r="192" ht="15.75" customHeight="1">
      <c r="B192" s="59"/>
      <c r="C192" s="59"/>
      <c r="D192" s="59"/>
      <c r="E192" s="59"/>
      <c r="F192" s="59"/>
      <c r="G192" s="59"/>
      <c r="N192" s="60"/>
    </row>
    <row r="193" ht="15.75" customHeight="1">
      <c r="B193" s="59"/>
      <c r="C193" s="59"/>
      <c r="D193" s="59"/>
      <c r="E193" s="59"/>
      <c r="F193" s="59"/>
      <c r="G193" s="59"/>
      <c r="N193" s="60"/>
    </row>
    <row r="194" ht="15.75" customHeight="1">
      <c r="B194" s="59"/>
      <c r="C194" s="59"/>
      <c r="D194" s="59"/>
      <c r="E194" s="59"/>
      <c r="F194" s="59"/>
      <c r="G194" s="59"/>
      <c r="N194" s="60"/>
    </row>
    <row r="195" ht="15.75" customHeight="1">
      <c r="B195" s="59"/>
      <c r="C195" s="59"/>
      <c r="D195" s="59"/>
      <c r="E195" s="59"/>
      <c r="F195" s="59"/>
      <c r="G195" s="59"/>
      <c r="N195" s="60"/>
    </row>
    <row r="196" ht="15.75" customHeight="1">
      <c r="B196" s="59"/>
      <c r="C196" s="59"/>
      <c r="D196" s="59"/>
      <c r="E196" s="59"/>
      <c r="F196" s="59"/>
      <c r="G196" s="59"/>
      <c r="N196" s="60"/>
    </row>
    <row r="197" ht="15.75" customHeight="1">
      <c r="B197" s="59"/>
      <c r="C197" s="59"/>
      <c r="D197" s="59"/>
      <c r="E197" s="59"/>
      <c r="F197" s="59"/>
      <c r="G197" s="59"/>
      <c r="N197" s="60"/>
    </row>
    <row r="198" ht="15.75" customHeight="1">
      <c r="B198" s="59"/>
      <c r="C198" s="59"/>
      <c r="D198" s="59"/>
      <c r="E198" s="59"/>
      <c r="F198" s="59"/>
      <c r="G198" s="59"/>
      <c r="N198" s="60"/>
    </row>
    <row r="199" ht="15.75" customHeight="1">
      <c r="B199" s="59"/>
      <c r="C199" s="59"/>
      <c r="D199" s="59"/>
      <c r="E199" s="59"/>
      <c r="F199" s="59"/>
      <c r="G199" s="59"/>
      <c r="N199" s="60"/>
    </row>
    <row r="200" ht="15.75" customHeight="1">
      <c r="B200" s="59"/>
      <c r="C200" s="59"/>
      <c r="D200" s="59"/>
      <c r="E200" s="59"/>
      <c r="F200" s="59"/>
      <c r="G200" s="59"/>
      <c r="N200" s="60"/>
    </row>
    <row r="201" ht="15.75" customHeight="1">
      <c r="B201" s="59"/>
      <c r="C201" s="59"/>
      <c r="D201" s="59"/>
      <c r="E201" s="59"/>
      <c r="F201" s="59"/>
      <c r="G201" s="59"/>
      <c r="N201" s="60"/>
    </row>
    <row r="202" ht="15.75" customHeight="1">
      <c r="B202" s="59"/>
      <c r="C202" s="59"/>
      <c r="D202" s="59"/>
      <c r="E202" s="59"/>
      <c r="F202" s="59"/>
      <c r="G202" s="59"/>
      <c r="N202" s="60"/>
    </row>
    <row r="203" ht="15.75" customHeight="1">
      <c r="B203" s="59"/>
      <c r="C203" s="59"/>
      <c r="D203" s="59"/>
      <c r="E203" s="59"/>
      <c r="F203" s="59"/>
      <c r="G203" s="59"/>
      <c r="N203" s="60"/>
    </row>
    <row r="204" ht="15.75" customHeight="1">
      <c r="B204" s="59"/>
      <c r="C204" s="59"/>
      <c r="D204" s="59"/>
      <c r="E204" s="59"/>
      <c r="F204" s="59"/>
      <c r="G204" s="59"/>
      <c r="N204" s="60"/>
    </row>
    <row r="205" ht="15.75" customHeight="1">
      <c r="B205" s="59"/>
      <c r="C205" s="59"/>
      <c r="D205" s="59"/>
      <c r="E205" s="59"/>
      <c r="F205" s="59"/>
      <c r="G205" s="59"/>
      <c r="N205" s="60"/>
    </row>
    <row r="206" ht="15.75" customHeight="1">
      <c r="B206" s="59"/>
      <c r="C206" s="59"/>
      <c r="D206" s="59"/>
      <c r="E206" s="59"/>
      <c r="F206" s="59"/>
      <c r="G206" s="59"/>
      <c r="N206" s="60"/>
    </row>
    <row r="207" ht="15.75" customHeight="1">
      <c r="B207" s="59"/>
      <c r="C207" s="59"/>
      <c r="D207" s="59"/>
      <c r="E207" s="59"/>
      <c r="F207" s="59"/>
      <c r="G207" s="59"/>
      <c r="N207" s="60"/>
    </row>
    <row r="208" ht="15.75" customHeight="1">
      <c r="B208" s="59"/>
      <c r="C208" s="59"/>
      <c r="D208" s="59"/>
      <c r="E208" s="59"/>
      <c r="F208" s="59"/>
      <c r="G208" s="59"/>
      <c r="N208" s="60"/>
    </row>
    <row r="209" ht="15.75" customHeight="1">
      <c r="B209" s="59"/>
      <c r="C209" s="59"/>
      <c r="D209" s="59"/>
      <c r="E209" s="59"/>
      <c r="F209" s="59"/>
      <c r="G209" s="59"/>
      <c r="N209" s="60"/>
    </row>
    <row r="210" ht="15.75" customHeight="1">
      <c r="B210" s="59"/>
      <c r="C210" s="59"/>
      <c r="D210" s="59"/>
      <c r="E210" s="59"/>
      <c r="F210" s="59"/>
      <c r="G210" s="59"/>
      <c r="N210" s="60"/>
    </row>
    <row r="211" ht="15.75" customHeight="1">
      <c r="B211" s="59"/>
      <c r="C211" s="59"/>
      <c r="D211" s="59"/>
      <c r="E211" s="59"/>
      <c r="F211" s="59"/>
      <c r="G211" s="59"/>
      <c r="N211" s="60"/>
    </row>
    <row r="212" ht="15.75" customHeight="1">
      <c r="B212" s="59"/>
      <c r="C212" s="59"/>
      <c r="D212" s="59"/>
      <c r="E212" s="59"/>
      <c r="F212" s="59"/>
      <c r="G212" s="59"/>
      <c r="N212" s="60"/>
    </row>
    <row r="213" ht="15.75" customHeight="1">
      <c r="B213" s="59"/>
      <c r="C213" s="59"/>
      <c r="D213" s="59"/>
      <c r="E213" s="59"/>
      <c r="F213" s="59"/>
      <c r="G213" s="59"/>
      <c r="N213" s="60"/>
    </row>
    <row r="214" ht="15.75" customHeight="1">
      <c r="B214" s="59"/>
      <c r="C214" s="59"/>
      <c r="D214" s="59"/>
      <c r="E214" s="59"/>
      <c r="F214" s="59"/>
      <c r="G214" s="59"/>
      <c r="N214" s="60"/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1">
    <mergeCell ref="A1:M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22.13"/>
    <col customWidth="1" min="2" max="2" width="25.75"/>
    <col customWidth="1" hidden="1" min="3" max="3" width="12.63"/>
    <col customWidth="1" min="4" max="7" width="12.63"/>
  </cols>
  <sheetData>
    <row r="1" ht="15.75" customHeight="1">
      <c r="A1" s="68"/>
      <c r="B1" s="68"/>
      <c r="C1" s="69"/>
      <c r="D1" s="68">
        <v>2026.0</v>
      </c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</row>
    <row r="2" ht="15.75" customHeight="1">
      <c r="A2" s="70" t="s">
        <v>73</v>
      </c>
      <c r="B2" s="71"/>
      <c r="C2" s="72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</row>
    <row r="3" ht="15.75" customHeight="1">
      <c r="A3" s="73" t="s">
        <v>74</v>
      </c>
      <c r="B3" s="73" t="s">
        <v>75</v>
      </c>
      <c r="C3" s="72"/>
      <c r="D3" s="74" t="s">
        <v>76</v>
      </c>
      <c r="E3" s="75" t="s">
        <v>77</v>
      </c>
      <c r="F3" s="75" t="s">
        <v>78</v>
      </c>
      <c r="G3" s="75" t="s">
        <v>79</v>
      </c>
      <c r="H3" s="75" t="s">
        <v>80</v>
      </c>
      <c r="I3" s="75" t="s">
        <v>81</v>
      </c>
      <c r="J3" s="75" t="s">
        <v>82</v>
      </c>
      <c r="K3" s="75" t="s">
        <v>83</v>
      </c>
      <c r="L3" s="75" t="s">
        <v>84</v>
      </c>
      <c r="M3" s="75" t="s">
        <v>85</v>
      </c>
      <c r="N3" s="75" t="s">
        <v>86</v>
      </c>
      <c r="O3" s="75" t="s">
        <v>87</v>
      </c>
      <c r="P3" s="75" t="s">
        <v>88</v>
      </c>
      <c r="Q3" s="71"/>
    </row>
    <row r="4" ht="15.75" customHeight="1">
      <c r="A4" s="68"/>
      <c r="B4" s="68"/>
      <c r="C4" s="76"/>
      <c r="D4" s="68" t="s">
        <v>27</v>
      </c>
      <c r="E4" s="68">
        <v>1.0</v>
      </c>
      <c r="F4" s="68">
        <v>2.0</v>
      </c>
      <c r="G4" s="68">
        <v>3.0</v>
      </c>
      <c r="H4" s="68">
        <v>4.0</v>
      </c>
      <c r="I4" s="68">
        <v>5.0</v>
      </c>
      <c r="J4" s="68">
        <v>6.0</v>
      </c>
      <c r="K4" s="68">
        <v>7.0</v>
      </c>
      <c r="L4" s="68">
        <v>8.0</v>
      </c>
      <c r="M4" s="68">
        <v>9.0</v>
      </c>
      <c r="N4" s="68">
        <v>10.0</v>
      </c>
      <c r="O4" s="68">
        <v>11.0</v>
      </c>
      <c r="P4" s="68">
        <v>12.0</v>
      </c>
      <c r="Q4" s="68"/>
    </row>
    <row r="5" ht="15.75" customHeight="1">
      <c r="A5" s="77"/>
      <c r="B5" s="78" t="s">
        <v>89</v>
      </c>
      <c r="C5" s="79"/>
      <c r="D5" s="80">
        <f t="shared" ref="D5:D12" si="1">SUM(E5:P5)</f>
        <v>435.86</v>
      </c>
      <c r="E5" s="81">
        <f>sumifs(Dados!$N:$N,Dados!$B:$B,B5,Dados!$H:$H,$D$1,Dados!$G:$G,$E$4)</f>
        <v>0</v>
      </c>
      <c r="F5" s="81">
        <f>sumifs(Dados!$N:$N,Dados!$B:$B,B5,Dados!$H:$H,$D$1,Dados!$G:$G,$F$4)</f>
        <v>0</v>
      </c>
      <c r="G5" s="81">
        <f>sumifs(Dados!$N:$N,Dados!$B:$B,B5,Dados!$H:$H,$D$1,Dados!$G:$G,$G$4)</f>
        <v>0</v>
      </c>
      <c r="H5" s="81">
        <f>sumifs(Dados!$N:$N,Dados!$B:$B,B5,Dados!$H:$H,$D$1,Dados!$G:$G,$H$4)</f>
        <v>0</v>
      </c>
      <c r="I5" s="81">
        <f>sumifs(Dados!$N:$N,Dados!$B:$B,B5,Dados!$H:$H,$D$1,Dados!$G:$G,$I$4)</f>
        <v>0</v>
      </c>
      <c r="J5" s="81">
        <f>sumifs(Dados!$N:$N,Dados!$B:$B,B5,Dados!$H:$H,$D$1,Dados!$G:$G,$J$4)</f>
        <v>435.86</v>
      </c>
      <c r="K5" s="81">
        <f>sumifs(Dados!$N:$N,Dados!$B:$B,B5,Dados!$H:$H,$D$1,Dados!$G:$G,$K$4)</f>
        <v>0</v>
      </c>
      <c r="L5" s="81">
        <f>sumifs(Dados!$N:$N,Dados!$B:$B,B5,Dados!$H:$H,$D$1,Dados!$G:$G,$L$4)</f>
        <v>0</v>
      </c>
      <c r="M5" s="81">
        <f>sumifs(Dados!$N:$N,Dados!$B:$B,B5,Dados!$H:$H,$D$1,Dados!$G:$G,$M$4)</f>
        <v>0</v>
      </c>
      <c r="N5" s="81">
        <f>sumifs(Dados!$N:$N,Dados!$B:$B,B5,Dados!$H:$H,$D$1,Dados!$G:$G,$N$4)</f>
        <v>0</v>
      </c>
      <c r="O5" s="81">
        <f>sumifs(Dados!$N:$N,Dados!$B:$B,B5,Dados!$H:$H,$D$1,Dados!$G:$G,$O$4)</f>
        <v>0</v>
      </c>
      <c r="P5" s="81">
        <f>sumifs(Dados!$N:$N,Dados!$B:$B,B5,Dados!$H:$H,$D$1,Dados!$G:$G,$P$4)</f>
        <v>0</v>
      </c>
      <c r="Q5" s="81"/>
    </row>
    <row r="6" ht="15.75" customHeight="1">
      <c r="A6" s="77"/>
      <c r="B6" s="78" t="s">
        <v>90</v>
      </c>
      <c r="C6" s="79"/>
      <c r="D6" s="80">
        <f t="shared" si="1"/>
        <v>0</v>
      </c>
      <c r="E6" s="81">
        <f>sumifs(Dados!$N:$N,Dados!$B:$B,B6,Dados!$H:$H,$D$1,Dados!$G:$G,$E$4)</f>
        <v>0</v>
      </c>
      <c r="F6" s="81">
        <f>sumifs(Dados!$N:$N,Dados!$B:$B,B6,Dados!$H:$H,$D$1,Dados!$G:$G,$F$4)</f>
        <v>0</v>
      </c>
      <c r="G6" s="81">
        <f>sumifs(Dados!$N:$N,Dados!$B:$B,B6,Dados!$H:$H,$D$1,Dados!$G:$G,$G$4)</f>
        <v>0</v>
      </c>
      <c r="H6" s="81">
        <f>sumifs(Dados!$N:$N,Dados!$B:$B,B6,Dados!$H:$H,$D$1,Dados!$G:$G,$H$4)</f>
        <v>0</v>
      </c>
      <c r="I6" s="81">
        <f>sumifs(Dados!$N:$N,Dados!$B:$B,B6,Dados!$H:$H,$D$1,Dados!$G:$G,$I$4)</f>
        <v>0</v>
      </c>
      <c r="J6" s="81">
        <f>sumifs(Dados!$N:$N,Dados!$B:$B,B6,Dados!$H:$H,$D$1,Dados!$G:$G,$J$4)</f>
        <v>0</v>
      </c>
      <c r="K6" s="81">
        <f>sumifs(Dados!$N:$N,Dados!$B:$B,B6,Dados!$H:$H,$D$1,Dados!$G:$G,$K$4)</f>
        <v>0</v>
      </c>
      <c r="L6" s="81">
        <f>sumifs(Dados!$N:$N,Dados!$B:$B,B6,Dados!$H:$H,$D$1,Dados!$G:$G,$L$4)</f>
        <v>0</v>
      </c>
      <c r="M6" s="81">
        <f>sumifs(Dados!$N:$N,Dados!$B:$B,B6,Dados!$H:$H,$D$1,Dados!$G:$G,$M$4)</f>
        <v>0</v>
      </c>
      <c r="N6" s="81">
        <f>sumifs(Dados!$N:$N,Dados!$B:$B,B6,Dados!$H:$H,$D$1,Dados!$G:$G,$N$4)</f>
        <v>0</v>
      </c>
      <c r="O6" s="81">
        <f>sumifs(Dados!$N:$N,Dados!$B:$B,B6,Dados!$H:$H,$D$1,Dados!$G:$G,$O$4)</f>
        <v>0</v>
      </c>
      <c r="P6" s="81">
        <f>sumifs(Dados!$N:$N,Dados!$B:$B,B6,Dados!$H:$H,$D$1,Dados!$G:$G,$P$4)</f>
        <v>0</v>
      </c>
      <c r="Q6" s="81"/>
    </row>
    <row r="7" ht="15.75" customHeight="1">
      <c r="A7" s="77"/>
      <c r="B7" s="78" t="s">
        <v>91</v>
      </c>
      <c r="C7" s="79"/>
      <c r="D7" s="80">
        <f t="shared" si="1"/>
        <v>285.85</v>
      </c>
      <c r="E7" s="81">
        <f>sumifs(Dados!$N:$N,Dados!$B:$B,B7,Dados!$H:$H,$D$1,Dados!$G:$G,$E$4)</f>
        <v>0</v>
      </c>
      <c r="F7" s="81">
        <f>sumifs(Dados!$N:$N,Dados!$B:$B,B7,Dados!$H:$H,$D$1,Dados!$G:$G,$F$4)</f>
        <v>0</v>
      </c>
      <c r="G7" s="81">
        <f>sumifs(Dados!$N:$N,Dados!$B:$B,B7,Dados!$H:$H,$D$1,Dados!$G:$G,$G$4)</f>
        <v>0</v>
      </c>
      <c r="H7" s="81">
        <f>sumifs(Dados!$N:$N,Dados!$B:$B,B7,Dados!$H:$H,$D$1,Dados!$G:$G,$H$4)</f>
        <v>0</v>
      </c>
      <c r="I7" s="81">
        <f>sumifs(Dados!$N:$N,Dados!$B:$B,B7,Dados!$H:$H,$D$1,Dados!$G:$G,$I$4)</f>
        <v>0</v>
      </c>
      <c r="J7" s="81">
        <f>sumifs(Dados!$N:$N,Dados!$B:$B,B7,Dados!$H:$H,$D$1,Dados!$G:$G,$J$4)</f>
        <v>285.85</v>
      </c>
      <c r="K7" s="81">
        <f>sumifs(Dados!$N:$N,Dados!$B:$B,B7,Dados!$H:$H,$D$1,Dados!$G:$G,$K$4)</f>
        <v>0</v>
      </c>
      <c r="L7" s="81">
        <f>sumifs(Dados!$N:$N,Dados!$B:$B,B7,Dados!$H:$H,$D$1,Dados!$G:$G,$L$4)</f>
        <v>0</v>
      </c>
      <c r="M7" s="81">
        <f>sumifs(Dados!$N:$N,Dados!$B:$B,B7,Dados!$H:$H,$D$1,Dados!$G:$G,$M$4)</f>
        <v>0</v>
      </c>
      <c r="N7" s="81">
        <f>sumifs(Dados!$N:$N,Dados!$B:$B,B7,Dados!$H:$H,$D$1,Dados!$G:$G,$N$4)</f>
        <v>0</v>
      </c>
      <c r="O7" s="81">
        <f>sumifs(Dados!$N:$N,Dados!$B:$B,B7,Dados!$H:$H,$D$1,Dados!$G:$G,$O$4)</f>
        <v>0</v>
      </c>
      <c r="P7" s="81">
        <f>sumifs(Dados!$N:$N,Dados!$B:$B,B7,Dados!$H:$H,$D$1,Dados!$G:$G,$P$4)</f>
        <v>0</v>
      </c>
      <c r="Q7" s="81"/>
    </row>
    <row r="8" ht="15.75" customHeight="1">
      <c r="A8" s="77"/>
      <c r="B8" s="78" t="s">
        <v>92</v>
      </c>
      <c r="C8" s="79"/>
      <c r="D8" s="80">
        <f t="shared" si="1"/>
        <v>0</v>
      </c>
      <c r="E8" s="81">
        <f>sumifs(Dados!$N:$N,Dados!$B:$B,B8,Dados!$H:$H,$D$1,Dados!$G:$G,$E$4)</f>
        <v>0</v>
      </c>
      <c r="F8" s="81">
        <f>sumifs(Dados!$N:$N,Dados!$B:$B,B8,Dados!$H:$H,$D$1,Dados!$G:$G,$F$4)</f>
        <v>0</v>
      </c>
      <c r="G8" s="81">
        <f>sumifs(Dados!$N:$N,Dados!$B:$B,B8,Dados!$H:$H,$D$1,Dados!$G:$G,$G$4)</f>
        <v>0</v>
      </c>
      <c r="H8" s="81">
        <f>sumifs(Dados!$N:$N,Dados!$B:$B,B8,Dados!$H:$H,$D$1,Dados!$G:$G,$H$4)</f>
        <v>0</v>
      </c>
      <c r="I8" s="81">
        <f>sumifs(Dados!$N:$N,Dados!$B:$B,B8,Dados!$H:$H,$D$1,Dados!$G:$G,$I$4)</f>
        <v>0</v>
      </c>
      <c r="J8" s="81">
        <f>sumifs(Dados!$N:$N,Dados!$B:$B,B8,Dados!$H:$H,$D$1,Dados!$G:$G,$J$4)</f>
        <v>0</v>
      </c>
      <c r="K8" s="81">
        <f>sumifs(Dados!$N:$N,Dados!$B:$B,B8,Dados!$H:$H,$D$1,Dados!$G:$G,$K$4)</f>
        <v>0</v>
      </c>
      <c r="L8" s="81">
        <f>sumifs(Dados!$N:$N,Dados!$B:$B,B8,Dados!$H:$H,$D$1,Dados!$G:$G,$L$4)</f>
        <v>0</v>
      </c>
      <c r="M8" s="81">
        <f>sumifs(Dados!$N:$N,Dados!$B:$B,B8,Dados!$H:$H,$D$1,Dados!$G:$G,$M$4)</f>
        <v>0</v>
      </c>
      <c r="N8" s="81">
        <f>sumifs(Dados!$N:$N,Dados!$B:$B,B8,Dados!$H:$H,$D$1,Dados!$G:$G,$N$4)</f>
        <v>0</v>
      </c>
      <c r="O8" s="81">
        <f>sumifs(Dados!$N:$N,Dados!$B:$B,B8,Dados!$H:$H,$D$1,Dados!$G:$G,$O$4)</f>
        <v>0</v>
      </c>
      <c r="P8" s="81">
        <f>sumifs(Dados!$N:$N,Dados!$B:$B,B8,Dados!$H:$H,$D$1,Dados!$G:$G,$P$4)</f>
        <v>0</v>
      </c>
      <c r="Q8" s="81"/>
    </row>
    <row r="9" ht="15.75" customHeight="1">
      <c r="A9" s="77"/>
      <c r="B9" s="78" t="s">
        <v>93</v>
      </c>
      <c r="C9" s="79"/>
      <c r="D9" s="80">
        <f t="shared" si="1"/>
        <v>0</v>
      </c>
      <c r="E9" s="81">
        <f>sumifs(Dados!$N:$N,Dados!$B:$B,B9,Dados!$H:$H,$D$1,Dados!$G:$G,$E$4)</f>
        <v>0</v>
      </c>
      <c r="F9" s="81">
        <f>sumifs(Dados!$N:$N,Dados!$B:$B,B9,Dados!$H:$H,$D$1,Dados!$G:$G,$F$4)</f>
        <v>0</v>
      </c>
      <c r="G9" s="81">
        <f>sumifs(Dados!$N:$N,Dados!$B:$B,B9,Dados!$H:$H,$D$1,Dados!$G:$G,$G$4)</f>
        <v>0</v>
      </c>
      <c r="H9" s="81">
        <f>sumifs(Dados!$N:$N,Dados!$B:$B,B9,Dados!$H:$H,$D$1,Dados!$G:$G,$H$4)</f>
        <v>0</v>
      </c>
      <c r="I9" s="81">
        <f>sumifs(Dados!$N:$N,Dados!$B:$B,B9,Dados!$H:$H,$D$1,Dados!$G:$G,$I$4)</f>
        <v>0</v>
      </c>
      <c r="J9" s="81">
        <f>sumifs(Dados!$N:$N,Dados!$B:$B,B9,Dados!$H:$H,$D$1,Dados!$G:$G,$J$4)</f>
        <v>0</v>
      </c>
      <c r="K9" s="81">
        <f>sumifs(Dados!$N:$N,Dados!$B:$B,B9,Dados!$H:$H,$D$1,Dados!$G:$G,$K$4)</f>
        <v>0</v>
      </c>
      <c r="L9" s="81">
        <f>sumifs(Dados!$N:$N,Dados!$B:$B,B9,Dados!$H:$H,$D$1,Dados!$G:$G,$L$4)</f>
        <v>0</v>
      </c>
      <c r="M9" s="81">
        <f>sumifs(Dados!$N:$N,Dados!$B:$B,B9,Dados!$H:$H,$D$1,Dados!$G:$G,$M$4)</f>
        <v>0</v>
      </c>
      <c r="N9" s="81">
        <f>sumifs(Dados!$N:$N,Dados!$B:$B,B9,Dados!$H:$H,$D$1,Dados!$G:$G,$N$4)</f>
        <v>0</v>
      </c>
      <c r="O9" s="81">
        <f>sumifs(Dados!$N:$N,Dados!$B:$B,B9,Dados!$H:$H,$D$1,Dados!$G:$G,$O$4)</f>
        <v>0</v>
      </c>
      <c r="P9" s="81">
        <f>sumifs(Dados!$N:$N,Dados!$B:$B,B9,Dados!$H:$H,$D$1,Dados!$G:$G,$P$4)</f>
        <v>0</v>
      </c>
      <c r="Q9" s="81"/>
    </row>
    <row r="10" ht="15.75" customHeight="1">
      <c r="A10" s="82"/>
      <c r="B10" s="83" t="s">
        <v>94</v>
      </c>
      <c r="C10" s="79"/>
      <c r="D10" s="80">
        <f t="shared" si="1"/>
        <v>0</v>
      </c>
      <c r="E10" s="81">
        <f>sumifs(Dados!$N:$N,Dados!$B:$B,B10,Dados!$H:$H,$D$1,Dados!$G:$G,$E$4)</f>
        <v>0</v>
      </c>
      <c r="F10" s="81">
        <f>sumifs(Dados!$N:$N,Dados!$B:$B,B10,Dados!$H:$H,$D$1,Dados!$G:$G,$F$4)</f>
        <v>0</v>
      </c>
      <c r="G10" s="81">
        <f>sumifs(Dados!$N:$N,Dados!$B:$B,B10,Dados!$H:$H,$D$1,Dados!$G:$G,$G$4)</f>
        <v>0</v>
      </c>
      <c r="H10" s="81">
        <f>sumifs(Dados!$N:$N,Dados!$B:$B,B10,Dados!$H:$H,$D$1,Dados!$G:$G,$H$4)</f>
        <v>0</v>
      </c>
      <c r="I10" s="81">
        <f>sumifs(Dados!$N:$N,Dados!$B:$B,B10,Dados!$H:$H,$D$1,Dados!$G:$G,$I$4)</f>
        <v>0</v>
      </c>
      <c r="J10" s="81">
        <f>sumifs(Dados!$N:$N,Dados!$B:$B,B10,Dados!$H:$H,$D$1,Dados!$G:$G,$J$4)</f>
        <v>0</v>
      </c>
      <c r="K10" s="81">
        <f>sumifs(Dados!$N:$N,Dados!$B:$B,B10,Dados!$H:$H,$D$1,Dados!$G:$G,$K$4)</f>
        <v>0</v>
      </c>
      <c r="L10" s="81">
        <f>sumifs(Dados!$N:$N,Dados!$B:$B,B10,Dados!$H:$H,$D$1,Dados!$G:$G,$L$4)</f>
        <v>0</v>
      </c>
      <c r="M10" s="81">
        <f>sumifs(Dados!$N:$N,Dados!$B:$B,B10,Dados!$H:$H,$D$1,Dados!$G:$G,$M$4)</f>
        <v>0</v>
      </c>
      <c r="N10" s="81">
        <f>sumifs(Dados!$N:$N,Dados!$B:$B,B10,Dados!$H:$H,$D$1,Dados!$G:$G,$N$4)</f>
        <v>0</v>
      </c>
      <c r="O10" s="81">
        <f>sumifs(Dados!$N:$N,Dados!$B:$B,B10,Dados!$H:$H,$D$1,Dados!$G:$G,$O$4)</f>
        <v>0</v>
      </c>
      <c r="P10" s="81">
        <f>sumifs(Dados!$N:$N,Dados!$B:$B,B10,Dados!$H:$H,$D$1,Dados!$G:$G,$P$4)</f>
        <v>0</v>
      </c>
      <c r="Q10" s="81"/>
    </row>
    <row r="11" ht="15.75" customHeight="1">
      <c r="A11" s="87"/>
      <c r="B11" s="83" t="s">
        <v>97</v>
      </c>
      <c r="C11" s="79"/>
      <c r="D11" s="80">
        <f t="shared" si="1"/>
        <v>0</v>
      </c>
      <c r="E11" s="81">
        <f>sumifs(Dados!$N:$N,Dados!$B:$B,B11,Dados!$H:$H,$D$1,Dados!$G:$G,$E$4)</f>
        <v>0</v>
      </c>
      <c r="F11" s="81">
        <f>sumifs(Dados!$N:$N,Dados!$B:$B,B11,Dados!$H:$H,$D$1,Dados!$G:$G,$F$4)</f>
        <v>0</v>
      </c>
      <c r="G11" s="81">
        <f>sumifs(Dados!$N:$N,Dados!$B:$B,B11,Dados!$H:$H,$D$1,Dados!$G:$G,$G$4)</f>
        <v>0</v>
      </c>
      <c r="H11" s="81">
        <f>sumifs(Dados!$N:$N,Dados!$B:$B,B11,Dados!$H:$H,$D$1,Dados!$G:$G,$H$4)</f>
        <v>0</v>
      </c>
      <c r="I11" s="81">
        <f>sumifs(Dados!$N:$N,Dados!$B:$B,B11,Dados!$H:$H,$D$1,Dados!$G:$G,$I$4)</f>
        <v>0</v>
      </c>
      <c r="J11" s="81">
        <f>sumifs(Dados!$N:$N,Dados!$B:$B,B11,Dados!$H:$H,$D$1,Dados!$G:$G,$J$4)</f>
        <v>0</v>
      </c>
      <c r="K11" s="81">
        <f>sumifs(Dados!$N:$N,Dados!$B:$B,B11,Dados!$H:$H,$D$1,Dados!$G:$G,$K$4)</f>
        <v>0</v>
      </c>
      <c r="L11" s="81">
        <f>sumifs(Dados!$N:$N,Dados!$B:$B,B11,Dados!$H:$H,$D$1,Dados!$G:$G,$L$4)</f>
        <v>0</v>
      </c>
      <c r="M11" s="81">
        <f>sumifs(Dados!$N:$N,Dados!$B:$B,B11,Dados!$H:$H,$D$1,Dados!$G:$G,$M$4)</f>
        <v>0</v>
      </c>
      <c r="N11" s="81">
        <f>sumifs(Dados!$N:$N,Dados!$B:$B,B11,Dados!$H:$H,$D$1,Dados!$G:$G,$N$4)</f>
        <v>0</v>
      </c>
      <c r="O11" s="81">
        <f>sumifs(Dados!$N:$N,Dados!$B:$B,B11,Dados!$H:$H,$D$1,Dados!$G:$G,$O$4)</f>
        <v>0</v>
      </c>
      <c r="P11" s="81">
        <f>sumifs(Dados!$N:$N,Dados!$B:$B,B11,Dados!$H:$H,$D$1,Dados!$G:$G,$P$4)</f>
        <v>0</v>
      </c>
      <c r="Q11" s="81"/>
    </row>
    <row r="12" ht="15.75" customHeight="1">
      <c r="A12" s="77"/>
      <c r="B12" s="78" t="s">
        <v>99</v>
      </c>
      <c r="C12" s="79"/>
      <c r="D12" s="80">
        <f t="shared" si="1"/>
        <v>0</v>
      </c>
      <c r="E12" s="81">
        <f>sumifs(Dados!$N:$N,Dados!$B:$B,B12,Dados!$H:$H,$D$1,Dados!$G:$G,$E$4)</f>
        <v>0</v>
      </c>
      <c r="F12" s="81">
        <f>sumifs(Dados!$N:$N,Dados!$B:$B,B12,Dados!$H:$H,$D$1,Dados!$G:$G,$F$4)</f>
        <v>0</v>
      </c>
      <c r="G12" s="81">
        <f>sumifs(Dados!$N:$N,Dados!$B:$B,B12,Dados!$H:$H,$D$1,Dados!$G:$G,$G$4)</f>
        <v>0</v>
      </c>
      <c r="H12" s="81">
        <f>sumifs(Dados!$N:$N,Dados!$B:$B,B12,Dados!$H:$H,$D$1,Dados!$G:$G,$H$4)</f>
        <v>0</v>
      </c>
      <c r="I12" s="81">
        <f>sumifs(Dados!$N:$N,Dados!$B:$B,B12,Dados!$H:$H,$D$1,Dados!$G:$G,$I$4)</f>
        <v>0</v>
      </c>
      <c r="J12" s="81">
        <f>sumifs(Dados!$N:$N,Dados!$B:$B,B12,Dados!$H:$H,$D$1,Dados!$G:$G,$J$4)</f>
        <v>0</v>
      </c>
      <c r="K12" s="81">
        <f>sumifs(Dados!$N:$N,Dados!$B:$B,B12,Dados!$H:$H,$D$1,Dados!$G:$G,$K$4)</f>
        <v>0</v>
      </c>
      <c r="L12" s="81">
        <f>sumifs(Dados!$N:$N,Dados!$B:$B,B12,Dados!$H:$H,$D$1,Dados!$G:$G,$L$4)</f>
        <v>0</v>
      </c>
      <c r="M12" s="81">
        <f>sumifs(Dados!$N:$N,Dados!$B:$B,B12,Dados!$H:$H,$D$1,Dados!$G:$G,$M$4)</f>
        <v>0</v>
      </c>
      <c r="N12" s="81">
        <f>sumifs(Dados!$N:$N,Dados!$B:$B,B12,Dados!$H:$H,$D$1,Dados!$G:$G,$N$4)</f>
        <v>0</v>
      </c>
      <c r="O12" s="81">
        <f>sumifs(Dados!$N:$N,Dados!$B:$B,B12,Dados!$H:$H,$D$1,Dados!$G:$G,$O$4)</f>
        <v>0</v>
      </c>
      <c r="P12" s="81">
        <f>sumifs(Dados!$N:$N,Dados!$B:$B,B12,Dados!$H:$H,$D$1,Dados!$G:$G,$P$4)</f>
        <v>0</v>
      </c>
      <c r="Q12" s="81"/>
    </row>
    <row r="13" ht="15.75" customHeight="1">
      <c r="A13" s="99" t="s">
        <v>100</v>
      </c>
      <c r="B13" s="100">
        <f>sumifs(Dados!$N:$N,Dados!$A:$A,A13,Dados!$H:$H,$D$1)</f>
        <v>721.71</v>
      </c>
      <c r="C13" s="101">
        <f>B13-D13</f>
        <v>0</v>
      </c>
      <c r="D13" s="100">
        <f t="shared" ref="D13:P13" si="2">SUM(D5:D12)</f>
        <v>721.71</v>
      </c>
      <c r="E13" s="100">
        <f t="shared" si="2"/>
        <v>0</v>
      </c>
      <c r="F13" s="100">
        <f t="shared" si="2"/>
        <v>0</v>
      </c>
      <c r="G13" s="100">
        <f t="shared" si="2"/>
        <v>0</v>
      </c>
      <c r="H13" s="100">
        <f t="shared" si="2"/>
        <v>0</v>
      </c>
      <c r="I13" s="100">
        <f t="shared" si="2"/>
        <v>0</v>
      </c>
      <c r="J13" s="100">
        <f t="shared" si="2"/>
        <v>721.71</v>
      </c>
      <c r="K13" s="100">
        <f t="shared" si="2"/>
        <v>0</v>
      </c>
      <c r="L13" s="100">
        <f t="shared" si="2"/>
        <v>0</v>
      </c>
      <c r="M13" s="100">
        <f t="shared" si="2"/>
        <v>0</v>
      </c>
      <c r="N13" s="100">
        <f t="shared" si="2"/>
        <v>0</v>
      </c>
      <c r="O13" s="100">
        <f t="shared" si="2"/>
        <v>0</v>
      </c>
      <c r="P13" s="100">
        <f t="shared" si="2"/>
        <v>0</v>
      </c>
      <c r="Q13" s="100"/>
    </row>
    <row r="14" ht="15.75" customHeight="1">
      <c r="A14" s="77"/>
      <c r="B14" s="78" t="s">
        <v>101</v>
      </c>
      <c r="C14" s="79"/>
      <c r="D14" s="80">
        <f t="shared" ref="D14:D17" si="3">SUM(E14:P14)</f>
        <v>0</v>
      </c>
      <c r="E14" s="81">
        <f>sumifs(Dados!$N:$N,Dados!$B:$B,B14,Dados!$H:$H,$D$1,Dados!$G:$G,$E$4)</f>
        <v>0</v>
      </c>
      <c r="F14" s="81">
        <f>sumifs(Dados!$N:$N,Dados!$B:$B,B14,Dados!$H:$H,$D$1,Dados!$G:$G,$F$4)</f>
        <v>0</v>
      </c>
      <c r="G14" s="81">
        <f>sumifs(Dados!$N:$N,Dados!$B:$B,B14,Dados!$H:$H,$D$1,Dados!$G:$G,$G$4)</f>
        <v>0</v>
      </c>
      <c r="H14" s="81">
        <f>sumifs(Dados!$N:$N,Dados!$B:$B,B14,Dados!$H:$H,$D$1,Dados!$G:$G,$H$4)</f>
        <v>0</v>
      </c>
      <c r="I14" s="81">
        <f>sumifs(Dados!$N:$N,Dados!$B:$B,B14,Dados!$H:$H,$D$1,Dados!$G:$G,$I$4)</f>
        <v>0</v>
      </c>
      <c r="J14" s="81">
        <f>sumifs(Dados!$N:$N,Dados!$B:$B,B14,Dados!$H:$H,$D$1,Dados!$G:$G,$J$4)</f>
        <v>0</v>
      </c>
      <c r="K14" s="81">
        <f>sumifs(Dados!$N:$N,Dados!$B:$B,B14,Dados!$H:$H,$D$1,Dados!$G:$G,$K$4)</f>
        <v>0</v>
      </c>
      <c r="L14" s="81">
        <f>sumifs(Dados!$N:$N,Dados!$B:$B,B14,Dados!$H:$H,$D$1,Dados!$G:$G,$L$4)</f>
        <v>0</v>
      </c>
      <c r="M14" s="81">
        <f>sumifs(Dados!$N:$N,Dados!$B:$B,B14,Dados!$H:$H,$D$1,Dados!$G:$G,$M$4)</f>
        <v>0</v>
      </c>
      <c r="N14" s="81">
        <f>sumifs(Dados!$N:$N,Dados!$B:$B,B14,Dados!$H:$H,$D$1,Dados!$G:$G,$N$4)</f>
        <v>0</v>
      </c>
      <c r="O14" s="81">
        <f>sumifs(Dados!$N:$N,Dados!$B:$B,B14,Dados!$H:$H,$D$1,Dados!$G:$G,$O$4)</f>
        <v>0</v>
      </c>
      <c r="P14" s="81">
        <f>sumifs(Dados!$N:$N,Dados!$B:$B,B14,Dados!$H:$H,$D$1,Dados!$G:$G,$P$4)</f>
        <v>0</v>
      </c>
      <c r="Q14" s="81"/>
    </row>
    <row r="15" ht="15.75" customHeight="1">
      <c r="A15" s="77"/>
      <c r="B15" s="78" t="s">
        <v>102</v>
      </c>
      <c r="C15" s="79"/>
      <c r="D15" s="80">
        <f t="shared" si="3"/>
        <v>0</v>
      </c>
      <c r="E15" s="81">
        <f>sumifs(Dados!$N:$N,Dados!$B:$B,B15,Dados!$H:$H,$D$1,Dados!$G:$G,$E$4)</f>
        <v>0</v>
      </c>
      <c r="F15" s="81">
        <f>sumifs(Dados!$N:$N,Dados!$B:$B,B15,Dados!$H:$H,$D$1,Dados!$G:$G,$F$4)</f>
        <v>0</v>
      </c>
      <c r="G15" s="81">
        <f>sumifs(Dados!$N:$N,Dados!$B:$B,B15,Dados!$H:$H,$D$1,Dados!$G:$G,$G$4)</f>
        <v>0</v>
      </c>
      <c r="H15" s="81">
        <f>sumifs(Dados!$N:$N,Dados!$B:$B,B15,Dados!$H:$H,$D$1,Dados!$G:$G,$H$4)</f>
        <v>0</v>
      </c>
      <c r="I15" s="81">
        <f>sumifs(Dados!$N:$N,Dados!$B:$B,B15,Dados!$H:$H,$D$1,Dados!$G:$G,$I$4)</f>
        <v>0</v>
      </c>
      <c r="J15" s="81">
        <f>sumifs(Dados!$N:$N,Dados!$B:$B,B15,Dados!$H:$H,$D$1,Dados!$G:$G,$J$4)</f>
        <v>0</v>
      </c>
      <c r="K15" s="81">
        <f>sumifs(Dados!$N:$N,Dados!$B:$B,B15,Dados!$H:$H,$D$1,Dados!$G:$G,$K$4)</f>
        <v>0</v>
      </c>
      <c r="L15" s="81">
        <f>sumifs(Dados!$N:$N,Dados!$B:$B,B15,Dados!$H:$H,$D$1,Dados!$G:$G,$L$4)</f>
        <v>0</v>
      </c>
      <c r="M15" s="81">
        <f>sumifs(Dados!$N:$N,Dados!$B:$B,B15,Dados!$H:$H,$D$1,Dados!$G:$G,$M$4)</f>
        <v>0</v>
      </c>
      <c r="N15" s="81">
        <f>sumifs(Dados!$N:$N,Dados!$B:$B,B15,Dados!$H:$H,$D$1,Dados!$G:$G,$N$4)</f>
        <v>0</v>
      </c>
      <c r="O15" s="81">
        <f>sumifs(Dados!$N:$N,Dados!$B:$B,B15,Dados!$H:$H,$D$1,Dados!$G:$G,$O$4)</f>
        <v>0</v>
      </c>
      <c r="P15" s="81">
        <f>sumifs(Dados!$N:$N,Dados!$B:$B,B15,Dados!$H:$H,$D$1,Dados!$G:$G,$P$4)</f>
        <v>0</v>
      </c>
      <c r="Q15" s="81"/>
    </row>
    <row r="16" ht="15.75" customHeight="1">
      <c r="A16" s="77"/>
      <c r="B16" s="78" t="s">
        <v>103</v>
      </c>
      <c r="C16" s="79"/>
      <c r="D16" s="80">
        <f t="shared" si="3"/>
        <v>0</v>
      </c>
      <c r="E16" s="81">
        <f>sumifs(Dados!$N:$N,Dados!$B:$B,B16,Dados!$H:$H,$D$1,Dados!$G:$G,$E$4)</f>
        <v>0</v>
      </c>
      <c r="F16" s="81">
        <f>sumifs(Dados!$N:$N,Dados!$B:$B,B16,Dados!$H:$H,$D$1,Dados!$G:$G,$F$4)</f>
        <v>0</v>
      </c>
      <c r="G16" s="81">
        <f>sumifs(Dados!$N:$N,Dados!$B:$B,B16,Dados!$H:$H,$D$1,Dados!$G:$G,$G$4)</f>
        <v>0</v>
      </c>
      <c r="H16" s="81">
        <f>sumifs(Dados!$N:$N,Dados!$B:$B,B16,Dados!$H:$H,$D$1,Dados!$G:$G,$H$4)</f>
        <v>0</v>
      </c>
      <c r="I16" s="81">
        <f>sumifs(Dados!$N:$N,Dados!$B:$B,B16,Dados!$H:$H,$D$1,Dados!$G:$G,$I$4)</f>
        <v>0</v>
      </c>
      <c r="J16" s="81">
        <f>sumifs(Dados!$N:$N,Dados!$B:$B,B16,Dados!$H:$H,$D$1,Dados!$G:$G,$J$4)</f>
        <v>0</v>
      </c>
      <c r="K16" s="81">
        <f>sumifs(Dados!$N:$N,Dados!$B:$B,B16,Dados!$H:$H,$D$1,Dados!$G:$G,$K$4)</f>
        <v>0</v>
      </c>
      <c r="L16" s="81">
        <f>sumifs(Dados!$N:$N,Dados!$B:$B,B16,Dados!$H:$H,$D$1,Dados!$G:$G,$L$4)</f>
        <v>0</v>
      </c>
      <c r="M16" s="81">
        <f>sumifs(Dados!$N:$N,Dados!$B:$B,B16,Dados!$H:$H,$D$1,Dados!$G:$G,$M$4)</f>
        <v>0</v>
      </c>
      <c r="N16" s="81">
        <f>sumifs(Dados!$N:$N,Dados!$B:$B,B16,Dados!$H:$H,$D$1,Dados!$G:$G,$N$4)</f>
        <v>0</v>
      </c>
      <c r="O16" s="81">
        <f>sumifs(Dados!$N:$N,Dados!$B:$B,B16,Dados!$H:$H,$D$1,Dados!$G:$G,$O$4)</f>
        <v>0</v>
      </c>
      <c r="P16" s="81">
        <f>sumifs(Dados!$N:$N,Dados!$B:$B,B16,Dados!$H:$H,$D$1,Dados!$G:$G,$P$4)</f>
        <v>0</v>
      </c>
      <c r="Q16" s="81"/>
    </row>
    <row r="17" ht="15.75" customHeight="1">
      <c r="A17" s="77"/>
      <c r="B17" s="78" t="s">
        <v>104</v>
      </c>
      <c r="C17" s="79"/>
      <c r="D17" s="80">
        <f t="shared" si="3"/>
        <v>0</v>
      </c>
      <c r="E17" s="81">
        <f>sumifs(Dados!$N:$N,Dados!$B:$B,B17,Dados!$H:$H,$D$1,Dados!$G:$G,$E$4)</f>
        <v>0</v>
      </c>
      <c r="F17" s="81">
        <f>sumifs(Dados!$N:$N,Dados!$B:$B,B17,Dados!$H:$H,$D$1,Dados!$G:$G,$F$4)</f>
        <v>0</v>
      </c>
      <c r="G17" s="81">
        <f>sumifs(Dados!$N:$N,Dados!$B:$B,B17,Dados!$H:$H,$D$1,Dados!$G:$G,$G$4)</f>
        <v>0</v>
      </c>
      <c r="H17" s="81">
        <f>sumifs(Dados!$N:$N,Dados!$B:$B,B17,Dados!$H:$H,$D$1,Dados!$G:$G,$H$4)</f>
        <v>0</v>
      </c>
      <c r="I17" s="81">
        <f>sumifs(Dados!$N:$N,Dados!$B:$B,B17,Dados!$H:$H,$D$1,Dados!$G:$G,$I$4)</f>
        <v>0</v>
      </c>
      <c r="J17" s="81">
        <f>sumifs(Dados!$N:$N,Dados!$B:$B,B17,Dados!$H:$H,$D$1,Dados!$G:$G,$J$4)</f>
        <v>0</v>
      </c>
      <c r="K17" s="81">
        <f>sumifs(Dados!$N:$N,Dados!$B:$B,B17,Dados!$H:$H,$D$1,Dados!$G:$G,$K$4)</f>
        <v>0</v>
      </c>
      <c r="L17" s="81">
        <f>sumifs(Dados!$N:$N,Dados!$B:$B,B17,Dados!$H:$H,$D$1,Dados!$G:$G,$L$4)</f>
        <v>0</v>
      </c>
      <c r="M17" s="81">
        <f>sumifs(Dados!$N:$N,Dados!$B:$B,B17,Dados!$H:$H,$D$1,Dados!$G:$G,$M$4)</f>
        <v>0</v>
      </c>
      <c r="N17" s="81">
        <f>sumifs(Dados!$N:$N,Dados!$B:$B,B17,Dados!$H:$H,$D$1,Dados!$G:$G,$N$4)</f>
        <v>0</v>
      </c>
      <c r="O17" s="81">
        <f>sumifs(Dados!$N:$N,Dados!$B:$B,B17,Dados!$H:$H,$D$1,Dados!$G:$G,$O$4)</f>
        <v>0</v>
      </c>
      <c r="P17" s="81">
        <f>sumifs(Dados!$N:$N,Dados!$B:$B,B17,Dados!$H:$H,$D$1,Dados!$G:$G,$P$4)</f>
        <v>0</v>
      </c>
      <c r="Q17" s="81"/>
    </row>
    <row r="18" ht="15.75" customHeight="1">
      <c r="A18" s="99" t="s">
        <v>105</v>
      </c>
      <c r="B18" s="100">
        <f>sumifs(Dados!$N:$N,Dados!$A:$A,A18,Dados!$H:$H,$D$1)</f>
        <v>0</v>
      </c>
      <c r="C18" s="101">
        <f>B18-D18</f>
        <v>0</v>
      </c>
      <c r="D18" s="100">
        <f t="shared" ref="D18:P18" si="4">SUM(D14:D17)</f>
        <v>0</v>
      </c>
      <c r="E18" s="100">
        <f t="shared" si="4"/>
        <v>0</v>
      </c>
      <c r="F18" s="100">
        <f t="shared" si="4"/>
        <v>0</v>
      </c>
      <c r="G18" s="100">
        <f t="shared" si="4"/>
        <v>0</v>
      </c>
      <c r="H18" s="100">
        <f t="shared" si="4"/>
        <v>0</v>
      </c>
      <c r="I18" s="100">
        <f t="shared" si="4"/>
        <v>0</v>
      </c>
      <c r="J18" s="100">
        <f t="shared" si="4"/>
        <v>0</v>
      </c>
      <c r="K18" s="100">
        <f t="shared" si="4"/>
        <v>0</v>
      </c>
      <c r="L18" s="100">
        <f t="shared" si="4"/>
        <v>0</v>
      </c>
      <c r="M18" s="100">
        <f t="shared" si="4"/>
        <v>0</v>
      </c>
      <c r="N18" s="100">
        <f t="shared" si="4"/>
        <v>0</v>
      </c>
      <c r="O18" s="100">
        <f t="shared" si="4"/>
        <v>0</v>
      </c>
      <c r="P18" s="100">
        <f t="shared" si="4"/>
        <v>0</v>
      </c>
      <c r="Q18" s="100"/>
    </row>
    <row r="19" ht="15.75" hidden="1" customHeight="1">
      <c r="A19" s="102"/>
      <c r="B19" s="102"/>
      <c r="C19" s="79"/>
      <c r="D19" s="80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</row>
    <row r="20" ht="15.75" hidden="1" customHeight="1">
      <c r="A20" s="102"/>
      <c r="B20" s="103"/>
      <c r="C20" s="79"/>
      <c r="D20" s="80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</row>
    <row r="21" ht="15.75" hidden="1" customHeight="1">
      <c r="A21" s="102"/>
      <c r="B21" s="103"/>
      <c r="C21" s="79"/>
      <c r="D21" s="80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</row>
    <row r="22" ht="15.75" hidden="1" customHeight="1">
      <c r="A22" s="102"/>
      <c r="B22" s="103"/>
      <c r="C22" s="79"/>
      <c r="D22" s="80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</row>
    <row r="23" ht="15.75" hidden="1" customHeight="1">
      <c r="A23" s="102"/>
      <c r="B23" s="102"/>
      <c r="C23" s="79"/>
      <c r="D23" s="80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</row>
    <row r="24" ht="15.75" hidden="1" customHeight="1">
      <c r="A24" s="99"/>
      <c r="B24" s="100"/>
      <c r="C24" s="101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</row>
    <row r="25" ht="15.75" customHeight="1">
      <c r="A25" s="104"/>
      <c r="B25" s="83" t="s">
        <v>106</v>
      </c>
      <c r="C25" s="79"/>
      <c r="D25" s="80">
        <f t="shared" ref="D25:D28" si="5">SUM(E25:P25)</f>
        <v>0</v>
      </c>
      <c r="E25" s="81">
        <f>sumifs(Dados!$N:$N,Dados!$B:$B,B25,Dados!$H:$H,$D$1,Dados!$G:$G,$E$4)</f>
        <v>0</v>
      </c>
      <c r="F25" s="81">
        <f>sumifs(Dados!$N:$N,Dados!$B:$B,B25,Dados!$H:$H,$D$1,Dados!$G:$G,$F$4)</f>
        <v>0</v>
      </c>
      <c r="G25" s="81">
        <f>sumifs(Dados!$N:$N,Dados!$B:$B,B25,Dados!$H:$H,$D$1,Dados!$G:$G,$G$4)</f>
        <v>0</v>
      </c>
      <c r="H25" s="81">
        <f>sumifs(Dados!$N:$N,Dados!$B:$B,B25,Dados!$H:$H,$D$1,Dados!$G:$G,$H$4)</f>
        <v>0</v>
      </c>
      <c r="I25" s="81">
        <f>sumifs(Dados!$N:$N,Dados!$B:$B,B25,Dados!$H:$H,$D$1,Dados!$G:$G,$I$4)</f>
        <v>0</v>
      </c>
      <c r="J25" s="81">
        <f>sumifs(Dados!$N:$N,Dados!$B:$B,B25,Dados!$H:$H,$D$1,Dados!$G:$G,$J$4)</f>
        <v>0</v>
      </c>
      <c r="K25" s="81">
        <f>sumifs(Dados!$N:$N,Dados!$B:$B,B25,Dados!$H:$H,$D$1,Dados!$G:$G,$K$4)</f>
        <v>0</v>
      </c>
      <c r="L25" s="81">
        <f>sumifs(Dados!$N:$N,Dados!$B:$B,B25,Dados!$H:$H,$D$1,Dados!$G:$G,$L$4)</f>
        <v>0</v>
      </c>
      <c r="M25" s="81">
        <f>sumifs(Dados!$N:$N,Dados!$B:$B,B25,Dados!$H:$H,$D$1,Dados!$G:$G,$M$4)</f>
        <v>0</v>
      </c>
      <c r="N25" s="81">
        <f>sumifs(Dados!$N:$N,Dados!$B:$B,B25,Dados!$H:$H,$D$1,Dados!$G:$G,$N$4)</f>
        <v>0</v>
      </c>
      <c r="O25" s="81">
        <f>sumifs(Dados!$N:$N,Dados!$B:$B,B25,Dados!$H:$H,$D$1,Dados!$G:$G,$O$4)</f>
        <v>0</v>
      </c>
      <c r="P25" s="81">
        <f>sumifs(Dados!$N:$N,Dados!$B:$B,B25,Dados!$H:$H,$D$1,Dados!$G:$G,$P$4)</f>
        <v>0</v>
      </c>
      <c r="Q25" s="81"/>
    </row>
    <row r="26" ht="15.75" customHeight="1">
      <c r="A26" s="104"/>
      <c r="B26" s="83" t="s">
        <v>107</v>
      </c>
      <c r="C26" s="79"/>
      <c r="D26" s="80">
        <f t="shared" si="5"/>
        <v>0</v>
      </c>
      <c r="E26" s="81">
        <f>sumifs(Dados!$N:$N,Dados!$B:$B,B26,Dados!$H:$H,$D$1,Dados!$G:$G,$E$4)</f>
        <v>0</v>
      </c>
      <c r="F26" s="81">
        <f>sumifs(Dados!$N:$N,Dados!$B:$B,B26,Dados!$H:$H,$D$1,Dados!$G:$G,$F$4)</f>
        <v>0</v>
      </c>
      <c r="G26" s="81">
        <f>sumifs(Dados!$N:$N,Dados!$B:$B,B26,Dados!$H:$H,$D$1,Dados!$G:$G,$G$4)</f>
        <v>0</v>
      </c>
      <c r="H26" s="81">
        <f>sumifs(Dados!$N:$N,Dados!$B:$B,B26,Dados!$H:$H,$D$1,Dados!$G:$G,$H$4)</f>
        <v>0</v>
      </c>
      <c r="I26" s="81">
        <f>sumifs(Dados!$N:$N,Dados!$B:$B,B26,Dados!$H:$H,$D$1,Dados!$G:$G,$I$4)</f>
        <v>0</v>
      </c>
      <c r="J26" s="81">
        <f>sumifs(Dados!$N:$N,Dados!$B:$B,B26,Dados!$H:$H,$D$1,Dados!$G:$G,$J$4)</f>
        <v>0</v>
      </c>
      <c r="K26" s="81">
        <f>sumifs(Dados!$N:$N,Dados!$B:$B,B26,Dados!$H:$H,$D$1,Dados!$G:$G,$K$4)</f>
        <v>0</v>
      </c>
      <c r="L26" s="81">
        <f>sumifs(Dados!$N:$N,Dados!$B:$B,B26,Dados!$H:$H,$D$1,Dados!$G:$G,$L$4)</f>
        <v>0</v>
      </c>
      <c r="M26" s="81">
        <f>sumifs(Dados!$N:$N,Dados!$B:$B,B26,Dados!$H:$H,$D$1,Dados!$G:$G,$M$4)</f>
        <v>0</v>
      </c>
      <c r="N26" s="81">
        <f>sumifs(Dados!$N:$N,Dados!$B:$B,B26,Dados!$H:$H,$D$1,Dados!$G:$G,$N$4)</f>
        <v>0</v>
      </c>
      <c r="O26" s="81">
        <f>sumifs(Dados!$N:$N,Dados!$B:$B,B26,Dados!$H:$H,$D$1,Dados!$G:$G,$O$4)</f>
        <v>0</v>
      </c>
      <c r="P26" s="81">
        <f>sumifs(Dados!$N:$N,Dados!$B:$B,B26,Dados!$H:$H,$D$1,Dados!$G:$G,$P$4)</f>
        <v>0</v>
      </c>
      <c r="Q26" s="81"/>
    </row>
    <row r="27" ht="15.75" customHeight="1">
      <c r="A27" s="82"/>
      <c r="B27" s="83" t="s">
        <v>108</v>
      </c>
      <c r="C27" s="79"/>
      <c r="D27" s="80">
        <f t="shared" si="5"/>
        <v>0</v>
      </c>
      <c r="E27" s="81">
        <f>sumifs(Dados!$N:$N,Dados!$B:$B,$B$27,Dados!$H:$H,$D$1,Dados!$G:$G,E4)</f>
        <v>0</v>
      </c>
      <c r="F27" s="81">
        <f>sumifs(Dados!$N:$N,Dados!$B:$B,$B$27,Dados!$H:$H,$D$1,Dados!$G:$G,F4)</f>
        <v>0</v>
      </c>
      <c r="G27" s="81">
        <f>sumifs(Dados!$N:$N,Dados!$B:$B,$B$27,Dados!$H:$H,$D$1,Dados!$G:$G,G4)</f>
        <v>0</v>
      </c>
      <c r="H27" s="81">
        <f>sumifs(Dados!$N:$N,Dados!$B:$B,$B$27,Dados!$H:$H,$D$1,Dados!$G:$G,H4)</f>
        <v>0</v>
      </c>
      <c r="I27" s="81">
        <f>sumifs(Dados!$N:$N,Dados!$B:$B,$B$27,Dados!$H:$H,$D$1,Dados!$G:$G,I4)</f>
        <v>0</v>
      </c>
      <c r="J27" s="81">
        <f>sumifs(Dados!$N:$N,Dados!$B:$B,$B$27,Dados!$H:$H,$D$1,Dados!$G:$G,J4)</f>
        <v>0</v>
      </c>
      <c r="K27" s="81">
        <f>sumifs(Dados!$N:$N,Dados!$B:$B,$B$27,Dados!$H:$H,$D$1,Dados!$G:$G,K4)</f>
        <v>0</v>
      </c>
      <c r="L27" s="81">
        <f>sumifs(Dados!$N:$N,Dados!$B:$B,$B$27,Dados!$H:$H,$D$1,Dados!$G:$G,L4)</f>
        <v>0</v>
      </c>
      <c r="M27" s="81">
        <f>sumifs(Dados!$N:$N,Dados!$B:$B,$B$27,Dados!$H:$H,$D$1,Dados!$G:$G,M4)</f>
        <v>0</v>
      </c>
      <c r="N27" s="81">
        <f>sumifs(Dados!$N:$N,Dados!$B:$B,$B$27,Dados!$H:$H,$D$1,Dados!$G:$G,N4)</f>
        <v>0</v>
      </c>
      <c r="O27" s="81">
        <f>sumifs(Dados!$N:$N,Dados!$B:$B,$B$27,Dados!$H:$H,$D$1,Dados!$G:$G,O4)</f>
        <v>0</v>
      </c>
      <c r="P27" s="81">
        <f>sumifs(Dados!$N:$N,Dados!$B:$B,$B$27,Dados!$H:$H,$D$1,Dados!$G:$G,P4)</f>
        <v>0</v>
      </c>
      <c r="Q27" s="81"/>
    </row>
    <row r="28" ht="15.75" customHeight="1">
      <c r="A28" s="87"/>
      <c r="B28" s="83" t="s">
        <v>110</v>
      </c>
      <c r="C28" s="79"/>
      <c r="D28" s="80">
        <f t="shared" si="5"/>
        <v>0</v>
      </c>
      <c r="E28" s="81">
        <f>sumifs(Dados!$N:$N,Dados!$B:$B,$B$28,Dados!$H:$H,$D$1,Dados!$G:$G,E4)</f>
        <v>0</v>
      </c>
      <c r="F28" s="81">
        <f>sumifs(Dados!$N:$N,Dados!$B:$B,$B$28,Dados!$H:$H,$D$1,Dados!$G:$G,F4)</f>
        <v>0</v>
      </c>
      <c r="G28" s="81">
        <f>sumifs(Dados!$N:$N,Dados!$B:$B,$B$28,Dados!$H:$H,$D$1,Dados!$G:$G,G4)</f>
        <v>0</v>
      </c>
      <c r="H28" s="81">
        <f>sumifs(Dados!$N:$N,Dados!$B:$B,$B$28,Dados!$H:$H,$D$1,Dados!$G:$G,H4)</f>
        <v>0</v>
      </c>
      <c r="I28" s="81">
        <f>sumifs(Dados!$N:$N,Dados!$B:$B,$B$28,Dados!$H:$H,$D$1,Dados!$G:$G,I4)</f>
        <v>0</v>
      </c>
      <c r="J28" s="81">
        <f>sumifs(Dados!$N:$N,Dados!$B:$B,$B$28,Dados!$H:$H,$D$1,Dados!$G:$G,J4)</f>
        <v>0</v>
      </c>
      <c r="K28" s="81">
        <f>sumifs(Dados!$N:$N,Dados!$B:$B,$B$28,Dados!$H:$H,$D$1,Dados!$G:$G,K4)</f>
        <v>0</v>
      </c>
      <c r="L28" s="81">
        <f>sumifs(Dados!$N:$N,Dados!$B:$B,$B$28,Dados!$H:$H,$D$1,Dados!$G:$G,L4)</f>
        <v>0</v>
      </c>
      <c r="M28" s="81">
        <f>sumifs(Dados!$N:$N,Dados!$B:$B,$B$28,Dados!$H:$H,$D$1,Dados!$G:$G,M4)</f>
        <v>0</v>
      </c>
      <c r="N28" s="81">
        <f>sumifs(Dados!$N:$N,Dados!$B:$B,$B$28,Dados!$H:$H,$D$1,Dados!$G:$G,N4)</f>
        <v>0</v>
      </c>
      <c r="O28" s="81">
        <f>sumifs(Dados!$N:$N,Dados!$B:$B,$B$28,Dados!$H:$H,$D$1,Dados!$G:$G,O4)</f>
        <v>0</v>
      </c>
      <c r="P28" s="81">
        <f>sumifs(Dados!$N:$N,Dados!$B:$B,$B$28,Dados!$H:$H,$D$1,Dados!$G:$G,P4)</f>
        <v>0</v>
      </c>
      <c r="Q28" s="81"/>
    </row>
    <row r="29" ht="15.75" customHeight="1">
      <c r="A29" s="109" t="s">
        <v>112</v>
      </c>
      <c r="B29" s="100">
        <f>sumifs(Dados!$N:$N,Dados!$A:$A,A29,Dados!$H:$H,$D$1)</f>
        <v>0</v>
      </c>
      <c r="C29" s="101">
        <f>B29-D29</f>
        <v>0</v>
      </c>
      <c r="D29" s="100">
        <f t="shared" ref="D29:P29" si="6">SUM(D25:D28)</f>
        <v>0</v>
      </c>
      <c r="E29" s="100">
        <f t="shared" si="6"/>
        <v>0</v>
      </c>
      <c r="F29" s="100">
        <f t="shared" si="6"/>
        <v>0</v>
      </c>
      <c r="G29" s="100">
        <f t="shared" si="6"/>
        <v>0</v>
      </c>
      <c r="H29" s="100">
        <f t="shared" si="6"/>
        <v>0</v>
      </c>
      <c r="I29" s="100">
        <f t="shared" si="6"/>
        <v>0</v>
      </c>
      <c r="J29" s="100">
        <f t="shared" si="6"/>
        <v>0</v>
      </c>
      <c r="K29" s="100">
        <f t="shared" si="6"/>
        <v>0</v>
      </c>
      <c r="L29" s="100">
        <f t="shared" si="6"/>
        <v>0</v>
      </c>
      <c r="M29" s="100">
        <f t="shared" si="6"/>
        <v>0</v>
      </c>
      <c r="N29" s="100">
        <f t="shared" si="6"/>
        <v>0</v>
      </c>
      <c r="O29" s="100">
        <f t="shared" si="6"/>
        <v>0</v>
      </c>
      <c r="P29" s="100">
        <f t="shared" si="6"/>
        <v>0</v>
      </c>
      <c r="Q29" s="100"/>
    </row>
    <row r="30" ht="15.75" customHeight="1">
      <c r="A30" s="77"/>
      <c r="B30" s="78" t="s">
        <v>113</v>
      </c>
      <c r="C30" s="79"/>
      <c r="D30" s="80">
        <f t="shared" ref="D30:D33" si="7">SUM(E30:P30)</f>
        <v>0</v>
      </c>
      <c r="E30" s="81">
        <f>sumifs(Dados!$N:$N,Dados!$B:$B,B30,Dados!$H:$H,$D$1,Dados!$G:$G,$E$4)</f>
        <v>0</v>
      </c>
      <c r="F30" s="81">
        <f>sumifs(Dados!$N:$N,Dados!$B:$B,B30,Dados!$H:$H,$D$1,Dados!$G:$G,$F$4)</f>
        <v>0</v>
      </c>
      <c r="G30" s="81">
        <f>sumifs(Dados!$N:$N,Dados!$B:$B,B30,Dados!$H:$H,$D$1,Dados!$G:$G,$G$4)</f>
        <v>0</v>
      </c>
      <c r="H30" s="81">
        <f>sumifs(Dados!$N:$N,Dados!$B:$B,B30,Dados!$H:$H,$D$1,Dados!$G:$G,$H$4)</f>
        <v>0</v>
      </c>
      <c r="I30" s="81">
        <f>sumifs(Dados!$N:$N,Dados!$B:$B,B30,Dados!$H:$H,$D$1,Dados!$G:$G,$I$4)</f>
        <v>0</v>
      </c>
      <c r="J30" s="81">
        <f>sumifs(Dados!$N:$N,Dados!$B:$B,B30,Dados!$H:$H,$D$1,Dados!$G:$G,$J$4)</f>
        <v>0</v>
      </c>
      <c r="K30" s="81">
        <f>sumifs(Dados!$N:$N,Dados!$B:$B,B30,Dados!$H:$H,$D$1,Dados!$G:$G,$K$4)</f>
        <v>0</v>
      </c>
      <c r="L30" s="81">
        <f>sumifs(Dados!$N:$N,Dados!$B:$B,B30,Dados!$H:$H,$D$1,Dados!$G:$G,$L$4)</f>
        <v>0</v>
      </c>
      <c r="M30" s="81">
        <f>sumifs(Dados!$N:$N,Dados!$B:$B,B30,Dados!$H:$H,$D$1,Dados!$G:$G,$M$4)</f>
        <v>0</v>
      </c>
      <c r="N30" s="81">
        <f>sumifs(Dados!$N:$N,Dados!$B:$B,B30,Dados!$H:$H,$D$1,Dados!$G:$G,$N$4)</f>
        <v>0</v>
      </c>
      <c r="O30" s="81">
        <f>sumifs(Dados!$N:$N,Dados!$B:$B,B30,Dados!$H:$H,$D$1,Dados!$G:$G,$O$4)</f>
        <v>0</v>
      </c>
      <c r="P30" s="81">
        <f>sumifs(Dados!$N:$N,Dados!$B:$B,B30,Dados!$H:$H,$D$1,Dados!$G:$G,$P$4)</f>
        <v>0</v>
      </c>
      <c r="Q30" s="81"/>
    </row>
    <row r="31" ht="15.75" customHeight="1">
      <c r="A31" s="87"/>
      <c r="B31" s="83" t="s">
        <v>35</v>
      </c>
      <c r="C31" s="79"/>
      <c r="D31" s="80">
        <f t="shared" si="7"/>
        <v>39.45</v>
      </c>
      <c r="E31" s="81">
        <f>sumifs(Dados!$N:$N,Dados!$B:$B,$B$31,Dados!$H:$H,$D$1,Dados!$G:$G,E4)</f>
        <v>5.19</v>
      </c>
      <c r="F31" s="81">
        <f>sumifs(Dados!$N:$N,Dados!$B:$B,$B$31,Dados!$H:$H,$D$1,Dados!$G:$G,F4)</f>
        <v>8.31</v>
      </c>
      <c r="G31" s="81">
        <f>sumifs(Dados!$N:$N,Dados!$B:$B,$B$31,Dados!$H:$H,$D$1,Dados!$G:$G,G4)</f>
        <v>5.19</v>
      </c>
      <c r="H31" s="81">
        <f>sumifs(Dados!$N:$N,Dados!$B:$B,$B$31,Dados!$H:$H,$D$1,Dados!$G:$G,H4)</f>
        <v>5.19</v>
      </c>
      <c r="I31" s="81">
        <f>sumifs(Dados!$N:$N,Dados!$B:$B,$B$31,Dados!$H:$H,$D$1,Dados!$G:$G,I4)</f>
        <v>5.19</v>
      </c>
      <c r="J31" s="81">
        <f>sumifs(Dados!$N:$N,Dados!$B:$B,$B$31,Dados!$H:$H,$D$1,Dados!$G:$G,J4)</f>
        <v>5.19</v>
      </c>
      <c r="K31" s="81">
        <f>sumifs(Dados!$N:$N,Dados!$B:$B,$B$31,Dados!$H:$H,$D$1,Dados!$G:$G,K4)</f>
        <v>5.19</v>
      </c>
      <c r="L31" s="81">
        <f>sumifs(Dados!$N:$N,Dados!$B:$B,$B$31,Dados!$H:$H,$D$1,Dados!$G:$G,L4)</f>
        <v>0</v>
      </c>
      <c r="M31" s="81">
        <f>sumifs(Dados!$N:$N,Dados!$B:$B,$B$31,Dados!$H:$H,$D$1,Dados!$G:$G,M4)</f>
        <v>0</v>
      </c>
      <c r="N31" s="81">
        <f>sumifs(Dados!$N:$N,Dados!$B:$B,$B$31,Dados!$H:$H,$D$1,Dados!$G:$G,N4)</f>
        <v>0</v>
      </c>
      <c r="O31" s="81">
        <f>sumifs(Dados!$N:$N,Dados!$B:$B,$B$31,Dados!$H:$H,$D$1,Dados!$G:$G,O4)</f>
        <v>0</v>
      </c>
      <c r="P31" s="81">
        <f>sumifs(Dados!$N:$N,Dados!$B:$B,$B$31,Dados!$H:$H,$D$1,Dados!$G:$G,P4)</f>
        <v>0</v>
      </c>
      <c r="Q31" s="81"/>
    </row>
    <row r="32" ht="15.75" customHeight="1">
      <c r="A32" s="77"/>
      <c r="B32" s="78" t="s">
        <v>117</v>
      </c>
      <c r="C32" s="79"/>
      <c r="D32" s="80">
        <f t="shared" si="7"/>
        <v>0</v>
      </c>
      <c r="E32" s="81">
        <f>sumifs(Dados!$N:$N,Dados!$B:$B,B32,Dados!$H:$H,$D$1,Dados!$G:$G,$E$4)</f>
        <v>0</v>
      </c>
      <c r="F32" s="81">
        <f>sumifs(Dados!$N:$N,Dados!$B:$B,B32,Dados!$H:$H,$D$1,Dados!$G:$G,$F$4)</f>
        <v>0</v>
      </c>
      <c r="G32" s="81">
        <f>sumifs(Dados!$N:$N,Dados!$B:$B,B32,Dados!$H:$H,$D$1,Dados!$G:$G,$G$4)</f>
        <v>0</v>
      </c>
      <c r="H32" s="81">
        <f>sumifs(Dados!$N:$N,Dados!$B:$B,B32,Dados!$H:$H,$D$1,Dados!$G:$G,$H$4)</f>
        <v>0</v>
      </c>
      <c r="I32" s="81">
        <f>sumifs(Dados!$N:$N,Dados!$B:$B,B32,Dados!$H:$H,$D$1,Dados!$G:$G,$I$4)</f>
        <v>0</v>
      </c>
      <c r="J32" s="81">
        <f>sumifs(Dados!$N:$N,Dados!$B:$B,B32,Dados!$H:$H,$D$1,Dados!$G:$G,$J$4)</f>
        <v>0</v>
      </c>
      <c r="K32" s="81">
        <f>sumifs(Dados!$N:$N,Dados!$B:$B,B32,Dados!$H:$H,$D$1,Dados!$G:$G,$K$4)</f>
        <v>0</v>
      </c>
      <c r="L32" s="81">
        <f>sumifs(Dados!$N:$N,Dados!$B:$B,B32,Dados!$H:$H,$D$1,Dados!$G:$G,$L$4)</f>
        <v>0</v>
      </c>
      <c r="M32" s="81">
        <f>sumifs(Dados!$N:$N,Dados!$B:$B,B32,Dados!$H:$H,$D$1,Dados!$G:$G,$M$4)</f>
        <v>0</v>
      </c>
      <c r="N32" s="81">
        <f>sumifs(Dados!$N:$N,Dados!$B:$B,B32,Dados!$H:$H,$D$1,Dados!$G:$G,$N$4)</f>
        <v>0</v>
      </c>
      <c r="O32" s="81">
        <f>sumifs(Dados!$N:$N,Dados!$B:$B,B32,Dados!$H:$H,$D$1,Dados!$G:$G,$O$4)</f>
        <v>0</v>
      </c>
      <c r="P32" s="81">
        <f>sumifs(Dados!$N:$N,Dados!$B:$B,B32,Dados!$H:$H,$D$1,Dados!$G:$G,$P$4)</f>
        <v>0</v>
      </c>
      <c r="Q32" s="81"/>
    </row>
    <row r="33" ht="15.75" customHeight="1">
      <c r="A33" s="77"/>
      <c r="B33" s="78" t="s">
        <v>119</v>
      </c>
      <c r="C33" s="79"/>
      <c r="D33" s="80">
        <f t="shared" si="7"/>
        <v>21.01</v>
      </c>
      <c r="E33" s="81">
        <f>sumifs(Dados!$N:$N,Dados!$B:$B,B33,Dados!$H:$H,$D$1,Dados!$G:$G,$E$4)</f>
        <v>0</v>
      </c>
      <c r="F33" s="81">
        <f>sumifs(Dados!$N:$N,Dados!$B:$B,B33,Dados!$H:$H,$D$1,Dados!$G:$G,$F$4)</f>
        <v>0</v>
      </c>
      <c r="G33" s="81">
        <f>sumifs(Dados!$N:$N,Dados!$B:$B,B33,Dados!$H:$H,$D$1,Dados!$G:$G,$G$4)</f>
        <v>0</v>
      </c>
      <c r="H33" s="81">
        <f>sumifs(Dados!$N:$N,Dados!$B:$B,B33,Dados!$H:$H,$D$1,Dados!$G:$G,$H$4)</f>
        <v>0</v>
      </c>
      <c r="I33" s="81">
        <f>sumifs(Dados!$N:$N,Dados!$B:$B,B33,Dados!$H:$H,$D$1,Dados!$G:$G,$I$4)</f>
        <v>0</v>
      </c>
      <c r="J33" s="81">
        <f>sumifs(Dados!$N:$N,Dados!$B:$B,B33,Dados!$H:$H,$D$1,Dados!$G:$G,$J$4)</f>
        <v>21.01</v>
      </c>
      <c r="K33" s="81">
        <f>sumifs(Dados!$N:$N,Dados!$B:$B,B33,Dados!$H:$H,$D$1,Dados!$G:$G,$K$4)</f>
        <v>0</v>
      </c>
      <c r="L33" s="81">
        <f>sumifs(Dados!$N:$N,Dados!$B:$B,B33,Dados!$H:$H,$D$1,Dados!$G:$G,$L$4)</f>
        <v>0</v>
      </c>
      <c r="M33" s="81">
        <f>sumifs(Dados!$N:$N,Dados!$B:$B,B33,Dados!$H:$H,$D$1,Dados!$G:$G,$M$4)</f>
        <v>0</v>
      </c>
      <c r="N33" s="81">
        <f>sumifs(Dados!$N:$N,Dados!$B:$B,B33,Dados!$H:$H,$D$1,Dados!$G:$G,$N$4)</f>
        <v>0</v>
      </c>
      <c r="O33" s="81">
        <f>sumifs(Dados!$N:$N,Dados!$B:$B,B33,Dados!$H:$H,$D$1,Dados!$G:$G,$O$4)</f>
        <v>0</v>
      </c>
      <c r="P33" s="81">
        <f>sumifs(Dados!$N:$N,Dados!$B:$B,B33,Dados!$H:$H,$D$1,Dados!$G:$G,$P$4)</f>
        <v>0</v>
      </c>
      <c r="Q33" s="81"/>
    </row>
    <row r="34" ht="15.75" customHeight="1">
      <c r="A34" s="99" t="s">
        <v>121</v>
      </c>
      <c r="B34" s="100">
        <f>sumifs(Dados!$N:$N,Dados!$A:$A,A34,Dados!$H:$H,$D$1)</f>
        <v>60.46</v>
      </c>
      <c r="C34" s="101">
        <f>B34-D34</f>
        <v>0</v>
      </c>
      <c r="D34" s="100">
        <f t="shared" ref="D34:P34" si="8">SUM(D30:D33)</f>
        <v>60.46</v>
      </c>
      <c r="E34" s="100">
        <f t="shared" si="8"/>
        <v>5.19</v>
      </c>
      <c r="F34" s="100">
        <f t="shared" si="8"/>
        <v>8.31</v>
      </c>
      <c r="G34" s="100">
        <f t="shared" si="8"/>
        <v>5.19</v>
      </c>
      <c r="H34" s="100">
        <f t="shared" si="8"/>
        <v>5.19</v>
      </c>
      <c r="I34" s="100">
        <f t="shared" si="8"/>
        <v>5.19</v>
      </c>
      <c r="J34" s="100">
        <f t="shared" si="8"/>
        <v>26.2</v>
      </c>
      <c r="K34" s="100">
        <f t="shared" si="8"/>
        <v>5.19</v>
      </c>
      <c r="L34" s="100">
        <f t="shared" si="8"/>
        <v>0</v>
      </c>
      <c r="M34" s="100">
        <f t="shared" si="8"/>
        <v>0</v>
      </c>
      <c r="N34" s="100">
        <f t="shared" si="8"/>
        <v>0</v>
      </c>
      <c r="O34" s="100">
        <f t="shared" si="8"/>
        <v>0</v>
      </c>
      <c r="P34" s="100">
        <f t="shared" si="8"/>
        <v>0</v>
      </c>
      <c r="Q34" s="100"/>
    </row>
    <row r="35" ht="15.75" customHeight="1">
      <c r="A35" s="102"/>
      <c r="B35" s="78" t="s">
        <v>122</v>
      </c>
      <c r="C35" s="79"/>
      <c r="D35" s="80">
        <f t="shared" ref="D35:D54" si="9">SUM(E35:P35)</f>
        <v>6.26</v>
      </c>
      <c r="E35" s="81">
        <f>sumifs(Dados!$N:$N,Dados!$B:$B,B35,Dados!$H:$H,$D$1,Dados!$G:$G,$E$4)</f>
        <v>0</v>
      </c>
      <c r="F35" s="81">
        <f>sumifs(Dados!$N:$N,Dados!$B:$B,B35,Dados!$H:$H,$D$1,Dados!$G:$G,$F$4)</f>
        <v>0</v>
      </c>
      <c r="G35" s="81">
        <f>sumifs(Dados!$N:$N,Dados!$B:$B,B35,Dados!$H:$H,$D$1,Dados!$G:$G,$G$4)</f>
        <v>0</v>
      </c>
      <c r="H35" s="81">
        <f>sumifs(Dados!$N:$N,Dados!$B:$B,B35,Dados!$H:$H,$D$1,Dados!$G:$G,$H$4)</f>
        <v>0</v>
      </c>
      <c r="I35" s="81">
        <f>sumifs(Dados!$N:$N,Dados!$B:$B,B35,Dados!$H:$H,$D$1,Dados!$G:$G,$I$4)</f>
        <v>0</v>
      </c>
      <c r="J35" s="81">
        <f>sumifs(Dados!$N:$N,Dados!$B:$B,B35,Dados!$H:$H,$D$1,Dados!$G:$G,$J$4)</f>
        <v>5.1</v>
      </c>
      <c r="K35" s="81">
        <f>sumifs(Dados!$N:$N,Dados!$B:$B,B35,Dados!$H:$H,$D$1,Dados!$G:$G,$K$4)</f>
        <v>1.16</v>
      </c>
      <c r="L35" s="81">
        <f>sumifs(Dados!$N:$N,Dados!$B:$B,B35,Dados!$H:$H,$D$1,Dados!$G:$G,$L$4)</f>
        <v>0</v>
      </c>
      <c r="M35" s="81">
        <f>sumifs(Dados!$N:$N,Dados!$B:$B,B35,Dados!$H:$H,$D$1,Dados!$G:$G,$M$4)</f>
        <v>0</v>
      </c>
      <c r="N35" s="81">
        <f>sumifs(Dados!$N:$N,Dados!$B:$B,B35,Dados!$H:$H,$D$1,Dados!$G:$G,$N$4)</f>
        <v>0</v>
      </c>
      <c r="O35" s="81">
        <f>sumifs(Dados!$N:$N,Dados!$B:$B,B35,Dados!$H:$H,$D$1,Dados!$G:$G,$O$4)</f>
        <v>0</v>
      </c>
      <c r="P35" s="81">
        <f>sumifs(Dados!$N:$N,Dados!$B:$B,B35,Dados!$H:$H,$D$1,Dados!$G:$G,$P$4)</f>
        <v>0</v>
      </c>
      <c r="Q35" s="81"/>
    </row>
    <row r="36" ht="15.75" customHeight="1">
      <c r="A36" s="77"/>
      <c r="B36" s="78" t="s">
        <v>124</v>
      </c>
      <c r="C36" s="79"/>
      <c r="D36" s="80">
        <f t="shared" si="9"/>
        <v>86.98</v>
      </c>
      <c r="E36" s="81">
        <f>sumifs(Dados!$N:$N,Dados!$B:$B,B36,Dados!$H:$H,$D$1,Dados!$G:$G,$E$4)</f>
        <v>0</v>
      </c>
      <c r="F36" s="81">
        <f>sumifs(Dados!$N:$N,Dados!$B:$B,B36,Dados!$H:$H,$D$1,Dados!$G:$G,$F$4)</f>
        <v>0</v>
      </c>
      <c r="G36" s="81">
        <f>sumifs(Dados!$N:$N,Dados!$B:$B,B36,Dados!$H:$H,$D$1,Dados!$G:$G,$G$4)</f>
        <v>0</v>
      </c>
      <c r="H36" s="81">
        <f>sumifs(Dados!$N:$N,Dados!$B:$B,B36,Dados!$H:$H,$D$1,Dados!$G:$G,$H$4)</f>
        <v>25.08</v>
      </c>
      <c r="I36" s="81">
        <f>sumifs(Dados!$N:$N,Dados!$B:$B,B36,Dados!$H:$H,$D$1,Dados!$G:$G,$I$4)</f>
        <v>10.45</v>
      </c>
      <c r="J36" s="81">
        <f>sumifs(Dados!$N:$N,Dados!$B:$B,B36,Dados!$H:$H,$D$1,Dados!$G:$G,$J$4)</f>
        <v>29.4</v>
      </c>
      <c r="K36" s="81">
        <f>sumifs(Dados!$N:$N,Dados!$B:$B,B36,Dados!$H:$H,$D$1,Dados!$G:$G,$K$4)</f>
        <v>22.05</v>
      </c>
      <c r="L36" s="81">
        <f>sumifs(Dados!$N:$N,Dados!$B:$B,B36,Dados!$H:$H,$D$1,Dados!$G:$G,$L$4)</f>
        <v>0</v>
      </c>
      <c r="M36" s="81">
        <f>sumifs(Dados!$N:$N,Dados!$B:$B,B36,Dados!$H:$H,$D$1,Dados!$G:$G,$M$4)</f>
        <v>0</v>
      </c>
      <c r="N36" s="81">
        <f>sumifs(Dados!$N:$N,Dados!$B:$B,B36,Dados!$H:$H,$D$1,Dados!$G:$G,$N$4)</f>
        <v>0</v>
      </c>
      <c r="O36" s="81">
        <f>sumifs(Dados!$N:$N,Dados!$B:$B,B36,Dados!$H:$H,$D$1,Dados!$G:$G,$O$4)</f>
        <v>0</v>
      </c>
      <c r="P36" s="81">
        <f>sumifs(Dados!$N:$N,Dados!$B:$B,B36,Dados!$H:$H,$D$1,Dados!$G:$G,$P$4)</f>
        <v>0</v>
      </c>
      <c r="Q36" s="81"/>
    </row>
    <row r="37" ht="15.75" customHeight="1">
      <c r="A37" s="77"/>
      <c r="B37" s="78" t="s">
        <v>125</v>
      </c>
      <c r="C37" s="79"/>
      <c r="D37" s="80">
        <f t="shared" si="9"/>
        <v>4.29</v>
      </c>
      <c r="E37" s="81">
        <f>sumifs(Dados!$N:$N,Dados!$B:$B,B37,Dados!$H:$H,$D$1,Dados!$G:$G,$E$4)</f>
        <v>0</v>
      </c>
      <c r="F37" s="81">
        <f>sumifs(Dados!$N:$N,Dados!$B:$B,B37,Dados!$H:$H,$D$1,Dados!$G:$G,$F$4)</f>
        <v>0</v>
      </c>
      <c r="G37" s="81">
        <f>sumifs(Dados!$N:$N,Dados!$B:$B,B37,Dados!$H:$H,$D$1,Dados!$G:$G,$G$4)</f>
        <v>0</v>
      </c>
      <c r="H37" s="81">
        <f>sumifs(Dados!$N:$N,Dados!$B:$B,B37,Dados!$H:$H,$D$1,Dados!$G:$G,$H$4)</f>
        <v>4.29</v>
      </c>
      <c r="I37" s="81">
        <f>sumifs(Dados!$N:$N,Dados!$B:$B,B37,Dados!$H:$H,$D$1,Dados!$G:$G,$I$4)</f>
        <v>0</v>
      </c>
      <c r="J37" s="81">
        <f>sumifs(Dados!$N:$N,Dados!$B:$B,B37,Dados!$H:$H,$D$1,Dados!$G:$G,$J$4)</f>
        <v>0</v>
      </c>
      <c r="K37" s="81">
        <f>sumifs(Dados!$N:$N,Dados!$B:$B,B37,Dados!$H:$H,$D$1,Dados!$G:$G,$K$4)</f>
        <v>0</v>
      </c>
      <c r="L37" s="81">
        <f>sumifs(Dados!$N:$N,Dados!$B:$B,B37,Dados!$H:$H,$D$1,Dados!$G:$G,$L$4)</f>
        <v>0</v>
      </c>
      <c r="M37" s="81">
        <f>sumifs(Dados!$N:$N,Dados!$B:$B,B37,Dados!$H:$H,$D$1,Dados!$G:$G,$M$4)</f>
        <v>0</v>
      </c>
      <c r="N37" s="81">
        <f>sumifs(Dados!$N:$N,Dados!$B:$B,B37,Dados!$H:$H,$D$1,Dados!$G:$G,$N$4)</f>
        <v>0</v>
      </c>
      <c r="O37" s="81">
        <f>sumifs(Dados!$N:$N,Dados!$B:$B,B37,Dados!$H:$H,$D$1,Dados!$G:$G,$O$4)</f>
        <v>0</v>
      </c>
      <c r="P37" s="81">
        <f>sumifs(Dados!$N:$N,Dados!$B:$B,B37,Dados!$H:$H,$D$1,Dados!$G:$G,$P$4)</f>
        <v>0</v>
      </c>
      <c r="Q37" s="81"/>
    </row>
    <row r="38" ht="15.75" customHeight="1">
      <c r="A38" s="77"/>
      <c r="B38" s="78" t="s">
        <v>126</v>
      </c>
      <c r="C38" s="79"/>
      <c r="D38" s="80">
        <f t="shared" si="9"/>
        <v>2.49</v>
      </c>
      <c r="E38" s="81">
        <f>sumifs(Dados!$N:$N,Dados!$B:$B,B38,Dados!$H:$H,$D$1,Dados!$G:$G,$E$4)</f>
        <v>0</v>
      </c>
      <c r="F38" s="81">
        <f>sumifs(Dados!$N:$N,Dados!$B:$B,B38,Dados!$H:$H,$D$1,Dados!$G:$G,$F$4)</f>
        <v>0</v>
      </c>
      <c r="G38" s="81">
        <f>sumifs(Dados!$N:$N,Dados!$B:$B,B38,Dados!$H:$H,$D$1,Dados!$G:$G,$G$4)</f>
        <v>0</v>
      </c>
      <c r="H38" s="81">
        <f>sumifs(Dados!$N:$N,Dados!$B:$B,B38,Dados!$H:$H,$D$1,Dados!$G:$G,$H$4)</f>
        <v>2.49</v>
      </c>
      <c r="I38" s="81">
        <f>sumifs(Dados!$N:$N,Dados!$B:$B,B38,Dados!$H:$H,$D$1,Dados!$G:$G,$I$4)</f>
        <v>0</v>
      </c>
      <c r="J38" s="81">
        <f>sumifs(Dados!$N:$N,Dados!$B:$B,B38,Dados!$H:$H,$D$1,Dados!$G:$G,$J$4)</f>
        <v>0</v>
      </c>
      <c r="K38" s="81">
        <f>sumifs(Dados!$N:$N,Dados!$B:$B,B38,Dados!$H:$H,$D$1,Dados!$G:$G,$K$4)</f>
        <v>0</v>
      </c>
      <c r="L38" s="81">
        <f>sumifs(Dados!$N:$N,Dados!$B:$B,B38,Dados!$H:$H,$D$1,Dados!$G:$G,$L$4)</f>
        <v>0</v>
      </c>
      <c r="M38" s="81">
        <f>sumifs(Dados!$N:$N,Dados!$B:$B,B38,Dados!$H:$H,$D$1,Dados!$G:$G,$M$4)</f>
        <v>0</v>
      </c>
      <c r="N38" s="81">
        <f>sumifs(Dados!$N:$N,Dados!$B:$B,B38,Dados!$H:$H,$D$1,Dados!$G:$G,$N$4)</f>
        <v>0</v>
      </c>
      <c r="O38" s="81">
        <f>sumifs(Dados!$N:$N,Dados!$B:$B,B38,Dados!$H:$H,$D$1,Dados!$G:$G,$O$4)</f>
        <v>0</v>
      </c>
      <c r="P38" s="81">
        <f>sumifs(Dados!$N:$N,Dados!$B:$B,B38,Dados!$H:$H,$D$1,Dados!$G:$G,$P$4)</f>
        <v>0</v>
      </c>
      <c r="Q38" s="81"/>
    </row>
    <row r="39" ht="15.75" customHeight="1">
      <c r="A39" s="77"/>
      <c r="B39" s="78" t="s">
        <v>129</v>
      </c>
      <c r="C39" s="79"/>
      <c r="D39" s="80">
        <f t="shared" si="9"/>
        <v>333.81</v>
      </c>
      <c r="E39" s="81">
        <f>sumifs(Dados!$N:$N,Dados!$B:$B,B39,Dados!$H:$H,$D$1,Dados!$G:$G,$E$4)</f>
        <v>0</v>
      </c>
      <c r="F39" s="81">
        <f>sumifs(Dados!$N:$N,Dados!$B:$B,B39,Dados!$H:$H,$D$1,Dados!$G:$G,$F$4)</f>
        <v>0</v>
      </c>
      <c r="G39" s="81">
        <f>sumifs(Dados!$N:$N,Dados!$B:$B,B39,Dados!$H:$H,$D$1,Dados!$G:$G,$G$4)</f>
        <v>0</v>
      </c>
      <c r="H39" s="81">
        <f>sumifs(Dados!$N:$N,Dados!$B:$B,B39,Dados!$H:$H,$D$1,Dados!$G:$G,$H$4)</f>
        <v>59</v>
      </c>
      <c r="I39" s="81">
        <f>sumifs(Dados!$N:$N,Dados!$B:$B,B39,Dados!$H:$H,$D$1,Dados!$G:$G,$I$4)</f>
        <v>59.1</v>
      </c>
      <c r="J39" s="81">
        <f>sumifs(Dados!$N:$N,Dados!$B:$B,B39,Dados!$H:$H,$D$1,Dados!$G:$G,$J$4)</f>
        <v>94.6</v>
      </c>
      <c r="K39" s="81">
        <f>sumifs(Dados!$N:$N,Dados!$B:$B,B39,Dados!$H:$H,$D$1,Dados!$G:$G,$K$4)</f>
        <v>121.11</v>
      </c>
      <c r="L39" s="81">
        <f>sumifs(Dados!$N:$N,Dados!$B:$B,B39,Dados!$H:$H,$D$1,Dados!$G:$G,$L$4)</f>
        <v>0</v>
      </c>
      <c r="M39" s="81">
        <f>sumifs(Dados!$N:$N,Dados!$B:$B,B39,Dados!$H:$H,$D$1,Dados!$G:$G,$M$4)</f>
        <v>0</v>
      </c>
      <c r="N39" s="81">
        <f>sumifs(Dados!$N:$N,Dados!$B:$B,B39,Dados!$H:$H,$D$1,Dados!$G:$G,$N$4)</f>
        <v>0</v>
      </c>
      <c r="O39" s="81">
        <f>sumifs(Dados!$N:$N,Dados!$B:$B,B39,Dados!$H:$H,$D$1,Dados!$G:$G,$O$4)</f>
        <v>0</v>
      </c>
      <c r="P39" s="81">
        <f>sumifs(Dados!$N:$N,Dados!$B:$B,B39,Dados!$H:$H,$D$1,Dados!$G:$G,$P$4)</f>
        <v>0</v>
      </c>
      <c r="Q39" s="81"/>
    </row>
    <row r="40" ht="15.75" customHeight="1">
      <c r="A40" s="102"/>
      <c r="B40" s="78" t="s">
        <v>130</v>
      </c>
      <c r="C40" s="79"/>
      <c r="D40" s="80">
        <f t="shared" si="9"/>
        <v>0</v>
      </c>
      <c r="E40" s="81">
        <f>sumifs(Dados!$N:$N,Dados!$B:$B,B40,Dados!$H:$H,$D$1,Dados!$G:$G,$E$4)</f>
        <v>0</v>
      </c>
      <c r="F40" s="81">
        <f>sumifs(Dados!$N:$N,Dados!$B:$B,B40,Dados!$H:$H,$D$1,Dados!$G:$G,$F$4)</f>
        <v>0</v>
      </c>
      <c r="G40" s="81">
        <f>sumifs(Dados!$N:$N,Dados!$B:$B,B40,Dados!$H:$H,$D$1,Dados!$G:$G,$G$4)</f>
        <v>0</v>
      </c>
      <c r="H40" s="81">
        <f>sumifs(Dados!$N:$N,Dados!$B:$B,B40,Dados!$H:$H,$D$1,Dados!$G:$G,$H$4)</f>
        <v>0</v>
      </c>
      <c r="I40" s="81">
        <f>sumifs(Dados!$N:$N,Dados!$B:$B,B40,Dados!$H:$H,$D$1,Dados!$G:$G,$I$4)</f>
        <v>0</v>
      </c>
      <c r="J40" s="81">
        <f>sumifs(Dados!$N:$N,Dados!$B:$B,B40,Dados!$H:$H,$D$1,Dados!$G:$G,$J$4)</f>
        <v>0</v>
      </c>
      <c r="K40" s="81">
        <f>sumifs(Dados!$N:$N,Dados!$B:$B,B40,Dados!$H:$H,$D$1,Dados!$G:$G,$K$4)</f>
        <v>0</v>
      </c>
      <c r="L40" s="81">
        <f>sumifs(Dados!$N:$N,Dados!$B:$B,B40,Dados!$H:$H,$D$1,Dados!$G:$G,$L$4)</f>
        <v>0</v>
      </c>
      <c r="M40" s="81">
        <f>sumifs(Dados!$N:$N,Dados!$B:$B,B40,Dados!$H:$H,$D$1,Dados!$G:$G,$M$4)</f>
        <v>0</v>
      </c>
      <c r="N40" s="81">
        <f>sumifs(Dados!$N:$N,Dados!$B:$B,B40,Dados!$H:$H,$D$1,Dados!$G:$G,$N$4)</f>
        <v>0</v>
      </c>
      <c r="O40" s="81">
        <f>sumifs(Dados!$N:$N,Dados!$B:$B,B40,Dados!$H:$H,$D$1,Dados!$G:$G,$O$4)</f>
        <v>0</v>
      </c>
      <c r="P40" s="81">
        <f>sumifs(Dados!$N:$N,Dados!$B:$B,B40,Dados!$H:$H,$D$1,Dados!$G:$G,$P$4)</f>
        <v>0</v>
      </c>
      <c r="Q40" s="81"/>
    </row>
    <row r="41" ht="15.75" customHeight="1">
      <c r="A41" s="77"/>
      <c r="B41" s="78" t="s">
        <v>132</v>
      </c>
      <c r="C41" s="79"/>
      <c r="D41" s="80">
        <f t="shared" si="9"/>
        <v>17.94</v>
      </c>
      <c r="E41" s="81">
        <f>sumifs(Dados!$N:$N,Dados!$B:$B,B41,Dados!$H:$H,$D$1,Dados!$G:$G,$E$4)</f>
        <v>0</v>
      </c>
      <c r="F41" s="81">
        <f>sumifs(Dados!$N:$N,Dados!$B:$B,B41,Dados!$H:$H,$D$1,Dados!$G:$G,$F$4)</f>
        <v>0</v>
      </c>
      <c r="G41" s="81">
        <f>sumifs(Dados!$N:$N,Dados!$B:$B,B41,Dados!$H:$H,$D$1,Dados!$G:$G,$G$4)</f>
        <v>0</v>
      </c>
      <c r="H41" s="81">
        <f>sumifs(Dados!$N:$N,Dados!$B:$B,B41,Dados!$H:$H,$D$1,Dados!$G:$G,$H$4)</f>
        <v>8.97</v>
      </c>
      <c r="I41" s="81">
        <f>sumifs(Dados!$N:$N,Dados!$B:$B,B41,Dados!$H:$H,$D$1,Dados!$G:$G,$I$4)</f>
        <v>0</v>
      </c>
      <c r="J41" s="81">
        <f>sumifs(Dados!$N:$N,Dados!$B:$B,B41,Dados!$H:$H,$D$1,Dados!$G:$G,$J$4)</f>
        <v>8.97</v>
      </c>
      <c r="K41" s="81">
        <f>sumifs(Dados!$N:$N,Dados!$B:$B,B41,Dados!$H:$H,$D$1,Dados!$G:$G,$K$4)</f>
        <v>0</v>
      </c>
      <c r="L41" s="81">
        <f>sumifs(Dados!$N:$N,Dados!$B:$B,B41,Dados!$H:$H,$D$1,Dados!$G:$G,$L$4)</f>
        <v>0</v>
      </c>
      <c r="M41" s="81">
        <f>sumifs(Dados!$N:$N,Dados!$B:$B,B41,Dados!$H:$H,$D$1,Dados!$G:$G,$M$4)</f>
        <v>0</v>
      </c>
      <c r="N41" s="81">
        <f>sumifs(Dados!$N:$N,Dados!$B:$B,B41,Dados!$H:$H,$D$1,Dados!$G:$G,$N$4)</f>
        <v>0</v>
      </c>
      <c r="O41" s="81">
        <f>sumifs(Dados!$N:$N,Dados!$B:$B,B41,Dados!$H:$H,$D$1,Dados!$G:$G,$O$4)</f>
        <v>0</v>
      </c>
      <c r="P41" s="81">
        <f>sumifs(Dados!$N:$N,Dados!$B:$B,B41,Dados!$H:$H,$D$1,Dados!$G:$G,$P$4)</f>
        <v>0</v>
      </c>
      <c r="Q41" s="81"/>
    </row>
    <row r="42" ht="15.75" customHeight="1">
      <c r="A42" s="77"/>
      <c r="B42" s="78" t="s">
        <v>134</v>
      </c>
      <c r="C42" s="79"/>
      <c r="D42" s="80">
        <f t="shared" si="9"/>
        <v>239.27</v>
      </c>
      <c r="E42" s="81">
        <f>sumifs(Dados!$N:$N,Dados!$B:$B,B42,Dados!$H:$H,$D$1,Dados!$G:$G,$E$4)</f>
        <v>0</v>
      </c>
      <c r="F42" s="81">
        <f>sumifs(Dados!$N:$N,Dados!$B:$B,B42,Dados!$H:$H,$D$1,Dados!$G:$G,$F$4)</f>
        <v>0</v>
      </c>
      <c r="G42" s="81">
        <f>sumifs(Dados!$N:$N,Dados!$B:$B,B42,Dados!$H:$H,$D$1,Dados!$G:$G,$G$4)</f>
        <v>0</v>
      </c>
      <c r="H42" s="81">
        <f>sumifs(Dados!$N:$N,Dados!$B:$B,B42,Dados!$H:$H,$D$1,Dados!$G:$G,$H$4)</f>
        <v>39.8</v>
      </c>
      <c r="I42" s="81">
        <f>sumifs(Dados!$N:$N,Dados!$B:$B,B42,Dados!$H:$H,$D$1,Dados!$G:$G,$I$4)</f>
        <v>59.7</v>
      </c>
      <c r="J42" s="81">
        <f>sumifs(Dados!$N:$N,Dados!$B:$B,B42,Dados!$H:$H,$D$1,Dados!$G:$G,$J$4)</f>
        <v>40.27</v>
      </c>
      <c r="K42" s="81">
        <f>sumifs(Dados!$N:$N,Dados!$B:$B,B42,Dados!$H:$H,$D$1,Dados!$G:$G,$K$4)</f>
        <v>99.5</v>
      </c>
      <c r="L42" s="81">
        <f>sumifs(Dados!$N:$N,Dados!$B:$B,B42,Dados!$H:$H,$D$1,Dados!$G:$G,$L$4)</f>
        <v>0</v>
      </c>
      <c r="M42" s="81">
        <f>sumifs(Dados!$N:$N,Dados!$B:$B,B42,Dados!$H:$H,$D$1,Dados!$G:$G,$M$4)</f>
        <v>0</v>
      </c>
      <c r="N42" s="81">
        <f>sumifs(Dados!$N:$N,Dados!$B:$B,B42,Dados!$H:$H,$D$1,Dados!$G:$G,$N$4)</f>
        <v>0</v>
      </c>
      <c r="O42" s="81">
        <f>sumifs(Dados!$N:$N,Dados!$B:$B,B42,Dados!$H:$H,$D$1,Dados!$G:$G,$O$4)</f>
        <v>0</v>
      </c>
      <c r="P42" s="81">
        <f>sumifs(Dados!$N:$N,Dados!$B:$B,B42,Dados!$H:$H,$D$1,Dados!$G:$G,$P$4)</f>
        <v>0</v>
      </c>
      <c r="Q42" s="81"/>
    </row>
    <row r="43" ht="15.75" customHeight="1">
      <c r="A43" s="102"/>
      <c r="B43" s="78" t="s">
        <v>136</v>
      </c>
      <c r="C43" s="79"/>
      <c r="D43" s="80">
        <f t="shared" si="9"/>
        <v>5.45</v>
      </c>
      <c r="E43" s="81">
        <f>sumifs(Dados!$N:$N,Dados!$B:$B,B43,Dados!$H:$H,$D$1,Dados!$G:$G,$E$4)</f>
        <v>0</v>
      </c>
      <c r="F43" s="81">
        <f>sumifs(Dados!$N:$N,Dados!$B:$B,B43,Dados!$H:$H,$D$1,Dados!$G:$G,$F$4)</f>
        <v>0</v>
      </c>
      <c r="G43" s="81">
        <f>sumifs(Dados!$N:$N,Dados!$B:$B,B43,Dados!$H:$H,$D$1,Dados!$G:$G,$G$4)</f>
        <v>0</v>
      </c>
      <c r="H43" s="81">
        <f>sumifs(Dados!$N:$N,Dados!$B:$B,B43,Dados!$H:$H,$D$1,Dados!$G:$G,$H$4)</f>
        <v>0</v>
      </c>
      <c r="I43" s="81">
        <f>sumifs(Dados!$N:$N,Dados!$B:$B,B43,Dados!$H:$H,$D$1,Dados!$G:$G,$I$4)</f>
        <v>5.45</v>
      </c>
      <c r="J43" s="81">
        <f>sumifs(Dados!$N:$N,Dados!$B:$B,B43,Dados!$H:$H,$D$1,Dados!$G:$G,$J$4)</f>
        <v>0</v>
      </c>
      <c r="K43" s="81">
        <f>sumifs(Dados!$N:$N,Dados!$B:$B,B43,Dados!$H:$H,$D$1,Dados!$G:$G,$K$4)</f>
        <v>0</v>
      </c>
      <c r="L43" s="81">
        <f>sumifs(Dados!$N:$N,Dados!$B:$B,B43,Dados!$H:$H,$D$1,Dados!$G:$G,$L$4)</f>
        <v>0</v>
      </c>
      <c r="M43" s="81">
        <f>sumifs(Dados!$N:$N,Dados!$B:$B,B43,Dados!$H:$H,$D$1,Dados!$G:$G,$M$4)</f>
        <v>0</v>
      </c>
      <c r="N43" s="81">
        <f>sumifs(Dados!$N:$N,Dados!$B:$B,B43,Dados!$H:$H,$D$1,Dados!$G:$G,$N$4)</f>
        <v>0</v>
      </c>
      <c r="O43" s="81">
        <f>sumifs(Dados!$N:$N,Dados!$B:$B,B43,Dados!$H:$H,$D$1,Dados!$G:$G,$O$4)</f>
        <v>0</v>
      </c>
      <c r="P43" s="81">
        <f>sumifs(Dados!$N:$N,Dados!$B:$B,B43,Dados!$H:$H,$D$1,Dados!$G:$G,$P$4)</f>
        <v>0</v>
      </c>
      <c r="Q43" s="81"/>
    </row>
    <row r="44" ht="15.75" customHeight="1">
      <c r="A44" s="102"/>
      <c r="B44" s="78" t="s">
        <v>138</v>
      </c>
      <c r="C44" s="79"/>
      <c r="D44" s="80">
        <f t="shared" si="9"/>
        <v>164</v>
      </c>
      <c r="E44" s="81">
        <f>sumifs(Dados!$N:$N,Dados!$B:$B,B44,Dados!$H:$H,$D$1,Dados!$G:$G,$E$4)</f>
        <v>0</v>
      </c>
      <c r="F44" s="81">
        <f>sumifs(Dados!$N:$N,Dados!$B:$B,B44,Dados!$H:$H,$D$1,Dados!$G:$G,$F$4)</f>
        <v>0</v>
      </c>
      <c r="G44" s="81">
        <f>sumifs(Dados!$N:$N,Dados!$B:$B,B44,Dados!$H:$H,$D$1,Dados!$G:$G,$G$4)</f>
        <v>0</v>
      </c>
      <c r="H44" s="81">
        <f>sumifs(Dados!$N:$N,Dados!$B:$B,B44,Dados!$H:$H,$D$1,Dados!$G:$G,$H$4)</f>
        <v>0</v>
      </c>
      <c r="I44" s="81">
        <f>sumifs(Dados!$N:$N,Dados!$B:$B,B44,Dados!$H:$H,$D$1,Dados!$G:$G,$I$4)</f>
        <v>84</v>
      </c>
      <c r="J44" s="81">
        <f>sumifs(Dados!$N:$N,Dados!$B:$B,B44,Dados!$H:$H,$D$1,Dados!$G:$G,$J$4)</f>
        <v>40</v>
      </c>
      <c r="K44" s="81">
        <f>sumifs(Dados!$N:$N,Dados!$B:$B,B44,Dados!$H:$H,$D$1,Dados!$G:$G,$K$4)</f>
        <v>40</v>
      </c>
      <c r="L44" s="81">
        <f>sumifs(Dados!$N:$N,Dados!$B:$B,B44,Dados!$H:$H,$D$1,Dados!$G:$G,$L$4)</f>
        <v>0</v>
      </c>
      <c r="M44" s="81">
        <f>sumifs(Dados!$N:$N,Dados!$B:$B,B44,Dados!$H:$H,$D$1,Dados!$G:$G,$M$4)</f>
        <v>0</v>
      </c>
      <c r="N44" s="81">
        <f>sumifs(Dados!$N:$N,Dados!$B:$B,B44,Dados!$H:$H,$D$1,Dados!$G:$G,$N$4)</f>
        <v>0</v>
      </c>
      <c r="O44" s="81">
        <f>sumifs(Dados!$N:$N,Dados!$B:$B,B44,Dados!$H:$H,$D$1,Dados!$G:$G,$O$4)</f>
        <v>0</v>
      </c>
      <c r="P44" s="81">
        <f>sumifs(Dados!$N:$N,Dados!$B:$B,B44,Dados!$H:$H,$D$1,Dados!$G:$G,$P$4)</f>
        <v>0</v>
      </c>
      <c r="Q44" s="81"/>
    </row>
    <row r="45" ht="15.75" customHeight="1">
      <c r="A45" s="102"/>
      <c r="B45" s="78" t="s">
        <v>140</v>
      </c>
      <c r="C45" s="79"/>
      <c r="D45" s="80">
        <f t="shared" si="9"/>
        <v>224.37</v>
      </c>
      <c r="E45" s="81">
        <f>sumifs(Dados!$N:$N,Dados!$B:$B,B45,Dados!$H:$H,$D$1,Dados!$G:$G,$E$4)</f>
        <v>0</v>
      </c>
      <c r="F45" s="81">
        <f>sumifs(Dados!$N:$N,Dados!$B:$B,B45,Dados!$H:$H,$D$1,Dados!$G:$G,$F$4)</f>
        <v>0</v>
      </c>
      <c r="G45" s="81">
        <f>sumifs(Dados!$N:$N,Dados!$B:$B,B45,Dados!$H:$H,$D$1,Dados!$G:$G,$G$4)</f>
        <v>0</v>
      </c>
      <c r="H45" s="81">
        <f>sumifs(Dados!$N:$N,Dados!$B:$B,B45,Dados!$H:$H,$D$1,Dados!$G:$G,$H$4)</f>
        <v>87.36</v>
      </c>
      <c r="I45" s="81">
        <f>sumifs(Dados!$N:$N,Dados!$B:$B,B45,Dados!$H:$H,$D$1,Dados!$G:$G,$I$4)</f>
        <v>0</v>
      </c>
      <c r="J45" s="81">
        <f>sumifs(Dados!$N:$N,Dados!$B:$B,B45,Dados!$H:$H,$D$1,Dados!$G:$G,$J$4)</f>
        <v>77.41</v>
      </c>
      <c r="K45" s="81">
        <f>sumifs(Dados!$N:$N,Dados!$B:$B,B45,Dados!$H:$H,$D$1,Dados!$G:$G,$K$4)</f>
        <v>59.6</v>
      </c>
      <c r="L45" s="81">
        <f>sumifs(Dados!$N:$N,Dados!$B:$B,B45,Dados!$H:$H,$D$1,Dados!$G:$G,$L$4)</f>
        <v>0</v>
      </c>
      <c r="M45" s="81">
        <f>sumifs(Dados!$N:$N,Dados!$B:$B,B45,Dados!$H:$H,$D$1,Dados!$G:$G,$M$4)</f>
        <v>0</v>
      </c>
      <c r="N45" s="81">
        <f>sumifs(Dados!$N:$N,Dados!$B:$B,B45,Dados!$H:$H,$D$1,Dados!$G:$G,$N$4)</f>
        <v>0</v>
      </c>
      <c r="O45" s="81">
        <f>sumifs(Dados!$N:$N,Dados!$B:$B,B45,Dados!$H:$H,$D$1,Dados!$G:$G,$O$4)</f>
        <v>0</v>
      </c>
      <c r="P45" s="81">
        <f>sumifs(Dados!$N:$N,Dados!$B:$B,B45,Dados!$H:$H,$D$1,Dados!$G:$G,$P$4)</f>
        <v>0</v>
      </c>
      <c r="Q45" s="81"/>
    </row>
    <row r="46" ht="15.75" customHeight="1">
      <c r="A46" s="102"/>
      <c r="B46" s="78" t="s">
        <v>141</v>
      </c>
      <c r="C46" s="79"/>
      <c r="D46" s="80">
        <f t="shared" si="9"/>
        <v>271.8</v>
      </c>
      <c r="E46" s="81">
        <f>sumifs(Dados!$N:$N,Dados!$B:$B,B46,Dados!$H:$H,$D$1,Dados!$G:$G,$E$4)</f>
        <v>0</v>
      </c>
      <c r="F46" s="81">
        <f>sumifs(Dados!$N:$N,Dados!$B:$B,B46,Dados!$H:$H,$D$1,Dados!$G:$G,$F$4)</f>
        <v>0</v>
      </c>
      <c r="G46" s="81">
        <f>sumifs(Dados!$N:$N,Dados!$B:$B,B46,Dados!$H:$H,$D$1,Dados!$G:$G,$G$4)</f>
        <v>0</v>
      </c>
      <c r="H46" s="81">
        <f>sumifs(Dados!$N:$N,Dados!$B:$B,B46,Dados!$H:$H,$D$1,Dados!$G:$G,$H$4)</f>
        <v>70.56</v>
      </c>
      <c r="I46" s="81">
        <f>sumifs(Dados!$N:$N,Dados!$B:$B,B46,Dados!$H:$H,$D$1,Dados!$G:$G,$I$4)</f>
        <v>51.6</v>
      </c>
      <c r="J46" s="81">
        <f>sumifs(Dados!$N:$N,Dados!$B:$B,B46,Dados!$H:$H,$D$1,Dados!$G:$G,$J$4)</f>
        <v>77.4</v>
      </c>
      <c r="K46" s="81">
        <f>sumifs(Dados!$N:$N,Dados!$B:$B,B46,Dados!$H:$H,$D$1,Dados!$G:$G,$K$4)</f>
        <v>72.24</v>
      </c>
      <c r="L46" s="81">
        <f>sumifs(Dados!$N:$N,Dados!$B:$B,B46,Dados!$H:$H,$D$1,Dados!$G:$G,$L$4)</f>
        <v>0</v>
      </c>
      <c r="M46" s="81">
        <f>sumifs(Dados!$N:$N,Dados!$B:$B,B46,Dados!$H:$H,$D$1,Dados!$G:$G,$M$4)</f>
        <v>0</v>
      </c>
      <c r="N46" s="81">
        <f>sumifs(Dados!$N:$N,Dados!$B:$B,B46,Dados!$H:$H,$D$1,Dados!$G:$G,$N$4)</f>
        <v>0</v>
      </c>
      <c r="O46" s="81">
        <f>sumifs(Dados!$N:$N,Dados!$B:$B,B46,Dados!$H:$H,$D$1,Dados!$G:$G,$O$4)</f>
        <v>0</v>
      </c>
      <c r="P46" s="81">
        <f>sumifs(Dados!$N:$N,Dados!$B:$B,B46,Dados!$H:$H,$D$1,Dados!$G:$G,$P$4)</f>
        <v>0</v>
      </c>
      <c r="Q46" s="81"/>
    </row>
    <row r="47" ht="15.75" customHeight="1">
      <c r="A47" s="102"/>
      <c r="B47" s="78" t="s">
        <v>143</v>
      </c>
      <c r="C47" s="79"/>
      <c r="D47" s="80">
        <f t="shared" si="9"/>
        <v>139.6</v>
      </c>
      <c r="E47" s="81">
        <f>sumifs(Dados!$N:$N,Dados!$B:$B,B47,Dados!$H:$H,$D$1,Dados!$G:$G,$E$4)</f>
        <v>0</v>
      </c>
      <c r="F47" s="81">
        <f>sumifs(Dados!$N:$N,Dados!$B:$B,B47,Dados!$H:$H,$D$1,Dados!$G:$G,$F$4)</f>
        <v>0</v>
      </c>
      <c r="G47" s="81">
        <f>sumifs(Dados!$N:$N,Dados!$B:$B,B47,Dados!$H:$H,$D$1,Dados!$G:$G,$G$4)</f>
        <v>0</v>
      </c>
      <c r="H47" s="81">
        <f>sumifs(Dados!$N:$N,Dados!$B:$B,B47,Dados!$H:$H,$D$1,Dados!$G:$G,$H$4)</f>
        <v>34.9</v>
      </c>
      <c r="I47" s="81">
        <f>sumifs(Dados!$N:$N,Dados!$B:$B,B47,Dados!$H:$H,$D$1,Dados!$G:$G,$I$4)</f>
        <v>69.8</v>
      </c>
      <c r="J47" s="81">
        <f>sumifs(Dados!$N:$N,Dados!$B:$B,B47,Dados!$H:$H,$D$1,Dados!$G:$G,$J$4)</f>
        <v>0</v>
      </c>
      <c r="K47" s="81">
        <f>sumifs(Dados!$N:$N,Dados!$B:$B,B47,Dados!$H:$H,$D$1,Dados!$G:$G,$K$4)</f>
        <v>34.9</v>
      </c>
      <c r="L47" s="81">
        <f>sumifs(Dados!$N:$N,Dados!$B:$B,B47,Dados!$H:$H,$D$1,Dados!$G:$G,$L$4)</f>
        <v>0</v>
      </c>
      <c r="M47" s="81">
        <f>sumifs(Dados!$N:$N,Dados!$B:$B,B47,Dados!$H:$H,$D$1,Dados!$G:$G,$M$4)</f>
        <v>0</v>
      </c>
      <c r="N47" s="81">
        <f>sumifs(Dados!$N:$N,Dados!$B:$B,B47,Dados!$H:$H,$D$1,Dados!$G:$G,$N$4)</f>
        <v>0</v>
      </c>
      <c r="O47" s="81">
        <f>sumifs(Dados!$N:$N,Dados!$B:$B,B47,Dados!$H:$H,$D$1,Dados!$G:$G,$O$4)</f>
        <v>0</v>
      </c>
      <c r="P47" s="81">
        <f>sumifs(Dados!$N:$N,Dados!$B:$B,B47,Dados!$H:$H,$D$1,Dados!$G:$G,$P$4)</f>
        <v>0</v>
      </c>
      <c r="Q47" s="81"/>
    </row>
    <row r="48" ht="15.75" customHeight="1">
      <c r="A48" s="77"/>
      <c r="B48" s="78" t="s">
        <v>144</v>
      </c>
      <c r="C48" s="79"/>
      <c r="D48" s="80">
        <f t="shared" si="9"/>
        <v>30.84</v>
      </c>
      <c r="E48" s="81">
        <f>sumifs(Dados!$N:$N,Dados!$B:$B,B48,Dados!$H:$H,$D$1,Dados!$G:$G,$E$4)</f>
        <v>0</v>
      </c>
      <c r="F48" s="81">
        <f>sumifs(Dados!$N:$N,Dados!$B:$B,B48,Dados!$H:$H,$D$1,Dados!$G:$G,$F$4)</f>
        <v>0</v>
      </c>
      <c r="G48" s="81">
        <f>sumifs(Dados!$N:$N,Dados!$B:$B,B48,Dados!$H:$H,$D$1,Dados!$G:$G,$G$4)</f>
        <v>0</v>
      </c>
      <c r="H48" s="81">
        <f>sumifs(Dados!$N:$N,Dados!$B:$B,B48,Dados!$H:$H,$D$1,Dados!$G:$G,$H$4)</f>
        <v>14.97</v>
      </c>
      <c r="I48" s="81">
        <f>sumifs(Dados!$N:$N,Dados!$B:$B,B48,Dados!$H:$H,$D$1,Dados!$G:$G,$I$4)</f>
        <v>0</v>
      </c>
      <c r="J48" s="81">
        <f>sumifs(Dados!$N:$N,Dados!$B:$B,B48,Dados!$H:$H,$D$1,Dados!$G:$G,$J$4)</f>
        <v>0</v>
      </c>
      <c r="K48" s="81">
        <f>sumifs(Dados!$N:$N,Dados!$B:$B,B48,Dados!$H:$H,$D$1,Dados!$G:$G,$K$4)</f>
        <v>15.87</v>
      </c>
      <c r="L48" s="81">
        <f>sumifs(Dados!$N:$N,Dados!$B:$B,B48,Dados!$H:$H,$D$1,Dados!$G:$G,$L$4)</f>
        <v>0</v>
      </c>
      <c r="M48" s="81">
        <f>sumifs(Dados!$N:$N,Dados!$B:$B,B48,Dados!$H:$H,$D$1,Dados!$G:$G,$M$4)</f>
        <v>0</v>
      </c>
      <c r="N48" s="81">
        <f>sumifs(Dados!$N:$N,Dados!$B:$B,B48,Dados!$H:$H,$D$1,Dados!$G:$G,$N$4)</f>
        <v>0</v>
      </c>
      <c r="O48" s="81">
        <f>sumifs(Dados!$N:$N,Dados!$B:$B,B48,Dados!$H:$H,$D$1,Dados!$G:$G,$O$4)</f>
        <v>0</v>
      </c>
      <c r="P48" s="81">
        <f>sumifs(Dados!$N:$N,Dados!$B:$B,B48,Dados!$H:$H,$D$1,Dados!$G:$G,$P$4)</f>
        <v>0</v>
      </c>
      <c r="Q48" s="81"/>
    </row>
    <row r="49" ht="15.75" customHeight="1">
      <c r="A49" s="102"/>
      <c r="B49" s="78" t="s">
        <v>145</v>
      </c>
      <c r="C49" s="79"/>
      <c r="D49" s="80">
        <f t="shared" si="9"/>
        <v>48.4</v>
      </c>
      <c r="E49" s="81">
        <f>sumifs(Dados!$N:$N,Dados!$B:$B,B49,Dados!$H:$H,$D$1,Dados!$G:$G,$E$4)</f>
        <v>0</v>
      </c>
      <c r="F49" s="81">
        <f>sumifs(Dados!$N:$N,Dados!$B:$B,B49,Dados!$H:$H,$D$1,Dados!$G:$G,$F$4)</f>
        <v>0</v>
      </c>
      <c r="G49" s="81">
        <f>sumifs(Dados!$N:$N,Dados!$B:$B,B49,Dados!$H:$H,$D$1,Dados!$G:$G,$G$4)</f>
        <v>0</v>
      </c>
      <c r="H49" s="81">
        <f>sumifs(Dados!$N:$N,Dados!$B:$B,B49,Dados!$H:$H,$D$1,Dados!$G:$G,$H$4)</f>
        <v>0</v>
      </c>
      <c r="I49" s="81">
        <f>sumifs(Dados!$N:$N,Dados!$B:$B,B49,Dados!$H:$H,$D$1,Dados!$G:$G,$I$4)</f>
        <v>24.48</v>
      </c>
      <c r="J49" s="81">
        <f>sumifs(Dados!$N:$N,Dados!$B:$B,B49,Dados!$H:$H,$D$1,Dados!$G:$G,$J$4)</f>
        <v>11.96</v>
      </c>
      <c r="K49" s="81">
        <f>sumifs(Dados!$N:$N,Dados!$B:$B,B49,Dados!$H:$H,$D$1,Dados!$G:$G,$K$4)</f>
        <v>11.96</v>
      </c>
      <c r="L49" s="81">
        <f>sumifs(Dados!$N:$N,Dados!$B:$B,B49,Dados!$H:$H,$D$1,Dados!$G:$G,$L$4)</f>
        <v>0</v>
      </c>
      <c r="M49" s="81">
        <f>sumifs(Dados!$N:$N,Dados!$B:$B,B49,Dados!$H:$H,$D$1,Dados!$G:$G,$M$4)</f>
        <v>0</v>
      </c>
      <c r="N49" s="81">
        <f>sumifs(Dados!$N:$N,Dados!$B:$B,B49,Dados!$H:$H,$D$1,Dados!$G:$G,$N$4)</f>
        <v>0</v>
      </c>
      <c r="O49" s="81">
        <f>sumifs(Dados!$N:$N,Dados!$B:$B,B49,Dados!$H:$H,$D$1,Dados!$G:$G,$O$4)</f>
        <v>0</v>
      </c>
      <c r="P49" s="81">
        <f>sumifs(Dados!$N:$N,Dados!$B:$B,B49,Dados!$H:$H,$D$1,Dados!$G:$G,$P$4)</f>
        <v>0</v>
      </c>
      <c r="Q49" s="81"/>
    </row>
    <row r="50" ht="15.75" customHeight="1">
      <c r="A50" s="102"/>
      <c r="B50" s="78" t="s">
        <v>146</v>
      </c>
      <c r="C50" s="79"/>
      <c r="D50" s="80">
        <f t="shared" si="9"/>
        <v>0</v>
      </c>
      <c r="E50" s="81">
        <f>sumifs(Dados!$N:$N,Dados!$B:$B,B50,Dados!$H:$H,$D$1,Dados!$G:$G,$E$4)</f>
        <v>0</v>
      </c>
      <c r="F50" s="81">
        <f>sumifs(Dados!$N:$N,Dados!$B:$B,B50,Dados!$H:$H,$D$1,Dados!$G:$G,$F$4)</f>
        <v>0</v>
      </c>
      <c r="G50" s="81">
        <f>sumifs(Dados!$N:$N,Dados!$B:$B,B50,Dados!$H:$H,$D$1,Dados!$G:$G,$G$4)</f>
        <v>0</v>
      </c>
      <c r="H50" s="81">
        <f>sumifs(Dados!$N:$N,Dados!$B:$B,B50,Dados!$H:$H,$D$1,Dados!$G:$G,$H$4)</f>
        <v>0</v>
      </c>
      <c r="I50" s="81">
        <f>sumifs(Dados!$N:$N,Dados!$B:$B,B50,Dados!$H:$H,$D$1,Dados!$G:$G,$I$4)</f>
        <v>0</v>
      </c>
      <c r="J50" s="81">
        <f>sumifs(Dados!$N:$N,Dados!$B:$B,B50,Dados!$H:$H,$D$1,Dados!$G:$G,$J$4)</f>
        <v>0</v>
      </c>
      <c r="K50" s="81">
        <f>sumifs(Dados!$N:$N,Dados!$B:$B,B50,Dados!$H:$H,$D$1,Dados!$G:$G,$K$4)</f>
        <v>0</v>
      </c>
      <c r="L50" s="81">
        <f>sumifs(Dados!$N:$N,Dados!$B:$B,B50,Dados!$H:$H,$D$1,Dados!$G:$G,$L$4)</f>
        <v>0</v>
      </c>
      <c r="M50" s="81">
        <f>sumifs(Dados!$N:$N,Dados!$B:$B,B50,Dados!$H:$H,$D$1,Dados!$G:$G,$M$4)</f>
        <v>0</v>
      </c>
      <c r="N50" s="81">
        <f>sumifs(Dados!$N:$N,Dados!$B:$B,B50,Dados!$H:$H,$D$1,Dados!$G:$G,$N$4)</f>
        <v>0</v>
      </c>
      <c r="O50" s="81">
        <f>sumifs(Dados!$N:$N,Dados!$B:$B,B50,Dados!$H:$H,$D$1,Dados!$G:$G,$O$4)</f>
        <v>0</v>
      </c>
      <c r="P50" s="81">
        <f>sumifs(Dados!$N:$N,Dados!$B:$B,B50,Dados!$H:$H,$D$1,Dados!$G:$G,$P$4)</f>
        <v>0</v>
      </c>
      <c r="Q50" s="81"/>
    </row>
    <row r="51" ht="15.75" customHeight="1">
      <c r="A51" s="102"/>
      <c r="B51" s="78" t="s">
        <v>147</v>
      </c>
      <c r="C51" s="79"/>
      <c r="D51" s="80">
        <f t="shared" si="9"/>
        <v>0</v>
      </c>
      <c r="E51" s="81">
        <f>sumifs(Dados!$N:$N,Dados!$B:$B,$B$51,Dados!$H:$H,$D$1,Dados!$G:$G,E4)</f>
        <v>0</v>
      </c>
      <c r="F51" s="81">
        <f>sumifs(Dados!$N:$N,Dados!$B:$B,$B$51,Dados!$H:$H,$D$1,Dados!$G:$G,F4)</f>
        <v>0</v>
      </c>
      <c r="G51" s="81">
        <f>sumifs(Dados!$N:$N,Dados!$B:$B,$B$51,Dados!$H:$H,$D$1,Dados!$G:$G,G4)</f>
        <v>0</v>
      </c>
      <c r="H51" s="81">
        <f>sumifs(Dados!$N:$N,Dados!$B:$B,$B$51,Dados!$H:$H,$D$1,Dados!$G:$G,H4)</f>
        <v>0</v>
      </c>
      <c r="I51" s="81">
        <f>sumifs(Dados!$N:$N,Dados!$B:$B,$B$51,Dados!$H:$H,$D$1,Dados!$G:$G,I4)</f>
        <v>0</v>
      </c>
      <c r="J51" s="81">
        <f>sumifs(Dados!$N:$N,Dados!$B:$B,$B$51,Dados!$H:$H,$D$1,Dados!$G:$G,J4)</f>
        <v>0</v>
      </c>
      <c r="K51" s="81">
        <f>sumifs(Dados!$N:$N,Dados!$B:$B,$B$51,Dados!$H:$H,$D$1,Dados!$G:$G,K4)</f>
        <v>0</v>
      </c>
      <c r="L51" s="81">
        <f>sumifs(Dados!$N:$N,Dados!$B:$B,$B$51,Dados!$H:$H,$D$1,Dados!$G:$G,L4)</f>
        <v>0</v>
      </c>
      <c r="M51" s="81">
        <f>sumifs(Dados!$N:$N,Dados!$B:$B,$B$51,Dados!$H:$H,$D$1,Dados!$G:$G,M4)</f>
        <v>0</v>
      </c>
      <c r="N51" s="81">
        <f>sumifs(Dados!$N:$N,Dados!$B:$B,$B$51,Dados!$H:$H,$D$1,Dados!$G:$G,N4)</f>
        <v>0</v>
      </c>
      <c r="O51" s="81">
        <f>sumifs(Dados!$N:$N,Dados!$B:$B,$B$51,Dados!$H:$H,$D$1,Dados!$G:$G,O4)</f>
        <v>0</v>
      </c>
      <c r="P51" s="81">
        <f>sumifs(Dados!$N:$N,Dados!$B:$B,$B$51,Dados!$H:$H,$D$1,Dados!$G:$G,P4)</f>
        <v>0</v>
      </c>
      <c r="Q51" s="81"/>
    </row>
    <row r="52" ht="15.75" customHeight="1">
      <c r="A52" s="102"/>
      <c r="B52" s="78" t="s">
        <v>148</v>
      </c>
      <c r="C52" s="79"/>
      <c r="D52" s="80">
        <f t="shared" si="9"/>
        <v>14.9</v>
      </c>
      <c r="E52" s="81">
        <f>sumifs(Dados!$N:$N,Dados!$B:$B,B52,Dados!$H:$H,$D$1,Dados!$G:$G,$E$4)</f>
        <v>0</v>
      </c>
      <c r="F52" s="81">
        <f>sumifs(Dados!$N:$N,Dados!$B:$B,B52,Dados!$H:$H,$D$1,Dados!$G:$G,$F$4)</f>
        <v>0</v>
      </c>
      <c r="G52" s="81">
        <f>sumifs(Dados!$N:$N,Dados!$B:$B,B52,Dados!$H:$H,$D$1,Dados!$G:$G,$G$4)</f>
        <v>0</v>
      </c>
      <c r="H52" s="81">
        <f>sumifs(Dados!$N:$N,Dados!$B:$B,B52,Dados!$H:$H,$D$1,Dados!$G:$G,$H$4)</f>
        <v>0</v>
      </c>
      <c r="I52" s="81">
        <f>sumifs(Dados!$N:$N,Dados!$B:$B,B52,Dados!$H:$H,$D$1,Dados!$G:$G,$I$4)</f>
        <v>0</v>
      </c>
      <c r="J52" s="81">
        <f>sumifs(Dados!$N:$N,Dados!$B:$B,B52,Dados!$H:$H,$D$1,Dados!$G:$G,$J$4)</f>
        <v>14.9</v>
      </c>
      <c r="K52" s="81">
        <f>sumifs(Dados!$N:$N,Dados!$B:$B,B52,Dados!$H:$H,$D$1,Dados!$G:$G,$K$4)</f>
        <v>0</v>
      </c>
      <c r="L52" s="81">
        <f>sumifs(Dados!$N:$N,Dados!$B:$B,B52,Dados!$H:$H,$D$1,Dados!$G:$G,$L$4)</f>
        <v>0</v>
      </c>
      <c r="M52" s="81">
        <f>sumifs(Dados!$N:$N,Dados!$B:$B,B52,Dados!$H:$H,$D$1,Dados!$G:$G,$M$4)</f>
        <v>0</v>
      </c>
      <c r="N52" s="81">
        <f>sumifs(Dados!$N:$N,Dados!$B:$B,B52,Dados!$H:$H,$D$1,Dados!$G:$G,$N$4)</f>
        <v>0</v>
      </c>
      <c r="O52" s="81">
        <f>sumifs(Dados!$N:$N,Dados!$B:$B,B52,Dados!$H:$H,$D$1,Dados!$G:$G,$O$4)</f>
        <v>0</v>
      </c>
      <c r="P52" s="81">
        <f>sumifs(Dados!$N:$N,Dados!$B:$B,B52,Dados!$H:$H,$D$1,Dados!$G:$G,$P$4)</f>
        <v>0</v>
      </c>
      <c r="Q52" s="81"/>
    </row>
    <row r="53" ht="15.75" customHeight="1">
      <c r="A53" s="102"/>
      <c r="B53" s="78" t="s">
        <v>149</v>
      </c>
      <c r="C53" s="79"/>
      <c r="D53" s="80">
        <f t="shared" si="9"/>
        <v>11.85</v>
      </c>
      <c r="E53" s="81">
        <f>sumifs(Dados!$N:$N,Dados!$B:$B,B53,Dados!$H:$H,$D$1,Dados!$G:$G,$E$4)</f>
        <v>0</v>
      </c>
      <c r="F53" s="81">
        <f>sumifs(Dados!$N:$N,Dados!$B:$B,B53,Dados!$H:$H,$D$1,Dados!$G:$G,$F$4)</f>
        <v>0</v>
      </c>
      <c r="G53" s="81">
        <f>sumifs(Dados!$N:$N,Dados!$B:$B,B53,Dados!$H:$H,$D$1,Dados!$G:$G,$G$4)</f>
        <v>0</v>
      </c>
      <c r="H53" s="81">
        <f>sumifs(Dados!$N:$N,Dados!$B:$B,B53,Dados!$H:$H,$D$1,Dados!$G:$G,$H$4)</f>
        <v>11.85</v>
      </c>
      <c r="I53" s="81">
        <f>sumifs(Dados!$N:$N,Dados!$B:$B,B53,Dados!$H:$H,$D$1,Dados!$G:$G,$I$4)</f>
        <v>0</v>
      </c>
      <c r="J53" s="81">
        <f>sumifs(Dados!$N:$N,Dados!$B:$B,B53,Dados!$H:$H,$D$1,Dados!$G:$G,$J$4)</f>
        <v>0</v>
      </c>
      <c r="K53" s="81">
        <f>sumifs(Dados!$N:$N,Dados!$B:$B,B53,Dados!$H:$H,$D$1,Dados!$G:$G,$K$4)</f>
        <v>0</v>
      </c>
      <c r="L53" s="81">
        <f>sumifs(Dados!$N:$N,Dados!$B:$B,B53,Dados!$H:$H,$D$1,Dados!$G:$G,$L$4)</f>
        <v>0</v>
      </c>
      <c r="M53" s="81">
        <f>sumifs(Dados!$N:$N,Dados!$B:$B,B53,Dados!$H:$H,$D$1,Dados!$G:$G,$M$4)</f>
        <v>0</v>
      </c>
      <c r="N53" s="81">
        <f>sumifs(Dados!$N:$N,Dados!$B:$B,B53,Dados!$H:$H,$D$1,Dados!$G:$G,$N$4)</f>
        <v>0</v>
      </c>
      <c r="O53" s="81">
        <f>sumifs(Dados!$N:$N,Dados!$B:$B,B53,Dados!$H:$H,$D$1,Dados!$G:$G,$O$4)</f>
        <v>0</v>
      </c>
      <c r="P53" s="81">
        <f>sumifs(Dados!$N:$N,Dados!$B:$B,B53,Dados!$H:$H,$D$1,Dados!$G:$G,$P$4)</f>
        <v>0</v>
      </c>
      <c r="Q53" s="81"/>
    </row>
    <row r="54" ht="15.75" customHeight="1">
      <c r="A54" s="102"/>
      <c r="B54" s="78" t="s">
        <v>150</v>
      </c>
      <c r="C54" s="79"/>
      <c r="D54" s="80">
        <f t="shared" si="9"/>
        <v>53.04</v>
      </c>
      <c r="E54" s="81">
        <f>sumifs(Dados!$N:$N,Dados!$B:$B,B54,Dados!$H:$H,$D$1,Dados!$G:$G,$E$4)</f>
        <v>0</v>
      </c>
      <c r="F54" s="81">
        <f>sumifs(Dados!$N:$N,Dados!$B:$B,B54,Dados!$H:$H,$D$1,Dados!$G:$G,$F$4)</f>
        <v>0</v>
      </c>
      <c r="G54" s="81">
        <f>sumifs(Dados!$N:$N,Dados!$B:$B,B54,Dados!$H:$H,$D$1,Dados!$G:$G,$G$4)</f>
        <v>0</v>
      </c>
      <c r="H54" s="81">
        <f>sumifs(Dados!$N:$N,Dados!$B:$B,B54,Dados!$H:$H,$D$1,Dados!$G:$G,$H$4)</f>
        <v>0</v>
      </c>
      <c r="I54" s="81">
        <f>sumifs(Dados!$N:$N,Dados!$B:$B,B54,Dados!$H:$H,$D$1,Dados!$G:$G,$I$4)</f>
        <v>0</v>
      </c>
      <c r="J54" s="81">
        <f>sumifs(Dados!$N:$N,Dados!$B:$B,B54,Dados!$H:$H,$D$1,Dados!$G:$G,$J$4)</f>
        <v>32.2</v>
      </c>
      <c r="K54" s="81">
        <f>sumifs(Dados!$N:$N,Dados!$B:$B,B54,Dados!$H:$H,$D$1,Dados!$G:$G,$K$4)</f>
        <v>20.84</v>
      </c>
      <c r="L54" s="81">
        <f>sumifs(Dados!$N:$N,Dados!$B:$B,B54,Dados!$H:$H,$D$1,Dados!$G:$G,$L$4)</f>
        <v>0</v>
      </c>
      <c r="M54" s="81">
        <f>sumifs(Dados!$N:$N,Dados!$B:$B,B54,Dados!$H:$H,$D$1,Dados!$G:$G,$M$4)</f>
        <v>0</v>
      </c>
      <c r="N54" s="81">
        <f>sumifs(Dados!$N:$N,Dados!$B:$B,B54,Dados!$H:$H,$D$1,Dados!$G:$G,$N$4)</f>
        <v>0</v>
      </c>
      <c r="O54" s="81">
        <f>sumifs(Dados!$N:$N,Dados!$B:$B,B54,Dados!$H:$H,$D$1,Dados!$G:$G,$O$4)</f>
        <v>0</v>
      </c>
      <c r="P54" s="81">
        <f>sumifs(Dados!$N:$N,Dados!$B:$B,B54,Dados!$H:$H,$D$1,Dados!$G:$G,$P$4)</f>
        <v>0</v>
      </c>
      <c r="Q54" s="81"/>
    </row>
    <row r="55" ht="15.75" customHeight="1">
      <c r="A55" s="99" t="s">
        <v>151</v>
      </c>
      <c r="B55" s="100">
        <f>sumifs(Dados!$N:$N,Dados!$A:$A,A55,Dados!$H:$H,$D$1)</f>
        <v>1655.29</v>
      </c>
      <c r="C55" s="101">
        <f>B55-D55</f>
        <v>0</v>
      </c>
      <c r="D55" s="100">
        <f t="shared" ref="D55:P55" si="10">SUM(D35:D54)</f>
        <v>1655.29</v>
      </c>
      <c r="E55" s="100">
        <f t="shared" si="10"/>
        <v>0</v>
      </c>
      <c r="F55" s="100">
        <f t="shared" si="10"/>
        <v>0</v>
      </c>
      <c r="G55" s="100">
        <f t="shared" si="10"/>
        <v>0</v>
      </c>
      <c r="H55" s="100">
        <f t="shared" si="10"/>
        <v>359.27</v>
      </c>
      <c r="I55" s="100">
        <f t="shared" si="10"/>
        <v>364.58</v>
      </c>
      <c r="J55" s="100">
        <f t="shared" si="10"/>
        <v>432.21</v>
      </c>
      <c r="K55" s="100">
        <f t="shared" si="10"/>
        <v>499.23</v>
      </c>
      <c r="L55" s="100">
        <f t="shared" si="10"/>
        <v>0</v>
      </c>
      <c r="M55" s="100">
        <f t="shared" si="10"/>
        <v>0</v>
      </c>
      <c r="N55" s="100">
        <f t="shared" si="10"/>
        <v>0</v>
      </c>
      <c r="O55" s="100">
        <f t="shared" si="10"/>
        <v>0</v>
      </c>
      <c r="P55" s="100">
        <f t="shared" si="10"/>
        <v>0</v>
      </c>
      <c r="Q55" s="100"/>
    </row>
    <row r="56" ht="15.75" customHeight="1">
      <c r="A56" s="77"/>
      <c r="B56" s="78" t="s">
        <v>152</v>
      </c>
      <c r="C56" s="79"/>
      <c r="D56" s="80">
        <f t="shared" ref="D56:D67" si="11">SUM(E56:P56)</f>
        <v>3.96</v>
      </c>
      <c r="E56" s="81">
        <f>sumifs(Dados!$N:$N,Dados!$B:$B,B56,Dados!$H:$H,$D$1,Dados!$G:$G,$E$4)</f>
        <v>0</v>
      </c>
      <c r="F56" s="81">
        <f>sumifs(Dados!$N:$N,Dados!$B:$B,B56,Dados!$H:$H,$D$1,Dados!$G:$G,$F$4)</f>
        <v>0</v>
      </c>
      <c r="G56" s="81">
        <f>sumifs(Dados!$N:$N,Dados!$B:$B,B56,Dados!$H:$H,$D$1,Dados!$G:$G,$G$4)</f>
        <v>0</v>
      </c>
      <c r="H56" s="81">
        <f>sumifs(Dados!$N:$N,Dados!$B:$B,B56,Dados!$H:$H,$D$1,Dados!$G:$G,$H$4)</f>
        <v>0</v>
      </c>
      <c r="I56" s="81">
        <f>sumifs(Dados!$N:$N,Dados!$B:$B,B56,Dados!$H:$H,$D$1,Dados!$G:$G,$I$4)</f>
        <v>0</v>
      </c>
      <c r="J56" s="81">
        <f>sumifs(Dados!$N:$N,Dados!$B:$B,B56,Dados!$H:$H,$D$1,Dados!$G:$G,$J$4)</f>
        <v>3.96</v>
      </c>
      <c r="K56" s="81">
        <f>sumifs(Dados!$N:$N,Dados!$B:$B,B56,Dados!$H:$H,$D$1,Dados!$G:$G,$K$4)</f>
        <v>0</v>
      </c>
      <c r="L56" s="81">
        <f>sumifs(Dados!$N:$N,Dados!$B:$B,B56,Dados!$H:$H,$D$1,Dados!$G:$G,$L$4)</f>
        <v>0</v>
      </c>
      <c r="M56" s="81">
        <f>sumifs(Dados!$N:$N,Dados!$B:$B,B56,Dados!$H:$H,$D$1,Dados!$G:$G,$M$4)</f>
        <v>0</v>
      </c>
      <c r="N56" s="81">
        <f>sumifs(Dados!$N:$N,Dados!$B:$B,B56,Dados!$H:$H,$D$1,Dados!$G:$G,$N$4)</f>
        <v>0</v>
      </c>
      <c r="O56" s="81">
        <f>sumifs(Dados!$N:$N,Dados!$B:$B,B56,Dados!$H:$H,$D$1,Dados!$G:$G,$O$4)</f>
        <v>0</v>
      </c>
      <c r="P56" s="81">
        <f>sumifs(Dados!$N:$N,Dados!$B:$B,B56,Dados!$H:$H,$D$1,Dados!$G:$G,$P$4)</f>
        <v>0</v>
      </c>
      <c r="Q56" s="81"/>
    </row>
    <row r="57" ht="15.75" customHeight="1">
      <c r="A57" s="77"/>
      <c r="B57" s="78" t="s">
        <v>153</v>
      </c>
      <c r="C57" s="79"/>
      <c r="D57" s="80">
        <f t="shared" si="11"/>
        <v>0</v>
      </c>
      <c r="E57" s="81">
        <f>sumifs(Dados!$N:$N,Dados!$B:$B,B57,Dados!$H:$H,$D$1,Dados!$G:$G,$E$4)</f>
        <v>0</v>
      </c>
      <c r="F57" s="81">
        <f>sumifs(Dados!$N:$N,Dados!$B:$B,B57,Dados!$H:$H,$D$1,Dados!$G:$G,$F$4)</f>
        <v>0</v>
      </c>
      <c r="G57" s="81">
        <f>sumifs(Dados!$N:$N,Dados!$B:$B,B57,Dados!$H:$H,$D$1,Dados!$G:$G,$G$4)</f>
        <v>0</v>
      </c>
      <c r="H57" s="81">
        <f>sumifs(Dados!$N:$N,Dados!$B:$B,B57,Dados!$H:$H,$D$1,Dados!$G:$G,$H$4)</f>
        <v>0</v>
      </c>
      <c r="I57" s="81">
        <f>sumifs(Dados!$N:$N,Dados!$B:$B,B57,Dados!$H:$H,$D$1,Dados!$G:$G,$I$4)</f>
        <v>0</v>
      </c>
      <c r="J57" s="81">
        <f>sumifs(Dados!$N:$N,Dados!$B:$B,B57,Dados!$H:$H,$D$1,Dados!$G:$G,$J$4)</f>
        <v>0</v>
      </c>
      <c r="K57" s="81">
        <f>sumifs(Dados!$N:$N,Dados!$B:$B,B57,Dados!$H:$H,$D$1,Dados!$G:$G,$K$4)</f>
        <v>0</v>
      </c>
      <c r="L57" s="81">
        <f>sumifs(Dados!$N:$N,Dados!$B:$B,B57,Dados!$H:$H,$D$1,Dados!$G:$G,$L$4)</f>
        <v>0</v>
      </c>
      <c r="M57" s="81">
        <f>sumifs(Dados!$N:$N,Dados!$B:$B,B57,Dados!$H:$H,$D$1,Dados!$G:$G,$M$4)</f>
        <v>0</v>
      </c>
      <c r="N57" s="81">
        <f>sumifs(Dados!$N:$N,Dados!$B:$B,B57,Dados!$H:$H,$D$1,Dados!$G:$G,$N$4)</f>
        <v>0</v>
      </c>
      <c r="O57" s="81">
        <f>sumifs(Dados!$N:$N,Dados!$B:$B,B57,Dados!$H:$H,$D$1,Dados!$G:$G,$O$4)</f>
        <v>0</v>
      </c>
      <c r="P57" s="81">
        <f>sumifs(Dados!$N:$N,Dados!$B:$B,B57,Dados!$H:$H,$D$1,Dados!$G:$G,$P$4)</f>
        <v>0</v>
      </c>
      <c r="Q57" s="81"/>
    </row>
    <row r="58" ht="15.75" customHeight="1">
      <c r="A58" s="77"/>
      <c r="B58" s="78" t="s">
        <v>155</v>
      </c>
      <c r="C58" s="79"/>
      <c r="D58" s="80">
        <f t="shared" si="11"/>
        <v>70.34</v>
      </c>
      <c r="E58" s="81">
        <f>sumifs(Dados!$N:$N,Dados!$B:$B,B58,Dados!$H:$H,$D$1,Dados!$G:$G,$E$4)</f>
        <v>0</v>
      </c>
      <c r="F58" s="81">
        <f>sumifs(Dados!$N:$N,Dados!$B:$B,B58,Dados!$H:$H,$D$1,Dados!$G:$G,$F$4)</f>
        <v>0</v>
      </c>
      <c r="G58" s="81">
        <f>sumifs(Dados!$N:$N,Dados!$B:$B,B58,Dados!$H:$H,$D$1,Dados!$G:$G,$G$4)</f>
        <v>0</v>
      </c>
      <c r="H58" s="81">
        <f>sumifs(Dados!$N:$N,Dados!$B:$B,B58,Dados!$H:$H,$D$1,Dados!$G:$G,$H$4)</f>
        <v>41.87</v>
      </c>
      <c r="I58" s="81">
        <f>sumifs(Dados!$N:$N,Dados!$B:$B,B58,Dados!$H:$H,$D$1,Dados!$G:$G,$I$4)</f>
        <v>0</v>
      </c>
      <c r="J58" s="81">
        <f>sumifs(Dados!$N:$N,Dados!$B:$B,B58,Dados!$H:$H,$D$1,Dados!$G:$G,$J$4)</f>
        <v>0</v>
      </c>
      <c r="K58" s="81">
        <f>sumifs(Dados!$N:$N,Dados!$B:$B,B58,Dados!$H:$H,$D$1,Dados!$G:$G,$K$4)</f>
        <v>28.47</v>
      </c>
      <c r="L58" s="81">
        <f>sumifs(Dados!$N:$N,Dados!$B:$B,B58,Dados!$H:$H,$D$1,Dados!$G:$G,$L$4)</f>
        <v>0</v>
      </c>
      <c r="M58" s="81">
        <f>sumifs(Dados!$N:$N,Dados!$B:$B,B58,Dados!$H:$H,$D$1,Dados!$G:$G,$M$4)</f>
        <v>0</v>
      </c>
      <c r="N58" s="81">
        <f>sumifs(Dados!$N:$N,Dados!$B:$B,B58,Dados!$H:$H,$D$1,Dados!$G:$G,$N$4)</f>
        <v>0</v>
      </c>
      <c r="O58" s="81">
        <f>sumifs(Dados!$N:$N,Dados!$B:$B,B58,Dados!$H:$H,$D$1,Dados!$G:$G,$O$4)</f>
        <v>0</v>
      </c>
      <c r="P58" s="81">
        <f>sumifs(Dados!$N:$N,Dados!$B:$B,B58,Dados!$H:$H,$D$1,Dados!$G:$G,$P$4)</f>
        <v>0</v>
      </c>
      <c r="Q58" s="81"/>
    </row>
    <row r="59" ht="15.75" customHeight="1">
      <c r="A59" s="77"/>
      <c r="B59" s="78" t="s">
        <v>156</v>
      </c>
      <c r="C59" s="79"/>
      <c r="D59" s="80">
        <f t="shared" si="11"/>
        <v>168.23</v>
      </c>
      <c r="E59" s="81">
        <f>sumifs(Dados!$N:$N,Dados!$B:$B,B59,Dados!$H:$H,$D$1,Dados!$G:$G,$E$4)</f>
        <v>0</v>
      </c>
      <c r="F59" s="81">
        <f>sumifs(Dados!$N:$N,Dados!$B:$B,B59,Dados!$H:$H,$D$1,Dados!$G:$G,$F$4)</f>
        <v>0</v>
      </c>
      <c r="G59" s="81">
        <f>sumifs(Dados!$N:$N,Dados!$B:$B,B59,Dados!$H:$H,$D$1,Dados!$G:$G,$G$4)</f>
        <v>0</v>
      </c>
      <c r="H59" s="81">
        <f>sumifs(Dados!$N:$N,Dados!$B:$B,B59,Dados!$H:$H,$D$1,Dados!$G:$G,$H$4)</f>
        <v>131.44</v>
      </c>
      <c r="I59" s="81">
        <f>sumifs(Dados!$N:$N,Dados!$B:$B,B59,Dados!$H:$H,$D$1,Dados!$G:$G,$I$4)</f>
        <v>16.77</v>
      </c>
      <c r="J59" s="81">
        <f>sumifs(Dados!$N:$N,Dados!$B:$B,B59,Dados!$H:$H,$D$1,Dados!$G:$G,$J$4)</f>
        <v>11.95</v>
      </c>
      <c r="K59" s="81">
        <f>sumifs(Dados!$N:$N,Dados!$B:$B,B59,Dados!$H:$H,$D$1,Dados!$G:$G,$K$4)</f>
        <v>8.07</v>
      </c>
      <c r="L59" s="81">
        <f>sumifs(Dados!$N:$N,Dados!$B:$B,B59,Dados!$H:$H,$D$1,Dados!$G:$G,$L$4)</f>
        <v>0</v>
      </c>
      <c r="M59" s="81">
        <f>sumifs(Dados!$N:$N,Dados!$B:$B,B59,Dados!$H:$H,$D$1,Dados!$G:$G,$M$4)</f>
        <v>0</v>
      </c>
      <c r="N59" s="81">
        <f>sumifs(Dados!$N:$N,Dados!$B:$B,B59,Dados!$H:$H,$D$1,Dados!$G:$G,$N$4)</f>
        <v>0</v>
      </c>
      <c r="O59" s="81">
        <f>sumifs(Dados!$N:$N,Dados!$B:$B,B59,Dados!$H:$H,$D$1,Dados!$G:$G,$O$4)</f>
        <v>0</v>
      </c>
      <c r="P59" s="81">
        <f>sumifs(Dados!$N:$N,Dados!$B:$B,B59,Dados!$H:$H,$D$1,Dados!$G:$G,$P$4)</f>
        <v>0</v>
      </c>
      <c r="Q59" s="81"/>
    </row>
    <row r="60" ht="15.75" customHeight="1">
      <c r="A60" s="140"/>
      <c r="B60" s="78" t="s">
        <v>157</v>
      </c>
      <c r="C60" s="79"/>
      <c r="D60" s="80">
        <f t="shared" si="11"/>
        <v>20.4</v>
      </c>
      <c r="E60" s="81">
        <f>sumifs(Dados!$N:$N,Dados!$B:$B,B60,Dados!$H:$H,$D$1,Dados!$G:$G,$E$4)</f>
        <v>0</v>
      </c>
      <c r="F60" s="81">
        <f>sumifs(Dados!$N:$N,Dados!$B:$B,B60,Dados!$H:$H,$D$1,Dados!$G:$G,$F$4)</f>
        <v>0</v>
      </c>
      <c r="G60" s="81">
        <f>sumifs(Dados!$N:$N,Dados!$B:$B,B60,Dados!$H:$H,$D$1,Dados!$G:$G,$G$4)</f>
        <v>0</v>
      </c>
      <c r="H60" s="81">
        <f>sumifs(Dados!$N:$N,Dados!$B:$B,B60,Dados!$H:$H,$D$1,Dados!$G:$G,$H$4)</f>
        <v>10.2</v>
      </c>
      <c r="I60" s="81">
        <f>sumifs(Dados!$N:$N,Dados!$B:$B,B60,Dados!$H:$H,$D$1,Dados!$G:$G,$I$4)</f>
        <v>0</v>
      </c>
      <c r="J60" s="81">
        <f>sumifs(Dados!$N:$N,Dados!$B:$B,B60,Dados!$H:$H,$D$1,Dados!$G:$G,$J$4)</f>
        <v>0</v>
      </c>
      <c r="K60" s="81">
        <f>sumifs(Dados!$N:$N,Dados!$B:$B,B60,Dados!$H:$H,$D$1,Dados!$G:$G,$K$4)</f>
        <v>10.2</v>
      </c>
      <c r="L60" s="81">
        <f>sumifs(Dados!$N:$N,Dados!$B:$B,B60,Dados!$H:$H,$D$1,Dados!$G:$G,$L$4)</f>
        <v>0</v>
      </c>
      <c r="M60" s="81">
        <f>sumifs(Dados!$N:$N,Dados!$B:$B,B60,Dados!$H:$H,$D$1,Dados!$G:$G,$M$4)</f>
        <v>0</v>
      </c>
      <c r="N60" s="81">
        <f>sumifs(Dados!$N:$N,Dados!$B:$B,B60,Dados!$H:$H,$D$1,Dados!$G:$G,$N$4)</f>
        <v>0</v>
      </c>
      <c r="O60" s="81">
        <f>sumifs(Dados!$N:$N,Dados!$B:$B,B60,Dados!$H:$H,$D$1,Dados!$G:$G,$O$4)</f>
        <v>0</v>
      </c>
      <c r="P60" s="81">
        <f>sumifs(Dados!$N:$N,Dados!$B:$B,B60,Dados!$H:$H,$D$1,Dados!$G:$G,$P$4)</f>
        <v>0</v>
      </c>
      <c r="Q60" s="81"/>
    </row>
    <row r="61" ht="15.75" customHeight="1">
      <c r="A61" s="77"/>
      <c r="B61" s="78" t="s">
        <v>158</v>
      </c>
      <c r="C61" s="79"/>
      <c r="D61" s="80">
        <f t="shared" si="11"/>
        <v>6.5</v>
      </c>
      <c r="E61" s="81">
        <f>sumifs(Dados!$N:$N,Dados!$B:$B,B61,Dados!$H:$H,$D$1,Dados!$G:$G,$E$4)</f>
        <v>0</v>
      </c>
      <c r="F61" s="81">
        <f>sumifs(Dados!$N:$N,Dados!$B:$B,B61,Dados!$H:$H,$D$1,Dados!$G:$G,$F$4)</f>
        <v>0</v>
      </c>
      <c r="G61" s="81">
        <f>sumifs(Dados!$N:$N,Dados!$B:$B,B61,Dados!$H:$H,$D$1,Dados!$G:$G,$G$4)</f>
        <v>0</v>
      </c>
      <c r="H61" s="81">
        <f>sumifs(Dados!$N:$N,Dados!$B:$B,B61,Dados!$H:$H,$D$1,Dados!$G:$G,$H$4)</f>
        <v>6.5</v>
      </c>
      <c r="I61" s="81">
        <f>sumifs(Dados!$N:$N,Dados!$B:$B,B61,Dados!$H:$H,$D$1,Dados!$G:$G,$I$4)</f>
        <v>0</v>
      </c>
      <c r="J61" s="81">
        <f>sumifs(Dados!$N:$N,Dados!$B:$B,B61,Dados!$H:$H,$D$1,Dados!$G:$G,$J$4)</f>
        <v>0</v>
      </c>
      <c r="K61" s="81">
        <f>sumifs(Dados!$N:$N,Dados!$B:$B,B61,Dados!$H:$H,$D$1,Dados!$G:$G,$K$4)</f>
        <v>0</v>
      </c>
      <c r="L61" s="81">
        <f>sumifs(Dados!$N:$N,Dados!$B:$B,B61,Dados!$H:$H,$D$1,Dados!$G:$G,$L$4)</f>
        <v>0</v>
      </c>
      <c r="M61" s="81">
        <f>sumifs(Dados!$N:$N,Dados!$B:$B,B61,Dados!$H:$H,$D$1,Dados!$G:$G,$M$4)</f>
        <v>0</v>
      </c>
      <c r="N61" s="81">
        <f>sumifs(Dados!$N:$N,Dados!$B:$B,B61,Dados!$H:$H,$D$1,Dados!$G:$G,$N$4)</f>
        <v>0</v>
      </c>
      <c r="O61" s="81">
        <f>sumifs(Dados!$N:$N,Dados!$B:$B,B61,Dados!$H:$H,$D$1,Dados!$G:$G,$O$4)</f>
        <v>0</v>
      </c>
      <c r="P61" s="81">
        <f>sumifs(Dados!$N:$N,Dados!$B:$B,B61,Dados!$H:$H,$D$1,Dados!$G:$G,$P$4)</f>
        <v>0</v>
      </c>
      <c r="Q61" s="81"/>
    </row>
    <row r="62" ht="15.75" customHeight="1">
      <c r="A62" s="77"/>
      <c r="B62" s="78" t="s">
        <v>159</v>
      </c>
      <c r="C62" s="79"/>
      <c r="D62" s="80">
        <f t="shared" si="11"/>
        <v>0</v>
      </c>
      <c r="E62" s="81">
        <f>sumifs(Dados!$N:$N,Dados!$B:$B,B62,Dados!$H:$H,$D$1,Dados!$G:$G,$E$4)</f>
        <v>0</v>
      </c>
      <c r="F62" s="81">
        <f>sumifs(Dados!$N:$N,Dados!$B:$B,B62,Dados!$H:$H,$D$1,Dados!$G:$G,$F$4)</f>
        <v>0</v>
      </c>
      <c r="G62" s="81">
        <f>sumifs(Dados!$N:$N,Dados!$B:$B,B62,Dados!$H:$H,$D$1,Dados!$G:$G,$G$4)</f>
        <v>0</v>
      </c>
      <c r="H62" s="81">
        <f>sumifs(Dados!$N:$N,Dados!$B:$B,B62,Dados!$H:$H,$D$1,Dados!$G:$G,$H$4)</f>
        <v>0</v>
      </c>
      <c r="I62" s="81">
        <f>sumifs(Dados!$N:$N,Dados!$B:$B,B62,Dados!$H:$H,$D$1,Dados!$G:$G,$I$4)</f>
        <v>0</v>
      </c>
      <c r="J62" s="81">
        <f>sumifs(Dados!$N:$N,Dados!$B:$B,B62,Dados!$H:$H,$D$1,Dados!$G:$G,$J$4)</f>
        <v>0</v>
      </c>
      <c r="K62" s="81">
        <f>sumifs(Dados!$N:$N,Dados!$B:$B,B62,Dados!$H:$H,$D$1,Dados!$G:$G,$K$4)</f>
        <v>0</v>
      </c>
      <c r="L62" s="81">
        <f>sumifs(Dados!$N:$N,Dados!$B:$B,B62,Dados!$H:$H,$D$1,Dados!$G:$G,$L$4)</f>
        <v>0</v>
      </c>
      <c r="M62" s="81">
        <f>sumifs(Dados!$N:$N,Dados!$B:$B,B62,Dados!$H:$H,$D$1,Dados!$G:$G,$M$4)</f>
        <v>0</v>
      </c>
      <c r="N62" s="81">
        <f>sumifs(Dados!$N:$N,Dados!$B:$B,B62,Dados!$H:$H,$D$1,Dados!$G:$G,$N$4)</f>
        <v>0</v>
      </c>
      <c r="O62" s="81">
        <f>sumifs(Dados!$N:$N,Dados!$B:$B,B62,Dados!$H:$H,$D$1,Dados!$G:$G,$O$4)</f>
        <v>0</v>
      </c>
      <c r="P62" s="81">
        <f>sumifs(Dados!$N:$N,Dados!$B:$B,B62,Dados!$H:$H,$D$1,Dados!$G:$G,$P$4)</f>
        <v>0</v>
      </c>
      <c r="Q62" s="81"/>
    </row>
    <row r="63" ht="15.75" customHeight="1">
      <c r="A63" s="140"/>
      <c r="B63" s="78" t="s">
        <v>160</v>
      </c>
      <c r="C63" s="79"/>
      <c r="D63" s="80">
        <f t="shared" si="11"/>
        <v>38.01</v>
      </c>
      <c r="E63" s="81">
        <f>sumifs(Dados!$N:$N,Dados!$B:$B,B63,Dados!$H:$H,$D$1,Dados!$G:$G,$E$4)</f>
        <v>0</v>
      </c>
      <c r="F63" s="81">
        <f>sumifs(Dados!$N:$N,Dados!$B:$B,B63,Dados!$H:$H,$D$1,Dados!$G:$G,$F$4)</f>
        <v>0</v>
      </c>
      <c r="G63" s="81">
        <f>sumifs(Dados!$N:$N,Dados!$B:$B,B63,Dados!$H:$H,$D$1,Dados!$G:$G,$G$4)</f>
        <v>0</v>
      </c>
      <c r="H63" s="81">
        <f>sumifs(Dados!$N:$N,Dados!$B:$B,B63,Dados!$H:$H,$D$1,Dados!$G:$G,$H$4)</f>
        <v>19.61</v>
      </c>
      <c r="I63" s="81">
        <f>sumifs(Dados!$N:$N,Dados!$B:$B,B63,Dados!$H:$H,$D$1,Dados!$G:$G,$I$4)</f>
        <v>0</v>
      </c>
      <c r="J63" s="81">
        <f>sumifs(Dados!$N:$N,Dados!$B:$B,B63,Dados!$H:$H,$D$1,Dados!$G:$G,$J$4)</f>
        <v>0</v>
      </c>
      <c r="K63" s="81">
        <f>sumifs(Dados!$N:$N,Dados!$B:$B,B63,Dados!$H:$H,$D$1,Dados!$G:$G,$K$4)</f>
        <v>18.4</v>
      </c>
      <c r="L63" s="81">
        <f>sumifs(Dados!$N:$N,Dados!$B:$B,B63,Dados!$H:$H,$D$1,Dados!$G:$G,$L$4)</f>
        <v>0</v>
      </c>
      <c r="M63" s="81">
        <f>sumifs(Dados!$N:$N,Dados!$B:$B,B63,Dados!$H:$H,$D$1,Dados!$G:$G,$M$4)</f>
        <v>0</v>
      </c>
      <c r="N63" s="81">
        <f>sumifs(Dados!$N:$N,Dados!$B:$B,B63,Dados!$H:$H,$D$1,Dados!$G:$G,$N$4)</f>
        <v>0</v>
      </c>
      <c r="O63" s="81">
        <f>sumifs(Dados!$N:$N,Dados!$B:$B,B63,Dados!$H:$H,$D$1,Dados!$G:$G,$O$4)</f>
        <v>0</v>
      </c>
      <c r="P63" s="81">
        <f>sumifs(Dados!$N:$N,Dados!$B:$B,B63,Dados!$H:$H,$D$1,Dados!$G:$G,$P$4)</f>
        <v>0</v>
      </c>
      <c r="Q63" s="81"/>
    </row>
    <row r="64" ht="15.75" customHeight="1">
      <c r="A64" s="140"/>
      <c r="B64" s="78" t="s">
        <v>161</v>
      </c>
      <c r="C64" s="79"/>
      <c r="D64" s="80">
        <f t="shared" si="11"/>
        <v>41.17</v>
      </c>
      <c r="E64" s="81">
        <f>sumifs(Dados!$N:$N,Dados!$B:$B,B64,Dados!$H:$H,$D$1,Dados!$G:$G,$E$4)</f>
        <v>0</v>
      </c>
      <c r="F64" s="81">
        <f>sumifs(Dados!$N:$N,Dados!$B:$B,B64,Dados!$H:$H,$D$1,Dados!$G:$G,$F$4)</f>
        <v>0</v>
      </c>
      <c r="G64" s="81">
        <f>sumifs(Dados!$N:$N,Dados!$B:$B,B64,Dados!$H:$H,$D$1,Dados!$G:$G,$G$4)</f>
        <v>0</v>
      </c>
      <c r="H64" s="81">
        <f>sumifs(Dados!$N:$N,Dados!$B:$B,B64,Dados!$H:$H,$D$1,Dados!$G:$G,$H$4)</f>
        <v>14.32</v>
      </c>
      <c r="I64" s="81">
        <f>sumifs(Dados!$N:$N,Dados!$B:$B,B64,Dados!$H:$H,$D$1,Dados!$G:$G,$I$4)</f>
        <v>0</v>
      </c>
      <c r="J64" s="81">
        <f>sumifs(Dados!$N:$N,Dados!$B:$B,B64,Dados!$H:$H,$D$1,Dados!$G:$G,$J$4)</f>
        <v>8.95</v>
      </c>
      <c r="K64" s="81">
        <f>sumifs(Dados!$N:$N,Dados!$B:$B,B64,Dados!$H:$H,$D$1,Dados!$G:$G,$K$4)</f>
        <v>17.9</v>
      </c>
      <c r="L64" s="81">
        <f>sumifs(Dados!$N:$N,Dados!$B:$B,B64,Dados!$H:$H,$D$1,Dados!$G:$G,$L$4)</f>
        <v>0</v>
      </c>
      <c r="M64" s="81">
        <f>sumifs(Dados!$N:$N,Dados!$B:$B,B64,Dados!$H:$H,$D$1,Dados!$G:$G,$M$4)</f>
        <v>0</v>
      </c>
      <c r="N64" s="81">
        <f>sumifs(Dados!$N:$N,Dados!$B:$B,B64,Dados!$H:$H,$D$1,Dados!$G:$G,$N$4)</f>
        <v>0</v>
      </c>
      <c r="O64" s="81">
        <f>sumifs(Dados!$N:$N,Dados!$B:$B,B64,Dados!$H:$H,$D$1,Dados!$G:$G,$O$4)</f>
        <v>0</v>
      </c>
      <c r="P64" s="81">
        <f>sumifs(Dados!$N:$N,Dados!$B:$B,B64,Dados!$H:$H,$D$1,Dados!$G:$G,$P$4)</f>
        <v>0</v>
      </c>
      <c r="Q64" s="81"/>
    </row>
    <row r="65" ht="15.75" customHeight="1">
      <c r="A65" s="140"/>
      <c r="B65" s="78" t="s">
        <v>162</v>
      </c>
      <c r="C65" s="79"/>
      <c r="D65" s="80">
        <f t="shared" si="11"/>
        <v>0</v>
      </c>
      <c r="E65" s="81">
        <f>sumifs(Dados!$N:$N,Dados!$B:$B,B65,Dados!$H:$H,$D$1,Dados!$G:$G,$E$4)</f>
        <v>0</v>
      </c>
      <c r="F65" s="81">
        <f>sumifs(Dados!$N:$N,Dados!$B:$B,B65,Dados!$H:$H,$D$1,Dados!$G:$G,$F$4)</f>
        <v>0</v>
      </c>
      <c r="G65" s="81">
        <f>sumifs(Dados!$N:$N,Dados!$B:$B,B65,Dados!$H:$H,$D$1,Dados!$G:$G,$G$4)</f>
        <v>0</v>
      </c>
      <c r="H65" s="81">
        <f>sumifs(Dados!$N:$N,Dados!$B:$B,B65,Dados!$H:$H,$D$1,Dados!$G:$G,$H$4)</f>
        <v>0</v>
      </c>
      <c r="I65" s="81">
        <f>sumifs(Dados!$N:$N,Dados!$B:$B,B65,Dados!$H:$H,$D$1,Dados!$G:$G,$I$4)</f>
        <v>0</v>
      </c>
      <c r="J65" s="81">
        <f>sumifs(Dados!$N:$N,Dados!$B:$B,B65,Dados!$H:$H,$D$1,Dados!$G:$G,$J$4)</f>
        <v>0</v>
      </c>
      <c r="K65" s="81">
        <f>sumifs(Dados!$N:$N,Dados!$B:$B,B65,Dados!$H:$H,$D$1,Dados!$G:$G,$K$4)</f>
        <v>0</v>
      </c>
      <c r="L65" s="81">
        <f>sumifs(Dados!$N:$N,Dados!$B:$B,B65,Dados!$H:$H,$D$1,Dados!$G:$G,$L$4)</f>
        <v>0</v>
      </c>
      <c r="M65" s="81">
        <f>sumifs(Dados!$N:$N,Dados!$B:$B,B65,Dados!$H:$H,$D$1,Dados!$G:$G,$M$4)</f>
        <v>0</v>
      </c>
      <c r="N65" s="81">
        <f>sumifs(Dados!$N:$N,Dados!$B:$B,B65,Dados!$H:$H,$D$1,Dados!$G:$G,$N$4)</f>
        <v>0</v>
      </c>
      <c r="O65" s="81">
        <f>sumifs(Dados!$N:$N,Dados!$B:$B,B65,Dados!$H:$H,$D$1,Dados!$G:$G,$O$4)</f>
        <v>0</v>
      </c>
      <c r="P65" s="81">
        <f>sumifs(Dados!$N:$N,Dados!$B:$B,B65,Dados!$H:$H,$D$1,Dados!$G:$G,$P$4)</f>
        <v>0</v>
      </c>
      <c r="Q65" s="81"/>
    </row>
    <row r="66" ht="15.75" customHeight="1">
      <c r="A66" s="77"/>
      <c r="B66" s="78" t="s">
        <v>163</v>
      </c>
      <c r="C66" s="79"/>
      <c r="D66" s="80">
        <f t="shared" si="11"/>
        <v>29.04</v>
      </c>
      <c r="E66" s="81">
        <f>sumifs(Dados!$N:$N,Dados!$B:$B,B66,Dados!$H:$H,$D$1,Dados!$G:$G,$E$4)</f>
        <v>0</v>
      </c>
      <c r="F66" s="81">
        <f>sumifs(Dados!$N:$N,Dados!$B:$B,B66,Dados!$H:$H,$D$1,Dados!$G:$G,$F$4)</f>
        <v>0</v>
      </c>
      <c r="G66" s="81">
        <f>sumifs(Dados!$N:$N,Dados!$B:$B,B66,Dados!$H:$H,$D$1,Dados!$G:$G,$G$4)</f>
        <v>0</v>
      </c>
      <c r="H66" s="81">
        <f>sumifs(Dados!$N:$N,Dados!$B:$B,B66,Dados!$H:$H,$D$1,Dados!$G:$G,$H$4)</f>
        <v>0</v>
      </c>
      <c r="I66" s="81">
        <f>sumifs(Dados!$N:$N,Dados!$B:$B,B66,Dados!$H:$H,$D$1,Dados!$G:$G,$I$4)</f>
        <v>0</v>
      </c>
      <c r="J66" s="81">
        <f>sumifs(Dados!$N:$N,Dados!$B:$B,B66,Dados!$H:$H,$D$1,Dados!$G:$G,$J$4)</f>
        <v>29.04</v>
      </c>
      <c r="K66" s="81">
        <f>sumifs(Dados!$N:$N,Dados!$B:$B,B66,Dados!$H:$H,$D$1,Dados!$G:$G,$K$4)</f>
        <v>0</v>
      </c>
      <c r="L66" s="81">
        <f>sumifs(Dados!$N:$N,Dados!$B:$B,B66,Dados!$H:$H,$D$1,Dados!$G:$G,$L$4)</f>
        <v>0</v>
      </c>
      <c r="M66" s="81">
        <f>sumifs(Dados!$N:$N,Dados!$B:$B,B66,Dados!$H:$H,$D$1,Dados!$G:$G,$M$4)</f>
        <v>0</v>
      </c>
      <c r="N66" s="81">
        <f>sumifs(Dados!$N:$N,Dados!$B:$B,B66,Dados!$H:$H,$D$1,Dados!$G:$G,$N$4)</f>
        <v>0</v>
      </c>
      <c r="O66" s="81">
        <f>sumifs(Dados!$N:$N,Dados!$B:$B,B66,Dados!$H:$H,$D$1,Dados!$G:$G,$O$4)</f>
        <v>0</v>
      </c>
      <c r="P66" s="81">
        <f>sumifs(Dados!$N:$N,Dados!$B:$B,B66,Dados!$H:$H,$D$1,Dados!$G:$G,$P$4)</f>
        <v>0</v>
      </c>
      <c r="Q66" s="81"/>
    </row>
    <row r="67" ht="15.75" customHeight="1">
      <c r="A67" s="77"/>
      <c r="B67" s="78" t="s">
        <v>164</v>
      </c>
      <c r="C67" s="79"/>
      <c r="D67" s="80">
        <f t="shared" si="11"/>
        <v>0</v>
      </c>
      <c r="E67" s="81">
        <f>sumifs(Dados!$N:$N,Dados!$B:$B,B67,Dados!$H:$H,$D$1,Dados!$G:$G,$E$4)</f>
        <v>0</v>
      </c>
      <c r="F67" s="81">
        <f>sumifs(Dados!$N:$N,Dados!$B:$B,B67,Dados!$H:$H,$D$1,Dados!$G:$G,$F$4)</f>
        <v>0</v>
      </c>
      <c r="G67" s="81">
        <f>sumifs(Dados!$N:$N,Dados!$B:$B,B67,Dados!$H:$H,$D$1,Dados!$G:$G,$G$4)</f>
        <v>0</v>
      </c>
      <c r="H67" s="81">
        <f>sumifs(Dados!$N:$N,Dados!$B:$B,B67,Dados!$H:$H,$D$1,Dados!$G:$G,$H$4)</f>
        <v>0</v>
      </c>
      <c r="I67" s="81">
        <f>sumifs(Dados!$N:$N,Dados!$B:$B,B67,Dados!$H:$H,$D$1,Dados!$G:$G,$I$4)</f>
        <v>0</v>
      </c>
      <c r="J67" s="81">
        <f>sumifs(Dados!$N:$N,Dados!$B:$B,B67,Dados!$H:$H,$D$1,Dados!$G:$G,$J$4)</f>
        <v>0</v>
      </c>
      <c r="K67" s="81">
        <f>sumifs(Dados!$N:$N,Dados!$B:$B,B67,Dados!$H:$H,$D$1,Dados!$G:$G,$K$4)</f>
        <v>0</v>
      </c>
      <c r="L67" s="81">
        <f>sumifs(Dados!$N:$N,Dados!$B:$B,B67,Dados!$H:$H,$D$1,Dados!$G:$G,$L$4)</f>
        <v>0</v>
      </c>
      <c r="M67" s="81">
        <f>sumifs(Dados!$N:$N,Dados!$B:$B,B67,Dados!$H:$H,$D$1,Dados!$G:$G,$M$4)</f>
        <v>0</v>
      </c>
      <c r="N67" s="81">
        <f>sumifs(Dados!$N:$N,Dados!$B:$B,B67,Dados!$H:$H,$D$1,Dados!$G:$G,$N$4)</f>
        <v>0</v>
      </c>
      <c r="O67" s="81">
        <f>sumifs(Dados!$N:$N,Dados!$B:$B,B67,Dados!$H:$H,$D$1,Dados!$G:$G,$O$4)</f>
        <v>0</v>
      </c>
      <c r="P67" s="81">
        <f>sumifs(Dados!$N:$N,Dados!$B:$B,B67,Dados!$H:$H,$D$1,Dados!$G:$G,$P$4)</f>
        <v>0</v>
      </c>
      <c r="Q67" s="81"/>
    </row>
    <row r="68" ht="15.75" customHeight="1">
      <c r="A68" s="99" t="s">
        <v>165</v>
      </c>
      <c r="B68" s="100">
        <f>sumifs(Dados!$N:$N,Dados!$A:$A,A68,Dados!$H:$H,$D$1)</f>
        <v>377.65</v>
      </c>
      <c r="C68" s="101">
        <f>B68-D68</f>
        <v>0</v>
      </c>
      <c r="D68" s="100">
        <f t="shared" ref="D68:P68" si="12">SUM(D56:D67)</f>
        <v>377.65</v>
      </c>
      <c r="E68" s="100">
        <f t="shared" si="12"/>
        <v>0</v>
      </c>
      <c r="F68" s="100">
        <f t="shared" si="12"/>
        <v>0</v>
      </c>
      <c r="G68" s="100">
        <f t="shared" si="12"/>
        <v>0</v>
      </c>
      <c r="H68" s="100">
        <f t="shared" si="12"/>
        <v>223.94</v>
      </c>
      <c r="I68" s="100">
        <f t="shared" si="12"/>
        <v>16.77</v>
      </c>
      <c r="J68" s="100">
        <f t="shared" si="12"/>
        <v>53.9</v>
      </c>
      <c r="K68" s="100">
        <f t="shared" si="12"/>
        <v>83.04</v>
      </c>
      <c r="L68" s="100">
        <f t="shared" si="12"/>
        <v>0</v>
      </c>
      <c r="M68" s="100">
        <f t="shared" si="12"/>
        <v>0</v>
      </c>
      <c r="N68" s="100">
        <f t="shared" si="12"/>
        <v>0</v>
      </c>
      <c r="O68" s="100">
        <f t="shared" si="12"/>
        <v>0</v>
      </c>
      <c r="P68" s="100">
        <f t="shared" si="12"/>
        <v>0</v>
      </c>
      <c r="Q68" s="100"/>
    </row>
    <row r="69" ht="15.75" customHeight="1">
      <c r="A69" s="77"/>
      <c r="B69" s="77" t="s">
        <v>166</v>
      </c>
      <c r="C69" s="79"/>
      <c r="D69" s="80">
        <f t="shared" ref="D69:D75" si="13">SUM(E69:P69)</f>
        <v>334.45</v>
      </c>
      <c r="E69" s="81">
        <f>sumifs(Dados!$N:$N,Dados!$B:$B,B69,Dados!$H:$H,$D$1,Dados!$G:$G,$E$4)</f>
        <v>0</v>
      </c>
      <c r="F69" s="81">
        <f>sumifs(Dados!$N:$N,Dados!$B:$B,B69,Dados!$H:$H,$D$1,Dados!$G:$G,$F$4)</f>
        <v>0</v>
      </c>
      <c r="G69" s="81">
        <f>sumifs(Dados!$N:$N,Dados!$B:$B,B69,Dados!$H:$H,$D$1,Dados!$G:$G,$G$4)</f>
        <v>0</v>
      </c>
      <c r="H69" s="81">
        <f>sumifs(Dados!$N:$N,Dados!$B:$B,B69,Dados!$H:$H,$D$1,Dados!$G:$G,$H$4)</f>
        <v>0</v>
      </c>
      <c r="I69" s="81">
        <f>sumifs(Dados!$N:$N,Dados!$B:$B,B69,Dados!$H:$H,$D$1,Dados!$G:$G,$I$4)</f>
        <v>334.45</v>
      </c>
      <c r="J69" s="81">
        <f>sumifs(Dados!$N:$N,Dados!$B:$B,B69,Dados!$H:$H,$D$1,Dados!$G:$G,$J$4)</f>
        <v>0</v>
      </c>
      <c r="K69" s="81">
        <f>sumifs(Dados!$N:$N,Dados!$B:$B,B69,Dados!$H:$H,$D$1,Dados!$G:$G,$K$4)</f>
        <v>0</v>
      </c>
      <c r="L69" s="81">
        <f>sumifs(Dados!$N:$N,Dados!$B:$B,B69,Dados!$H:$H,$D$1,Dados!$G:$G,$L$4)</f>
        <v>0</v>
      </c>
      <c r="M69" s="81">
        <f>sumifs(Dados!$N:$N,Dados!$B:$B,B69,Dados!$H:$H,$D$1,Dados!$G:$G,$M$4)</f>
        <v>0</v>
      </c>
      <c r="N69" s="81">
        <f>sumifs(Dados!$N:$N,Dados!$B:$B,B69,Dados!$H:$H,$D$1,Dados!$G:$G,$N$4)</f>
        <v>0</v>
      </c>
      <c r="O69" s="81">
        <f>sumifs(Dados!$N:$N,Dados!$B:$B,B69,Dados!$H:$H,$D$1,Dados!$G:$G,$O$4)</f>
        <v>0</v>
      </c>
      <c r="P69" s="81">
        <f>sumifs(Dados!$N:$N,Dados!$B:$B,B69,Dados!$H:$H,$D$1,Dados!$G:$G,$P$4)</f>
        <v>0</v>
      </c>
      <c r="Q69" s="81"/>
    </row>
    <row r="70" ht="15.75" customHeight="1">
      <c r="A70" s="77"/>
      <c r="B70" s="77" t="s">
        <v>167</v>
      </c>
      <c r="C70" s="79"/>
      <c r="D70" s="80">
        <f t="shared" si="13"/>
        <v>0</v>
      </c>
      <c r="E70" s="81">
        <f>sumifs(Dados!$N:$N,Dados!$B:$B,B70,Dados!$H:$H,$D$1,Dados!$G:$G,$E$4)</f>
        <v>0</v>
      </c>
      <c r="F70" s="81">
        <f>sumifs(Dados!$N:$N,Dados!$B:$B,B70,Dados!$H:$H,$D$1,Dados!$G:$G,$F$4)</f>
        <v>0</v>
      </c>
      <c r="G70" s="81">
        <f>sumifs(Dados!$N:$N,Dados!$B:$B,B70,Dados!$H:$H,$D$1,Dados!$G:$G,$G$4)</f>
        <v>0</v>
      </c>
      <c r="H70" s="81">
        <f>sumifs(Dados!$N:$N,Dados!$B:$B,B70,Dados!$H:$H,$D$1,Dados!$G:$G,$H$4)</f>
        <v>0</v>
      </c>
      <c r="I70" s="81">
        <f>sumifs(Dados!$N:$N,Dados!$B:$B,B70,Dados!$H:$H,$D$1,Dados!$G:$G,$I$4)</f>
        <v>0</v>
      </c>
      <c r="J70" s="81">
        <f>sumifs(Dados!$N:$N,Dados!$B:$B,B70,Dados!$H:$H,$D$1,Dados!$G:$G,$J$4)</f>
        <v>0</v>
      </c>
      <c r="K70" s="81">
        <f>sumifs(Dados!$N:$N,Dados!$B:$B,B70,Dados!$H:$H,$D$1,Dados!$G:$G,$K$4)</f>
        <v>0</v>
      </c>
      <c r="L70" s="81">
        <f>sumifs(Dados!$N:$N,Dados!$B:$B,B70,Dados!$H:$H,$D$1,Dados!$G:$G,$L$4)</f>
        <v>0</v>
      </c>
      <c r="M70" s="81">
        <f>sumifs(Dados!$N:$N,Dados!$B:$B,B70,Dados!$H:$H,$D$1,Dados!$G:$G,$M$4)</f>
        <v>0</v>
      </c>
      <c r="N70" s="81">
        <f>sumifs(Dados!$N:$N,Dados!$B:$B,B70,Dados!$H:$H,$D$1,Dados!$G:$G,$N$4)</f>
        <v>0</v>
      </c>
      <c r="O70" s="81">
        <f>sumifs(Dados!$N:$N,Dados!$B:$B,B70,Dados!$H:$H,$D$1,Dados!$G:$G,$O$4)</f>
        <v>0</v>
      </c>
      <c r="P70" s="81">
        <f>sumifs(Dados!$N:$N,Dados!$B:$B,B70,Dados!$H:$H,$D$1,Dados!$G:$G,$P$4)</f>
        <v>0</v>
      </c>
      <c r="Q70" s="81"/>
    </row>
    <row r="71" ht="15.75" customHeight="1">
      <c r="A71" s="77"/>
      <c r="B71" s="77" t="s">
        <v>168</v>
      </c>
      <c r="C71" s="79"/>
      <c r="D71" s="80">
        <f t="shared" si="13"/>
        <v>0</v>
      </c>
      <c r="E71" s="81">
        <f>sumifs(Dados!$N:$N,Dados!$B:$B,$B$71,Dados!$H:$H,$D$1,Dados!$G:$G,E4)</f>
        <v>0</v>
      </c>
      <c r="F71" s="81">
        <f>sumifs(Dados!$N:$N,Dados!$B:$B,$B$71,Dados!$H:$H,$D$1,Dados!$G:$G,F4)</f>
        <v>0</v>
      </c>
      <c r="G71" s="81">
        <f>sumifs(Dados!$N:$N,Dados!$B:$B,$B$71,Dados!$H:$H,$D$1,Dados!$G:$G,G4)</f>
        <v>0</v>
      </c>
      <c r="H71" s="81">
        <f>sumifs(Dados!$N:$N,Dados!$B:$B,$B$71,Dados!$H:$H,$D$1,Dados!$G:$G,H4)</f>
        <v>0</v>
      </c>
      <c r="I71" s="81">
        <f>sumifs(Dados!$N:$N,Dados!$B:$B,$B$71,Dados!$H:$H,$D$1,Dados!$G:$G,I4)</f>
        <v>0</v>
      </c>
      <c r="J71" s="81">
        <f>sumifs(Dados!$N:$N,Dados!$B:$B,$B$71,Dados!$H:$H,$D$1,Dados!$G:$G,J4)</f>
        <v>0</v>
      </c>
      <c r="K71" s="81">
        <f>sumifs(Dados!$N:$N,Dados!$B:$B,$B$71,Dados!$H:$H,$D$1,Dados!$G:$G,K4)</f>
        <v>0</v>
      </c>
      <c r="L71" s="81">
        <f>sumifs(Dados!$N:$N,Dados!$B:$B,$B$71,Dados!$H:$H,$D$1,Dados!$G:$G,L4)</f>
        <v>0</v>
      </c>
      <c r="M71" s="81">
        <f>sumifs(Dados!$N:$N,Dados!$B:$B,$B$71,Dados!$H:$H,$D$1,Dados!$G:$G,M4)</f>
        <v>0</v>
      </c>
      <c r="N71" s="81">
        <f>sumifs(Dados!$N:$N,Dados!$B:$B,$B$71,Dados!$H:$H,$D$1,Dados!$G:$G,N4)</f>
        <v>0</v>
      </c>
      <c r="O71" s="81">
        <f>sumifs(Dados!$N:$N,Dados!$B:$B,$B$71,Dados!$H:$H,$D$1,Dados!$G:$G,O4)</f>
        <v>0</v>
      </c>
      <c r="P71" s="81">
        <f>sumifs(Dados!$N:$N,Dados!$B:$B,$B$71,Dados!$H:$H,$D$1,Dados!$G:$G,P4)</f>
        <v>0</v>
      </c>
      <c r="Q71" s="81"/>
    </row>
    <row r="72" ht="15.75" customHeight="1">
      <c r="A72" s="102"/>
      <c r="B72" s="102" t="s">
        <v>169</v>
      </c>
      <c r="C72" s="79"/>
      <c r="D72" s="80">
        <f t="shared" si="13"/>
        <v>1467.98</v>
      </c>
      <c r="E72" s="81">
        <f>sumifs(Dados!$N:$N,Dados!$B:$B,B72,Dados!$H:$H,$D$1,Dados!$G:$G,$E$4)</f>
        <v>0</v>
      </c>
      <c r="F72" s="81">
        <f>sumifs(Dados!$N:$N,Dados!$B:$B,B72,Dados!$H:$H,$D$1,Dados!$G:$G,$F$4)</f>
        <v>0</v>
      </c>
      <c r="G72" s="81">
        <f>sumifs(Dados!$N:$N,Dados!$B:$B,B72,Dados!$H:$H,$D$1,Dados!$G:$G,$G$4)</f>
        <v>0</v>
      </c>
      <c r="H72" s="81">
        <f>sumifs(Dados!$N:$N,Dados!$B:$B,B72,Dados!$H:$H,$D$1,Dados!$G:$G,$H$4)</f>
        <v>0</v>
      </c>
      <c r="I72" s="81">
        <f>sumifs(Dados!$N:$N,Dados!$B:$B,B72,Dados!$H:$H,$D$1,Dados!$G:$G,$I$4)</f>
        <v>0</v>
      </c>
      <c r="J72" s="81">
        <f>sumifs(Dados!$N:$N,Dados!$B:$B,B72,Dados!$H:$H,$D$1,Dados!$G:$G,$J$4)</f>
        <v>648.98</v>
      </c>
      <c r="K72" s="81">
        <f>sumifs(Dados!$N:$N,Dados!$B:$B,B72,Dados!$H:$H,$D$1,Dados!$G:$G,$K$4)</f>
        <v>819</v>
      </c>
      <c r="L72" s="81">
        <f>sumifs(Dados!$N:$N,Dados!$B:$B,B72,Dados!$H:$H,$D$1,Dados!$G:$G,$L$4)</f>
        <v>0</v>
      </c>
      <c r="M72" s="81">
        <f>sumifs(Dados!$N:$N,Dados!$B:$B,B72,Dados!$H:$H,$D$1,Dados!$G:$G,$M$4)</f>
        <v>0</v>
      </c>
      <c r="N72" s="81">
        <f>sumifs(Dados!$N:$N,Dados!$B:$B,B72,Dados!$H:$H,$D$1,Dados!$G:$G,$N$4)</f>
        <v>0</v>
      </c>
      <c r="O72" s="81">
        <f>sumifs(Dados!$N:$N,Dados!$B:$B,B72,Dados!$H:$H,$D$1,Dados!$G:$G,$O$4)</f>
        <v>0</v>
      </c>
      <c r="P72" s="81">
        <f>sumifs(Dados!$N:$N,Dados!$B:$B,B72,Dados!$H:$H,$D$1,Dados!$G:$G,$P$4)</f>
        <v>0</v>
      </c>
      <c r="Q72" s="81"/>
    </row>
    <row r="73" ht="15.75" customHeight="1">
      <c r="A73" s="77"/>
      <c r="B73" s="77" t="s">
        <v>45</v>
      </c>
      <c r="C73" s="79"/>
      <c r="D73" s="80">
        <f t="shared" si="13"/>
        <v>224.05</v>
      </c>
      <c r="E73" s="81">
        <f>sumifs(Dados!$N:$N,Dados!$B:$B,B73,Dados!$H:$H,$D$1,Dados!$G:$G,$E$4)</f>
        <v>0</v>
      </c>
      <c r="F73" s="81">
        <f>sumifs(Dados!$N:$N,Dados!$B:$B,B73,Dados!$H:$H,$D$1,Dados!$G:$G,$F$4)</f>
        <v>224.05</v>
      </c>
      <c r="G73" s="81">
        <f>sumifs(Dados!$N:$N,Dados!$B:$B,B73,Dados!$H:$H,$D$1,Dados!$G:$G,$G$4)</f>
        <v>0</v>
      </c>
      <c r="H73" s="81">
        <f>sumifs(Dados!$N:$N,Dados!$B:$B,B73,Dados!$H:$H,$D$1,Dados!$G:$G,$H$4)</f>
        <v>0</v>
      </c>
      <c r="I73" s="81">
        <f>sumifs(Dados!$N:$N,Dados!$B:$B,B73,Dados!$H:$H,$D$1,Dados!$G:$G,$I$4)</f>
        <v>0</v>
      </c>
      <c r="J73" s="81">
        <f>sumifs(Dados!$N:$N,Dados!$B:$B,B73,Dados!$H:$H,$D$1,Dados!$G:$G,$J$4)</f>
        <v>0</v>
      </c>
      <c r="K73" s="81">
        <f>sumifs(Dados!$N:$N,Dados!$B:$B,B73,Dados!$H:$H,$D$1,Dados!$G:$G,$K$4)</f>
        <v>0</v>
      </c>
      <c r="L73" s="81">
        <f>sumifs(Dados!$N:$N,Dados!$B:$B,B73,Dados!$H:$H,$D$1,Dados!$G:$G,$L$4)</f>
        <v>0</v>
      </c>
      <c r="M73" s="81">
        <f>sumifs(Dados!$N:$N,Dados!$B:$B,B73,Dados!$H:$H,$D$1,Dados!$G:$G,$M$4)</f>
        <v>0</v>
      </c>
      <c r="N73" s="81">
        <f>sumifs(Dados!$N:$N,Dados!$B:$B,B73,Dados!$H:$H,$D$1,Dados!$G:$G,$N$4)</f>
        <v>0</v>
      </c>
      <c r="O73" s="81">
        <f>sumifs(Dados!$N:$N,Dados!$B:$B,B73,Dados!$H:$H,$D$1,Dados!$G:$G,$O$4)</f>
        <v>0</v>
      </c>
      <c r="P73" s="81">
        <f>sumifs(Dados!$N:$N,Dados!$B:$B,B73,Dados!$H:$H,$D$1,Dados!$G:$G,$P$4)</f>
        <v>0</v>
      </c>
      <c r="Q73" s="81"/>
    </row>
    <row r="74" ht="15.75" customHeight="1">
      <c r="A74" s="82"/>
      <c r="B74" s="82" t="s">
        <v>170</v>
      </c>
      <c r="C74" s="79"/>
      <c r="D74" s="80">
        <f t="shared" si="13"/>
        <v>112</v>
      </c>
      <c r="E74" s="81">
        <f>sumifs(Dados!$N:$N,Dados!$B:$B,B74,Dados!$H:$H,$D$1,Dados!$G:$G,$E$4)</f>
        <v>0</v>
      </c>
      <c r="F74" s="81">
        <f>sumifs(Dados!$N:$N,Dados!$B:$B,B74,Dados!$H:$H,$D$1,Dados!$G:$G,$F$4)</f>
        <v>0</v>
      </c>
      <c r="G74" s="81">
        <f>sumifs(Dados!$N:$N,Dados!$B:$B,B74,Dados!$H:$H,$D$1,Dados!$G:$G,$G$4)</f>
        <v>0</v>
      </c>
      <c r="H74" s="81">
        <f>sumifs(Dados!$N:$N,Dados!$B:$B,B74,Dados!$H:$H,$D$1,Dados!$G:$G,$H$4)</f>
        <v>0</v>
      </c>
      <c r="I74" s="81">
        <f>sumifs(Dados!$N:$N,Dados!$B:$B,B74,Dados!$H:$H,$D$1,Dados!$G:$G,$I$4)</f>
        <v>112</v>
      </c>
      <c r="J74" s="81">
        <f>sumifs(Dados!$N:$N,Dados!$B:$B,B74,Dados!$H:$H,$D$1,Dados!$G:$G,$J$4)</f>
        <v>0</v>
      </c>
      <c r="K74" s="81">
        <f>sumifs(Dados!$N:$N,Dados!$B:$B,B74,Dados!$H:$H,$D$1,Dados!$G:$G,$K$4)</f>
        <v>0</v>
      </c>
      <c r="L74" s="81">
        <f>sumifs(Dados!$N:$N,Dados!$B:$B,B74,Dados!$H:$H,$D$1,Dados!$G:$G,$L$4)</f>
        <v>0</v>
      </c>
      <c r="M74" s="81">
        <f>sumifs(Dados!$N:$N,Dados!$B:$B,B74,Dados!$H:$H,$D$1,Dados!$G:$G,$M$4)</f>
        <v>0</v>
      </c>
      <c r="N74" s="81">
        <f>sumifs(Dados!$N:$N,Dados!$B:$B,B74,Dados!$H:$H,$D$1,Dados!$G:$G,$N$4)</f>
        <v>0</v>
      </c>
      <c r="O74" s="81">
        <f>sumifs(Dados!$N:$N,Dados!$B:$B,B74,Dados!$H:$H,$D$1,Dados!$G:$G,$O$4)</f>
        <v>0</v>
      </c>
      <c r="P74" s="81">
        <f>sumifs(Dados!$N:$N,Dados!$B:$B,B74,Dados!$H:$H,$D$1,Dados!$G:$G,$P$4)</f>
        <v>0</v>
      </c>
      <c r="Q74" s="81"/>
    </row>
    <row r="75" ht="15.75" customHeight="1">
      <c r="A75" s="77"/>
      <c r="B75" s="77" t="s">
        <v>44</v>
      </c>
      <c r="C75" s="79"/>
      <c r="D75" s="80">
        <f t="shared" si="13"/>
        <v>812.4</v>
      </c>
      <c r="E75" s="81">
        <f>sumifs(Dados!$N:$N,Dados!$B:$B,B75,Dados!$H:$H,$D$1,Dados!$G:$G,$E$4)</f>
        <v>0</v>
      </c>
      <c r="F75" s="81">
        <f>sumifs(Dados!$N:$N,Dados!$B:$B,B75,Dados!$H:$H,$D$1,Dados!$G:$G,$F$4)</f>
        <v>188.1</v>
      </c>
      <c r="G75" s="81">
        <f>sumifs(Dados!$N:$N,Dados!$B:$B,B75,Dados!$H:$H,$D$1,Dados!$G:$G,$G$4)</f>
        <v>0</v>
      </c>
      <c r="H75" s="81">
        <f>sumifs(Dados!$N:$N,Dados!$B:$B,B75,Dados!$H:$H,$D$1,Dados!$G:$G,$H$4)</f>
        <v>564.3</v>
      </c>
      <c r="I75" s="81">
        <f>sumifs(Dados!$N:$N,Dados!$B:$B,B75,Dados!$H:$H,$D$1,Dados!$G:$G,$I$4)</f>
        <v>20</v>
      </c>
      <c r="J75" s="81">
        <f>sumifs(Dados!$N:$N,Dados!$B:$B,B75,Dados!$H:$H,$D$1,Dados!$G:$G,$J$4)</f>
        <v>20</v>
      </c>
      <c r="K75" s="81">
        <f>sumifs(Dados!$N:$N,Dados!$B:$B,B75,Dados!$H:$H,$D$1,Dados!$G:$G,$K$4)</f>
        <v>20</v>
      </c>
      <c r="L75" s="81">
        <f>sumifs(Dados!$N:$N,Dados!$B:$B,B75,Dados!$H:$H,$D$1,Dados!$G:$G,$L$4)</f>
        <v>0</v>
      </c>
      <c r="M75" s="81">
        <f>sumifs(Dados!$N:$N,Dados!$B:$B,B75,Dados!$H:$H,$D$1,Dados!$G:$G,$M$4)</f>
        <v>0</v>
      </c>
      <c r="N75" s="81">
        <f>sumifs(Dados!$N:$N,Dados!$B:$B,B75,Dados!$H:$H,$D$1,Dados!$G:$G,$N$4)</f>
        <v>0</v>
      </c>
      <c r="O75" s="81">
        <f>sumifs(Dados!$N:$N,Dados!$B:$B,B75,Dados!$H:$H,$D$1,Dados!$G:$G,$O$4)</f>
        <v>0</v>
      </c>
      <c r="P75" s="81">
        <f>sumifs(Dados!$N:$N,Dados!$B:$B,B75,Dados!$H:$H,$D$1,Dados!$G:$G,$P$4)</f>
        <v>0</v>
      </c>
      <c r="Q75" s="81"/>
    </row>
    <row r="76" ht="15.75" customHeight="1">
      <c r="A76" s="99" t="s">
        <v>171</v>
      </c>
      <c r="B76" s="100">
        <f>sumifs(Dados!$N:$N,Dados!$A:$A,A76,Dados!$H:$H,$D$1)</f>
        <v>2950.88</v>
      </c>
      <c r="C76" s="101">
        <f>B76-D76</f>
        <v>0</v>
      </c>
      <c r="D76" s="100">
        <f t="shared" ref="D76:P76" si="14">SUM(D69:D75)</f>
        <v>2950.88</v>
      </c>
      <c r="E76" s="100">
        <f t="shared" si="14"/>
        <v>0</v>
      </c>
      <c r="F76" s="100">
        <f t="shared" si="14"/>
        <v>412.15</v>
      </c>
      <c r="G76" s="100">
        <f t="shared" si="14"/>
        <v>0</v>
      </c>
      <c r="H76" s="100">
        <f t="shared" si="14"/>
        <v>564.3</v>
      </c>
      <c r="I76" s="100">
        <f t="shared" si="14"/>
        <v>466.45</v>
      </c>
      <c r="J76" s="100">
        <f t="shared" si="14"/>
        <v>668.98</v>
      </c>
      <c r="K76" s="100">
        <f t="shared" si="14"/>
        <v>839</v>
      </c>
      <c r="L76" s="100">
        <f t="shared" si="14"/>
        <v>0</v>
      </c>
      <c r="M76" s="100">
        <f t="shared" si="14"/>
        <v>0</v>
      </c>
      <c r="N76" s="100">
        <f t="shared" si="14"/>
        <v>0</v>
      </c>
      <c r="O76" s="100">
        <f t="shared" si="14"/>
        <v>0</v>
      </c>
      <c r="P76" s="100">
        <f t="shared" si="14"/>
        <v>0</v>
      </c>
      <c r="Q76" s="100"/>
    </row>
    <row r="77" ht="15.75" customHeight="1">
      <c r="A77" s="77"/>
      <c r="B77" s="77" t="s">
        <v>172</v>
      </c>
      <c r="C77" s="79"/>
      <c r="D77" s="80">
        <f t="shared" ref="D77:D82" si="15">SUM(E77:P77)</f>
        <v>0</v>
      </c>
      <c r="E77" s="81">
        <f>sumifs(Dados!$N:$N,Dados!$B:$B,B77,Dados!$H:$H,$D$1,Dados!$G:$G,$E$4)</f>
        <v>0</v>
      </c>
      <c r="F77" s="81">
        <f>sumifs(Dados!$N:$N,Dados!$B:$B,B77,Dados!$H:$H,$D$1,Dados!$G:$G,$F$4)</f>
        <v>0</v>
      </c>
      <c r="G77" s="81">
        <f>sumifs(Dados!$N:$N,Dados!$B:$B,B77,Dados!$H:$H,$D$1,Dados!$G:$G,$G$4)</f>
        <v>0</v>
      </c>
      <c r="H77" s="81">
        <f>sumifs(Dados!$N:$N,Dados!$B:$B,B77,Dados!$H:$H,$D$1,Dados!$G:$G,$H$4)</f>
        <v>0</v>
      </c>
      <c r="I77" s="81">
        <f>sumifs(Dados!$N:$N,Dados!$B:$B,B77,Dados!$H:$H,$D$1,Dados!$G:$G,$I$4)</f>
        <v>0</v>
      </c>
      <c r="J77" s="81">
        <f>sumifs(Dados!$N:$N,Dados!$B:$B,B77,Dados!$H:$H,$D$1,Dados!$G:$G,$J$4)</f>
        <v>0</v>
      </c>
      <c r="K77" s="81">
        <f>sumifs(Dados!$N:$N,Dados!$B:$B,B77,Dados!$H:$H,$D$1,Dados!$G:$G,$K$4)</f>
        <v>0</v>
      </c>
      <c r="L77" s="81">
        <f>sumifs(Dados!$N:$N,Dados!$B:$B,B77,Dados!$H:$H,$D$1,Dados!$G:$G,$L$4)</f>
        <v>0</v>
      </c>
      <c r="M77" s="81">
        <f>sumifs(Dados!$N:$N,Dados!$B:$B,B77,Dados!$H:$H,$D$1,Dados!$G:$G,$M$4)</f>
        <v>0</v>
      </c>
      <c r="N77" s="81">
        <f>sumifs(Dados!$N:$N,Dados!$B:$B,B77,Dados!$H:$H,$D$1,Dados!$G:$G,$N$4)</f>
        <v>0</v>
      </c>
      <c r="O77" s="81">
        <f>sumifs(Dados!$N:$N,Dados!$B:$B,B77,Dados!$H:$H,$D$1,Dados!$G:$G,$O$4)</f>
        <v>0</v>
      </c>
      <c r="P77" s="81">
        <f>sumifs(Dados!$N:$N,Dados!$B:$B,B77,Dados!$H:$H,$D$1,Dados!$G:$G,$P$4)</f>
        <v>0</v>
      </c>
      <c r="Q77" s="81"/>
    </row>
    <row r="78" ht="15.75" customHeight="1">
      <c r="A78" s="77"/>
      <c r="B78" s="77" t="s">
        <v>173</v>
      </c>
      <c r="C78" s="79"/>
      <c r="D78" s="80">
        <f t="shared" si="15"/>
        <v>0</v>
      </c>
      <c r="E78" s="81">
        <f>sumifs(Dados!$N:$N,Dados!$B:$B,B78,Dados!$H:$H,$D$1,Dados!$G:$G,$E$4)</f>
        <v>0</v>
      </c>
      <c r="F78" s="81">
        <f>sumifs(Dados!$N:$N,Dados!$B:$B,B78,Dados!$H:$H,$D$1,Dados!$G:$G,$F$4)</f>
        <v>0</v>
      </c>
      <c r="G78" s="81">
        <f>sumifs(Dados!$N:$N,Dados!$B:$B,B78,Dados!$H:$H,$D$1,Dados!$G:$G,$G$4)</f>
        <v>0</v>
      </c>
      <c r="H78" s="81">
        <f>sumifs(Dados!$N:$N,Dados!$B:$B,B78,Dados!$H:$H,$D$1,Dados!$G:$G,$H$4)</f>
        <v>0</v>
      </c>
      <c r="I78" s="81">
        <f>sumifs(Dados!$N:$N,Dados!$B:$B,B78,Dados!$H:$H,$D$1,Dados!$G:$G,$I$4)</f>
        <v>0</v>
      </c>
      <c r="J78" s="81">
        <f>sumifs(Dados!$N:$N,Dados!$B:$B,B78,Dados!$H:$H,$D$1,Dados!$G:$G,$J$4)</f>
        <v>0</v>
      </c>
      <c r="K78" s="81">
        <f>sumifs(Dados!$N:$N,Dados!$B:$B,B78,Dados!$H:$H,$D$1,Dados!$G:$G,$K$4)</f>
        <v>0</v>
      </c>
      <c r="L78" s="81">
        <f>sumifs(Dados!$N:$N,Dados!$B:$B,B78,Dados!$H:$H,$D$1,Dados!$G:$G,$L$4)</f>
        <v>0</v>
      </c>
      <c r="M78" s="81">
        <f>sumifs(Dados!$N:$N,Dados!$B:$B,B78,Dados!$H:$H,$D$1,Dados!$G:$G,$M$4)</f>
        <v>0</v>
      </c>
      <c r="N78" s="81">
        <f>sumifs(Dados!$N:$N,Dados!$B:$B,B78,Dados!$H:$H,$D$1,Dados!$G:$G,$N$4)</f>
        <v>0</v>
      </c>
      <c r="O78" s="81">
        <f>sumifs(Dados!$N:$N,Dados!$B:$B,B78,Dados!$H:$H,$D$1,Dados!$G:$G,$O$4)</f>
        <v>0</v>
      </c>
      <c r="P78" s="81">
        <f>sumifs(Dados!$N:$N,Dados!$B:$B,B78,Dados!$H:$H,$D$1,Dados!$G:$G,$P$4)</f>
        <v>0</v>
      </c>
      <c r="Q78" s="81"/>
    </row>
    <row r="79" ht="15.75" customHeight="1">
      <c r="A79" s="77"/>
      <c r="B79" s="77" t="s">
        <v>174</v>
      </c>
      <c r="C79" s="79"/>
      <c r="D79" s="80">
        <f t="shared" si="15"/>
        <v>0</v>
      </c>
      <c r="E79" s="81">
        <f>sumifs(Dados!$N:$N,Dados!$B:$B,B79,Dados!$H:$H,$D$1,Dados!$G:$G,$E$4)</f>
        <v>0</v>
      </c>
      <c r="F79" s="81">
        <f>sumifs(Dados!$N:$N,Dados!$B:$B,B79,Dados!$H:$H,$D$1,Dados!$G:$G,$F$4)</f>
        <v>0</v>
      </c>
      <c r="G79" s="81">
        <f>sumifs(Dados!$N:$N,Dados!$B:$B,B79,Dados!$H:$H,$D$1,Dados!$G:$G,$G$4)</f>
        <v>0</v>
      </c>
      <c r="H79" s="81">
        <f>sumifs(Dados!$N:$N,Dados!$B:$B,B79,Dados!$H:$H,$D$1,Dados!$G:$G,$H$4)</f>
        <v>0</v>
      </c>
      <c r="I79" s="81">
        <f>sumifs(Dados!$N:$N,Dados!$B:$B,B79,Dados!$H:$H,$D$1,Dados!$G:$G,$I$4)</f>
        <v>0</v>
      </c>
      <c r="J79" s="81">
        <f>sumifs(Dados!$N:$N,Dados!$B:$B,B79,Dados!$H:$H,$D$1,Dados!$G:$G,$J$4)</f>
        <v>0</v>
      </c>
      <c r="K79" s="81">
        <f>sumifs(Dados!$N:$N,Dados!$B:$B,B79,Dados!$H:$H,$D$1,Dados!$G:$G,$K$4)</f>
        <v>0</v>
      </c>
      <c r="L79" s="81">
        <f>sumifs(Dados!$N:$N,Dados!$B:$B,B79,Dados!$H:$H,$D$1,Dados!$G:$G,$L$4)</f>
        <v>0</v>
      </c>
      <c r="M79" s="81">
        <f>sumifs(Dados!$N:$N,Dados!$B:$B,B79,Dados!$H:$H,$D$1,Dados!$G:$G,$M$4)</f>
        <v>0</v>
      </c>
      <c r="N79" s="81">
        <f>sumifs(Dados!$N:$N,Dados!$B:$B,B79,Dados!$H:$H,$D$1,Dados!$G:$G,$N$4)</f>
        <v>0</v>
      </c>
      <c r="O79" s="81">
        <f>sumifs(Dados!$N:$N,Dados!$B:$B,B79,Dados!$H:$H,$D$1,Dados!$G:$G,$O$4)</f>
        <v>0</v>
      </c>
      <c r="P79" s="81">
        <f>sumifs(Dados!$N:$N,Dados!$B:$B,B79,Dados!$H:$H,$D$1,Dados!$G:$G,$P$4)</f>
        <v>0</v>
      </c>
      <c r="Q79" s="81"/>
    </row>
    <row r="80" ht="15.75" customHeight="1">
      <c r="A80" s="77"/>
      <c r="B80" s="77" t="s">
        <v>175</v>
      </c>
      <c r="C80" s="79"/>
      <c r="D80" s="80">
        <f t="shared" si="15"/>
        <v>0</v>
      </c>
      <c r="E80" s="81">
        <f>sumifs(Dados!$N:$N,Dados!$B:$B,B80,Dados!$H:$H,$D$1,Dados!$G:$G,$E$4)</f>
        <v>0</v>
      </c>
      <c r="F80" s="81">
        <f>sumifs(Dados!$N:$N,Dados!$B:$B,B80,Dados!$H:$H,$D$1,Dados!$G:$G,$F$4)</f>
        <v>0</v>
      </c>
      <c r="G80" s="81">
        <f>sumifs(Dados!$N:$N,Dados!$B:$B,B80,Dados!$H:$H,$D$1,Dados!$G:$G,$G$4)</f>
        <v>0</v>
      </c>
      <c r="H80" s="81">
        <f>sumifs(Dados!$N:$N,Dados!$B:$B,B80,Dados!$H:$H,$D$1,Dados!$G:$G,$H$4)</f>
        <v>0</v>
      </c>
      <c r="I80" s="81">
        <f>sumifs(Dados!$N:$N,Dados!$B:$B,B80,Dados!$H:$H,$D$1,Dados!$G:$G,$I$4)</f>
        <v>0</v>
      </c>
      <c r="J80" s="81">
        <f>sumifs(Dados!$N:$N,Dados!$B:$B,B80,Dados!$H:$H,$D$1,Dados!$G:$G,$J$4)</f>
        <v>0</v>
      </c>
      <c r="K80" s="81">
        <f>sumifs(Dados!$N:$N,Dados!$B:$B,B80,Dados!$H:$H,$D$1,Dados!$G:$G,$K$4)</f>
        <v>0</v>
      </c>
      <c r="L80" s="81">
        <f>sumifs(Dados!$N:$N,Dados!$B:$B,B80,Dados!$H:$H,$D$1,Dados!$G:$G,$L$4)</f>
        <v>0</v>
      </c>
      <c r="M80" s="81">
        <f>sumifs(Dados!$N:$N,Dados!$B:$B,B80,Dados!$H:$H,$D$1,Dados!$G:$G,$M$4)</f>
        <v>0</v>
      </c>
      <c r="N80" s="81">
        <f>sumifs(Dados!$N:$N,Dados!$B:$B,B80,Dados!$H:$H,$D$1,Dados!$G:$G,$N$4)</f>
        <v>0</v>
      </c>
      <c r="O80" s="81">
        <f>sumifs(Dados!$N:$N,Dados!$B:$B,B80,Dados!$H:$H,$D$1,Dados!$G:$G,$O$4)</f>
        <v>0</v>
      </c>
      <c r="P80" s="81">
        <f>sumifs(Dados!$N:$N,Dados!$B:$B,B80,Dados!$H:$H,$D$1,Dados!$G:$G,$P$4)</f>
        <v>0</v>
      </c>
      <c r="Q80" s="81"/>
    </row>
    <row r="81" ht="15.75" customHeight="1">
      <c r="A81" s="77"/>
      <c r="B81" s="77" t="s">
        <v>37</v>
      </c>
      <c r="C81" s="79"/>
      <c r="D81" s="80">
        <f t="shared" si="15"/>
        <v>1153.1</v>
      </c>
      <c r="E81" s="81">
        <f>sumifs(Dados!$N:$N,Dados!$B:$B,B81,Dados!$H:$H,$D$1,Dados!$G:$G,$E$4)</f>
        <v>88.59</v>
      </c>
      <c r="F81" s="81">
        <f>sumifs(Dados!$N:$N,Dados!$B:$B,B81,Dados!$H:$H,$D$1,Dados!$G:$G,$F$4)</f>
        <v>88.59</v>
      </c>
      <c r="G81" s="81">
        <f>sumifs(Dados!$N:$N,Dados!$B:$B,B81,Dados!$H:$H,$D$1,Dados!$G:$G,$G$4)</f>
        <v>345.56</v>
      </c>
      <c r="H81" s="81">
        <f>sumifs(Dados!$N:$N,Dados!$B:$B,B81,Dados!$H:$H,$D$1,Dados!$G:$G,$H$4)</f>
        <v>88.59</v>
      </c>
      <c r="I81" s="81">
        <f>sumifs(Dados!$N:$N,Dados!$B:$B,B81,Dados!$H:$H,$D$1,Dados!$G:$G,$I$4)</f>
        <v>88.59</v>
      </c>
      <c r="J81" s="81">
        <f>sumifs(Dados!$N:$N,Dados!$B:$B,B81,Dados!$H:$H,$D$1,Dados!$G:$G,$J$4)</f>
        <v>-46.41</v>
      </c>
      <c r="K81" s="81">
        <f>sumifs(Dados!$N:$N,Dados!$B:$B,B81,Dados!$H:$H,$D$1,Dados!$G:$G,$K$4)</f>
        <v>499.59</v>
      </c>
      <c r="L81" s="81">
        <f>sumifs(Dados!$N:$N,Dados!$B:$B,B81,Dados!$H:$H,$D$1,Dados!$G:$G,$L$4)</f>
        <v>0</v>
      </c>
      <c r="M81" s="81">
        <f>sumifs(Dados!$N:$N,Dados!$B:$B,B81,Dados!$H:$H,$D$1,Dados!$G:$G,$M$4)</f>
        <v>0</v>
      </c>
      <c r="N81" s="81">
        <f>sumifs(Dados!$N:$N,Dados!$B:$B,B81,Dados!$H:$H,$D$1,Dados!$G:$G,$N$4)</f>
        <v>0</v>
      </c>
      <c r="O81" s="81">
        <f>sumifs(Dados!$N:$N,Dados!$B:$B,B81,Dados!$H:$H,$D$1,Dados!$G:$G,$O$4)</f>
        <v>0</v>
      </c>
      <c r="P81" s="81">
        <f>sumifs(Dados!$N:$N,Dados!$B:$B,B81,Dados!$H:$H,$D$1,Dados!$G:$G,$P$4)</f>
        <v>0</v>
      </c>
      <c r="Q81" s="81"/>
    </row>
    <row r="82" ht="15.75" customHeight="1">
      <c r="A82" s="77"/>
      <c r="B82" s="77" t="s">
        <v>41</v>
      </c>
      <c r="C82" s="79"/>
      <c r="D82" s="80">
        <f t="shared" si="15"/>
        <v>780</v>
      </c>
      <c r="E82" s="81">
        <f>sumifs(Dados!$N:$N,Dados!$B:$B,B82,Dados!$H:$H,$D$1,Dados!$G:$G,$E$4)</f>
        <v>369</v>
      </c>
      <c r="F82" s="81">
        <f>sumifs(Dados!$N:$N,Dados!$B:$B,B82,Dados!$H:$H,$D$1,Dados!$G:$G,$F$4)</f>
        <v>0</v>
      </c>
      <c r="G82" s="81">
        <f>sumifs(Dados!$N:$N,Dados!$B:$B,B82,Dados!$H:$H,$D$1,Dados!$G:$G,$G$4)</f>
        <v>0</v>
      </c>
      <c r="H82" s="81">
        <f>sumifs(Dados!$N:$N,Dados!$B:$B,B82,Dados!$H:$H,$D$1,Dados!$G:$G,$H$4)</f>
        <v>411</v>
      </c>
      <c r="I82" s="81">
        <f>sumifs(Dados!$N:$N,Dados!$B:$B,B82,Dados!$H:$H,$D$1,Dados!$G:$G,$I$4)</f>
        <v>0</v>
      </c>
      <c r="J82" s="81">
        <f>sumifs(Dados!$N:$N,Dados!$B:$B,B82,Dados!$H:$H,$D$1,Dados!$G:$G,$J$4)</f>
        <v>0</v>
      </c>
      <c r="K82" s="81">
        <f>sumifs(Dados!$N:$N,Dados!$B:$B,B82,Dados!$H:$H,$D$1,Dados!$G:$G,$K$4)</f>
        <v>0</v>
      </c>
      <c r="L82" s="81">
        <f>sumifs(Dados!$N:$N,Dados!$B:$B,B82,Dados!$H:$H,$D$1,Dados!$G:$G,$L$4)</f>
        <v>0</v>
      </c>
      <c r="M82" s="81">
        <f>sumifs(Dados!$N:$N,Dados!$B:$B,B82,Dados!$H:$H,$D$1,Dados!$G:$G,$M$4)</f>
        <v>0</v>
      </c>
      <c r="N82" s="81">
        <f>sumifs(Dados!$N:$N,Dados!$B:$B,B82,Dados!$H:$H,$D$1,Dados!$G:$G,$N$4)</f>
        <v>0</v>
      </c>
      <c r="O82" s="81">
        <f>sumifs(Dados!$N:$N,Dados!$B:$B,B82,Dados!$H:$H,$D$1,Dados!$G:$G,$O$4)</f>
        <v>0</v>
      </c>
      <c r="P82" s="81">
        <f>sumifs(Dados!$N:$N,Dados!$B:$B,B82,Dados!$H:$H,$D$1,Dados!$G:$G,$P$4)</f>
        <v>0</v>
      </c>
      <c r="Q82" s="81"/>
    </row>
    <row r="83" ht="15.75" customHeight="1">
      <c r="A83" s="99" t="s">
        <v>176</v>
      </c>
      <c r="B83" s="100">
        <f>sumifs(Dados!$N:$N,Dados!$A:$A,A83,Dados!$H:$H,$D$1)</f>
        <v>1933.1</v>
      </c>
      <c r="C83" s="101">
        <f>B83-D83</f>
        <v>0</v>
      </c>
      <c r="D83" s="100">
        <f t="shared" ref="D83:P83" si="16">SUM(D77:D82)</f>
        <v>1933.1</v>
      </c>
      <c r="E83" s="100">
        <f t="shared" si="16"/>
        <v>457.59</v>
      </c>
      <c r="F83" s="100">
        <f t="shared" si="16"/>
        <v>88.59</v>
      </c>
      <c r="G83" s="100">
        <f t="shared" si="16"/>
        <v>345.56</v>
      </c>
      <c r="H83" s="100">
        <f t="shared" si="16"/>
        <v>499.59</v>
      </c>
      <c r="I83" s="100">
        <f t="shared" si="16"/>
        <v>88.59</v>
      </c>
      <c r="J83" s="100">
        <f t="shared" si="16"/>
        <v>-46.41</v>
      </c>
      <c r="K83" s="100">
        <f t="shared" si="16"/>
        <v>499.59</v>
      </c>
      <c r="L83" s="100">
        <f t="shared" si="16"/>
        <v>0</v>
      </c>
      <c r="M83" s="100">
        <f t="shared" si="16"/>
        <v>0</v>
      </c>
      <c r="N83" s="100">
        <f t="shared" si="16"/>
        <v>0</v>
      </c>
      <c r="O83" s="100">
        <f t="shared" si="16"/>
        <v>0</v>
      </c>
      <c r="P83" s="100">
        <f t="shared" si="16"/>
        <v>0</v>
      </c>
      <c r="Q83" s="100"/>
    </row>
    <row r="84" ht="15.75" customHeight="1">
      <c r="A84" s="77"/>
      <c r="B84" s="77" t="s">
        <v>177</v>
      </c>
      <c r="C84" s="79"/>
      <c r="D84" s="80">
        <f t="shared" ref="D84:D85" si="17">SUM(E84:P84)</f>
        <v>0</v>
      </c>
      <c r="E84" s="81">
        <f>sumifs(Dados!$N:$N,Dados!$B:$B,B84,Dados!$H:$H,$D$1,Dados!$G:$G,$E$4)</f>
        <v>0</v>
      </c>
      <c r="F84" s="81">
        <f>sumifs(Dados!$N:$N,Dados!$B:$B,B84,Dados!$H:$H,$D$1,Dados!$G:$G,$F$4)</f>
        <v>0</v>
      </c>
      <c r="G84" s="81">
        <f>sumifs(Dados!$N:$N,Dados!$B:$B,B84,Dados!$H:$H,$D$1,Dados!$G:$G,$G$4)</f>
        <v>0</v>
      </c>
      <c r="H84" s="81">
        <f>sumifs(Dados!$N:$N,Dados!$B:$B,B84,Dados!$H:$H,$D$1,Dados!$G:$G,$H$4)</f>
        <v>0</v>
      </c>
      <c r="I84" s="81">
        <f>sumifs(Dados!$N:$N,Dados!$B:$B,B84,Dados!$H:$H,$D$1,Dados!$G:$G,$I$4)</f>
        <v>0</v>
      </c>
      <c r="J84" s="81">
        <f>sumifs(Dados!$N:$N,Dados!$B:$B,B84,Dados!$H:$H,$D$1,Dados!$G:$G,$J$4)</f>
        <v>0</v>
      </c>
      <c r="K84" s="81">
        <f>sumifs(Dados!$N:$N,Dados!$B:$B,B84,Dados!$H:$H,$D$1,Dados!$G:$G,$K$4)</f>
        <v>0</v>
      </c>
      <c r="L84" s="81">
        <f>sumifs(Dados!$N:$N,Dados!$B:$B,B84,Dados!$H:$H,$D$1,Dados!$G:$G,$L$4)</f>
        <v>0</v>
      </c>
      <c r="M84" s="81">
        <f>sumifs(Dados!$N:$N,Dados!$B:$B,B84,Dados!$H:$H,$D$1,Dados!$G:$G,$M$4)</f>
        <v>0</v>
      </c>
      <c r="N84" s="81">
        <f>sumifs(Dados!$N:$N,Dados!$B:$B,B84,Dados!$H:$H,$D$1,Dados!$G:$G,$N$4)</f>
        <v>0</v>
      </c>
      <c r="O84" s="81">
        <f>sumifs(Dados!$N:$N,Dados!$B:$B,B84,Dados!$H:$H,$D$1,Dados!$G:$G,$O$4)</f>
        <v>0</v>
      </c>
      <c r="P84" s="81">
        <f>sumifs(Dados!$N:$N,Dados!$B:$B,B84,Dados!$H:$H,$D$1,Dados!$G:$G,$P$4)</f>
        <v>0</v>
      </c>
      <c r="Q84" s="81"/>
    </row>
    <row r="85" ht="15.75" customHeight="1">
      <c r="A85" s="141"/>
      <c r="B85" s="141" t="s">
        <v>179</v>
      </c>
      <c r="C85" s="79"/>
      <c r="D85" s="80">
        <f t="shared" si="17"/>
        <v>0</v>
      </c>
      <c r="E85" s="81">
        <f>sumifs(Dados!$N:$N,Dados!$B:$B,B85,Dados!$H:$H,$D$1,Dados!$G:$G,$E$4)</f>
        <v>0</v>
      </c>
      <c r="F85" s="81">
        <f>sumifs(Dados!$N:$N,Dados!$B:$B,B85,Dados!$H:$H,$D$1,Dados!$G:$G,$F$4)</f>
        <v>0</v>
      </c>
      <c r="G85" s="81">
        <f>sumifs(Dados!$N:$N,Dados!$B:$B,B85,Dados!$H:$H,$D$1,Dados!$G:$G,$G$4)</f>
        <v>0</v>
      </c>
      <c r="H85" s="81">
        <f>sumifs(Dados!$N:$N,Dados!$B:$B,B85,Dados!$H:$H,$D$1,Dados!$G:$G,$H$4)</f>
        <v>0</v>
      </c>
      <c r="I85" s="81">
        <f>sumifs(Dados!$N:$N,Dados!$B:$B,B85,Dados!$H:$H,$D$1,Dados!$G:$G,$I$4)</f>
        <v>0</v>
      </c>
      <c r="J85" s="81">
        <f>sumifs(Dados!$N:$N,Dados!$B:$B,B85,Dados!$H:$H,$D$1,Dados!$G:$G,$J$4)</f>
        <v>0</v>
      </c>
      <c r="K85" s="81">
        <f>sumifs(Dados!$N:$N,Dados!$B:$B,B85,Dados!$H:$H,$D$1,Dados!$G:$G,$K$4)</f>
        <v>0</v>
      </c>
      <c r="L85" s="81">
        <f>sumifs(Dados!$N:$N,Dados!$B:$B,B85,Dados!$H:$H,$D$1,Dados!$G:$G,$L$4)</f>
        <v>0</v>
      </c>
      <c r="M85" s="81">
        <f>sumifs(Dados!$N:$N,Dados!$B:$B,B85,Dados!$H:$H,$D$1,Dados!$G:$G,$M$4)</f>
        <v>0</v>
      </c>
      <c r="N85" s="81">
        <f>sumifs(Dados!$N:$N,Dados!$B:$B,B85,Dados!$H:$H,$D$1,Dados!$G:$G,$N$4)</f>
        <v>0</v>
      </c>
      <c r="O85" s="81">
        <f>sumifs(Dados!$N:$N,Dados!$B:$B,B85,Dados!$H:$H,$D$1,Dados!$G:$G,$O$4)</f>
        <v>0</v>
      </c>
      <c r="P85" s="81">
        <f>sumifs(Dados!$N:$N,Dados!$B:$B,B85,Dados!$H:$H,$D$1,Dados!$G:$G,$P$4)</f>
        <v>0</v>
      </c>
      <c r="Q85" s="81"/>
    </row>
    <row r="86" ht="15.75" customHeight="1">
      <c r="A86" s="99" t="s">
        <v>180</v>
      </c>
      <c r="B86" s="100">
        <f>sumifs(Dados!$N:$N,Dados!$A:$A,A86,Dados!$H:$H,$D$1)</f>
        <v>0</v>
      </c>
      <c r="C86" s="101">
        <f>B86-D86</f>
        <v>0</v>
      </c>
      <c r="D86" s="100">
        <f t="shared" ref="D86:P86" si="18">SUM(D84:D85)</f>
        <v>0</v>
      </c>
      <c r="E86" s="100">
        <f t="shared" si="18"/>
        <v>0</v>
      </c>
      <c r="F86" s="100">
        <f t="shared" si="18"/>
        <v>0</v>
      </c>
      <c r="G86" s="100">
        <f t="shared" si="18"/>
        <v>0</v>
      </c>
      <c r="H86" s="100">
        <f t="shared" si="18"/>
        <v>0</v>
      </c>
      <c r="I86" s="100">
        <f t="shared" si="18"/>
        <v>0</v>
      </c>
      <c r="J86" s="100">
        <f t="shared" si="18"/>
        <v>0</v>
      </c>
      <c r="K86" s="100">
        <f t="shared" si="18"/>
        <v>0</v>
      </c>
      <c r="L86" s="100">
        <f t="shared" si="18"/>
        <v>0</v>
      </c>
      <c r="M86" s="100">
        <f t="shared" si="18"/>
        <v>0</v>
      </c>
      <c r="N86" s="100">
        <f t="shared" si="18"/>
        <v>0</v>
      </c>
      <c r="O86" s="100">
        <f t="shared" si="18"/>
        <v>0</v>
      </c>
      <c r="P86" s="100">
        <f t="shared" si="18"/>
        <v>0</v>
      </c>
      <c r="Q86" s="100"/>
    </row>
    <row r="87" ht="15.75" customHeight="1">
      <c r="A87" s="77"/>
      <c r="B87" s="87" t="s">
        <v>181</v>
      </c>
      <c r="C87" s="79"/>
      <c r="D87" s="80">
        <f>SUM(E87:P87)</f>
        <v>118.73</v>
      </c>
      <c r="E87" s="81">
        <f>sumifs(Dados!$N:$N,Dados!$B:$B,$B$87,Dados!$H:$H,$D$1,Dados!$G:$G,E4)</f>
        <v>0</v>
      </c>
      <c r="F87" s="81">
        <f>sumifs(Dados!$N:$N,Dados!$B:$B,$B$87,Dados!$H:$H,$D$1,Dados!$G:$G,F4)</f>
        <v>0</v>
      </c>
      <c r="G87" s="81">
        <f>sumifs(Dados!$N:$N,Dados!$B:$B,$B$87,Dados!$H:$H,$D$1,Dados!$G:$G,G4)</f>
        <v>56</v>
      </c>
      <c r="H87" s="81">
        <f>sumifs(Dados!$N:$N,Dados!$B:$B,$B$87,Dados!$H:$H,$D$1,Dados!$G:$G,H4)</f>
        <v>62.73</v>
      </c>
      <c r="I87" s="81">
        <f>sumifs(Dados!$N:$N,Dados!$B:$B,$B$87,Dados!$H:$H,$D$1,Dados!$G:$G,I4)</f>
        <v>0</v>
      </c>
      <c r="J87" s="81">
        <f>sumifs(Dados!$N:$N,Dados!$B:$B,$B$87,Dados!$H:$H,$D$1,Dados!$G:$G,J4)</f>
        <v>0</v>
      </c>
      <c r="K87" s="81">
        <f>sumifs(Dados!$N:$N,Dados!$B:$B,$B$87,Dados!$H:$H,$D$1,Dados!$G:$G,K4)</f>
        <v>0</v>
      </c>
      <c r="L87" s="81">
        <f>sumifs(Dados!$N:$N,Dados!$B:$B,$B$87,Dados!$H:$H,$D$1,Dados!$G:$G,L4)</f>
        <v>0</v>
      </c>
      <c r="M87" s="81">
        <f>sumifs(Dados!$N:$N,Dados!$B:$B,$B$87,Dados!$H:$H,$D$1,Dados!$G:$G,M4)</f>
        <v>0</v>
      </c>
      <c r="N87" s="81">
        <f>sumifs(Dados!$N:$N,Dados!$B:$B,$B$87,Dados!$H:$H,$D$1,Dados!$G:$G,N4)</f>
        <v>0</v>
      </c>
      <c r="O87" s="81">
        <f>sumifs(Dados!$N:$N,Dados!$B:$B,$B$87,Dados!$H:$H,$D$1,Dados!$G:$G,O4)</f>
        <v>0</v>
      </c>
      <c r="P87" s="81">
        <f>sumifs(Dados!$N:$N,Dados!$B:$B,$B$87,Dados!$H:$H,$D$1,Dados!$G:$G,P4)</f>
        <v>0</v>
      </c>
      <c r="Q87" s="81"/>
    </row>
    <row r="88" ht="15.75" customHeight="1">
      <c r="A88" s="99" t="s">
        <v>182</v>
      </c>
      <c r="B88" s="100">
        <f>sumifs(Dados!$N:$N,Dados!$A:$A,A88,Dados!$H:$H,$D$1)</f>
        <v>118.73</v>
      </c>
      <c r="C88" s="101">
        <f>B88-D88</f>
        <v>0</v>
      </c>
      <c r="D88" s="100">
        <f t="shared" ref="D88:P88" si="19">SUM(D87)</f>
        <v>118.73</v>
      </c>
      <c r="E88" s="100">
        <f t="shared" si="19"/>
        <v>0</v>
      </c>
      <c r="F88" s="100">
        <f t="shared" si="19"/>
        <v>0</v>
      </c>
      <c r="G88" s="100">
        <f t="shared" si="19"/>
        <v>56</v>
      </c>
      <c r="H88" s="100">
        <f t="shared" si="19"/>
        <v>62.73</v>
      </c>
      <c r="I88" s="100">
        <f t="shared" si="19"/>
        <v>0</v>
      </c>
      <c r="J88" s="100">
        <f t="shared" si="19"/>
        <v>0</v>
      </c>
      <c r="K88" s="100">
        <f t="shared" si="19"/>
        <v>0</v>
      </c>
      <c r="L88" s="100">
        <f t="shared" si="19"/>
        <v>0</v>
      </c>
      <c r="M88" s="100">
        <f t="shared" si="19"/>
        <v>0</v>
      </c>
      <c r="N88" s="100">
        <f t="shared" si="19"/>
        <v>0</v>
      </c>
      <c r="O88" s="100">
        <f t="shared" si="19"/>
        <v>0</v>
      </c>
      <c r="P88" s="100">
        <f t="shared" si="19"/>
        <v>0</v>
      </c>
      <c r="Q88" s="100"/>
    </row>
    <row r="89" ht="15.75" customHeight="1">
      <c r="A89" s="77"/>
      <c r="B89" s="78" t="s">
        <v>40</v>
      </c>
      <c r="C89" s="79"/>
      <c r="D89" s="80">
        <f t="shared" ref="D89:D96" si="20">SUM(E89:P89)</f>
        <v>1055.45</v>
      </c>
      <c r="E89" s="81">
        <f>sumifs(Dados!$N:$N,Dados!$B:$B,B89,Dados!$H:$H,$D$1,Dados!$G:$G,$E$4)</f>
        <v>88.87</v>
      </c>
      <c r="F89" s="81">
        <f>sumifs(Dados!$N:$N,Dados!$B:$B,B89,Dados!$H:$H,$D$1,Dados!$G:$G,$F$4)</f>
        <v>93.33</v>
      </c>
      <c r="G89" s="81">
        <f>sumifs(Dados!$N:$N,Dados!$B:$B,B89,Dados!$H:$H,$D$1,Dados!$G:$G,$G$4)</f>
        <v>97.04</v>
      </c>
      <c r="H89" s="81">
        <f>sumifs(Dados!$N:$N,Dados!$B:$B,B89,Dados!$H:$H,$D$1,Dados!$G:$G,$H$4)</f>
        <v>125.08</v>
      </c>
      <c r="I89" s="81">
        <f>sumifs(Dados!$N:$N,Dados!$B:$B,B89,Dados!$H:$H,$D$1,Dados!$G:$G,$I$4)</f>
        <v>90.38</v>
      </c>
      <c r="J89" s="81">
        <f>sumifs(Dados!$N:$N,Dados!$B:$B,B89,Dados!$H:$H,$D$1,Dados!$G:$G,$J$4)</f>
        <v>149.15</v>
      </c>
      <c r="K89" s="81">
        <f>sumifs(Dados!$N:$N,Dados!$B:$B,B89,Dados!$H:$H,$D$1,Dados!$G:$G,$K$4)</f>
        <v>411.6</v>
      </c>
      <c r="L89" s="81">
        <f>sumifs(Dados!$N:$N,Dados!$B:$B,B89,Dados!$H:$H,$D$1,Dados!$G:$G,$L$4)</f>
        <v>0</v>
      </c>
      <c r="M89" s="81">
        <f>sumifs(Dados!$N:$N,Dados!$B:$B,B89,Dados!$H:$H,$D$1,Dados!$G:$G,$M$4)</f>
        <v>0</v>
      </c>
      <c r="N89" s="81">
        <f>sumifs(Dados!$N:$N,Dados!$B:$B,B89,Dados!$H:$H,$D$1,Dados!$G:$G,$N$4)</f>
        <v>0</v>
      </c>
      <c r="O89" s="81">
        <f>sumifs(Dados!$N:$N,Dados!$B:$B,B89,Dados!$H:$H,$D$1,Dados!$G:$G,$O$4)</f>
        <v>0</v>
      </c>
      <c r="P89" s="81">
        <f>sumifs(Dados!$N:$N,Dados!$B:$B,B89,Dados!$H:$H,$D$1,Dados!$G:$G,$P$4)</f>
        <v>0</v>
      </c>
      <c r="Q89" s="81"/>
    </row>
    <row r="90" ht="15.75" customHeight="1">
      <c r="A90" s="102"/>
      <c r="B90" s="78" t="s">
        <v>58</v>
      </c>
      <c r="C90" s="79"/>
      <c r="D90" s="80">
        <f t="shared" si="20"/>
        <v>1910</v>
      </c>
      <c r="E90" s="81">
        <f>sumifs(Dados!$N:$N,Dados!$B:$B,B90,Dados!$H:$H,$D$1,Dados!$G:$G,$E$4)</f>
        <v>0</v>
      </c>
      <c r="F90" s="81">
        <f>sumifs(Dados!$N:$N,Dados!$B:$B,B90,Dados!$H:$H,$D$1,Dados!$G:$G,$F$4)</f>
        <v>0</v>
      </c>
      <c r="G90" s="81">
        <f>sumifs(Dados!$N:$N,Dados!$B:$B,B90,Dados!$H:$H,$D$1,Dados!$G:$G,$G$4)</f>
        <v>0</v>
      </c>
      <c r="H90" s="81">
        <f>sumifs(Dados!$N:$N,Dados!$B:$B,B90,Dados!$H:$H,$D$1,Dados!$G:$G,$H$4)</f>
        <v>0</v>
      </c>
      <c r="I90" s="81">
        <f>sumifs(Dados!$N:$N,Dados!$B:$B,B90,Dados!$H:$H,$D$1,Dados!$G:$G,$I$4)</f>
        <v>0</v>
      </c>
      <c r="J90" s="81">
        <f>sumifs(Dados!$N:$N,Dados!$B:$B,B90,Dados!$H:$H,$D$1,Dados!$G:$G,$J$4)</f>
        <v>578</v>
      </c>
      <c r="K90" s="81">
        <f>sumifs(Dados!$N:$N,Dados!$B:$B,B90,Dados!$H:$H,$D$1,Dados!$G:$G,$K$4)</f>
        <v>1332</v>
      </c>
      <c r="L90" s="81">
        <f>sumifs(Dados!$N:$N,Dados!$B:$B,B90,Dados!$H:$H,$D$1,Dados!$G:$G,$L$4)</f>
        <v>0</v>
      </c>
      <c r="M90" s="81">
        <f>sumifs(Dados!$N:$N,Dados!$B:$B,B90,Dados!$H:$H,$D$1,Dados!$G:$G,$M$4)</f>
        <v>0</v>
      </c>
      <c r="N90" s="81">
        <f>sumifs(Dados!$N:$N,Dados!$B:$B,B90,Dados!$H:$H,$D$1,Dados!$G:$G,$N$4)</f>
        <v>0</v>
      </c>
      <c r="O90" s="81">
        <f>sumifs(Dados!$N:$N,Dados!$B:$B,B90,Dados!$H:$H,$D$1,Dados!$G:$G,$O$4)</f>
        <v>0</v>
      </c>
      <c r="P90" s="81">
        <f>sumifs(Dados!$N:$N,Dados!$B:$B,B90,Dados!$H:$H,$D$1,Dados!$G:$G,$P$4)</f>
        <v>0</v>
      </c>
      <c r="Q90" s="81"/>
    </row>
    <row r="91" ht="15.75" customHeight="1">
      <c r="A91" s="102"/>
      <c r="B91" s="78" t="s">
        <v>48</v>
      </c>
      <c r="C91" s="79"/>
      <c r="D91" s="80">
        <f t="shared" si="20"/>
        <v>436.5</v>
      </c>
      <c r="E91" s="81">
        <f>sumifs(Dados!$N:$N,Dados!$B:$B,B91,Dados!$H:$H,$D$1,Dados!$G:$G,$E$4)</f>
        <v>0</v>
      </c>
      <c r="F91" s="81">
        <f>sumifs(Dados!$N:$N,Dados!$B:$B,B91,Dados!$H:$H,$D$1,Dados!$G:$G,$F$4)</f>
        <v>0</v>
      </c>
      <c r="G91" s="81">
        <f>sumifs(Dados!$N:$N,Dados!$B:$B,B91,Dados!$H:$H,$D$1,Dados!$G:$G,$G$4)</f>
        <v>0</v>
      </c>
      <c r="H91" s="81">
        <f>sumifs(Dados!$N:$N,Dados!$B:$B,B91,Dados!$H:$H,$D$1,Dados!$G:$G,$H$4)</f>
        <v>87.3</v>
      </c>
      <c r="I91" s="81">
        <f>sumifs(Dados!$N:$N,Dados!$B:$B,B91,Dados!$H:$H,$D$1,Dados!$G:$G,$I$4)</f>
        <v>87.3</v>
      </c>
      <c r="J91" s="81">
        <f>sumifs(Dados!$N:$N,Dados!$B:$B,B91,Dados!$H:$H,$D$1,Dados!$G:$G,$J$4)</f>
        <v>87.3</v>
      </c>
      <c r="K91" s="81">
        <f>sumifs(Dados!$N:$N,Dados!$B:$B,B91,Dados!$H:$H,$D$1,Dados!$G:$G,$K$4)</f>
        <v>174.6</v>
      </c>
      <c r="L91" s="81">
        <f>sumifs(Dados!$N:$N,Dados!$B:$B,B91,Dados!$H:$H,$D$1,Dados!$G:$G,$L$4)</f>
        <v>0</v>
      </c>
      <c r="M91" s="81">
        <f>sumifs(Dados!$N:$N,Dados!$B:$B,B91,Dados!$H:$H,$D$1,Dados!$G:$G,$M$4)</f>
        <v>0</v>
      </c>
      <c r="N91" s="81">
        <f>sumifs(Dados!$N:$N,Dados!$B:$B,B91,Dados!$H:$H,$D$1,Dados!$G:$G,$N$4)</f>
        <v>0</v>
      </c>
      <c r="O91" s="81">
        <f>sumifs(Dados!$N:$N,Dados!$B:$B,B91,Dados!$H:$H,$D$1,Dados!$G:$G,$O$4)</f>
        <v>0</v>
      </c>
      <c r="P91" s="81">
        <f>sumifs(Dados!$N:$N,Dados!$B:$B,B91,Dados!$H:$H,$D$1,Dados!$G:$G,$P$4)</f>
        <v>0</v>
      </c>
      <c r="Q91" s="81"/>
    </row>
    <row r="92" ht="15.75" customHeight="1">
      <c r="A92" s="77"/>
      <c r="B92" s="78" t="s">
        <v>26</v>
      </c>
      <c r="C92" s="79"/>
      <c r="D92" s="80">
        <f t="shared" si="20"/>
        <v>1758</v>
      </c>
      <c r="E92" s="81">
        <f>sumifs(Dados!$N:$N,Dados!$B:$B,B92,Dados!$H:$H,$D$1,Dados!$G:$G,$E$4)</f>
        <v>115</v>
      </c>
      <c r="F92" s="81">
        <f>sumifs(Dados!$N:$N,Dados!$B:$B,B92,Dados!$H:$H,$D$1,Dados!$G:$G,$F$4)</f>
        <v>115</v>
      </c>
      <c r="G92" s="81">
        <f>sumifs(Dados!$N:$N,Dados!$B:$B,B92,Dados!$H:$H,$D$1,Dados!$G:$G,$G$4)</f>
        <v>0</v>
      </c>
      <c r="H92" s="81">
        <f>sumifs(Dados!$N:$N,Dados!$B:$B,B92,Dados!$H:$H,$D$1,Dados!$G:$G,$H$4)</f>
        <v>115</v>
      </c>
      <c r="I92" s="81">
        <f>sumifs(Dados!$N:$N,Dados!$B:$B,B92,Dados!$H:$H,$D$1,Dados!$G:$G,$I$4)</f>
        <v>345</v>
      </c>
      <c r="J92" s="81">
        <f>sumifs(Dados!$N:$N,Dados!$B:$B,B92,Dados!$H:$H,$D$1,Dados!$G:$G,$J$4)</f>
        <v>115</v>
      </c>
      <c r="K92" s="81">
        <f>sumifs(Dados!$N:$N,Dados!$B:$B,B92,Dados!$H:$H,$D$1,Dados!$G:$G,$K$4)</f>
        <v>953</v>
      </c>
      <c r="L92" s="81">
        <f>sumifs(Dados!$N:$N,Dados!$B:$B,B92,Dados!$H:$H,$D$1,Dados!$G:$G,$L$4)</f>
        <v>0</v>
      </c>
      <c r="M92" s="81">
        <f>sumifs(Dados!$N:$N,Dados!$B:$B,B92,Dados!$H:$H,$D$1,Dados!$G:$G,$M$4)</f>
        <v>0</v>
      </c>
      <c r="N92" s="81">
        <f>sumifs(Dados!$N:$N,Dados!$B:$B,B92,Dados!$H:$H,$D$1,Dados!$G:$G,$N$4)</f>
        <v>0</v>
      </c>
      <c r="O92" s="81">
        <f>sumifs(Dados!$N:$N,Dados!$B:$B,B92,Dados!$H:$H,$D$1,Dados!$G:$G,$O$4)</f>
        <v>0</v>
      </c>
      <c r="P92" s="81">
        <f>sumifs(Dados!$N:$N,Dados!$B:$B,B92,Dados!$H:$H,$D$1,Dados!$G:$G,$P$4)</f>
        <v>0</v>
      </c>
      <c r="Q92" s="81"/>
    </row>
    <row r="93" ht="15.75" customHeight="1">
      <c r="A93" s="77"/>
      <c r="B93" s="78" t="s">
        <v>39</v>
      </c>
      <c r="C93" s="79"/>
      <c r="D93" s="80">
        <f t="shared" si="20"/>
        <v>1461.94</v>
      </c>
      <c r="E93" s="81">
        <f>sumifs(Dados!$N:$N,Dados!$B:$B,B93,Dados!$H:$H,$D$1,Dados!$G:$G,$E$4)</f>
        <v>122.35</v>
      </c>
      <c r="F93" s="81">
        <f>sumifs(Dados!$N:$N,Dados!$B:$B,B93,Dados!$H:$H,$D$1,Dados!$G:$G,$F$4)</f>
        <v>158.61</v>
      </c>
      <c r="G93" s="81">
        <f>sumifs(Dados!$N:$N,Dados!$B:$B,B93,Dados!$H:$H,$D$1,Dados!$G:$G,$G$4)</f>
        <v>219.01</v>
      </c>
      <c r="H93" s="81">
        <f>sumifs(Dados!$N:$N,Dados!$B:$B,B93,Dados!$H:$H,$D$1,Dados!$G:$G,$H$4)</f>
        <v>149.88</v>
      </c>
      <c r="I93" s="81">
        <f>sumifs(Dados!$N:$N,Dados!$B:$B,B93,Dados!$H:$H,$D$1,Dados!$G:$G,$I$4)</f>
        <v>132.28</v>
      </c>
      <c r="J93" s="81">
        <f>sumifs(Dados!$N:$N,Dados!$B:$B,B93,Dados!$H:$H,$D$1,Dados!$G:$G,$J$4)</f>
        <v>257.51</v>
      </c>
      <c r="K93" s="81">
        <f>sumifs(Dados!$N:$N,Dados!$B:$B,B93,Dados!$H:$H,$D$1,Dados!$G:$G,$K$4)</f>
        <v>422.3</v>
      </c>
      <c r="L93" s="81">
        <f>sumifs(Dados!$N:$N,Dados!$B:$B,B93,Dados!$H:$H,$D$1,Dados!$G:$G,$L$4)</f>
        <v>0</v>
      </c>
      <c r="M93" s="81">
        <f>sumifs(Dados!$N:$N,Dados!$B:$B,B93,Dados!$H:$H,$D$1,Dados!$G:$G,$M$4)</f>
        <v>0</v>
      </c>
      <c r="N93" s="81">
        <f>sumifs(Dados!$N:$N,Dados!$B:$B,B93,Dados!$H:$H,$D$1,Dados!$G:$G,$N$4)</f>
        <v>0</v>
      </c>
      <c r="O93" s="81">
        <f>sumifs(Dados!$N:$N,Dados!$B:$B,B93,Dados!$H:$H,$D$1,Dados!$G:$G,$O$4)</f>
        <v>0</v>
      </c>
      <c r="P93" s="81">
        <f>sumifs(Dados!$N:$N,Dados!$B:$B,B93,Dados!$H:$H,$D$1,Dados!$G:$G,$P$4)</f>
        <v>0</v>
      </c>
      <c r="Q93" s="81"/>
    </row>
    <row r="94" ht="15.75" customHeight="1">
      <c r="A94" s="102"/>
      <c r="B94" s="78" t="s">
        <v>183</v>
      </c>
      <c r="C94" s="79"/>
      <c r="D94" s="80">
        <f t="shared" si="20"/>
        <v>0</v>
      </c>
      <c r="E94" s="81">
        <f>sumifs(Dados!$N:$N,Dados!$B:$B,B94,Dados!$H:$H,$D$1,Dados!$G:$G,$E$4)</f>
        <v>0</v>
      </c>
      <c r="F94" s="81">
        <f>sumifs(Dados!$N:$N,Dados!$B:$B,B94,Dados!$H:$H,$D$1,Dados!$G:$G,$F$4)</f>
        <v>0</v>
      </c>
      <c r="G94" s="81">
        <f>sumifs(Dados!$N:$N,Dados!$B:$B,B94,Dados!$H:$H,$D$1,Dados!$G:$G,$G$4)</f>
        <v>0</v>
      </c>
      <c r="H94" s="81">
        <f>sumifs(Dados!$N:$N,Dados!$B:$B,B94,Dados!$H:$H,$D$1,Dados!$G:$G,$H$4)</f>
        <v>0</v>
      </c>
      <c r="I94" s="81">
        <f>sumifs(Dados!$N:$N,Dados!$B:$B,B94,Dados!$H:$H,$D$1,Dados!$G:$G,$I$4)</f>
        <v>0</v>
      </c>
      <c r="J94" s="81">
        <f>sumifs(Dados!$N:$N,Dados!$B:$B,B94,Dados!$H:$H,$D$1,Dados!$G:$G,$J$4)</f>
        <v>0</v>
      </c>
      <c r="K94" s="81">
        <f>sumifs(Dados!$N:$N,Dados!$B:$B,B94,Dados!$H:$H,$D$1,Dados!$G:$G,$K$4)</f>
        <v>0</v>
      </c>
      <c r="L94" s="81">
        <f>sumifs(Dados!$N:$N,Dados!$B:$B,B94,Dados!$H:$H,$D$1,Dados!$G:$G,$L$4)</f>
        <v>0</v>
      </c>
      <c r="M94" s="81">
        <f>sumifs(Dados!$N:$N,Dados!$B:$B,B94,Dados!$H:$H,$D$1,Dados!$G:$G,$M$4)</f>
        <v>0</v>
      </c>
      <c r="N94" s="81">
        <f>sumifs(Dados!$N:$N,Dados!$B:$B,B94,Dados!$H:$H,$D$1,Dados!$G:$G,$N$4)</f>
        <v>0</v>
      </c>
      <c r="O94" s="81">
        <f>sumifs(Dados!$N:$N,Dados!$B:$B,B94,Dados!$H:$H,$D$1,Dados!$G:$G,$O$4)</f>
        <v>0</v>
      </c>
      <c r="P94" s="81">
        <f>sumifs(Dados!$N:$N,Dados!$B:$B,B94,Dados!$H:$H,$D$1,Dados!$G:$G,$P$4)</f>
        <v>0</v>
      </c>
      <c r="Q94" s="81"/>
    </row>
    <row r="95" ht="15.75" customHeight="1">
      <c r="A95" s="102"/>
      <c r="B95" s="78" t="s">
        <v>32</v>
      </c>
      <c r="C95" s="79"/>
      <c r="D95" s="80">
        <f t="shared" si="20"/>
        <v>466.56</v>
      </c>
      <c r="E95" s="81">
        <f>sumifs(Dados!$N:$N,Dados!$B:$B,B95,Dados!$H:$H,$D$1,Dados!$G:$G,$E$4)</f>
        <v>61.8</v>
      </c>
      <c r="F95" s="81">
        <f>sumifs(Dados!$N:$N,Dados!$B:$B,B95,Dados!$H:$H,$D$1,Dados!$G:$G,$F$4)</f>
        <v>66.44</v>
      </c>
      <c r="G95" s="81">
        <f>sumifs(Dados!$N:$N,Dados!$B:$B,B95,Dados!$H:$H,$D$1,Dados!$G:$G,$G$4)</f>
        <v>67.84</v>
      </c>
      <c r="H95" s="81">
        <f>sumifs(Dados!$N:$N,Dados!$B:$B,B95,Dados!$H:$H,$D$1,Dados!$G:$G,$H$4)</f>
        <v>67.6</v>
      </c>
      <c r="I95" s="81">
        <f>sumifs(Dados!$N:$N,Dados!$B:$B,B95,Dados!$H:$H,$D$1,Dados!$G:$G,$I$4)</f>
        <v>62.86</v>
      </c>
      <c r="J95" s="81">
        <f>sumifs(Dados!$N:$N,Dados!$B:$B,B95,Dados!$H:$H,$D$1,Dados!$G:$G,$J$4)</f>
        <v>64.45</v>
      </c>
      <c r="K95" s="81">
        <f>sumifs(Dados!$N:$N,Dados!$B:$B,B95,Dados!$H:$H,$D$1,Dados!$G:$G,$K$4)</f>
        <v>75.57</v>
      </c>
      <c r="L95" s="81">
        <f>sumifs(Dados!$N:$N,Dados!$B:$B,B95,Dados!$H:$H,$D$1,Dados!$G:$G,$L$4)</f>
        <v>0</v>
      </c>
      <c r="M95" s="81">
        <f>sumifs(Dados!$N:$N,Dados!$B:$B,B95,Dados!$H:$H,$D$1,Dados!$G:$G,$M$4)</f>
        <v>0</v>
      </c>
      <c r="N95" s="81">
        <f>sumifs(Dados!$N:$N,Dados!$B:$B,B95,Dados!$H:$H,$D$1,Dados!$G:$G,$N$4)</f>
        <v>0</v>
      </c>
      <c r="O95" s="81">
        <f>sumifs(Dados!$N:$N,Dados!$B:$B,B95,Dados!$H:$H,$D$1,Dados!$G:$G,$O$4)</f>
        <v>0</v>
      </c>
      <c r="P95" s="81">
        <f>sumifs(Dados!$N:$N,Dados!$B:$B,B95,Dados!$H:$H,$D$1,Dados!$G:$G,$P$4)</f>
        <v>0</v>
      </c>
      <c r="Q95" s="81"/>
    </row>
    <row r="96" ht="15.75" customHeight="1">
      <c r="A96" s="102"/>
      <c r="B96" s="78" t="s">
        <v>184</v>
      </c>
      <c r="C96" s="79"/>
      <c r="D96" s="80">
        <f t="shared" si="20"/>
        <v>0</v>
      </c>
      <c r="E96" s="81">
        <f>sumifs(Dados!$N:$N,Dados!$B:$B,B96,Dados!$H:$H,$D$1,Dados!$G:$G,$E$4)</f>
        <v>0</v>
      </c>
      <c r="F96" s="81">
        <f>sumifs(Dados!$N:$N,Dados!$B:$B,B96,Dados!$H:$H,$D$1,Dados!$G:$G,$F$4)</f>
        <v>0</v>
      </c>
      <c r="G96" s="81">
        <f>sumifs(Dados!$N:$N,Dados!$B:$B,B96,Dados!$H:$H,$D$1,Dados!$G:$G,$G$4)</f>
        <v>0</v>
      </c>
      <c r="H96" s="81">
        <f>sumifs(Dados!$N:$N,Dados!$B:$B,B96,Dados!$H:$H,$D$1,Dados!$G:$G,$H$4)</f>
        <v>0</v>
      </c>
      <c r="I96" s="81">
        <f>sumifs(Dados!$N:$N,Dados!$B:$B,B96,Dados!$H:$H,$D$1,Dados!$G:$G,$I$4)</f>
        <v>0</v>
      </c>
      <c r="J96" s="81">
        <f>sumifs(Dados!$N:$N,Dados!$B:$B,B96,Dados!$H:$H,$D$1,Dados!$G:$G,$J$4)</f>
        <v>0</v>
      </c>
      <c r="K96" s="81">
        <f>sumifs(Dados!$N:$N,Dados!$B:$B,B96,Dados!$H:$H,$D$1,Dados!$G:$G,$K$4)</f>
        <v>0</v>
      </c>
      <c r="L96" s="81">
        <f>sumifs(Dados!$N:$N,Dados!$B:$B,B96,Dados!$H:$H,$D$1,Dados!$G:$G,$L$4)</f>
        <v>0</v>
      </c>
      <c r="M96" s="81">
        <f>sumifs(Dados!$N:$N,Dados!$B:$B,B96,Dados!$H:$H,$D$1,Dados!$G:$G,$M$4)</f>
        <v>0</v>
      </c>
      <c r="N96" s="81">
        <f>sumifs(Dados!$N:$N,Dados!$B:$B,B96,Dados!$H:$H,$D$1,Dados!$G:$G,$N$4)</f>
        <v>0</v>
      </c>
      <c r="O96" s="81">
        <f>sumifs(Dados!$N:$N,Dados!$B:$B,B96,Dados!$H:$H,$D$1,Dados!$G:$G,$O$4)</f>
        <v>0</v>
      </c>
      <c r="P96" s="81">
        <f>sumifs(Dados!$N:$N,Dados!$B:$B,B96,Dados!$H:$H,$D$1,Dados!$G:$G,$P$4)</f>
        <v>0</v>
      </c>
      <c r="Q96" s="81"/>
    </row>
    <row r="97" ht="15.75" customHeight="1">
      <c r="A97" s="109" t="s">
        <v>185</v>
      </c>
      <c r="B97" s="100">
        <f>sumifs(Dados!$N:$N,Dados!$A:$A,A97,Dados!$H:$H,$D$1)</f>
        <v>7088.45</v>
      </c>
      <c r="C97" s="101">
        <f>B97-D97</f>
        <v>0</v>
      </c>
      <c r="D97" s="100">
        <f t="shared" ref="D97:P97" si="21">SUM(D89:D96)</f>
        <v>7088.45</v>
      </c>
      <c r="E97" s="100">
        <f t="shared" si="21"/>
        <v>388.02</v>
      </c>
      <c r="F97" s="100">
        <f t="shared" si="21"/>
        <v>433.38</v>
      </c>
      <c r="G97" s="100">
        <f t="shared" si="21"/>
        <v>383.89</v>
      </c>
      <c r="H97" s="100">
        <f t="shared" si="21"/>
        <v>544.86</v>
      </c>
      <c r="I97" s="100">
        <f t="shared" si="21"/>
        <v>717.82</v>
      </c>
      <c r="J97" s="100">
        <f t="shared" si="21"/>
        <v>1251.41</v>
      </c>
      <c r="K97" s="100">
        <f t="shared" si="21"/>
        <v>3369.07</v>
      </c>
      <c r="L97" s="100">
        <f t="shared" si="21"/>
        <v>0</v>
      </c>
      <c r="M97" s="100">
        <f t="shared" si="21"/>
        <v>0</v>
      </c>
      <c r="N97" s="100">
        <f t="shared" si="21"/>
        <v>0</v>
      </c>
      <c r="O97" s="100">
        <f t="shared" si="21"/>
        <v>0</v>
      </c>
      <c r="P97" s="100">
        <f t="shared" si="21"/>
        <v>0</v>
      </c>
      <c r="Q97" s="100"/>
    </row>
    <row r="98" ht="15.75" customHeight="1">
      <c r="A98" s="102"/>
      <c r="B98" s="78" t="s">
        <v>186</v>
      </c>
      <c r="C98" s="79"/>
      <c r="D98" s="80">
        <f t="shared" ref="D98:D107" si="22">SUM(E98:P98)</f>
        <v>28.92</v>
      </c>
      <c r="E98" s="81">
        <f>sumifs(Dados!$N:$N,Dados!$B:$B,B98,Dados!$H:$H,$D$1,Dados!$G:$G,$E$4)</f>
        <v>0</v>
      </c>
      <c r="F98" s="81">
        <f>sumifs(Dados!$N:$N,Dados!$B:$B,B98,Dados!$H:$H,$D$1,Dados!$G:$G,$F$4)</f>
        <v>0</v>
      </c>
      <c r="G98" s="81">
        <f>sumifs(Dados!$N:$N,Dados!$B:$B,B98,Dados!$H:$H,$D$1,Dados!$G:$G,$G$4)</f>
        <v>0</v>
      </c>
      <c r="H98" s="81">
        <f>sumifs(Dados!$N:$N,Dados!$B:$B,B98,Dados!$H:$H,$D$1,Dados!$G:$G,$H$4)</f>
        <v>0</v>
      </c>
      <c r="I98" s="81">
        <f>sumifs(Dados!$N:$N,Dados!$B:$B,B98,Dados!$H:$H,$D$1,Dados!$G:$G,$I$4)</f>
        <v>28.92</v>
      </c>
      <c r="J98" s="81">
        <f>sumifs(Dados!$N:$N,Dados!$B:$B,B98,Dados!$H:$H,$D$1,Dados!$G:$G,$J$4)</f>
        <v>0</v>
      </c>
      <c r="K98" s="81">
        <f>sumifs(Dados!$N:$N,Dados!$B:$B,B98,Dados!$H:$H,$D$1,Dados!$G:$G,$K$4)</f>
        <v>0</v>
      </c>
      <c r="L98" s="81">
        <f>sumifs(Dados!$N:$N,Dados!$B:$B,B98,Dados!$H:$H,$D$1,Dados!$G:$G,$L$4)</f>
        <v>0</v>
      </c>
      <c r="M98" s="81">
        <f>sumifs(Dados!$N:$N,Dados!$B:$B,B98,Dados!$H:$H,$D$1,Dados!$G:$G,$M$4)</f>
        <v>0</v>
      </c>
      <c r="N98" s="81">
        <f>sumifs(Dados!$N:$N,Dados!$B:$B,B98,Dados!$H:$H,$D$1,Dados!$G:$G,$N$4)</f>
        <v>0</v>
      </c>
      <c r="O98" s="81">
        <f>sumifs(Dados!$N:$N,Dados!$B:$B,B98,Dados!$H:$H,$D$1,Dados!$G:$G,$O$4)</f>
        <v>0</v>
      </c>
      <c r="P98" s="81">
        <f>sumifs(Dados!$N:$N,Dados!$B:$B,B98,Dados!$H:$H,$D$1,Dados!$G:$G,$P$4)</f>
        <v>0</v>
      </c>
      <c r="Q98" s="81"/>
    </row>
    <row r="99" ht="15.75" customHeight="1">
      <c r="A99" s="102"/>
      <c r="B99" s="78" t="s">
        <v>187</v>
      </c>
      <c r="C99" s="79"/>
      <c r="D99" s="80">
        <f t="shared" si="22"/>
        <v>0</v>
      </c>
      <c r="E99" s="81">
        <f>sumifs(Dados!$N:$N,Dados!$B:$B,B99,Dados!$H:$H,$D$1,Dados!$G:$G,$E$4)</f>
        <v>0</v>
      </c>
      <c r="F99" s="81">
        <f>sumifs(Dados!$N:$N,Dados!$B:$B,B99,Dados!$H:$H,$D$1,Dados!$G:$G,$F$4)</f>
        <v>0</v>
      </c>
      <c r="G99" s="81">
        <f>sumifs(Dados!$N:$N,Dados!$B:$B,B99,Dados!$H:$H,$D$1,Dados!$G:$G,$G$4)</f>
        <v>0</v>
      </c>
      <c r="H99" s="81">
        <f>sumifs(Dados!$N:$N,Dados!$B:$B,B99,Dados!$H:$H,$D$1,Dados!$G:$G,$H$4)</f>
        <v>0</v>
      </c>
      <c r="I99" s="81">
        <f>sumifs(Dados!$N:$N,Dados!$B:$B,B99,Dados!$H:$H,$D$1,Dados!$G:$G,$I$4)</f>
        <v>0</v>
      </c>
      <c r="J99" s="81">
        <f>sumifs(Dados!$N:$N,Dados!$B:$B,B99,Dados!$H:$H,$D$1,Dados!$G:$G,$J$4)</f>
        <v>0</v>
      </c>
      <c r="K99" s="81">
        <f>sumifs(Dados!$N:$N,Dados!$B:$B,B99,Dados!$H:$H,$D$1,Dados!$G:$G,$K$4)</f>
        <v>0</v>
      </c>
      <c r="L99" s="81">
        <f>sumifs(Dados!$N:$N,Dados!$B:$B,B99,Dados!$H:$H,$D$1,Dados!$G:$G,$L$4)</f>
        <v>0</v>
      </c>
      <c r="M99" s="81">
        <f>sumifs(Dados!$N:$N,Dados!$B:$B,B99,Dados!$H:$H,$D$1,Dados!$G:$G,$M$4)</f>
        <v>0</v>
      </c>
      <c r="N99" s="81">
        <f>sumifs(Dados!$N:$N,Dados!$B:$B,B99,Dados!$H:$H,$D$1,Dados!$G:$G,$N$4)</f>
        <v>0</v>
      </c>
      <c r="O99" s="81">
        <f>sumifs(Dados!$N:$N,Dados!$B:$B,B99,Dados!$H:$H,$D$1,Dados!$G:$G,$O$4)</f>
        <v>0</v>
      </c>
      <c r="P99" s="81">
        <f>sumifs(Dados!$N:$N,Dados!$B:$B,B99,Dados!$H:$H,$D$1,Dados!$G:$G,$P$4)</f>
        <v>0</v>
      </c>
      <c r="Q99" s="81"/>
    </row>
    <row r="100" ht="15.75" customHeight="1">
      <c r="A100" s="77"/>
      <c r="B100" s="78" t="s">
        <v>188</v>
      </c>
      <c r="C100" s="79"/>
      <c r="D100" s="80">
        <f t="shared" si="22"/>
        <v>78</v>
      </c>
      <c r="E100" s="81">
        <f>sumifs(Dados!$N:$N,Dados!$B:$B,B100,Dados!$H:$H,$D$1,Dados!$G:$G,$E$4)</f>
        <v>0</v>
      </c>
      <c r="F100" s="81">
        <f>sumifs(Dados!$N:$N,Dados!$B:$B,B100,Dados!$H:$H,$D$1,Dados!$G:$G,$F$4)</f>
        <v>0</v>
      </c>
      <c r="G100" s="81">
        <f>sumifs(Dados!$N:$N,Dados!$B:$B,B100,Dados!$H:$H,$D$1,Dados!$G:$G,$G$4)</f>
        <v>0</v>
      </c>
      <c r="H100" s="81">
        <f>sumifs(Dados!$N:$N,Dados!$B:$B,B100,Dados!$H:$H,$D$1,Dados!$G:$G,$H$4)</f>
        <v>0</v>
      </c>
      <c r="I100" s="81">
        <f>sumifs(Dados!$N:$N,Dados!$B:$B,B100,Dados!$H:$H,$D$1,Dados!$G:$G,$I$4)</f>
        <v>46.8</v>
      </c>
      <c r="J100" s="81">
        <f>sumifs(Dados!$N:$N,Dados!$B:$B,B100,Dados!$H:$H,$D$1,Dados!$G:$G,$J$4)</f>
        <v>15.6</v>
      </c>
      <c r="K100" s="81">
        <f>sumifs(Dados!$N:$N,Dados!$B:$B,B100,Dados!$H:$H,$D$1,Dados!$G:$G,$K$4)</f>
        <v>15.6</v>
      </c>
      <c r="L100" s="81">
        <f>sumifs(Dados!$N:$N,Dados!$B:$B,B100,Dados!$H:$H,$D$1,Dados!$G:$G,$L$4)</f>
        <v>0</v>
      </c>
      <c r="M100" s="81">
        <f>sumifs(Dados!$N:$N,Dados!$B:$B,B100,Dados!$H:$H,$D$1,Dados!$G:$G,$M$4)</f>
        <v>0</v>
      </c>
      <c r="N100" s="81">
        <f>sumifs(Dados!$N:$N,Dados!$B:$B,B100,Dados!$H:$H,$D$1,Dados!$G:$G,$N$4)</f>
        <v>0</v>
      </c>
      <c r="O100" s="81">
        <f>sumifs(Dados!$N:$N,Dados!$B:$B,B100,Dados!$H:$H,$D$1,Dados!$G:$G,$O$4)</f>
        <v>0</v>
      </c>
      <c r="P100" s="81">
        <f>sumifs(Dados!$N:$N,Dados!$B:$B,B100,Dados!$H:$H,$D$1,Dados!$G:$G,$P$4)</f>
        <v>0</v>
      </c>
      <c r="Q100" s="81"/>
    </row>
    <row r="101" ht="15.75" customHeight="1">
      <c r="A101" s="77"/>
      <c r="B101" s="78" t="s">
        <v>189</v>
      </c>
      <c r="C101" s="79"/>
      <c r="D101" s="80">
        <f t="shared" si="22"/>
        <v>168.32</v>
      </c>
      <c r="E101" s="81">
        <f>sumifs(Dados!$N:$N,Dados!$B:$B,B101,Dados!$H:$H,$D$1,Dados!$G:$G,$E$4)</f>
        <v>0</v>
      </c>
      <c r="F101" s="81">
        <f>sumifs(Dados!$N:$N,Dados!$B:$B,B101,Dados!$H:$H,$D$1,Dados!$G:$G,$F$4)</f>
        <v>0</v>
      </c>
      <c r="G101" s="81">
        <f>sumifs(Dados!$N:$N,Dados!$B:$B,B101,Dados!$H:$H,$D$1,Dados!$G:$G,$G$4)</f>
        <v>0</v>
      </c>
      <c r="H101" s="81">
        <f>sumifs(Dados!$N:$N,Dados!$B:$B,B101,Dados!$H:$H,$D$1,Dados!$G:$G,$H$4)</f>
        <v>0</v>
      </c>
      <c r="I101" s="81">
        <f>sumifs(Dados!$N:$N,Dados!$B:$B,B101,Dados!$H:$H,$D$1,Dados!$G:$G,$I$4)</f>
        <v>56.29</v>
      </c>
      <c r="J101" s="81">
        <f>sumifs(Dados!$N:$N,Dados!$B:$B,B101,Dados!$H:$H,$D$1,Dados!$G:$G,$J$4)</f>
        <v>42.63</v>
      </c>
      <c r="K101" s="81">
        <f>sumifs(Dados!$N:$N,Dados!$B:$B,B101,Dados!$H:$H,$D$1,Dados!$G:$G,$K$4)</f>
        <v>69.4</v>
      </c>
      <c r="L101" s="81">
        <f>sumifs(Dados!$N:$N,Dados!$B:$B,B101,Dados!$H:$H,$D$1,Dados!$G:$G,$L$4)</f>
        <v>0</v>
      </c>
      <c r="M101" s="81">
        <f>sumifs(Dados!$N:$N,Dados!$B:$B,B101,Dados!$H:$H,$D$1,Dados!$G:$G,$M$4)</f>
        <v>0</v>
      </c>
      <c r="N101" s="81">
        <f>sumifs(Dados!$N:$N,Dados!$B:$B,B101,Dados!$H:$H,$D$1,Dados!$G:$G,$N$4)</f>
        <v>0</v>
      </c>
      <c r="O101" s="81">
        <f>sumifs(Dados!$N:$N,Dados!$B:$B,B101,Dados!$H:$H,$D$1,Dados!$G:$G,$O$4)</f>
        <v>0</v>
      </c>
      <c r="P101" s="81">
        <f>sumifs(Dados!$N:$N,Dados!$B:$B,B101,Dados!$H:$H,$D$1,Dados!$G:$G,$P$4)</f>
        <v>0</v>
      </c>
      <c r="Q101" s="81"/>
    </row>
    <row r="102" ht="15.75" customHeight="1">
      <c r="A102" s="102"/>
      <c r="B102" s="78" t="s">
        <v>190</v>
      </c>
      <c r="C102" s="79"/>
      <c r="D102" s="80">
        <f t="shared" si="22"/>
        <v>64.2</v>
      </c>
      <c r="E102" s="81">
        <f>sumifs(Dados!$N:$N,Dados!$B:$B,B102,Dados!$H:$H,$D$1,Dados!$G:$G,$E$4)</f>
        <v>0</v>
      </c>
      <c r="F102" s="81">
        <f>sumifs(Dados!$N:$N,Dados!$B:$B,B102,Dados!$H:$H,$D$1,Dados!$G:$G,$F$4)</f>
        <v>0</v>
      </c>
      <c r="G102" s="81">
        <f>sumifs(Dados!$N:$N,Dados!$B:$B,B102,Dados!$H:$H,$D$1,Dados!$G:$G,$G$4)</f>
        <v>0</v>
      </c>
      <c r="H102" s="81">
        <f>sumifs(Dados!$N:$N,Dados!$B:$B,B102,Dados!$H:$H,$D$1,Dados!$G:$G,$H$4)</f>
        <v>0</v>
      </c>
      <c r="I102" s="81">
        <f>sumifs(Dados!$N:$N,Dados!$B:$B,B102,Dados!$H:$H,$D$1,Dados!$G:$G,$I$4)</f>
        <v>0</v>
      </c>
      <c r="J102" s="81">
        <f>sumifs(Dados!$N:$N,Dados!$B:$B,B102,Dados!$H:$H,$D$1,Dados!$G:$G,$J$4)</f>
        <v>0</v>
      </c>
      <c r="K102" s="81">
        <f>sumifs(Dados!$N:$N,Dados!$B:$B,B102,Dados!$H:$H,$D$1,Dados!$G:$G,$K$4)</f>
        <v>64.2</v>
      </c>
      <c r="L102" s="81">
        <f>sumifs(Dados!$N:$N,Dados!$B:$B,B102,Dados!$H:$H,$D$1,Dados!$G:$G,$L$4)</f>
        <v>0</v>
      </c>
      <c r="M102" s="81">
        <f>sumifs(Dados!$N:$N,Dados!$B:$B,B102,Dados!$H:$H,$D$1,Dados!$G:$G,$M$4)</f>
        <v>0</v>
      </c>
      <c r="N102" s="81">
        <f>sumifs(Dados!$N:$N,Dados!$B:$B,B102,Dados!$H:$H,$D$1,Dados!$G:$G,$N$4)</f>
        <v>0</v>
      </c>
      <c r="O102" s="81">
        <f>sumifs(Dados!$N:$N,Dados!$B:$B,B102,Dados!$H:$H,$D$1,Dados!$G:$G,$O$4)</f>
        <v>0</v>
      </c>
      <c r="P102" s="81">
        <f>sumifs(Dados!$N:$N,Dados!$B:$B,B102,Dados!$H:$H,$D$1,Dados!$G:$G,$P$4)</f>
        <v>0</v>
      </c>
      <c r="Q102" s="81"/>
    </row>
    <row r="103" ht="15.75" customHeight="1">
      <c r="A103" s="77"/>
      <c r="B103" s="78" t="s">
        <v>191</v>
      </c>
      <c r="C103" s="79"/>
      <c r="D103" s="80">
        <f t="shared" si="22"/>
        <v>70.9</v>
      </c>
      <c r="E103" s="81">
        <f>sumifs(Dados!$N:$N,Dados!$B:$B,B103,Dados!$H:$H,$D$1,Dados!$G:$G,$E$4)</f>
        <v>0</v>
      </c>
      <c r="F103" s="81">
        <f>sumifs(Dados!$N:$N,Dados!$B:$B,B103,Dados!$H:$H,$D$1,Dados!$G:$G,$F$4)</f>
        <v>0</v>
      </c>
      <c r="G103" s="81">
        <f>sumifs(Dados!$N:$N,Dados!$B:$B,B103,Dados!$H:$H,$D$1,Dados!$G:$G,$G$4)</f>
        <v>0</v>
      </c>
      <c r="H103" s="81">
        <f>sumifs(Dados!$N:$N,Dados!$B:$B,B103,Dados!$H:$H,$D$1,Dados!$G:$G,$H$4)</f>
        <v>0</v>
      </c>
      <c r="I103" s="81">
        <f>sumifs(Dados!$N:$N,Dados!$B:$B,B103,Dados!$H:$H,$D$1,Dados!$G:$G,$I$4)</f>
        <v>35</v>
      </c>
      <c r="J103" s="81">
        <f>sumifs(Dados!$N:$N,Dados!$B:$B,B103,Dados!$H:$H,$D$1,Dados!$G:$G,$J$4)</f>
        <v>17.95</v>
      </c>
      <c r="K103" s="81">
        <f>sumifs(Dados!$N:$N,Dados!$B:$B,B103,Dados!$H:$H,$D$1,Dados!$G:$G,$K$4)</f>
        <v>17.95</v>
      </c>
      <c r="L103" s="81">
        <f>sumifs(Dados!$N:$N,Dados!$B:$B,B103,Dados!$H:$H,$D$1,Dados!$G:$G,$L$4)</f>
        <v>0</v>
      </c>
      <c r="M103" s="81">
        <f>sumifs(Dados!$N:$N,Dados!$B:$B,B103,Dados!$H:$H,$D$1,Dados!$G:$G,$M$4)</f>
        <v>0</v>
      </c>
      <c r="N103" s="81">
        <f>sumifs(Dados!$N:$N,Dados!$B:$B,B103,Dados!$H:$H,$D$1,Dados!$G:$G,$N$4)</f>
        <v>0</v>
      </c>
      <c r="O103" s="81">
        <f>sumifs(Dados!$N:$N,Dados!$B:$B,B103,Dados!$H:$H,$D$1,Dados!$G:$G,$O$4)</f>
        <v>0</v>
      </c>
      <c r="P103" s="81">
        <f>sumifs(Dados!$N:$N,Dados!$B:$B,B103,Dados!$H:$H,$D$1,Dados!$G:$G,$P$4)</f>
        <v>0</v>
      </c>
      <c r="Q103" s="81"/>
    </row>
    <row r="104" ht="15.75" customHeight="1">
      <c r="A104" s="102"/>
      <c r="B104" s="78" t="s">
        <v>192</v>
      </c>
      <c r="C104" s="79"/>
      <c r="D104" s="80">
        <f t="shared" si="22"/>
        <v>279</v>
      </c>
      <c r="E104" s="81">
        <f>sumifs(Dados!$N:$N,Dados!$B:$B,B104,Dados!$H:$H,$D$1,Dados!$G:$G,$E$4)</f>
        <v>0</v>
      </c>
      <c r="F104" s="81">
        <f>sumifs(Dados!$N:$N,Dados!$B:$B,B104,Dados!$H:$H,$D$1,Dados!$G:$G,$F$4)</f>
        <v>0</v>
      </c>
      <c r="G104" s="81">
        <f>sumifs(Dados!$N:$N,Dados!$B:$B,B104,Dados!$H:$H,$D$1,Dados!$G:$G,$G$4)</f>
        <v>0</v>
      </c>
      <c r="H104" s="81">
        <f>sumifs(Dados!$N:$N,Dados!$B:$B,B104,Dados!$H:$H,$D$1,Dados!$G:$G,$H$4)</f>
        <v>0</v>
      </c>
      <c r="I104" s="81">
        <f>sumifs(Dados!$N:$N,Dados!$B:$B,B104,Dados!$H:$H,$D$1,Dados!$G:$G,$I$4)</f>
        <v>55.8</v>
      </c>
      <c r="J104" s="81">
        <f>sumifs(Dados!$N:$N,Dados!$B:$B,B104,Dados!$H:$H,$D$1,Dados!$G:$G,$J$4)</f>
        <v>74.4</v>
      </c>
      <c r="K104" s="81">
        <f>sumifs(Dados!$N:$N,Dados!$B:$B,B104,Dados!$H:$H,$D$1,Dados!$G:$G,$K$4)</f>
        <v>148.8</v>
      </c>
      <c r="L104" s="81">
        <f>sumifs(Dados!$N:$N,Dados!$B:$B,B104,Dados!$H:$H,$D$1,Dados!$G:$G,$L$4)</f>
        <v>0</v>
      </c>
      <c r="M104" s="81">
        <f>sumifs(Dados!$N:$N,Dados!$B:$B,B104,Dados!$H:$H,$D$1,Dados!$G:$G,$M$4)</f>
        <v>0</v>
      </c>
      <c r="N104" s="81">
        <f>sumifs(Dados!$N:$N,Dados!$B:$B,B104,Dados!$H:$H,$D$1,Dados!$G:$G,$N$4)</f>
        <v>0</v>
      </c>
      <c r="O104" s="81">
        <f>sumifs(Dados!$N:$N,Dados!$B:$B,B104,Dados!$H:$H,$D$1,Dados!$G:$G,$O$4)</f>
        <v>0</v>
      </c>
      <c r="P104" s="81">
        <f>sumifs(Dados!$N:$N,Dados!$B:$B,B104,Dados!$H:$H,$D$1,Dados!$G:$G,$P$4)</f>
        <v>0</v>
      </c>
      <c r="Q104" s="81"/>
    </row>
    <row r="105" ht="15.75" customHeight="1">
      <c r="A105" s="82"/>
      <c r="B105" s="83" t="s">
        <v>193</v>
      </c>
      <c r="C105" s="79"/>
      <c r="D105" s="80">
        <f t="shared" si="22"/>
        <v>168.8</v>
      </c>
      <c r="E105" s="81">
        <f>sumifs(Dados!$N:$N,Dados!$B:$B,B105,Dados!$H:$H,$D$1,Dados!$G:$G,$E$4)</f>
        <v>0</v>
      </c>
      <c r="F105" s="81">
        <f>sumifs(Dados!$N:$N,Dados!$B:$B,B105,Dados!$H:$H,$D$1,Dados!$G:$G,$F$4)</f>
        <v>0</v>
      </c>
      <c r="G105" s="81">
        <f>sumifs(Dados!$N:$N,Dados!$B:$B,B105,Dados!$H:$H,$D$1,Dados!$G:$G,$G$4)</f>
        <v>0</v>
      </c>
      <c r="H105" s="81">
        <f>sumifs(Dados!$N:$N,Dados!$B:$B,B105,Dados!$H:$H,$D$1,Dados!$G:$G,$H$4)</f>
        <v>0</v>
      </c>
      <c r="I105" s="81">
        <f>sumifs(Dados!$N:$N,Dados!$B:$B,B105,Dados!$H:$H,$D$1,Dados!$G:$G,$I$4)</f>
        <v>64.2</v>
      </c>
      <c r="J105" s="81">
        <f>sumifs(Dados!$N:$N,Dados!$B:$B,B105,Dados!$H:$H,$D$1,Dados!$G:$G,$J$4)</f>
        <v>63.4</v>
      </c>
      <c r="K105" s="81">
        <f>sumifs(Dados!$N:$N,Dados!$B:$B,B105,Dados!$H:$H,$D$1,Dados!$G:$G,$K$4)</f>
        <v>41.2</v>
      </c>
      <c r="L105" s="81">
        <f>sumifs(Dados!$N:$N,Dados!$B:$B,B105,Dados!$H:$H,$D$1,Dados!$G:$G,$L$4)</f>
        <v>0</v>
      </c>
      <c r="M105" s="81">
        <f>sumifs(Dados!$N:$N,Dados!$B:$B,B105,Dados!$H:$H,$D$1,Dados!$G:$G,$M$4)</f>
        <v>0</v>
      </c>
      <c r="N105" s="81">
        <f>sumifs(Dados!$N:$N,Dados!$B:$B,B105,Dados!$H:$H,$D$1,Dados!$G:$G,$N$4)</f>
        <v>0</v>
      </c>
      <c r="O105" s="81">
        <f>sumifs(Dados!$N:$N,Dados!$B:$B,B105,Dados!$H:$H,$D$1,Dados!$G:$G,$O$4)</f>
        <v>0</v>
      </c>
      <c r="P105" s="81">
        <f>sumifs(Dados!$N:$N,Dados!$B:$B,B105,Dados!$H:$H,$D$1,Dados!$G:$G,$P$4)</f>
        <v>0</v>
      </c>
      <c r="Q105" s="81"/>
    </row>
    <row r="106" ht="15.75" customHeight="1">
      <c r="A106" s="102"/>
      <c r="B106" s="78" t="s">
        <v>194</v>
      </c>
      <c r="C106" s="79"/>
      <c r="D106" s="80">
        <f t="shared" si="22"/>
        <v>0</v>
      </c>
      <c r="E106" s="81">
        <f>sumifs(Dados!$N:$N,Dados!$B:$B,$B$106,Dados!$H:$H,$D$1,Dados!$G:$G,E4)</f>
        <v>0</v>
      </c>
      <c r="F106" s="81">
        <f>sumifs(Dados!$N:$N,Dados!$B:$B,$B$106,Dados!$H:$H,$D$1,Dados!$G:$G,F4)</f>
        <v>0</v>
      </c>
      <c r="G106" s="81">
        <f>sumifs(Dados!$N:$N,Dados!$B:$B,$B$106,Dados!$H:$H,$D$1,Dados!$G:$G,G4)</f>
        <v>0</v>
      </c>
      <c r="H106" s="81">
        <f>sumifs(Dados!$N:$N,Dados!$B:$B,$B$106,Dados!$H:$H,$D$1,Dados!$G:$G,H4)</f>
        <v>0</v>
      </c>
      <c r="I106" s="81">
        <f>sumifs(Dados!$N:$N,Dados!$B:$B,$B$106,Dados!$H:$H,$D$1,Dados!$G:$G,I4)</f>
        <v>0</v>
      </c>
      <c r="J106" s="81">
        <f>sumifs(Dados!$N:$N,Dados!$B:$B,$B$106,Dados!$H:$H,$D$1,Dados!$G:$G,J4)</f>
        <v>0</v>
      </c>
      <c r="K106" s="81">
        <f>sumifs(Dados!$N:$N,Dados!$B:$B,$B$106,Dados!$H:$H,$D$1,Dados!$G:$G,K4)</f>
        <v>0</v>
      </c>
      <c r="L106" s="81">
        <f>sumifs(Dados!$N:$N,Dados!$B:$B,$B$106,Dados!$H:$H,$D$1,Dados!$G:$G,L4)</f>
        <v>0</v>
      </c>
      <c r="M106" s="81">
        <f>sumifs(Dados!$N:$N,Dados!$B:$B,$B$106,Dados!$H:$H,$D$1,Dados!$G:$G,M4)</f>
        <v>0</v>
      </c>
      <c r="N106" s="81">
        <f>sumifs(Dados!$N:$N,Dados!$B:$B,$B$106,Dados!$H:$H,$D$1,Dados!$G:$G,N4)</f>
        <v>0</v>
      </c>
      <c r="O106" s="81">
        <f>sumifs(Dados!$N:$N,Dados!$B:$B,$B$106,Dados!$H:$H,$D$1,Dados!$G:$G,O4)</f>
        <v>0</v>
      </c>
      <c r="P106" s="81">
        <f>sumifs(Dados!$N:$N,Dados!$B:$B,$B$106,Dados!$H:$H,$D$1,Dados!$G:$G,P4)</f>
        <v>0</v>
      </c>
      <c r="Q106" s="81"/>
    </row>
    <row r="107" ht="15.75" customHeight="1">
      <c r="A107" s="102"/>
      <c r="B107" s="78" t="s">
        <v>195</v>
      </c>
      <c r="C107" s="79"/>
      <c r="D107" s="80">
        <f t="shared" si="22"/>
        <v>42</v>
      </c>
      <c r="E107" s="81">
        <f>sumifs(Dados!$N:$N,Dados!$B:$B,B107,Dados!$H:$H,$D$1,Dados!$G:$G,$E$4)</f>
        <v>0</v>
      </c>
      <c r="F107" s="81">
        <f>sumifs(Dados!$N:$N,Dados!$B:$B,B107,Dados!$H:$H,$D$1,Dados!$G:$G,$F$4)</f>
        <v>0</v>
      </c>
      <c r="G107" s="81">
        <f>sumifs(Dados!$N:$N,Dados!$B:$B,B107,Dados!$H:$H,$D$1,Dados!$G:$G,$G$4)</f>
        <v>0</v>
      </c>
      <c r="H107" s="81">
        <f>sumifs(Dados!$N:$N,Dados!$B:$B,B107,Dados!$H:$H,$D$1,Dados!$G:$G,$H$4)</f>
        <v>0</v>
      </c>
      <c r="I107" s="81">
        <f>sumifs(Dados!$N:$N,Dados!$B:$B,B107,Dados!$H:$H,$D$1,Dados!$G:$G,$I$4)</f>
        <v>14</v>
      </c>
      <c r="J107" s="81">
        <f>sumifs(Dados!$N:$N,Dados!$B:$B,B107,Dados!$H:$H,$D$1,Dados!$G:$G,$J$4)</f>
        <v>14</v>
      </c>
      <c r="K107" s="81">
        <f>sumifs(Dados!$N:$N,Dados!$B:$B,B107,Dados!$H:$H,$D$1,Dados!$G:$G,$K$4)</f>
        <v>14</v>
      </c>
      <c r="L107" s="81">
        <f>sumifs(Dados!$N:$N,Dados!$B:$B,B107,Dados!$H:$H,$D$1,Dados!$G:$G,$L$4)</f>
        <v>0</v>
      </c>
      <c r="M107" s="81">
        <f>sumifs(Dados!$N:$N,Dados!$B:$B,B107,Dados!$H:$H,$D$1,Dados!$G:$G,$M$4)</f>
        <v>0</v>
      </c>
      <c r="N107" s="81">
        <f>sumifs(Dados!$N:$N,Dados!$B:$B,B107,Dados!$H:$H,$D$1,Dados!$G:$G,$N$4)</f>
        <v>0</v>
      </c>
      <c r="O107" s="81">
        <f>sumifs(Dados!$N:$N,Dados!$B:$B,B107,Dados!$H:$H,$D$1,Dados!$G:$G,$O$4)</f>
        <v>0</v>
      </c>
      <c r="P107" s="81">
        <f>sumifs(Dados!$N:$N,Dados!$B:$B,B107,Dados!$H:$H,$D$1,Dados!$G:$G,$P$4)</f>
        <v>0</v>
      </c>
      <c r="Q107" s="81"/>
    </row>
    <row r="108" ht="15.75" customHeight="1">
      <c r="A108" s="109" t="s">
        <v>196</v>
      </c>
      <c r="B108" s="100">
        <f>sumifs(Dados!$N:$N,Dados!$A:$A,A108,Dados!$H:$H,$D$1)</f>
        <v>900.14</v>
      </c>
      <c r="C108" s="101">
        <f>B108-D108</f>
        <v>0</v>
      </c>
      <c r="D108" s="100">
        <f t="shared" ref="D108:P108" si="23">SUM(D98:D107)</f>
        <v>900.14</v>
      </c>
      <c r="E108" s="100">
        <f t="shared" si="23"/>
        <v>0</v>
      </c>
      <c r="F108" s="100">
        <f t="shared" si="23"/>
        <v>0</v>
      </c>
      <c r="G108" s="100">
        <f t="shared" si="23"/>
        <v>0</v>
      </c>
      <c r="H108" s="100">
        <f t="shared" si="23"/>
        <v>0</v>
      </c>
      <c r="I108" s="100">
        <f t="shared" si="23"/>
        <v>301.01</v>
      </c>
      <c r="J108" s="100">
        <f t="shared" si="23"/>
        <v>227.98</v>
      </c>
      <c r="K108" s="100">
        <f t="shared" si="23"/>
        <v>371.15</v>
      </c>
      <c r="L108" s="100">
        <f t="shared" si="23"/>
        <v>0</v>
      </c>
      <c r="M108" s="100">
        <f t="shared" si="23"/>
        <v>0</v>
      </c>
      <c r="N108" s="100">
        <f t="shared" si="23"/>
        <v>0</v>
      </c>
      <c r="O108" s="100">
        <f t="shared" si="23"/>
        <v>0</v>
      </c>
      <c r="P108" s="100">
        <f t="shared" si="23"/>
        <v>0</v>
      </c>
      <c r="Q108" s="100"/>
    </row>
    <row r="109" ht="15.75" customHeight="1">
      <c r="A109" s="102"/>
      <c r="B109" s="78" t="s">
        <v>197</v>
      </c>
      <c r="C109" s="79"/>
      <c r="D109" s="80">
        <f t="shared" ref="D109:D115" si="24">SUM(E109:P109)</f>
        <v>0</v>
      </c>
      <c r="E109" s="81">
        <f>sumifs(Dados!$N:$N,Dados!$B:$B,B109,Dados!$H:$H,$D$1,Dados!$G:$G,$E$4)</f>
        <v>0</v>
      </c>
      <c r="F109" s="81">
        <f>sumifs(Dados!$N:$N,Dados!$B:$B,B109,Dados!$H:$H,$D$1,Dados!$G:$G,$F$4)</f>
        <v>0</v>
      </c>
      <c r="G109" s="81">
        <f>sumifs(Dados!$N:$N,Dados!$B:$B,B109,Dados!$H:$H,$D$1,Dados!$G:$G,$G$4)</f>
        <v>0</v>
      </c>
      <c r="H109" s="81">
        <f>sumifs(Dados!$N:$N,Dados!$B:$B,B109,Dados!$H:$H,$D$1,Dados!$G:$G,$H$4)</f>
        <v>0</v>
      </c>
      <c r="I109" s="81">
        <f>sumifs(Dados!$N:$N,Dados!$B:$B,B109,Dados!$H:$H,$D$1,Dados!$G:$G,$I$4)</f>
        <v>0</v>
      </c>
      <c r="J109" s="81">
        <f>sumifs(Dados!$N:$N,Dados!$B:$B,B109,Dados!$H:$H,$D$1,Dados!$G:$G,$J$4)</f>
        <v>0</v>
      </c>
      <c r="K109" s="81">
        <f>sumifs(Dados!$N:$N,Dados!$B:$B,B109,Dados!$H:$H,$D$1,Dados!$G:$G,$K$4)</f>
        <v>0</v>
      </c>
      <c r="L109" s="81">
        <f>sumifs(Dados!$N:$N,Dados!$B:$B,B109,Dados!$H:$H,$D$1,Dados!$G:$G,$L$4)</f>
        <v>0</v>
      </c>
      <c r="M109" s="81">
        <f>sumifs(Dados!$N:$N,Dados!$B:$B,B109,Dados!$H:$H,$D$1,Dados!$G:$G,$M$4)</f>
        <v>0</v>
      </c>
      <c r="N109" s="81">
        <f>sumifs(Dados!$N:$N,Dados!$B:$B,B109,Dados!$H:$H,$D$1,Dados!$G:$G,$N$4)</f>
        <v>0</v>
      </c>
      <c r="O109" s="81">
        <f>sumifs(Dados!$N:$N,Dados!$B:$B,B109,Dados!$H:$H,$D$1,Dados!$G:$G,$O$4)</f>
        <v>0</v>
      </c>
      <c r="P109" s="81">
        <f>sumifs(Dados!$N:$N,Dados!$B:$B,B109,Dados!$H:$H,$D$1,Dados!$G:$G,$P$4)</f>
        <v>0</v>
      </c>
      <c r="Q109" s="81"/>
    </row>
    <row r="110" ht="15.75" customHeight="1">
      <c r="A110" s="142"/>
      <c r="B110" s="78" t="s">
        <v>198</v>
      </c>
      <c r="C110" s="79"/>
      <c r="D110" s="80">
        <f t="shared" si="24"/>
        <v>0</v>
      </c>
      <c r="E110" s="81">
        <f>sumifs(Dados!$N:$N,Dados!$B:$B,B110,Dados!$H:$H,$D$1,Dados!$G:$G,$E$4)</f>
        <v>0</v>
      </c>
      <c r="F110" s="81">
        <f>sumifs(Dados!$N:$N,Dados!$B:$B,B110,Dados!$H:$H,$D$1,Dados!$G:$G,$F$4)</f>
        <v>0</v>
      </c>
      <c r="G110" s="81">
        <f>sumifs(Dados!$N:$N,Dados!$B:$B,B110,Dados!$H:$H,$D$1,Dados!$G:$G,$G$4)</f>
        <v>0</v>
      </c>
      <c r="H110" s="81">
        <f>sumifs(Dados!$N:$N,Dados!$B:$B,B110,Dados!$H:$H,$D$1,Dados!$G:$G,$H$4)</f>
        <v>0</v>
      </c>
      <c r="I110" s="81">
        <f>sumifs(Dados!$N:$N,Dados!$B:$B,B110,Dados!$H:$H,$D$1,Dados!$G:$G,$I$4)</f>
        <v>0</v>
      </c>
      <c r="J110" s="81">
        <f>sumifs(Dados!$N:$N,Dados!$B:$B,B110,Dados!$H:$H,$D$1,Dados!$G:$G,$J$4)</f>
        <v>0</v>
      </c>
      <c r="K110" s="81">
        <f>sumifs(Dados!$N:$N,Dados!$B:$B,B110,Dados!$H:$H,$D$1,Dados!$G:$G,$K$4)</f>
        <v>0</v>
      </c>
      <c r="L110" s="81">
        <f>sumifs(Dados!$N:$N,Dados!$B:$B,B110,Dados!$H:$H,$D$1,Dados!$G:$G,$L$4)</f>
        <v>0</v>
      </c>
      <c r="M110" s="81">
        <f>sumifs(Dados!$N:$N,Dados!$B:$B,B110,Dados!$H:$H,$D$1,Dados!$G:$G,$M$4)</f>
        <v>0</v>
      </c>
      <c r="N110" s="81">
        <f>sumifs(Dados!$N:$N,Dados!$B:$B,B110,Dados!$H:$H,$D$1,Dados!$G:$G,$N$4)</f>
        <v>0</v>
      </c>
      <c r="O110" s="81">
        <f>sumifs(Dados!$N:$N,Dados!$B:$B,B110,Dados!$H:$H,$D$1,Dados!$G:$G,$O$4)</f>
        <v>0</v>
      </c>
      <c r="P110" s="81">
        <f>sumifs(Dados!$N:$N,Dados!$B:$B,B110,Dados!$H:$H,$D$1,Dados!$G:$G,$P$4)</f>
        <v>0</v>
      </c>
      <c r="Q110" s="81"/>
    </row>
    <row r="111" ht="15.75" customHeight="1">
      <c r="A111" s="142"/>
      <c r="B111" s="78" t="s">
        <v>199</v>
      </c>
      <c r="C111" s="79"/>
      <c r="D111" s="80">
        <f t="shared" si="24"/>
        <v>119.81</v>
      </c>
      <c r="E111" s="81">
        <f>sumifs(Dados!$N:$N,Dados!$B:$B,B111,Dados!$H:$H,$D$1,Dados!$G:$G,$E$4)</f>
        <v>0</v>
      </c>
      <c r="F111" s="81">
        <f>sumifs(Dados!$N:$N,Dados!$B:$B,B111,Dados!$H:$H,$D$1,Dados!$G:$G,$F$4)</f>
        <v>0</v>
      </c>
      <c r="G111" s="81">
        <f>sumifs(Dados!$N:$N,Dados!$B:$B,B111,Dados!$H:$H,$D$1,Dados!$G:$G,$G$4)</f>
        <v>0</v>
      </c>
      <c r="H111" s="81">
        <f>sumifs(Dados!$N:$N,Dados!$B:$B,B111,Dados!$H:$H,$D$1,Dados!$G:$G,$H$4)</f>
        <v>0</v>
      </c>
      <c r="I111" s="81">
        <f>sumifs(Dados!$N:$N,Dados!$B:$B,B111,Dados!$H:$H,$D$1,Dados!$G:$G,$I$4)</f>
        <v>64.67</v>
      </c>
      <c r="J111" s="81">
        <f>sumifs(Dados!$N:$N,Dados!$B:$B,B111,Dados!$H:$H,$D$1,Dados!$G:$G,$J$4)</f>
        <v>12.99</v>
      </c>
      <c r="K111" s="81">
        <f>sumifs(Dados!$N:$N,Dados!$B:$B,B111,Dados!$H:$H,$D$1,Dados!$G:$G,$K$4)</f>
        <v>42.15</v>
      </c>
      <c r="L111" s="81">
        <f>sumifs(Dados!$N:$N,Dados!$B:$B,B111,Dados!$H:$H,$D$1,Dados!$G:$G,$L$4)</f>
        <v>0</v>
      </c>
      <c r="M111" s="81">
        <f>sumifs(Dados!$N:$N,Dados!$B:$B,B111,Dados!$H:$H,$D$1,Dados!$G:$G,$M$4)</f>
        <v>0</v>
      </c>
      <c r="N111" s="81">
        <f>sumifs(Dados!$N:$N,Dados!$B:$B,B111,Dados!$H:$H,$D$1,Dados!$G:$G,$N$4)</f>
        <v>0</v>
      </c>
      <c r="O111" s="81">
        <f>sumifs(Dados!$N:$N,Dados!$B:$B,B111,Dados!$H:$H,$D$1,Dados!$G:$G,$O$4)</f>
        <v>0</v>
      </c>
      <c r="P111" s="81">
        <f>sumifs(Dados!$N:$N,Dados!$B:$B,B111,Dados!$H:$H,$D$1,Dados!$G:$G,$P$4)</f>
        <v>0</v>
      </c>
      <c r="Q111" s="81"/>
    </row>
    <row r="112" ht="15.75" customHeight="1">
      <c r="A112" s="140"/>
      <c r="B112" s="78" t="s">
        <v>200</v>
      </c>
      <c r="C112" s="79"/>
      <c r="D112" s="80">
        <f t="shared" si="24"/>
        <v>0</v>
      </c>
      <c r="E112" s="81">
        <f>sumifs(Dados!$N:$N,Dados!$B:$B,B112,Dados!$H:$H,$D$1,Dados!$G:$G,$E$4)</f>
        <v>0</v>
      </c>
      <c r="F112" s="81">
        <f>sumifs(Dados!$N:$N,Dados!$B:$B,B112,Dados!$H:$H,$D$1,Dados!$G:$G,$F$4)</f>
        <v>0</v>
      </c>
      <c r="G112" s="81">
        <f>sumifs(Dados!$N:$N,Dados!$B:$B,B112,Dados!$H:$H,$D$1,Dados!$G:$G,$G$4)</f>
        <v>0</v>
      </c>
      <c r="H112" s="81">
        <f>sumifs(Dados!$N:$N,Dados!$B:$B,B112,Dados!$H:$H,$D$1,Dados!$G:$G,$H$4)</f>
        <v>0</v>
      </c>
      <c r="I112" s="81">
        <f>sumifs(Dados!$N:$N,Dados!$B:$B,B112,Dados!$H:$H,$D$1,Dados!$G:$G,$I$4)</f>
        <v>0</v>
      </c>
      <c r="J112" s="81">
        <f>sumifs(Dados!$N:$N,Dados!$B:$B,B112,Dados!$H:$H,$D$1,Dados!$G:$G,$J$4)</f>
        <v>0</v>
      </c>
      <c r="K112" s="81">
        <f>sumifs(Dados!$N:$N,Dados!$B:$B,B112,Dados!$H:$H,$D$1,Dados!$G:$G,$K$4)</f>
        <v>0</v>
      </c>
      <c r="L112" s="81">
        <f>sumifs(Dados!$N:$N,Dados!$B:$B,B112,Dados!$H:$H,$D$1,Dados!$G:$G,$L$4)</f>
        <v>0</v>
      </c>
      <c r="M112" s="81">
        <f>sumifs(Dados!$N:$N,Dados!$B:$B,B112,Dados!$H:$H,$D$1,Dados!$G:$G,$M$4)</f>
        <v>0</v>
      </c>
      <c r="N112" s="81">
        <f>sumifs(Dados!$N:$N,Dados!$B:$B,B112,Dados!$H:$H,$D$1,Dados!$G:$G,$N$4)</f>
        <v>0</v>
      </c>
      <c r="O112" s="81">
        <f>sumifs(Dados!$N:$N,Dados!$B:$B,B112,Dados!$H:$H,$D$1,Dados!$G:$G,$O$4)</f>
        <v>0</v>
      </c>
      <c r="P112" s="81">
        <f>sumifs(Dados!$N:$N,Dados!$B:$B,B112,Dados!$H:$H,$D$1,Dados!$G:$G,$P$4)</f>
        <v>0</v>
      </c>
      <c r="Q112" s="81"/>
    </row>
    <row r="113" ht="15.75" customHeight="1">
      <c r="A113" s="142"/>
      <c r="B113" s="78" t="s">
        <v>201</v>
      </c>
      <c r="C113" s="79"/>
      <c r="D113" s="80">
        <f t="shared" si="24"/>
        <v>0</v>
      </c>
      <c r="E113" s="81">
        <f>sumifs(Dados!$N:$N,Dados!$B:$B,B113,Dados!$H:$H,$D$1,Dados!$G:$G,$E$4)</f>
        <v>0</v>
      </c>
      <c r="F113" s="81">
        <f>sumifs(Dados!$N:$N,Dados!$B:$B,B113,Dados!$H:$H,$D$1,Dados!$G:$G,$F$4)</f>
        <v>0</v>
      </c>
      <c r="G113" s="81">
        <f>sumifs(Dados!$N:$N,Dados!$B:$B,B113,Dados!$H:$H,$D$1,Dados!$G:$G,$G$4)</f>
        <v>0</v>
      </c>
      <c r="H113" s="81">
        <f>sumifs(Dados!$N:$N,Dados!$B:$B,B113,Dados!$H:$H,$D$1,Dados!$G:$G,$H$4)</f>
        <v>0</v>
      </c>
      <c r="I113" s="81">
        <f>sumifs(Dados!$N:$N,Dados!$B:$B,B113,Dados!$H:$H,$D$1,Dados!$G:$G,$I$4)</f>
        <v>0</v>
      </c>
      <c r="J113" s="81">
        <f>sumifs(Dados!$N:$N,Dados!$B:$B,B113,Dados!$H:$H,$D$1,Dados!$G:$G,$J$4)</f>
        <v>0</v>
      </c>
      <c r="K113" s="81">
        <f>sumifs(Dados!$N:$N,Dados!$B:$B,B113,Dados!$H:$H,$D$1,Dados!$G:$G,$K$4)</f>
        <v>0</v>
      </c>
      <c r="L113" s="81">
        <f>sumifs(Dados!$N:$N,Dados!$B:$B,B113,Dados!$H:$H,$D$1,Dados!$G:$G,$L$4)</f>
        <v>0</v>
      </c>
      <c r="M113" s="81">
        <f>sumifs(Dados!$N:$N,Dados!$B:$B,B113,Dados!$H:$H,$D$1,Dados!$G:$G,$M$4)</f>
        <v>0</v>
      </c>
      <c r="N113" s="81">
        <f>sumifs(Dados!$N:$N,Dados!$B:$B,B113,Dados!$H:$H,$D$1,Dados!$G:$G,$N$4)</f>
        <v>0</v>
      </c>
      <c r="O113" s="81">
        <f>sumifs(Dados!$N:$N,Dados!$B:$B,B113,Dados!$H:$H,$D$1,Dados!$G:$G,$O$4)</f>
        <v>0</v>
      </c>
      <c r="P113" s="81">
        <f>sumifs(Dados!$N:$N,Dados!$B:$B,B113,Dados!$H:$H,$D$1,Dados!$G:$G,$P$4)</f>
        <v>0</v>
      </c>
      <c r="Q113" s="81"/>
    </row>
    <row r="114" ht="15.75" customHeight="1">
      <c r="A114" s="77"/>
      <c r="B114" s="78" t="s">
        <v>202</v>
      </c>
      <c r="C114" s="79"/>
      <c r="D114" s="80">
        <f t="shared" si="24"/>
        <v>0</v>
      </c>
      <c r="E114" s="81">
        <f>sumifs(Dados!$N:$N,Dados!$B:$B,B114,Dados!$H:$H,$D$1,Dados!$G:$G,$E$4)</f>
        <v>0</v>
      </c>
      <c r="F114" s="81">
        <f>sumifs(Dados!$N:$N,Dados!$B:$B,B114,Dados!$H:$H,$D$1,Dados!$G:$G,$F$4)</f>
        <v>0</v>
      </c>
      <c r="G114" s="81">
        <f>sumifs(Dados!$N:$N,Dados!$B:$B,B114,Dados!$H:$H,$D$1,Dados!$G:$G,$G$4)</f>
        <v>0</v>
      </c>
      <c r="H114" s="81">
        <f>sumifs(Dados!$N:$N,Dados!$B:$B,B114,Dados!$H:$H,$D$1,Dados!$G:$G,$H$4)</f>
        <v>0</v>
      </c>
      <c r="I114" s="81">
        <f>sumifs(Dados!$N:$N,Dados!$B:$B,B114,Dados!$H:$H,$D$1,Dados!$G:$G,$I$4)</f>
        <v>0</v>
      </c>
      <c r="J114" s="81">
        <f>sumifs(Dados!$N:$N,Dados!$B:$B,B114,Dados!$H:$H,$D$1,Dados!$G:$G,$J$4)</f>
        <v>0</v>
      </c>
      <c r="K114" s="81">
        <f>sumifs(Dados!$N:$N,Dados!$B:$B,B114,Dados!$H:$H,$D$1,Dados!$G:$G,$K$4)</f>
        <v>0</v>
      </c>
      <c r="L114" s="81">
        <f>sumifs(Dados!$N:$N,Dados!$B:$B,B114,Dados!$H:$H,$D$1,Dados!$G:$G,$L$4)</f>
        <v>0</v>
      </c>
      <c r="M114" s="81">
        <f>sumifs(Dados!$N:$N,Dados!$B:$B,B114,Dados!$H:$H,$D$1,Dados!$G:$G,$M$4)</f>
        <v>0</v>
      </c>
      <c r="N114" s="81">
        <f>sumifs(Dados!$N:$N,Dados!$B:$B,B114,Dados!$H:$H,$D$1,Dados!$G:$G,$N$4)</f>
        <v>0</v>
      </c>
      <c r="O114" s="81">
        <f>sumifs(Dados!$N:$N,Dados!$B:$B,B114,Dados!$H:$H,$D$1,Dados!$G:$G,$O$4)</f>
        <v>0</v>
      </c>
      <c r="P114" s="81">
        <f>sumifs(Dados!$N:$N,Dados!$B:$B,B114,Dados!$H:$H,$D$1,Dados!$G:$G,$P$4)</f>
        <v>0</v>
      </c>
      <c r="Q114" s="81"/>
    </row>
    <row r="115" ht="15.75" customHeight="1">
      <c r="A115" s="102"/>
      <c r="B115" s="78" t="s">
        <v>203</v>
      </c>
      <c r="C115" s="79"/>
      <c r="D115" s="80">
        <f t="shared" si="24"/>
        <v>0</v>
      </c>
      <c r="E115" s="81">
        <f>sumifs(Dados!$N:$N,Dados!$B:$B,B115,Dados!$H:$H,$D$1,Dados!$G:$G,$E$4)</f>
        <v>0</v>
      </c>
      <c r="F115" s="81">
        <f>sumifs(Dados!$N:$N,Dados!$B:$B,B115,Dados!$H:$H,$D$1,Dados!$G:$G,$F$4)</f>
        <v>0</v>
      </c>
      <c r="G115" s="81">
        <f>sumifs(Dados!$N:$N,Dados!$B:$B,B115,Dados!$H:$H,$D$1,Dados!$G:$G,$G$4)</f>
        <v>0</v>
      </c>
      <c r="H115" s="81">
        <f>sumifs(Dados!$N:$N,Dados!$B:$B,B115,Dados!$H:$H,$D$1,Dados!$G:$G,$H$4)</f>
        <v>0</v>
      </c>
      <c r="I115" s="81">
        <f>sumifs(Dados!$N:$N,Dados!$B:$B,B115,Dados!$H:$H,$D$1,Dados!$G:$G,$I$4)</f>
        <v>0</v>
      </c>
      <c r="J115" s="81">
        <f>sumifs(Dados!$N:$N,Dados!$B:$B,B115,Dados!$H:$H,$D$1,Dados!$G:$G,$J$4)</f>
        <v>0</v>
      </c>
      <c r="K115" s="81">
        <f>sumifs(Dados!$N:$N,Dados!$B:$B,B115,Dados!$H:$H,$D$1,Dados!$G:$G,$K$4)</f>
        <v>0</v>
      </c>
      <c r="L115" s="81">
        <f>sumifs(Dados!$N:$N,Dados!$B:$B,B115,Dados!$H:$H,$D$1,Dados!$G:$G,$L$4)</f>
        <v>0</v>
      </c>
      <c r="M115" s="81">
        <f>sumifs(Dados!$N:$N,Dados!$B:$B,B115,Dados!$H:$H,$D$1,Dados!$G:$G,$M$4)</f>
        <v>0</v>
      </c>
      <c r="N115" s="81">
        <f>sumifs(Dados!$N:$N,Dados!$B:$B,B115,Dados!$H:$H,$D$1,Dados!$G:$G,$N$4)</f>
        <v>0</v>
      </c>
      <c r="O115" s="81">
        <f>sumifs(Dados!$N:$N,Dados!$B:$B,B115,Dados!$H:$H,$D$1,Dados!$G:$G,$O$4)</f>
        <v>0</v>
      </c>
      <c r="P115" s="81">
        <f>sumifs(Dados!$N:$N,Dados!$B:$B,B115,Dados!$H:$H,$D$1,Dados!$G:$G,$P$4)</f>
        <v>0</v>
      </c>
      <c r="Q115" s="81"/>
    </row>
    <row r="116" ht="15.75" customHeight="1">
      <c r="A116" s="99" t="s">
        <v>204</v>
      </c>
      <c r="B116" s="100">
        <f>sumifs(Dados!$N:$N,Dados!$A:$A,A116,Dados!$H:$H,$D$1)</f>
        <v>119.81</v>
      </c>
      <c r="C116" s="101">
        <f>B116-D116</f>
        <v>0</v>
      </c>
      <c r="D116" s="100">
        <f t="shared" ref="D116:P116" si="25">SUM(D109:D115)</f>
        <v>119.81</v>
      </c>
      <c r="E116" s="100">
        <f t="shared" si="25"/>
        <v>0</v>
      </c>
      <c r="F116" s="100">
        <f t="shared" si="25"/>
        <v>0</v>
      </c>
      <c r="G116" s="100">
        <f t="shared" si="25"/>
        <v>0</v>
      </c>
      <c r="H116" s="100">
        <f t="shared" si="25"/>
        <v>0</v>
      </c>
      <c r="I116" s="100">
        <f t="shared" si="25"/>
        <v>64.67</v>
      </c>
      <c r="J116" s="100">
        <f t="shared" si="25"/>
        <v>12.99</v>
      </c>
      <c r="K116" s="100">
        <f t="shared" si="25"/>
        <v>42.15</v>
      </c>
      <c r="L116" s="100">
        <f t="shared" si="25"/>
        <v>0</v>
      </c>
      <c r="M116" s="100">
        <f t="shared" si="25"/>
        <v>0</v>
      </c>
      <c r="N116" s="100">
        <f t="shared" si="25"/>
        <v>0</v>
      </c>
      <c r="O116" s="100">
        <f t="shared" si="25"/>
        <v>0</v>
      </c>
      <c r="P116" s="100">
        <f t="shared" si="25"/>
        <v>0</v>
      </c>
      <c r="Q116" s="100"/>
    </row>
    <row r="117" ht="15.75" customHeight="1">
      <c r="A117" s="77"/>
      <c r="B117" s="78" t="s">
        <v>205</v>
      </c>
      <c r="C117" s="79"/>
      <c r="D117" s="80">
        <f t="shared" ref="D117:D128" si="26">SUM(E117:P117)</f>
        <v>0</v>
      </c>
      <c r="E117" s="81">
        <f>sumifs(Dados!$N:$N,Dados!$B:$B,B117,Dados!$H:$H,$D$1,Dados!$G:$G,$E$4)</f>
        <v>0</v>
      </c>
      <c r="F117" s="81">
        <f>sumifs(Dados!$N:$N,Dados!$B:$B,B117,Dados!$H:$H,$D$1,Dados!$G:$G,$F$4)</f>
        <v>0</v>
      </c>
      <c r="G117" s="81">
        <f>sumifs(Dados!$N:$N,Dados!$B:$B,B117,Dados!$H:$H,$D$1,Dados!$G:$G,$G$4)</f>
        <v>0</v>
      </c>
      <c r="H117" s="81">
        <f>sumifs(Dados!$N:$N,Dados!$B:$B,B117,Dados!$H:$H,$D$1,Dados!$G:$G,$H$4)</f>
        <v>0</v>
      </c>
      <c r="I117" s="81">
        <f>sumifs(Dados!$N:$N,Dados!$B:$B,B117,Dados!$H:$H,$D$1,Dados!$G:$G,$I$4)</f>
        <v>0</v>
      </c>
      <c r="J117" s="81">
        <f>sumifs(Dados!$N:$N,Dados!$B:$B,B117,Dados!$H:$H,$D$1,Dados!$G:$G,$J$4)</f>
        <v>0</v>
      </c>
      <c r="K117" s="81">
        <f>sumifs(Dados!$N:$N,Dados!$B:$B,B117,Dados!$H:$H,$D$1,Dados!$G:$G,$K$4)</f>
        <v>0</v>
      </c>
      <c r="L117" s="81">
        <f>sumifs(Dados!$N:$N,Dados!$B:$B,B117,Dados!$H:$H,$D$1,Dados!$G:$G,$L$4)</f>
        <v>0</v>
      </c>
      <c r="M117" s="81">
        <f>sumifs(Dados!$N:$N,Dados!$B:$B,B117,Dados!$H:$H,$D$1,Dados!$G:$G,$M$4)</f>
        <v>0</v>
      </c>
      <c r="N117" s="81">
        <f>sumifs(Dados!$N:$N,Dados!$B:$B,B117,Dados!$H:$H,$D$1,Dados!$G:$G,$N$4)</f>
        <v>0</v>
      </c>
      <c r="O117" s="81">
        <f>sumifs(Dados!$N:$N,Dados!$B:$B,B117,Dados!$H:$H,$D$1,Dados!$G:$G,$O$4)</f>
        <v>0</v>
      </c>
      <c r="P117" s="81">
        <f>sumifs(Dados!$N:$N,Dados!$B:$B,B117,Dados!$H:$H,$D$1,Dados!$G:$G,$P$4)</f>
        <v>0</v>
      </c>
      <c r="Q117" s="81"/>
    </row>
    <row r="118" ht="15.75" customHeight="1">
      <c r="A118" s="77"/>
      <c r="B118" s="78" t="s">
        <v>206</v>
      </c>
      <c r="C118" s="79"/>
      <c r="D118" s="80">
        <f t="shared" si="26"/>
        <v>0</v>
      </c>
      <c r="E118" s="81">
        <f>sumifs(Dados!$N:$N,Dados!$B:$B,B118,Dados!$H:$H,$D$1,Dados!$G:$G,$E$4)</f>
        <v>0</v>
      </c>
      <c r="F118" s="81">
        <f>sumifs(Dados!$N:$N,Dados!$B:$B,B118,Dados!$H:$H,$D$1,Dados!$G:$G,$F$4)</f>
        <v>0</v>
      </c>
      <c r="G118" s="81">
        <f>sumifs(Dados!$N:$N,Dados!$B:$B,B118,Dados!$H:$H,$D$1,Dados!$G:$G,$G$4)</f>
        <v>0</v>
      </c>
      <c r="H118" s="81">
        <f>sumifs(Dados!$N:$N,Dados!$B:$B,B118,Dados!$H:$H,$D$1,Dados!$G:$G,$H$4)</f>
        <v>0</v>
      </c>
      <c r="I118" s="81">
        <f>sumifs(Dados!$N:$N,Dados!$B:$B,B118,Dados!$H:$H,$D$1,Dados!$G:$G,$I$4)</f>
        <v>0</v>
      </c>
      <c r="J118" s="81">
        <f>sumifs(Dados!$N:$N,Dados!$B:$B,B118,Dados!$H:$H,$D$1,Dados!$G:$G,$J$4)</f>
        <v>0</v>
      </c>
      <c r="K118" s="81">
        <f>sumifs(Dados!$N:$N,Dados!$B:$B,B118,Dados!$H:$H,$D$1,Dados!$G:$G,$K$4)</f>
        <v>0</v>
      </c>
      <c r="L118" s="81">
        <f>sumifs(Dados!$N:$N,Dados!$B:$B,B118,Dados!$H:$H,$D$1,Dados!$G:$G,$L$4)</f>
        <v>0</v>
      </c>
      <c r="M118" s="81">
        <f>sumifs(Dados!$N:$N,Dados!$B:$B,B118,Dados!$H:$H,$D$1,Dados!$G:$G,$M$4)</f>
        <v>0</v>
      </c>
      <c r="N118" s="81">
        <f>sumifs(Dados!$N:$N,Dados!$B:$B,B118,Dados!$H:$H,$D$1,Dados!$G:$G,$N$4)</f>
        <v>0</v>
      </c>
      <c r="O118" s="81">
        <f>sumifs(Dados!$N:$N,Dados!$B:$B,B118,Dados!$H:$H,$D$1,Dados!$G:$G,$O$4)</f>
        <v>0</v>
      </c>
      <c r="P118" s="81">
        <f>sumifs(Dados!$N:$N,Dados!$B:$B,B118,Dados!$H:$H,$D$1,Dados!$G:$G,$P$4)</f>
        <v>0</v>
      </c>
      <c r="Q118" s="81"/>
    </row>
    <row r="119" ht="15.75" customHeight="1">
      <c r="A119" s="77"/>
      <c r="B119" s="78" t="s">
        <v>207</v>
      </c>
      <c r="C119" s="79"/>
      <c r="D119" s="80">
        <f t="shared" si="26"/>
        <v>0</v>
      </c>
      <c r="E119" s="81">
        <f>sumifs(Dados!$N:$N,Dados!$B:$B,B119,Dados!$H:$H,$D$1,Dados!$G:$G,$E$4)</f>
        <v>0</v>
      </c>
      <c r="F119" s="81">
        <f>sumifs(Dados!$N:$N,Dados!$B:$B,B119,Dados!$H:$H,$D$1,Dados!$G:$G,$F$4)</f>
        <v>0</v>
      </c>
      <c r="G119" s="81">
        <f>sumifs(Dados!$N:$N,Dados!$B:$B,B119,Dados!$H:$H,$D$1,Dados!$G:$G,$G$4)</f>
        <v>0</v>
      </c>
      <c r="H119" s="81">
        <f>sumifs(Dados!$N:$N,Dados!$B:$B,B119,Dados!$H:$H,$D$1,Dados!$G:$G,$H$4)</f>
        <v>0</v>
      </c>
      <c r="I119" s="81">
        <f>sumifs(Dados!$N:$N,Dados!$B:$B,B119,Dados!$H:$H,$D$1,Dados!$G:$G,$I$4)</f>
        <v>0</v>
      </c>
      <c r="J119" s="81">
        <f>sumifs(Dados!$N:$N,Dados!$B:$B,B119,Dados!$H:$H,$D$1,Dados!$G:$G,$J$4)</f>
        <v>0</v>
      </c>
      <c r="K119" s="81">
        <f>sumifs(Dados!$N:$N,Dados!$B:$B,B119,Dados!$H:$H,$D$1,Dados!$G:$G,$K$4)</f>
        <v>0</v>
      </c>
      <c r="L119" s="81">
        <f>sumifs(Dados!$N:$N,Dados!$B:$B,B119,Dados!$H:$H,$D$1,Dados!$G:$G,$L$4)</f>
        <v>0</v>
      </c>
      <c r="M119" s="81">
        <f>sumifs(Dados!$N:$N,Dados!$B:$B,B119,Dados!$H:$H,$D$1,Dados!$G:$G,$M$4)</f>
        <v>0</v>
      </c>
      <c r="N119" s="81">
        <f>sumifs(Dados!$N:$N,Dados!$B:$B,B119,Dados!$H:$H,$D$1,Dados!$G:$G,$N$4)</f>
        <v>0</v>
      </c>
      <c r="O119" s="81">
        <f>sumifs(Dados!$N:$N,Dados!$B:$B,B119,Dados!$H:$H,$D$1,Dados!$G:$G,$O$4)</f>
        <v>0</v>
      </c>
      <c r="P119" s="81">
        <f>sumifs(Dados!$N:$N,Dados!$B:$B,B119,Dados!$H:$H,$D$1,Dados!$G:$G,$P$4)</f>
        <v>0</v>
      </c>
      <c r="Q119" s="81"/>
    </row>
    <row r="120" ht="15.75" customHeight="1">
      <c r="A120" s="82"/>
      <c r="B120" s="83" t="s">
        <v>165</v>
      </c>
      <c r="C120" s="79"/>
      <c r="D120" s="80">
        <f t="shared" si="26"/>
        <v>4821.6</v>
      </c>
      <c r="E120" s="81">
        <f>sumifs(Dados!$N:$N,Dados!$B:$B,$B$120,Dados!$H:$H,$D$1,Dados!$G:$G,E4)</f>
        <v>0</v>
      </c>
      <c r="F120" s="81">
        <f>sumifs(Dados!$N:$N,Dados!$B:$B,$B$120,Dados!$H:$H,$D$1,Dados!$G:$G,F4)</f>
        <v>0</v>
      </c>
      <c r="G120" s="81">
        <f>sumifs(Dados!$N:$N,Dados!$B:$B,$B$120,Dados!$H:$H,$D$1,Dados!$G:$G,G4)</f>
        <v>0</v>
      </c>
      <c r="H120" s="81">
        <f>sumifs(Dados!$N:$N,Dados!$B:$B,$B$120,Dados!$H:$H,$D$1,Dados!$G:$G,H4)</f>
        <v>0</v>
      </c>
      <c r="I120" s="81">
        <f>sumifs(Dados!$N:$N,Dados!$B:$B,$B$120,Dados!$H:$H,$D$1,Dados!$G:$G,I4)</f>
        <v>0</v>
      </c>
      <c r="J120" s="81">
        <f>sumifs(Dados!$N:$N,Dados!$B:$B,$B$120,Dados!$H:$H,$D$1,Dados!$G:$G,J4)</f>
        <v>4821.6</v>
      </c>
      <c r="K120" s="81">
        <f>sumifs(Dados!$N:$N,Dados!$B:$B,$B$120,Dados!$H:$H,$D$1,Dados!$G:$G,K4)</f>
        <v>0</v>
      </c>
      <c r="L120" s="81">
        <f>sumifs(Dados!$N:$N,Dados!$B:$B,$B$120,Dados!$H:$H,$D$1,Dados!$G:$G,L4)</f>
        <v>0</v>
      </c>
      <c r="M120" s="81">
        <f>sumifs(Dados!$N:$N,Dados!$B:$B,$B$120,Dados!$H:$H,$D$1,Dados!$G:$G,M4)</f>
        <v>0</v>
      </c>
      <c r="N120" s="81">
        <f>sumifs(Dados!$N:$N,Dados!$B:$B,$B$120,Dados!$H:$H,$D$1,Dados!$G:$G,N4)</f>
        <v>0</v>
      </c>
      <c r="O120" s="81">
        <f>sumifs(Dados!$N:$N,Dados!$B:$B,$B$120,Dados!$H:$H,$D$1,Dados!$G:$G,O4)</f>
        <v>0</v>
      </c>
      <c r="P120" s="81">
        <f>sumifs(Dados!$N:$N,Dados!$B:$B,$B$120,Dados!$H:$H,$D$1,Dados!$G:$G,P4)</f>
        <v>0</v>
      </c>
      <c r="Q120" s="81"/>
    </row>
    <row r="121" ht="15.75" customHeight="1">
      <c r="A121" s="77"/>
      <c r="B121" s="78" t="s">
        <v>208</v>
      </c>
      <c r="C121" s="79"/>
      <c r="D121" s="80">
        <f t="shared" si="26"/>
        <v>0</v>
      </c>
      <c r="E121" s="81">
        <f>sumifs(Dados!$N:$N,Dados!$B:$B,B121,Dados!$H:$H,$D$1,Dados!$G:$G,$E$4)</f>
        <v>0</v>
      </c>
      <c r="F121" s="81">
        <f>sumifs(Dados!$N:$N,Dados!$B:$B,B121,Dados!$H:$H,$D$1,Dados!$G:$G,$F$4)</f>
        <v>0</v>
      </c>
      <c r="G121" s="81">
        <f>sumifs(Dados!$N:$N,Dados!$B:$B,B121,Dados!$H:$H,$D$1,Dados!$G:$G,$G$4)</f>
        <v>0</v>
      </c>
      <c r="H121" s="81">
        <f>sumifs(Dados!$N:$N,Dados!$B:$B,B121,Dados!$H:$H,$D$1,Dados!$G:$G,$H$4)</f>
        <v>0</v>
      </c>
      <c r="I121" s="81">
        <f>sumifs(Dados!$N:$N,Dados!$B:$B,B121,Dados!$H:$H,$D$1,Dados!$G:$G,$I$4)</f>
        <v>0</v>
      </c>
      <c r="J121" s="81">
        <f>sumifs(Dados!$N:$N,Dados!$B:$B,B121,Dados!$H:$H,$D$1,Dados!$G:$G,$J$4)</f>
        <v>0</v>
      </c>
      <c r="K121" s="81">
        <f>sumifs(Dados!$N:$N,Dados!$B:$B,B121,Dados!$H:$H,$D$1,Dados!$G:$G,$K$4)</f>
        <v>0</v>
      </c>
      <c r="L121" s="81">
        <f>sumifs(Dados!$N:$N,Dados!$B:$B,B121,Dados!$H:$H,$D$1,Dados!$G:$G,$L$4)</f>
        <v>0</v>
      </c>
      <c r="M121" s="81">
        <f>sumifs(Dados!$N:$N,Dados!$B:$B,B121,Dados!$H:$H,$D$1,Dados!$G:$G,$M$4)</f>
        <v>0</v>
      </c>
      <c r="N121" s="81">
        <f>sumifs(Dados!$N:$N,Dados!$B:$B,B121,Dados!$H:$H,$D$1,Dados!$G:$G,$N$4)</f>
        <v>0</v>
      </c>
      <c r="O121" s="81">
        <f>sumifs(Dados!$N:$N,Dados!$B:$B,B121,Dados!$H:$H,$D$1,Dados!$G:$G,$O$4)</f>
        <v>0</v>
      </c>
      <c r="P121" s="81">
        <f>sumifs(Dados!$N:$N,Dados!$B:$B,B121,Dados!$H:$H,$D$1,Dados!$G:$G,$P$4)</f>
        <v>0</v>
      </c>
      <c r="Q121" s="81"/>
    </row>
    <row r="122" ht="15.75" customHeight="1">
      <c r="A122" s="77"/>
      <c r="B122" s="78" t="s">
        <v>209</v>
      </c>
      <c r="C122" s="79"/>
      <c r="D122" s="80">
        <f t="shared" si="26"/>
        <v>950</v>
      </c>
      <c r="E122" s="81">
        <f>sumifs(Dados!$N:$N,Dados!$B:$B,B122,Dados!$H:$H,$D$1,Dados!$G:$G,$E$4)</f>
        <v>700</v>
      </c>
      <c r="F122" s="81">
        <f>sumifs(Dados!$N:$N,Dados!$B:$B,B122,Dados!$H:$H,$D$1,Dados!$G:$G,$F$4)</f>
        <v>0</v>
      </c>
      <c r="G122" s="81">
        <f>sumifs(Dados!$N:$N,Dados!$B:$B,B122,Dados!$H:$H,$D$1,Dados!$G:$G,$G$4)</f>
        <v>0</v>
      </c>
      <c r="H122" s="81">
        <f>sumifs(Dados!$N:$N,Dados!$B:$B,B122,Dados!$H:$H,$D$1,Dados!$G:$G,$H$4)</f>
        <v>0</v>
      </c>
      <c r="I122" s="81">
        <f>sumifs(Dados!$N:$N,Dados!$B:$B,B122,Dados!$H:$H,$D$1,Dados!$G:$G,$I$4)</f>
        <v>250</v>
      </c>
      <c r="J122" s="81">
        <f>sumifs(Dados!$N:$N,Dados!$B:$B,B122,Dados!$H:$H,$D$1,Dados!$G:$G,$J$4)</f>
        <v>0</v>
      </c>
      <c r="K122" s="81">
        <f>sumifs(Dados!$N:$N,Dados!$B:$B,B122,Dados!$H:$H,$D$1,Dados!$G:$G,$K$4)</f>
        <v>0</v>
      </c>
      <c r="L122" s="81">
        <f>sumifs(Dados!$N:$N,Dados!$B:$B,B122,Dados!$H:$H,$D$1,Dados!$G:$G,$L$4)</f>
        <v>0</v>
      </c>
      <c r="M122" s="81">
        <f>sumifs(Dados!$N:$N,Dados!$B:$B,B122,Dados!$H:$H,$D$1,Dados!$G:$G,$M$4)</f>
        <v>0</v>
      </c>
      <c r="N122" s="81">
        <f>sumifs(Dados!$N:$N,Dados!$B:$B,B122,Dados!$H:$H,$D$1,Dados!$G:$G,$N$4)</f>
        <v>0</v>
      </c>
      <c r="O122" s="81">
        <f>sumifs(Dados!$N:$N,Dados!$B:$B,B122,Dados!$H:$H,$D$1,Dados!$G:$G,$O$4)</f>
        <v>0</v>
      </c>
      <c r="P122" s="81">
        <f>sumifs(Dados!$N:$N,Dados!$B:$B,B122,Dados!$H:$H,$D$1,Dados!$G:$G,$P$4)</f>
        <v>0</v>
      </c>
      <c r="Q122" s="81"/>
    </row>
    <row r="123" ht="15.75" customHeight="1">
      <c r="A123" s="77"/>
      <c r="B123" s="78" t="s">
        <v>210</v>
      </c>
      <c r="C123" s="79"/>
      <c r="D123" s="80">
        <f t="shared" si="26"/>
        <v>0</v>
      </c>
      <c r="E123" s="81">
        <f>sumifs(Dados!$N:$N,Dados!$B:$B,$B$123,Dados!$H:$H,$D$1,Dados!$G:$G,E4)</f>
        <v>0</v>
      </c>
      <c r="F123" s="81">
        <f>sumifs(Dados!$N:$N,Dados!$B:$B,$B$123,Dados!$H:$H,$D$1,Dados!$G:$G,F4)</f>
        <v>0</v>
      </c>
      <c r="G123" s="81">
        <f>sumifs(Dados!$N:$N,Dados!$B:$B,$B$123,Dados!$H:$H,$D$1,Dados!$G:$G,G4)</f>
        <v>0</v>
      </c>
      <c r="H123" s="81">
        <f>sumifs(Dados!$N:$N,Dados!$B:$B,$B$123,Dados!$H:$H,$D$1,Dados!$G:$G,H4)</f>
        <v>0</v>
      </c>
      <c r="I123" s="81">
        <f>sumifs(Dados!$N:$N,Dados!$B:$B,$B$123,Dados!$H:$H,$D$1,Dados!$G:$G,I4)</f>
        <v>0</v>
      </c>
      <c r="J123" s="81">
        <f>sumifs(Dados!$N:$N,Dados!$B:$B,$B$123,Dados!$H:$H,$D$1,Dados!$G:$G,J4)</f>
        <v>0</v>
      </c>
      <c r="K123" s="81">
        <f>sumifs(Dados!$N:$N,Dados!$B:$B,$B$123,Dados!$H:$H,$D$1,Dados!$G:$G,K4)</f>
        <v>0</v>
      </c>
      <c r="L123" s="81">
        <f>sumifs(Dados!$N:$N,Dados!$B:$B,$B$123,Dados!$H:$H,$D$1,Dados!$G:$G,L4)</f>
        <v>0</v>
      </c>
      <c r="M123" s="81">
        <f>sumifs(Dados!$N:$N,Dados!$B:$B,$B$123,Dados!$H:$H,$D$1,Dados!$G:$G,M4)</f>
        <v>0</v>
      </c>
      <c r="N123" s="81">
        <f>sumifs(Dados!$N:$N,Dados!$B:$B,$B$123,Dados!$H:$H,$D$1,Dados!$G:$G,N4)</f>
        <v>0</v>
      </c>
      <c r="O123" s="81">
        <f>sumifs(Dados!$N:$N,Dados!$B:$B,$B$123,Dados!$H:$H,$D$1,Dados!$G:$G,O4)</f>
        <v>0</v>
      </c>
      <c r="P123" s="81">
        <f>sumifs(Dados!$N:$N,Dados!$B:$B,$B$123,Dados!$H:$H,$D$1,Dados!$G:$G,P4)</f>
        <v>0</v>
      </c>
      <c r="Q123" s="81"/>
    </row>
    <row r="124" ht="15.75" customHeight="1">
      <c r="A124" s="77"/>
      <c r="B124" s="78" t="s">
        <v>211</v>
      </c>
      <c r="C124" s="79"/>
      <c r="D124" s="80">
        <f t="shared" si="26"/>
        <v>0</v>
      </c>
      <c r="E124" s="81">
        <f>sumifs(Dados!$N:$N,Dados!$B:$B,B124,Dados!$H:$H,$D$1,Dados!$G:$G,$E$4)</f>
        <v>0</v>
      </c>
      <c r="F124" s="81">
        <f>sumifs(Dados!$N:$N,Dados!$B:$B,B124,Dados!$H:$H,$D$1,Dados!$G:$G,$F$4)</f>
        <v>0</v>
      </c>
      <c r="G124" s="81">
        <f>sumifs(Dados!$N:$N,Dados!$B:$B,B124,Dados!$H:$H,$D$1,Dados!$G:$G,$G$4)</f>
        <v>0</v>
      </c>
      <c r="H124" s="81">
        <f>sumifs(Dados!$N:$N,Dados!$B:$B,B124,Dados!$H:$H,$D$1,Dados!$G:$G,$H$4)</f>
        <v>0</v>
      </c>
      <c r="I124" s="81">
        <f>sumifs(Dados!$N:$N,Dados!$B:$B,B124,Dados!$H:$H,$D$1,Dados!$G:$G,$I$4)</f>
        <v>0</v>
      </c>
      <c r="J124" s="81">
        <f>sumifs(Dados!$N:$N,Dados!$B:$B,B124,Dados!$H:$H,$D$1,Dados!$G:$G,$J$4)</f>
        <v>0</v>
      </c>
      <c r="K124" s="81">
        <f>sumifs(Dados!$N:$N,Dados!$B:$B,B124,Dados!$H:$H,$D$1,Dados!$G:$G,$K$4)</f>
        <v>0</v>
      </c>
      <c r="L124" s="81">
        <f>sumifs(Dados!$N:$N,Dados!$B:$B,B124,Dados!$H:$H,$D$1,Dados!$G:$G,$L$4)</f>
        <v>0</v>
      </c>
      <c r="M124" s="81">
        <f>sumifs(Dados!$N:$N,Dados!$B:$B,B124,Dados!$H:$H,$D$1,Dados!$G:$G,$M$4)</f>
        <v>0</v>
      </c>
      <c r="N124" s="81">
        <f>sumifs(Dados!$N:$N,Dados!$B:$B,B124,Dados!$H:$H,$D$1,Dados!$G:$G,$N$4)</f>
        <v>0</v>
      </c>
      <c r="O124" s="81">
        <f>sumifs(Dados!$N:$N,Dados!$B:$B,B124,Dados!$H:$H,$D$1,Dados!$G:$G,$O$4)</f>
        <v>0</v>
      </c>
      <c r="P124" s="81">
        <f>sumifs(Dados!$N:$N,Dados!$B:$B,B124,Dados!$H:$H,$D$1,Dados!$G:$G,$P$4)</f>
        <v>0</v>
      </c>
      <c r="Q124" s="81"/>
    </row>
    <row r="125" ht="15.75" customHeight="1">
      <c r="A125" s="77"/>
      <c r="B125" s="78" t="s">
        <v>212</v>
      </c>
      <c r="C125" s="79"/>
      <c r="D125" s="80">
        <f t="shared" si="26"/>
        <v>0</v>
      </c>
      <c r="E125" s="81">
        <f>sumifs(Dados!$N:$N,Dados!$B:$B,B125,Dados!$H:$H,$D$1,Dados!$G:$G,$E$4)</f>
        <v>0</v>
      </c>
      <c r="F125" s="81">
        <f>sumifs(Dados!$N:$N,Dados!$B:$B,B125,Dados!$H:$H,$D$1,Dados!$G:$G,$F$4)</f>
        <v>0</v>
      </c>
      <c r="G125" s="81">
        <f>sumifs(Dados!$N:$N,Dados!$B:$B,B125,Dados!$H:$H,$D$1,Dados!$G:$G,$G$4)</f>
        <v>0</v>
      </c>
      <c r="H125" s="81">
        <f>sumifs(Dados!$N:$N,Dados!$B:$B,B125,Dados!$H:$H,$D$1,Dados!$G:$G,$H$4)</f>
        <v>0</v>
      </c>
      <c r="I125" s="81">
        <f>sumifs(Dados!$N:$N,Dados!$B:$B,B125,Dados!$H:$H,$D$1,Dados!$G:$G,$I$4)</f>
        <v>0</v>
      </c>
      <c r="J125" s="81">
        <f>sumifs(Dados!$N:$N,Dados!$B:$B,B125,Dados!$H:$H,$D$1,Dados!$G:$G,$J$4)</f>
        <v>0</v>
      </c>
      <c r="K125" s="81">
        <f>sumifs(Dados!$N:$N,Dados!$B:$B,B125,Dados!$H:$H,$D$1,Dados!$G:$G,$K$4)</f>
        <v>0</v>
      </c>
      <c r="L125" s="81">
        <f>sumifs(Dados!$N:$N,Dados!$B:$B,B125,Dados!$H:$H,$D$1,Dados!$G:$G,$L$4)</f>
        <v>0</v>
      </c>
      <c r="M125" s="81">
        <f>sumifs(Dados!$N:$N,Dados!$B:$B,B125,Dados!$H:$H,$D$1,Dados!$G:$G,$M$4)</f>
        <v>0</v>
      </c>
      <c r="N125" s="81">
        <f>sumifs(Dados!$N:$N,Dados!$B:$B,B125,Dados!$H:$H,$D$1,Dados!$G:$G,$N$4)</f>
        <v>0</v>
      </c>
      <c r="O125" s="81">
        <f>sumifs(Dados!$N:$N,Dados!$B:$B,B125,Dados!$H:$H,$D$1,Dados!$G:$G,$O$4)</f>
        <v>0</v>
      </c>
      <c r="P125" s="81">
        <f>sumifs(Dados!$N:$N,Dados!$B:$B,B125,Dados!$H:$H,$D$1,Dados!$G:$G,$P$4)</f>
        <v>0</v>
      </c>
      <c r="Q125" s="81"/>
    </row>
    <row r="126" ht="15.75" customHeight="1">
      <c r="A126" s="87"/>
      <c r="B126" s="83" t="s">
        <v>213</v>
      </c>
      <c r="C126" s="79"/>
      <c r="D126" s="80">
        <f t="shared" si="26"/>
        <v>752.5</v>
      </c>
      <c r="E126" s="81">
        <f>sumifs(Dados!$N:$N,Dados!$B:$B,$B$126,Dados!$H:$H,$D$1,Dados!$G:$G,E4)</f>
        <v>0</v>
      </c>
      <c r="F126" s="81">
        <f>sumifs(Dados!$N:$N,Dados!$B:$B,$B$126,Dados!$H:$H,$D$1,Dados!$G:$G,F4)</f>
        <v>0</v>
      </c>
      <c r="G126" s="81">
        <f>sumifs(Dados!$N:$N,Dados!$B:$B,$B$126,Dados!$H:$H,$D$1,Dados!$G:$G,G4)</f>
        <v>0</v>
      </c>
      <c r="H126" s="81">
        <f>sumifs(Dados!$N:$N,Dados!$B:$B,$B$126,Dados!$H:$H,$D$1,Dados!$G:$G,H4)</f>
        <v>0</v>
      </c>
      <c r="I126" s="81">
        <f>sumifs(Dados!$N:$N,Dados!$B:$B,$B$126,Dados!$H:$H,$D$1,Dados!$G:$G,I4)</f>
        <v>0</v>
      </c>
      <c r="J126" s="81">
        <f>sumifs(Dados!$N:$N,Dados!$B:$B,$B$126,Dados!$H:$H,$D$1,Dados!$G:$G,J4)</f>
        <v>752.5</v>
      </c>
      <c r="K126" s="81">
        <f>sumifs(Dados!$N:$N,Dados!$B:$B,$B$126,Dados!$H:$H,$D$1,Dados!$G:$G,K4)</f>
        <v>0</v>
      </c>
      <c r="L126" s="81">
        <f>sumifs(Dados!$N:$N,Dados!$B:$B,$B$126,Dados!$H:$H,$D$1,Dados!$G:$G,L4)</f>
        <v>0</v>
      </c>
      <c r="M126" s="81">
        <f>sumifs(Dados!$N:$N,Dados!$B:$B,$B$126,Dados!$H:$H,$D$1,Dados!$G:$G,M4)</f>
        <v>0</v>
      </c>
      <c r="N126" s="81">
        <f>sumifs(Dados!$N:$N,Dados!$B:$B,$B$126,Dados!$H:$H,$D$1,Dados!$G:$G,N4)</f>
        <v>0</v>
      </c>
      <c r="O126" s="81">
        <f>sumifs(Dados!$N:$N,Dados!$B:$B,$B$126,Dados!$H:$H,$D$1,Dados!$G:$G,O4)</f>
        <v>0</v>
      </c>
      <c r="P126" s="81">
        <f>sumifs(Dados!$N:$N,Dados!$B:$B,$B$126,Dados!$H:$H,$D$1,Dados!$G:$G,P4)</f>
        <v>0</v>
      </c>
      <c r="Q126" s="81"/>
    </row>
    <row r="127" ht="15.75" customHeight="1">
      <c r="A127" s="77"/>
      <c r="B127" s="78" t="s">
        <v>214</v>
      </c>
      <c r="C127" s="79"/>
      <c r="D127" s="80">
        <f t="shared" si="26"/>
        <v>4775</v>
      </c>
      <c r="E127" s="81">
        <f>sumifs(Dados!$N:$N,Dados!$B:$B,B127,Dados!$H:$H,$D$1,Dados!$G:$G,$E$4)</f>
        <v>0</v>
      </c>
      <c r="F127" s="81">
        <f>sumifs(Dados!$N:$N,Dados!$B:$B,B127,Dados!$H:$H,$D$1,Dados!$G:$G,$F$4)</f>
        <v>0</v>
      </c>
      <c r="G127" s="81">
        <f>sumifs(Dados!$N:$N,Dados!$B:$B,B127,Dados!$H:$H,$D$1,Dados!$G:$G,$G$4)</f>
        <v>0</v>
      </c>
      <c r="H127" s="81">
        <f>sumifs(Dados!$N:$N,Dados!$B:$B,B127,Dados!$H:$H,$D$1,Dados!$G:$G,$H$4)</f>
        <v>0</v>
      </c>
      <c r="I127" s="81">
        <f>sumifs(Dados!$N:$N,Dados!$B:$B,B127,Dados!$H:$H,$D$1,Dados!$G:$G,$I$4)</f>
        <v>1000</v>
      </c>
      <c r="J127" s="81">
        <f>sumifs(Dados!$N:$N,Dados!$B:$B,B127,Dados!$H:$H,$D$1,Dados!$G:$G,$J$4)</f>
        <v>1490</v>
      </c>
      <c r="K127" s="81">
        <f>sumifs(Dados!$N:$N,Dados!$B:$B,B127,Dados!$H:$H,$D$1,Dados!$G:$G,$K$4)</f>
        <v>2285</v>
      </c>
      <c r="L127" s="81">
        <f>sumifs(Dados!$N:$N,Dados!$B:$B,B127,Dados!$H:$H,$D$1,Dados!$G:$G,$L$4)</f>
        <v>0</v>
      </c>
      <c r="M127" s="81">
        <f>sumifs(Dados!$N:$N,Dados!$B:$B,B127,Dados!$H:$H,$D$1,Dados!$G:$G,$M$4)</f>
        <v>0</v>
      </c>
      <c r="N127" s="81">
        <f>sumifs(Dados!$N:$N,Dados!$B:$B,B127,Dados!$H:$H,$D$1,Dados!$G:$G,$N$4)</f>
        <v>0</v>
      </c>
      <c r="O127" s="81">
        <f>sumifs(Dados!$N:$N,Dados!$B:$B,B127,Dados!$H:$H,$D$1,Dados!$G:$G,$O$4)</f>
        <v>0</v>
      </c>
      <c r="P127" s="81">
        <f>sumifs(Dados!$N:$N,Dados!$B:$B,B127,Dados!$H:$H,$D$1,Dados!$G:$G,$P$4)</f>
        <v>0</v>
      </c>
      <c r="Q127" s="81"/>
    </row>
    <row r="128" ht="15.75" customHeight="1">
      <c r="A128" s="77"/>
      <c r="B128" s="78" t="s">
        <v>215</v>
      </c>
      <c r="C128" s="79"/>
      <c r="D128" s="80">
        <f t="shared" si="26"/>
        <v>13720.65</v>
      </c>
      <c r="E128" s="81">
        <f>sumifs(Dados!$N:$N,Dados!$B:$B,B128,Dados!$H:$H,$D$1,Dados!$G:$G,$E$4)</f>
        <v>0</v>
      </c>
      <c r="F128" s="81">
        <f>sumifs(Dados!$N:$N,Dados!$B:$B,B128,Dados!$H:$H,$D$1,Dados!$G:$G,$F$4)</f>
        <v>0</v>
      </c>
      <c r="G128" s="81">
        <f>sumifs(Dados!$N:$N,Dados!$B:$B,B128,Dados!$H:$H,$D$1,Dados!$G:$G,$G$4)</f>
        <v>0</v>
      </c>
      <c r="H128" s="81">
        <f>sumifs(Dados!$N:$N,Dados!$B:$B,B128,Dados!$H:$H,$D$1,Dados!$G:$G,$H$4)</f>
        <v>0</v>
      </c>
      <c r="I128" s="81">
        <f>sumifs(Dados!$N:$N,Dados!$B:$B,B128,Dados!$H:$H,$D$1,Dados!$G:$G,$I$4)</f>
        <v>1930</v>
      </c>
      <c r="J128" s="81">
        <f>sumifs(Dados!$N:$N,Dados!$B:$B,B128,Dados!$H:$H,$D$1,Dados!$G:$G,$J$4)</f>
        <v>2850.27</v>
      </c>
      <c r="K128" s="81">
        <f>sumifs(Dados!$N:$N,Dados!$B:$B,B128,Dados!$H:$H,$D$1,Dados!$G:$G,$K$4)</f>
        <v>6529.58</v>
      </c>
      <c r="L128" s="81">
        <f>sumifs(Dados!$N:$N,Dados!$B:$B,B128,Dados!$H:$H,$D$1,Dados!$G:$G,$L$4)</f>
        <v>2410.8</v>
      </c>
      <c r="M128" s="81">
        <f>sumifs(Dados!$N:$N,Dados!$B:$B,B128,Dados!$H:$H,$D$1,Dados!$G:$G,$M$4)</f>
        <v>0</v>
      </c>
      <c r="N128" s="81">
        <f>sumifs(Dados!$N:$N,Dados!$B:$B,B128,Dados!$H:$H,$D$1,Dados!$G:$G,$N$4)</f>
        <v>0</v>
      </c>
      <c r="O128" s="81">
        <f>sumifs(Dados!$N:$N,Dados!$B:$B,B128,Dados!$H:$H,$D$1,Dados!$G:$G,$O$4)</f>
        <v>0</v>
      </c>
      <c r="P128" s="81">
        <f>sumifs(Dados!$N:$N,Dados!$B:$B,B128,Dados!$H:$H,$D$1,Dados!$G:$G,$P$4)</f>
        <v>0</v>
      </c>
      <c r="Q128" s="81"/>
    </row>
    <row r="129" ht="15.75" customHeight="1">
      <c r="A129" s="99" t="s">
        <v>216</v>
      </c>
      <c r="B129" s="100">
        <f>sumifs(Dados!$N:$N,Dados!$A:$A,A129,Dados!$H:$H,$D$1)</f>
        <v>25019.75</v>
      </c>
      <c r="C129" s="101">
        <f>B129-D129</f>
        <v>0</v>
      </c>
      <c r="D129" s="100">
        <f t="shared" ref="D129:P129" si="27">SUM(D117:D128)</f>
        <v>25019.75</v>
      </c>
      <c r="E129" s="100">
        <f t="shared" si="27"/>
        <v>700</v>
      </c>
      <c r="F129" s="100">
        <f t="shared" si="27"/>
        <v>0</v>
      </c>
      <c r="G129" s="100">
        <f t="shared" si="27"/>
        <v>0</v>
      </c>
      <c r="H129" s="100">
        <f t="shared" si="27"/>
        <v>0</v>
      </c>
      <c r="I129" s="100">
        <f t="shared" si="27"/>
        <v>3180</v>
      </c>
      <c r="J129" s="100">
        <f t="shared" si="27"/>
        <v>9914.37</v>
      </c>
      <c r="K129" s="100">
        <f t="shared" si="27"/>
        <v>8814.58</v>
      </c>
      <c r="L129" s="100">
        <f t="shared" si="27"/>
        <v>2410.8</v>
      </c>
      <c r="M129" s="100">
        <f t="shared" si="27"/>
        <v>0</v>
      </c>
      <c r="N129" s="100">
        <f t="shared" si="27"/>
        <v>0</v>
      </c>
      <c r="O129" s="100">
        <f t="shared" si="27"/>
        <v>0</v>
      </c>
      <c r="P129" s="100">
        <f t="shared" si="27"/>
        <v>0</v>
      </c>
      <c r="Q129" s="100"/>
    </row>
    <row r="130" ht="15.75" customHeight="1">
      <c r="A130" s="87"/>
      <c r="B130" s="87" t="s">
        <v>217</v>
      </c>
      <c r="C130" s="79"/>
      <c r="D130" s="80">
        <f t="shared" ref="D130:D135" si="28">SUM(E130:P130)</f>
        <v>0</v>
      </c>
      <c r="E130" s="81">
        <f>sumifs(Dados!$N:$N,Dados!$B:$B,B130,Dados!$H:$H,$D$1,Dados!$G:$G,$E$4)</f>
        <v>0</v>
      </c>
      <c r="F130" s="81">
        <f>sumifs(Dados!$N:$N,Dados!$B:$B,B130,Dados!$H:$H,$D$1,Dados!$G:$G,$F$4)</f>
        <v>0</v>
      </c>
      <c r="G130" s="81">
        <f>sumifs(Dados!$N:$N,Dados!$B:$B,B130,Dados!$H:$H,$D$1,Dados!$G:$G,$G$4)</f>
        <v>0</v>
      </c>
      <c r="H130" s="81">
        <f>sumifs(Dados!$N:$N,Dados!$B:$B,B130,Dados!$H:$H,$D$1,Dados!$G:$G,$H$4)</f>
        <v>0</v>
      </c>
      <c r="I130" s="81">
        <f>sumifs(Dados!$N:$N,Dados!$B:$B,B130,Dados!$H:$H,$D$1,Dados!$G:$G,$I$4)</f>
        <v>0</v>
      </c>
      <c r="J130" s="81">
        <f>sumifs(Dados!$N:$N,Dados!$B:$B,B130,Dados!$H:$H,$D$1,Dados!$G:$G,$J$4)</f>
        <v>0</v>
      </c>
      <c r="K130" s="81">
        <f>sumifs(Dados!$N:$N,Dados!$B:$B,B130,Dados!$H:$H,$D$1,Dados!$G:$G,$K$4)</f>
        <v>0</v>
      </c>
      <c r="L130" s="81">
        <f>sumifs(Dados!$N:$N,Dados!$B:$B,B130,Dados!$H:$H,$D$1,Dados!$G:$G,$L$4)</f>
        <v>0</v>
      </c>
      <c r="M130" s="81">
        <f>sumifs(Dados!$N:$N,Dados!$B:$B,B130,Dados!$H:$H,$D$1,Dados!$G:$G,$M$4)</f>
        <v>0</v>
      </c>
      <c r="N130" s="81">
        <f>sumifs(Dados!$N:$N,Dados!$B:$B,B130,Dados!$H:$H,$D$1,Dados!$G:$G,$N$4)</f>
        <v>0</v>
      </c>
      <c r="O130" s="81">
        <f>sumifs(Dados!$N:$N,Dados!$B:$B,B130,Dados!$H:$H,$D$1,Dados!$G:$G,$O$4)</f>
        <v>0</v>
      </c>
      <c r="P130" s="81">
        <f>sumifs(Dados!$N:$N,Dados!$B:$B,B130,Dados!$H:$H,$D$1,Dados!$G:$G,$P$4)</f>
        <v>0</v>
      </c>
      <c r="Q130" s="81"/>
    </row>
    <row r="131" ht="15.75" customHeight="1">
      <c r="A131" s="77"/>
      <c r="B131" s="77" t="s">
        <v>46</v>
      </c>
      <c r="C131" s="79"/>
      <c r="D131" s="80">
        <f t="shared" si="28"/>
        <v>47.66</v>
      </c>
      <c r="E131" s="81">
        <f>sumifs(Dados!$N:$N,Dados!$B:$B,B131,Dados!$H:$H,$D$1,Dados!$G:$G,$E$4)</f>
        <v>0</v>
      </c>
      <c r="F131" s="81">
        <f>sumifs(Dados!$N:$N,Dados!$B:$B,B131,Dados!$H:$H,$D$1,Dados!$G:$G,$F$4)</f>
        <v>0</v>
      </c>
      <c r="G131" s="81">
        <f>sumifs(Dados!$N:$N,Dados!$B:$B,B131,Dados!$H:$H,$D$1,Dados!$G:$G,$G$4)</f>
        <v>34.66</v>
      </c>
      <c r="H131" s="81">
        <f>sumifs(Dados!$N:$N,Dados!$B:$B,B131,Dados!$H:$H,$D$1,Dados!$G:$G,$H$4)</f>
        <v>0</v>
      </c>
      <c r="I131" s="81">
        <f>sumifs(Dados!$N:$N,Dados!$B:$B,B131,Dados!$H:$H,$D$1,Dados!$G:$G,$I$4)</f>
        <v>0</v>
      </c>
      <c r="J131" s="81">
        <f>sumifs(Dados!$N:$N,Dados!$B:$B,B131,Dados!$H:$H,$D$1,Dados!$G:$G,$J$4)</f>
        <v>0</v>
      </c>
      <c r="K131" s="81">
        <f>sumifs(Dados!$N:$N,Dados!$B:$B,B131,Dados!$H:$H,$D$1,Dados!$G:$G,$K$4)</f>
        <v>13</v>
      </c>
      <c r="L131" s="81">
        <f>sumifs(Dados!$N:$N,Dados!$B:$B,B131,Dados!$H:$H,$D$1,Dados!$G:$G,$L$4)</f>
        <v>0</v>
      </c>
      <c r="M131" s="81">
        <f>sumifs(Dados!$N:$N,Dados!$B:$B,B131,Dados!$H:$H,$D$1,Dados!$G:$G,$M$4)</f>
        <v>0</v>
      </c>
      <c r="N131" s="81">
        <f>sumifs(Dados!$N:$N,Dados!$B:$B,B131,Dados!$H:$H,$D$1,Dados!$G:$G,$N$4)</f>
        <v>0</v>
      </c>
      <c r="O131" s="81">
        <f>sumifs(Dados!$N:$N,Dados!$B:$B,B131,Dados!$H:$H,$D$1,Dados!$G:$G,$O$4)</f>
        <v>0</v>
      </c>
      <c r="P131" s="81">
        <f>sumifs(Dados!$N:$N,Dados!$B:$B,B131,Dados!$H:$H,$D$1,Dados!$G:$G,$P$4)</f>
        <v>0</v>
      </c>
      <c r="Q131" s="81"/>
    </row>
    <row r="132" ht="15.75" customHeight="1">
      <c r="A132" s="99" t="s">
        <v>218</v>
      </c>
      <c r="B132" s="100">
        <f>sumifs(Dados!$N:$N,Dados!$A:$A,A132,Dados!$H:$H,$D$1)</f>
        <v>47.66</v>
      </c>
      <c r="C132" s="101">
        <f>B132-D132</f>
        <v>0</v>
      </c>
      <c r="D132" s="100">
        <f t="shared" si="28"/>
        <v>47.66</v>
      </c>
      <c r="E132" s="100">
        <f t="shared" ref="E132:P132" si="29">SUM(E130:E131)</f>
        <v>0</v>
      </c>
      <c r="F132" s="100">
        <f t="shared" si="29"/>
        <v>0</v>
      </c>
      <c r="G132" s="100">
        <f t="shared" si="29"/>
        <v>34.66</v>
      </c>
      <c r="H132" s="100">
        <f t="shared" si="29"/>
        <v>0</v>
      </c>
      <c r="I132" s="100">
        <f t="shared" si="29"/>
        <v>0</v>
      </c>
      <c r="J132" s="100">
        <f t="shared" si="29"/>
        <v>0</v>
      </c>
      <c r="K132" s="100">
        <f t="shared" si="29"/>
        <v>13</v>
      </c>
      <c r="L132" s="100">
        <f t="shared" si="29"/>
        <v>0</v>
      </c>
      <c r="M132" s="100">
        <f t="shared" si="29"/>
        <v>0</v>
      </c>
      <c r="N132" s="100">
        <f t="shared" si="29"/>
        <v>0</v>
      </c>
      <c r="O132" s="100">
        <f t="shared" si="29"/>
        <v>0</v>
      </c>
      <c r="P132" s="100">
        <f t="shared" si="29"/>
        <v>0</v>
      </c>
      <c r="Q132" s="100"/>
    </row>
    <row r="133" ht="15.75" customHeight="1">
      <c r="A133" s="77"/>
      <c r="B133" s="77" t="s">
        <v>219</v>
      </c>
      <c r="C133" s="79"/>
      <c r="D133" s="80">
        <f t="shared" si="28"/>
        <v>8.5</v>
      </c>
      <c r="E133" s="81">
        <f>sumifs(Dados!$N:$N,Dados!$B:$B,B133,Dados!$H:$H,$D$1,Dados!$G:$G,$E$4)</f>
        <v>0</v>
      </c>
      <c r="F133" s="81">
        <f>sumifs(Dados!$N:$N,Dados!$B:$B,B133,Dados!$H:$H,$D$1,Dados!$G:$G,$F$4)</f>
        <v>0</v>
      </c>
      <c r="G133" s="81">
        <f>sumifs(Dados!$N:$N,Dados!$B:$B,B133,Dados!$H:$H,$D$1,Dados!$G:$G,$G$4)</f>
        <v>0</v>
      </c>
      <c r="H133" s="81">
        <f>sumifs(Dados!$N:$N,Dados!$B:$B,B133,Dados!$H:$H,$D$1,Dados!$G:$G,$H$4)</f>
        <v>0</v>
      </c>
      <c r="I133" s="81">
        <f>sumifs(Dados!$N:$N,Dados!$B:$B,B133,Dados!$H:$H,$D$1,Dados!$G:$G,$I$4)</f>
        <v>0</v>
      </c>
      <c r="J133" s="81">
        <f>sumifs(Dados!$N:$N,Dados!$B:$B,B133,Dados!$H:$H,$D$1,Dados!$G:$G,$J$4)</f>
        <v>5</v>
      </c>
      <c r="K133" s="81">
        <f>sumifs(Dados!$N:$N,Dados!$B:$B,B133,Dados!$H:$H,$D$1,Dados!$G:$G,$K$4)</f>
        <v>3.5</v>
      </c>
      <c r="L133" s="81">
        <f>sumifs(Dados!$N:$N,Dados!$B:$B,B133,Dados!$H:$H,$D$1,Dados!$G:$G,$L$4)</f>
        <v>0</v>
      </c>
      <c r="M133" s="81">
        <f>sumifs(Dados!$N:$N,Dados!$B:$B,B133,Dados!$H:$H,$D$1,Dados!$G:$G,$M$4)</f>
        <v>0</v>
      </c>
      <c r="N133" s="81">
        <f>sumifs(Dados!$N:$N,Dados!$B:$B,B133,Dados!$H:$H,$D$1,Dados!$G:$G,$N$4)</f>
        <v>0</v>
      </c>
      <c r="O133" s="81">
        <f>sumifs(Dados!$N:$N,Dados!$B:$B,B133,Dados!$H:$H,$D$1,Dados!$G:$G,$O$4)</f>
        <v>0</v>
      </c>
      <c r="P133" s="81">
        <f>sumifs(Dados!$N:$N,Dados!$B:$B,B133,Dados!$H:$H,$D$1,Dados!$G:$G,$P$4)</f>
        <v>0</v>
      </c>
      <c r="Q133" s="81"/>
    </row>
    <row r="134" ht="15.75" customHeight="1">
      <c r="A134" s="77"/>
      <c r="B134" s="77" t="s">
        <v>220</v>
      </c>
      <c r="C134" s="79"/>
      <c r="D134" s="80">
        <f t="shared" si="28"/>
        <v>103.16</v>
      </c>
      <c r="E134" s="81">
        <f>sumifs(Dados!$N:$N,Dados!$B:$B,B134,Dados!$H:$H,$D$1,Dados!$G:$G,$E$4)</f>
        <v>0</v>
      </c>
      <c r="F134" s="81">
        <f>sumifs(Dados!$N:$N,Dados!$B:$B,B134,Dados!$H:$H,$D$1,Dados!$G:$G,$F$4)</f>
        <v>0</v>
      </c>
      <c r="G134" s="81">
        <f>sumifs(Dados!$N:$N,Dados!$B:$B,B134,Dados!$H:$H,$D$1,Dados!$G:$G,$G$4)</f>
        <v>0</v>
      </c>
      <c r="H134" s="81">
        <f>sumifs(Dados!$N:$N,Dados!$B:$B,B134,Dados!$H:$H,$D$1,Dados!$G:$G,$H$4)</f>
        <v>0</v>
      </c>
      <c r="I134" s="81">
        <f>sumifs(Dados!$N:$N,Dados!$B:$B,B134,Dados!$H:$H,$D$1,Dados!$G:$G,$I$4)</f>
        <v>70</v>
      </c>
      <c r="J134" s="81">
        <f>sumifs(Dados!$N:$N,Dados!$B:$B,B134,Dados!$H:$H,$D$1,Dados!$G:$G,$J$4)</f>
        <v>31.16</v>
      </c>
      <c r="K134" s="81">
        <f>sumifs(Dados!$N:$N,Dados!$B:$B,B134,Dados!$H:$H,$D$1,Dados!$G:$G,$K$4)</f>
        <v>2</v>
      </c>
      <c r="L134" s="81">
        <f>sumifs(Dados!$N:$N,Dados!$B:$B,B134,Dados!$H:$H,$D$1,Dados!$G:$G,$L$4)</f>
        <v>0</v>
      </c>
      <c r="M134" s="81">
        <f>sumifs(Dados!$N:$N,Dados!$B:$B,B134,Dados!$H:$H,$D$1,Dados!$G:$G,$M$4)</f>
        <v>0</v>
      </c>
      <c r="N134" s="81">
        <f>sumifs(Dados!$N:$N,Dados!$B:$B,B134,Dados!$H:$H,$D$1,Dados!$G:$G,$N$4)</f>
        <v>0</v>
      </c>
      <c r="O134" s="81">
        <f>sumifs(Dados!$N:$N,Dados!$B:$B,B134,Dados!$H:$H,$D$1,Dados!$G:$G,$O$4)</f>
        <v>0</v>
      </c>
      <c r="P134" s="81">
        <f>sumifs(Dados!$N:$N,Dados!$B:$B,B134,Dados!$H:$H,$D$1,Dados!$G:$G,$P$4)</f>
        <v>0</v>
      </c>
      <c r="Q134" s="81"/>
    </row>
    <row r="135" ht="15.75" customHeight="1">
      <c r="A135" s="77"/>
      <c r="B135" s="77" t="s">
        <v>221</v>
      </c>
      <c r="C135" s="79"/>
      <c r="D135" s="80">
        <f t="shared" si="28"/>
        <v>24.5</v>
      </c>
      <c r="E135" s="81">
        <f>sumifs(Dados!$N:$N,Dados!$B:$B,B135,Dados!$H:$H,$D$1,Dados!$G:$G,$E$4)</f>
        <v>0</v>
      </c>
      <c r="F135" s="81">
        <f>sumifs(Dados!$N:$N,Dados!$B:$B,B135,Dados!$H:$H,$D$1,Dados!$G:$G,$F$4)</f>
        <v>0</v>
      </c>
      <c r="G135" s="81">
        <f>sumifs(Dados!$N:$N,Dados!$B:$B,B135,Dados!$H:$H,$D$1,Dados!$G:$G,$G$4)</f>
        <v>0</v>
      </c>
      <c r="H135" s="81">
        <f>sumifs(Dados!$N:$N,Dados!$B:$B,B135,Dados!$H:$H,$D$1,Dados!$G:$G,$H$4)</f>
        <v>0</v>
      </c>
      <c r="I135" s="81">
        <f>sumifs(Dados!$N:$N,Dados!$B:$B,B135,Dados!$H:$H,$D$1,Dados!$G:$G,$I$4)</f>
        <v>10</v>
      </c>
      <c r="J135" s="81">
        <f>sumifs(Dados!$N:$N,Dados!$B:$B,B135,Dados!$H:$H,$D$1,Dados!$G:$G,$J$4)</f>
        <v>6</v>
      </c>
      <c r="K135" s="81">
        <f>sumifs(Dados!$N:$N,Dados!$B:$B,B135,Dados!$H:$H,$D$1,Dados!$G:$G,$K$4)</f>
        <v>8.5</v>
      </c>
      <c r="L135" s="81">
        <f>sumifs(Dados!$N:$N,Dados!$B:$B,B135,Dados!$H:$H,$D$1,Dados!$G:$G,$L$4)</f>
        <v>0</v>
      </c>
      <c r="M135" s="81">
        <f>sumifs(Dados!$N:$N,Dados!$B:$B,B135,Dados!$H:$H,$D$1,Dados!$G:$G,$M$4)</f>
        <v>0</v>
      </c>
      <c r="N135" s="81">
        <f>sumifs(Dados!$N:$N,Dados!$B:$B,B135,Dados!$H:$H,$D$1,Dados!$G:$G,$N$4)</f>
        <v>0</v>
      </c>
      <c r="O135" s="81">
        <f>sumifs(Dados!$N:$N,Dados!$B:$B,B135,Dados!$H:$H,$D$1,Dados!$G:$G,$O$4)</f>
        <v>0</v>
      </c>
      <c r="P135" s="81">
        <f>sumifs(Dados!$N:$N,Dados!$B:$B,B135,Dados!$H:$H,$D$1,Dados!$G:$G,$P$4)</f>
        <v>0</v>
      </c>
      <c r="Q135" s="81"/>
    </row>
    <row r="136" ht="15.75" customHeight="1">
      <c r="A136" s="99" t="s">
        <v>222</v>
      </c>
      <c r="B136" s="100">
        <f>sumifs(Dados!$N:$N,Dados!$A:$A,A136,Dados!$H:$H,$D$1)</f>
        <v>136.16</v>
      </c>
      <c r="C136" s="101">
        <f>B136-D136</f>
        <v>0</v>
      </c>
      <c r="D136" s="100">
        <f t="shared" ref="D136:P136" si="30">SUM(D133:D135)</f>
        <v>136.16</v>
      </c>
      <c r="E136" s="100">
        <f t="shared" si="30"/>
        <v>0</v>
      </c>
      <c r="F136" s="100">
        <f t="shared" si="30"/>
        <v>0</v>
      </c>
      <c r="G136" s="100">
        <f t="shared" si="30"/>
        <v>0</v>
      </c>
      <c r="H136" s="100">
        <f t="shared" si="30"/>
        <v>0</v>
      </c>
      <c r="I136" s="100">
        <f t="shared" si="30"/>
        <v>80</v>
      </c>
      <c r="J136" s="100">
        <f t="shared" si="30"/>
        <v>42.16</v>
      </c>
      <c r="K136" s="100">
        <f t="shared" si="30"/>
        <v>14</v>
      </c>
      <c r="L136" s="100">
        <f t="shared" si="30"/>
        <v>0</v>
      </c>
      <c r="M136" s="100">
        <f t="shared" si="30"/>
        <v>0</v>
      </c>
      <c r="N136" s="100">
        <f t="shared" si="30"/>
        <v>0</v>
      </c>
      <c r="O136" s="100">
        <f t="shared" si="30"/>
        <v>0</v>
      </c>
      <c r="P136" s="100">
        <f t="shared" si="30"/>
        <v>0</v>
      </c>
      <c r="Q136" s="100"/>
    </row>
    <row r="137" ht="15.75" customHeight="1">
      <c r="A137" s="143" t="s">
        <v>120</v>
      </c>
      <c r="B137" s="144">
        <f>D13+D18+D24+D29+D34+D55+D68+D76+D83+D86+D88+D97+D108+D116+D129+D136+B132</f>
        <v>41129.79</v>
      </c>
      <c r="C137" s="145"/>
      <c r="D137" s="146"/>
      <c r="E137" s="146">
        <f t="shared" ref="E137:P137" si="31">E13+E18+E24+E29+E34+E55+E68+E76+E83+E86+E88+E97+E108+E116+E129+E132+E136</f>
        <v>1550.8</v>
      </c>
      <c r="F137" s="146">
        <f t="shared" si="31"/>
        <v>942.43</v>
      </c>
      <c r="G137" s="146">
        <f t="shared" si="31"/>
        <v>825.3</v>
      </c>
      <c r="H137" s="146">
        <f t="shared" si="31"/>
        <v>2259.88</v>
      </c>
      <c r="I137" s="146">
        <f t="shared" si="31"/>
        <v>5285.08</v>
      </c>
      <c r="J137" s="146">
        <f t="shared" si="31"/>
        <v>13305.5</v>
      </c>
      <c r="K137" s="146">
        <f t="shared" si="31"/>
        <v>14550</v>
      </c>
      <c r="L137" s="146">
        <f t="shared" si="31"/>
        <v>2410.8</v>
      </c>
      <c r="M137" s="146">
        <f t="shared" si="31"/>
        <v>0</v>
      </c>
      <c r="N137" s="146">
        <f t="shared" si="31"/>
        <v>0</v>
      </c>
      <c r="O137" s="146">
        <f t="shared" si="31"/>
        <v>0</v>
      </c>
      <c r="P137" s="146">
        <f t="shared" si="31"/>
        <v>0</v>
      </c>
      <c r="Q137" s="147">
        <f>R13+R18+R24+R29+R34+R55+R68+R76+R83+R86+R88+R97+R108+R116+R129+R136</f>
        <v>0</v>
      </c>
    </row>
    <row r="139" ht="15.75" customHeight="1">
      <c r="A139" s="102"/>
      <c r="B139" s="102" t="s">
        <v>223</v>
      </c>
      <c r="C139" s="79"/>
      <c r="D139" s="80">
        <f t="shared" ref="D139:D143" si="32">SUM(E139:P139)</f>
        <v>0</v>
      </c>
      <c r="E139" s="81">
        <f>sumifs(Dados!$N:$N,Dados!$B:$B,B139,Dados!$H:$H,$D$1,Dados!$G:$G,$E$4)</f>
        <v>0</v>
      </c>
      <c r="F139" s="81">
        <f>sumifs(Dados!$N:$N,Dados!$B:$B,B139,Dados!$H:$H,$D$1,Dados!$G:$G,$F$4)</f>
        <v>0</v>
      </c>
      <c r="G139" s="81">
        <f>sumifs(Dados!$N:$N,Dados!$B:$B,B139,Dados!$H:$H,$D$1,Dados!$G:$G,$G$4)</f>
        <v>0</v>
      </c>
      <c r="H139" s="81">
        <f>sumifs(Dados!$N:$N,Dados!$B:$B,B139,Dados!$H:$H,$D$1,Dados!$G:$G,$H$4)</f>
        <v>0</v>
      </c>
      <c r="I139" s="81">
        <f>sumifs(Dados!$N:$N,Dados!$B:$B,B139,Dados!$H:$H,$D$1,Dados!$G:$G,$I$4)</f>
        <v>0</v>
      </c>
      <c r="J139" s="81">
        <f>sumifs(Dados!$N:$N,Dados!$B:$B,B139,Dados!$H:$H,$D$1,Dados!$G:$G,$J$4)</f>
        <v>0</v>
      </c>
      <c r="K139" s="81">
        <f>sumifs(Dados!$N:$N,Dados!$B:$B,B139,Dados!$H:$H,$D$1,Dados!$G:$G,$K$4)</f>
        <v>0</v>
      </c>
      <c r="L139" s="81">
        <f>sumifs(Dados!$N:$N,Dados!$B:$B,B139,Dados!$H:$H,$D$1,Dados!$G:$G,$L$4)</f>
        <v>0</v>
      </c>
      <c r="M139" s="81">
        <f>sumifs(Dados!$N:$N,Dados!$B:$B,B139,Dados!$H:$H,$D$1,Dados!$G:$G,$M$4)</f>
        <v>0</v>
      </c>
      <c r="N139" s="81">
        <f>sumifs(Dados!$N:$N,Dados!$B:$B,B139,Dados!$H:$H,$D$1,Dados!$G:$G,$N$4)</f>
        <v>0</v>
      </c>
      <c r="O139" s="81">
        <f>sumifs(Dados!$N:$N,Dados!$B:$B,B139,Dados!$H:$H,$D$1,Dados!$G:$G,$O$4)</f>
        <v>0</v>
      </c>
      <c r="P139" s="81">
        <f>sumifs(Dados!$N:$N,Dados!$B:$B,B139,Dados!$H:$H,$D$1,Dados!$G:$G,$P$4)</f>
        <v>0</v>
      </c>
      <c r="Q139" s="81"/>
    </row>
    <row r="140" ht="15.75" customHeight="1">
      <c r="A140" s="103"/>
      <c r="B140" s="103" t="s">
        <v>224</v>
      </c>
      <c r="C140" s="79"/>
      <c r="D140" s="80">
        <f t="shared" si="32"/>
        <v>0</v>
      </c>
      <c r="E140" s="81">
        <f>sumifs(Dados!$N:$N,Dados!$B:$B,B140,Dados!$H:$H,$D$1,Dados!$G:$G,$E$4)</f>
        <v>0</v>
      </c>
      <c r="F140" s="81">
        <f>sumifs(Dados!$N:$N,Dados!$B:$B,B140,Dados!$H:$H,$D$1,Dados!$G:$G,$F$4)</f>
        <v>0</v>
      </c>
      <c r="G140" s="81">
        <f>sumifs(Dados!$N:$N,Dados!$B:$B,B140,Dados!$H:$H,$D$1,Dados!$G:$G,$G$4)</f>
        <v>0</v>
      </c>
      <c r="H140" s="81">
        <f>sumifs(Dados!$N:$N,Dados!$B:$B,B140,Dados!$H:$H,$D$1,Dados!$G:$G,$H$4)</f>
        <v>0</v>
      </c>
      <c r="I140" s="81">
        <f>sumifs(Dados!$N:$N,Dados!$B:$B,B140,Dados!$H:$H,$D$1,Dados!$G:$G,$I$4)</f>
        <v>0</v>
      </c>
      <c r="J140" s="81">
        <f>sumifs(Dados!$N:$N,Dados!$B:$B,B140,Dados!$H:$H,$D$1,Dados!$G:$G,$J$4)</f>
        <v>0</v>
      </c>
      <c r="K140" s="81">
        <f>sumifs(Dados!$N:$N,Dados!$B:$B,B140,Dados!$H:$H,$D$1,Dados!$G:$G,$K$4)</f>
        <v>0</v>
      </c>
      <c r="L140" s="81">
        <f>sumifs(Dados!$N:$N,Dados!$B:$B,B140,Dados!$H:$H,$D$1,Dados!$G:$G,$L$4)</f>
        <v>0</v>
      </c>
      <c r="M140" s="81">
        <f>sumifs(Dados!$N:$N,Dados!$B:$B,B140,Dados!$H:$H,$D$1,Dados!$G:$G,$M$4)</f>
        <v>0</v>
      </c>
      <c r="N140" s="81">
        <f>sumifs(Dados!$N:$N,Dados!$B:$B,B140,Dados!$H:$H,$D$1,Dados!$G:$G,$N$4)</f>
        <v>0</v>
      </c>
      <c r="O140" s="81">
        <f>sumifs(Dados!$N:$N,Dados!$B:$B,B140,Dados!$H:$H,$D$1,Dados!$G:$G,$O$4)</f>
        <v>0</v>
      </c>
      <c r="P140" s="81">
        <f>sumifs(Dados!$N:$N,Dados!$B:$B,B140,Dados!$H:$H,$D$1,Dados!$G:$G,$P$4)</f>
        <v>0</v>
      </c>
      <c r="Q140" s="81"/>
    </row>
    <row r="141" ht="15.75" customHeight="1">
      <c r="A141" s="103"/>
      <c r="B141" s="103" t="s">
        <v>225</v>
      </c>
      <c r="C141" s="79"/>
      <c r="D141" s="80">
        <f t="shared" si="32"/>
        <v>0</v>
      </c>
      <c r="E141" s="81">
        <f>sumifs(Dados!$N:$N,Dados!$B:$B,B141,Dados!$H:$H,$D$1,Dados!$G:$G,$E$4)</f>
        <v>0</v>
      </c>
      <c r="F141" s="81">
        <f>sumifs(Dados!$N:$N,Dados!$B:$B,B141,Dados!$H:$H,$D$1,Dados!$G:$G,$F$4)</f>
        <v>0</v>
      </c>
      <c r="G141" s="81">
        <f>sumifs(Dados!$N:$N,Dados!$B:$B,B141,Dados!$H:$H,$D$1,Dados!$G:$G,$G$4)</f>
        <v>0</v>
      </c>
      <c r="H141" s="81">
        <f>sumifs(Dados!$N:$N,Dados!$B:$B,B141,Dados!$H:$H,$D$1,Dados!$G:$G,$H$4)</f>
        <v>0</v>
      </c>
      <c r="I141" s="81">
        <f>sumifs(Dados!$N:$N,Dados!$B:$B,B141,Dados!$H:$H,$D$1,Dados!$G:$G,$I$4)</f>
        <v>0</v>
      </c>
      <c r="J141" s="81">
        <f>sumifs(Dados!$N:$N,Dados!$B:$B,B141,Dados!$H:$H,$D$1,Dados!$G:$G,$J$4)</f>
        <v>0</v>
      </c>
      <c r="K141" s="81">
        <f>sumifs(Dados!$N:$N,Dados!$B:$B,B141,Dados!$H:$H,$D$1,Dados!$G:$G,$K$4)</f>
        <v>0</v>
      </c>
      <c r="L141" s="81">
        <f>sumifs(Dados!$N:$N,Dados!$B:$B,B141,Dados!$H:$H,$D$1,Dados!$G:$G,$L$4)</f>
        <v>0</v>
      </c>
      <c r="M141" s="81">
        <f>sumifs(Dados!$N:$N,Dados!$B:$B,B141,Dados!$H:$H,$D$1,Dados!$G:$G,$M$4)</f>
        <v>0</v>
      </c>
      <c r="N141" s="81">
        <f>sumifs(Dados!$N:$N,Dados!$B:$B,B141,Dados!$H:$H,$D$1,Dados!$G:$G,$N$4)</f>
        <v>0</v>
      </c>
      <c r="O141" s="81">
        <f>sumifs(Dados!$N:$N,Dados!$B:$B,B141,Dados!$H:$H,$D$1,Dados!$G:$G,$O$4)</f>
        <v>0</v>
      </c>
      <c r="P141" s="81">
        <f>sumifs(Dados!$N:$N,Dados!$B:$B,B141,Dados!$H:$H,$D$1,Dados!$G:$G,$P$4)</f>
        <v>0</v>
      </c>
      <c r="Q141" s="81"/>
    </row>
    <row r="142" ht="15.75" customHeight="1">
      <c r="A142" s="103"/>
      <c r="B142" s="103" t="s">
        <v>226</v>
      </c>
      <c r="C142" s="79"/>
      <c r="D142" s="80">
        <f t="shared" si="32"/>
        <v>0</v>
      </c>
      <c r="E142" s="81">
        <f>sumifs(Dados!$N:$N,Dados!$B:$B,B142,Dados!$H:$H,$D$1,Dados!$G:$G,$E$4)</f>
        <v>0</v>
      </c>
      <c r="F142" s="81">
        <f>sumifs(Dados!$N:$N,Dados!$B:$B,B142,Dados!$H:$H,$D$1,Dados!$G:$G,$F$4)</f>
        <v>0</v>
      </c>
      <c r="G142" s="81">
        <f>sumifs(Dados!$N:$N,Dados!$B:$B,B142,Dados!$H:$H,$D$1,Dados!$G:$G,$G$4)</f>
        <v>0</v>
      </c>
      <c r="H142" s="81">
        <f>sumifs(Dados!$N:$N,Dados!$B:$B,B142,Dados!$H:$H,$D$1,Dados!$G:$G,$H$4)</f>
        <v>0</v>
      </c>
      <c r="I142" s="81">
        <f>sumifs(Dados!$N:$N,Dados!$B:$B,B142,Dados!$H:$H,$D$1,Dados!$G:$G,$I$4)</f>
        <v>0</v>
      </c>
      <c r="J142" s="81">
        <f>sumifs(Dados!$N:$N,Dados!$B:$B,B142,Dados!$H:$H,$D$1,Dados!$G:$G,$J$4)</f>
        <v>0</v>
      </c>
      <c r="K142" s="81">
        <f>sumifs(Dados!$N:$N,Dados!$B:$B,B142,Dados!$H:$H,$D$1,Dados!$G:$G,$K$4)</f>
        <v>0</v>
      </c>
      <c r="L142" s="81">
        <f>sumifs(Dados!$N:$N,Dados!$B:$B,B142,Dados!$H:$H,$D$1,Dados!$G:$G,$L$4)</f>
        <v>0</v>
      </c>
      <c r="M142" s="81">
        <f>sumifs(Dados!$N:$N,Dados!$B:$B,B142,Dados!$H:$H,$D$1,Dados!$G:$G,$M$4)</f>
        <v>0</v>
      </c>
      <c r="N142" s="81">
        <f>sumifs(Dados!$N:$N,Dados!$B:$B,B142,Dados!$H:$H,$D$1,Dados!$G:$G,$N$4)</f>
        <v>0</v>
      </c>
      <c r="O142" s="81">
        <f>sumifs(Dados!$N:$N,Dados!$B:$B,B142,Dados!$H:$H,$D$1,Dados!$G:$G,$O$4)</f>
        <v>0</v>
      </c>
      <c r="P142" s="81">
        <f>sumifs(Dados!$N:$N,Dados!$B:$B,B142,Dados!$H:$H,$D$1,Dados!$G:$G,$P$4)</f>
        <v>0</v>
      </c>
      <c r="Q142" s="81"/>
    </row>
    <row r="143" ht="15.75" customHeight="1">
      <c r="A143" s="102"/>
      <c r="B143" s="102" t="s">
        <v>227</v>
      </c>
      <c r="C143" s="79"/>
      <c r="D143" s="80">
        <f t="shared" si="32"/>
        <v>0</v>
      </c>
      <c r="E143" s="81">
        <f>sumifs(Dados!$N:$N,Dados!$B:$B,B143,Dados!$H:$H,$D$1,Dados!$G:$G,$E$4)</f>
        <v>0</v>
      </c>
      <c r="F143" s="81">
        <f>sumifs(Dados!$N:$N,Dados!$B:$B,B143,Dados!$H:$H,$D$1,Dados!$G:$G,$F$4)</f>
        <v>0</v>
      </c>
      <c r="G143" s="81">
        <f>sumifs(Dados!$N:$N,Dados!$B:$B,B143,Dados!$H:$H,$D$1,Dados!$G:$G,$G$4)</f>
        <v>0</v>
      </c>
      <c r="H143" s="81">
        <f>sumifs(Dados!$N:$N,Dados!$B:$B,B143,Dados!$H:$H,$D$1,Dados!$G:$G,$H$4)</f>
        <v>0</v>
      </c>
      <c r="I143" s="81">
        <f>sumifs(Dados!$N:$N,Dados!$B:$B,B143,Dados!$H:$H,$D$1,Dados!$G:$G,$I$4)</f>
        <v>0</v>
      </c>
      <c r="J143" s="81">
        <f>sumifs(Dados!$N:$N,Dados!$B:$B,B143,Dados!$H:$H,$D$1,Dados!$G:$G,$J$4)</f>
        <v>0</v>
      </c>
      <c r="K143" s="81">
        <f>sumifs(Dados!$N:$N,Dados!$B:$B,B143,Dados!$H:$H,$D$1,Dados!$G:$G,$K$4)</f>
        <v>0</v>
      </c>
      <c r="L143" s="81">
        <f>sumifs(Dados!$N:$N,Dados!$B:$B,B143,Dados!$H:$H,$D$1,Dados!$G:$G,$L$4)</f>
        <v>0</v>
      </c>
      <c r="M143" s="81">
        <f>sumifs(Dados!$N:$N,Dados!$B:$B,B143,Dados!$H:$H,$D$1,Dados!$G:$G,$M$4)</f>
        <v>0</v>
      </c>
      <c r="N143" s="81">
        <f>sumifs(Dados!$N:$N,Dados!$B:$B,B143,Dados!$H:$H,$D$1,Dados!$G:$G,$N$4)</f>
        <v>0</v>
      </c>
      <c r="O143" s="81">
        <f>sumifs(Dados!$N:$N,Dados!$B:$B,B143,Dados!$H:$H,$D$1,Dados!$G:$G,$O$4)</f>
        <v>0</v>
      </c>
      <c r="P143" s="81">
        <f>sumifs(Dados!$N:$N,Dados!$B:$B,B143,Dados!$H:$H,$D$1,Dados!$G:$G,$P$4)</f>
        <v>0</v>
      </c>
      <c r="Q143" s="81"/>
    </row>
    <row r="144" ht="15.75" customHeight="1">
      <c r="A144" s="99" t="s">
        <v>228</v>
      </c>
      <c r="B144" s="100">
        <f>sumifs(Dados!$N:$N,Dados!$A:$A,A144,Dados!$H:$H,$D$1)</f>
        <v>0</v>
      </c>
      <c r="C144" s="101">
        <f>B144-D144</f>
        <v>0</v>
      </c>
      <c r="D144" s="100">
        <f t="shared" ref="D144:P144" si="33">SUM(D139:D143)</f>
        <v>0</v>
      </c>
      <c r="E144" s="100">
        <f t="shared" si="33"/>
        <v>0</v>
      </c>
      <c r="F144" s="100">
        <f t="shared" si="33"/>
        <v>0</v>
      </c>
      <c r="G144" s="100">
        <f t="shared" si="33"/>
        <v>0</v>
      </c>
      <c r="H144" s="100">
        <f t="shared" si="33"/>
        <v>0</v>
      </c>
      <c r="I144" s="100">
        <f t="shared" si="33"/>
        <v>0</v>
      </c>
      <c r="J144" s="100">
        <f t="shared" si="33"/>
        <v>0</v>
      </c>
      <c r="K144" s="100">
        <f t="shared" si="33"/>
        <v>0</v>
      </c>
      <c r="L144" s="100">
        <f t="shared" si="33"/>
        <v>0</v>
      </c>
      <c r="M144" s="100">
        <f t="shared" si="33"/>
        <v>0</v>
      </c>
      <c r="N144" s="100">
        <f t="shared" si="33"/>
        <v>0</v>
      </c>
      <c r="O144" s="100">
        <f t="shared" si="33"/>
        <v>0</v>
      </c>
      <c r="P144" s="100">
        <f t="shared" si="33"/>
        <v>0</v>
      </c>
      <c r="Q144" s="100"/>
    </row>
    <row r="145" ht="15.75" customHeight="1">
      <c r="A145" s="77"/>
      <c r="B145" s="78" t="s">
        <v>229</v>
      </c>
      <c r="C145" s="79"/>
      <c r="D145" s="80">
        <f t="shared" ref="D145:D156" si="34">SUM(E145:P145)</f>
        <v>0</v>
      </c>
      <c r="E145" s="81">
        <f>sumifs(Dados!$N:$N,Dados!$B:$B,B145,Dados!$H:$H,$D$1,Dados!$G:$G,$E$4)</f>
        <v>0</v>
      </c>
      <c r="F145" s="81">
        <f>sumifs(Dados!$N:$N,Dados!$B:$B,B145,Dados!$H:$H,$D$1,Dados!$G:$G,$F$4)</f>
        <v>0</v>
      </c>
      <c r="G145" s="81">
        <f>sumifs(Dados!$N:$N,Dados!$B:$B,B145,Dados!$H:$H,$D$1,Dados!$G:$G,$G$4)</f>
        <v>0</v>
      </c>
      <c r="H145" s="81">
        <f>sumifs(Dados!$N:$N,Dados!$B:$B,B145,Dados!$H:$H,$D$1,Dados!$G:$G,$H$4)</f>
        <v>0</v>
      </c>
      <c r="I145" s="81">
        <f>sumifs(Dados!$N:$N,Dados!$B:$B,B145,Dados!$H:$H,$D$1,Dados!$G:$G,$I$4)</f>
        <v>0</v>
      </c>
      <c r="J145" s="81">
        <f>sumifs(Dados!$N:$N,Dados!$B:$B,B145,Dados!$H:$H,$D$1,Dados!$G:$G,$J$4)</f>
        <v>0</v>
      </c>
      <c r="K145" s="81">
        <f>sumifs(Dados!$N:$N,Dados!$B:$B,B145,Dados!$H:$H,$D$1,Dados!$G:$G,$K$4)</f>
        <v>0</v>
      </c>
      <c r="L145" s="81">
        <f>sumifs(Dados!$N:$N,Dados!$B:$B,B145,Dados!$H:$H,$D$1,Dados!$G:$G,$L$4)</f>
        <v>0</v>
      </c>
      <c r="M145" s="81">
        <f>sumifs(Dados!$N:$N,Dados!$B:$B,B145,Dados!$H:$H,$D$1,Dados!$G:$G,$M$4)</f>
        <v>0</v>
      </c>
      <c r="N145" s="81">
        <f>sumifs(Dados!$N:$N,Dados!$B:$B,B145,Dados!$H:$H,$D$1,Dados!$G:$G,$N$4)</f>
        <v>0</v>
      </c>
      <c r="O145" s="81">
        <f>sumifs(Dados!$N:$N,Dados!$B:$B,B145,Dados!$H:$H,$D$1,Dados!$G:$G,$O$4)</f>
        <v>0</v>
      </c>
      <c r="P145" s="81">
        <f>sumifs(Dados!$N:$N,Dados!$B:$B,B145,Dados!$H:$H,$D$1,Dados!$G:$G,$P$4)</f>
        <v>0</v>
      </c>
      <c r="Q145" s="81"/>
    </row>
    <row r="146" ht="15.75" customHeight="1">
      <c r="A146" s="77"/>
      <c r="B146" s="77" t="s">
        <v>230</v>
      </c>
      <c r="C146" s="79"/>
      <c r="D146" s="80">
        <f t="shared" si="34"/>
        <v>0</v>
      </c>
      <c r="E146" s="81">
        <f>sumifs(Dados!$N:$N,Dados!$B:$B,$B$146,Dados!$H:$H,$D$1,Dados!$G:$G,E4)</f>
        <v>0</v>
      </c>
      <c r="F146" s="81">
        <f>sumifs(Dados!$N:$N,Dados!$B:$B,$B$146,Dados!$H:$H,$D$1,Dados!$G:$G,F4)</f>
        <v>0</v>
      </c>
      <c r="G146" s="81">
        <f>sumifs(Dados!$N:$N,Dados!$B:$B,$B$146,Dados!$H:$H,$D$1,Dados!$G:$G,G4)</f>
        <v>0</v>
      </c>
      <c r="H146" s="81">
        <f>sumifs(Dados!$N:$N,Dados!$B:$B,$B$146,Dados!$H:$H,$D$1,Dados!$G:$G,H4)</f>
        <v>0</v>
      </c>
      <c r="I146" s="81">
        <f>sumifs(Dados!$N:$N,Dados!$B:$B,$B$146,Dados!$H:$H,$D$1,Dados!$G:$G,I4)</f>
        <v>0</v>
      </c>
      <c r="J146" s="81">
        <f>sumifs(Dados!$N:$N,Dados!$B:$B,$B$146,Dados!$H:$H,$D$1,Dados!$G:$G,J4)</f>
        <v>0</v>
      </c>
      <c r="K146" s="81">
        <f>sumifs(Dados!$N:$N,Dados!$B:$B,$B$146,Dados!$H:$H,$D$1,Dados!$G:$G,K4)</f>
        <v>0</v>
      </c>
      <c r="L146" s="81">
        <f>sumifs(Dados!$N:$N,Dados!$B:$B,$B$146,Dados!$H:$H,$D$1,Dados!$G:$G,L4)</f>
        <v>0</v>
      </c>
      <c r="M146" s="81">
        <f>sumifs(Dados!$N:$N,Dados!$B:$B,$B$146,Dados!$H:$H,$D$1,Dados!$G:$G,M4)</f>
        <v>0</v>
      </c>
      <c r="N146" s="81">
        <f>sumifs(Dados!$N:$N,Dados!$B:$B,$B$146,Dados!$H:$H,$D$1,Dados!$G:$G,N4)</f>
        <v>0</v>
      </c>
      <c r="O146" s="81">
        <f>sumifs(Dados!$N:$N,Dados!$B:$B,$B$146,Dados!$H:$H,$D$1,Dados!$G:$G,O4)</f>
        <v>0</v>
      </c>
      <c r="P146" s="81">
        <f>sumifs(Dados!$N:$N,Dados!$B:$B,$B$146,Dados!$H:$H,$D$1,Dados!$G:$G,P4)</f>
        <v>0</v>
      </c>
      <c r="Q146" s="81"/>
    </row>
    <row r="147" ht="15.75" customHeight="1">
      <c r="A147" s="77"/>
      <c r="B147" s="78" t="s">
        <v>231</v>
      </c>
      <c r="C147" s="79"/>
      <c r="D147" s="80">
        <f t="shared" si="34"/>
        <v>0</v>
      </c>
      <c r="E147" s="81">
        <f>sumifs(Dados!$N:$N,Dados!$B:$B,B147,Dados!$H:$H,$D$1,Dados!$G:$G,$E$4)</f>
        <v>0</v>
      </c>
      <c r="F147" s="81">
        <f>sumifs(Dados!$N:$N,Dados!$B:$B,B147,Dados!$H:$H,$D$1,Dados!$G:$G,$F$4)</f>
        <v>0</v>
      </c>
      <c r="G147" s="81">
        <f>sumifs(Dados!$N:$N,Dados!$B:$B,B147,Dados!$H:$H,$D$1,Dados!$G:$G,$G$4)</f>
        <v>0</v>
      </c>
      <c r="H147" s="81">
        <f>sumifs(Dados!$N:$N,Dados!$B:$B,B147,Dados!$H:$H,$D$1,Dados!$G:$G,$H$4)</f>
        <v>0</v>
      </c>
      <c r="I147" s="81">
        <f>sumifs(Dados!$N:$N,Dados!$B:$B,B147,Dados!$H:$H,$D$1,Dados!$G:$G,$I$4)</f>
        <v>0</v>
      </c>
      <c r="J147" s="81">
        <f>sumifs(Dados!$N:$N,Dados!$B:$B,B147,Dados!$H:$H,$D$1,Dados!$G:$G,$J$4)</f>
        <v>0</v>
      </c>
      <c r="K147" s="81">
        <f>sumifs(Dados!$N:$N,Dados!$B:$B,B147,Dados!$H:$H,$D$1,Dados!$G:$G,$K$4)</f>
        <v>0</v>
      </c>
      <c r="L147" s="81">
        <f>sumifs(Dados!$N:$N,Dados!$B:$B,B147,Dados!$H:$H,$D$1,Dados!$G:$G,$L$4)</f>
        <v>0</v>
      </c>
      <c r="M147" s="81">
        <f>sumifs(Dados!$N:$N,Dados!$B:$B,B147,Dados!$H:$H,$D$1,Dados!$G:$G,$M$4)</f>
        <v>0</v>
      </c>
      <c r="N147" s="81">
        <f>sumifs(Dados!$N:$N,Dados!$B:$B,B147,Dados!$H:$H,$D$1,Dados!$G:$G,$N$4)</f>
        <v>0</v>
      </c>
      <c r="O147" s="81">
        <f>sumifs(Dados!$N:$N,Dados!$B:$B,B147,Dados!$H:$H,$D$1,Dados!$G:$G,$O$4)</f>
        <v>0</v>
      </c>
      <c r="P147" s="81">
        <f>sumifs(Dados!$N:$N,Dados!$B:$B,B147,Dados!$H:$H,$D$1,Dados!$G:$G,$P$4)</f>
        <v>0</v>
      </c>
      <c r="Q147" s="81"/>
    </row>
    <row r="148" ht="15.75" customHeight="1">
      <c r="A148" s="77"/>
      <c r="B148" s="78" t="s">
        <v>232</v>
      </c>
      <c r="C148" s="79"/>
      <c r="D148" s="80">
        <f t="shared" si="34"/>
        <v>0</v>
      </c>
      <c r="E148" s="81">
        <f>sumifs(Dados!$N:$N,Dados!$B:$B,$B$148,Dados!$H:$H,$D$1,Dados!$G:$G,E4)</f>
        <v>0</v>
      </c>
      <c r="F148" s="81">
        <f>sumifs(Dados!$N:$N,Dados!$B:$B,$B$148,Dados!$H:$H,$D$1,Dados!$G:$G,F4)</f>
        <v>0</v>
      </c>
      <c r="G148" s="81">
        <f>sumifs(Dados!$N:$N,Dados!$B:$B,$B$148,Dados!$H:$H,$D$1,Dados!$G:$G,G4)</f>
        <v>0</v>
      </c>
      <c r="H148" s="81">
        <f>sumifs(Dados!$N:$N,Dados!$B:$B,$B$148,Dados!$H:$H,$D$1,Dados!$G:$G,H4)</f>
        <v>0</v>
      </c>
      <c r="I148" s="81">
        <f>sumifs(Dados!$N:$N,Dados!$B:$B,$B$148,Dados!$H:$H,$D$1,Dados!$G:$G,I4)</f>
        <v>0</v>
      </c>
      <c r="J148" s="81">
        <f>sumifs(Dados!$N:$N,Dados!$B:$B,$B$148,Dados!$H:$H,$D$1,Dados!$G:$G,J4)</f>
        <v>0</v>
      </c>
      <c r="K148" s="81">
        <f>sumifs(Dados!$N:$N,Dados!$B:$B,$B$148,Dados!$H:$H,$D$1,Dados!$G:$G,K4)</f>
        <v>0</v>
      </c>
      <c r="L148" s="81">
        <f>sumifs(Dados!$N:$N,Dados!$B:$B,$B$148,Dados!$H:$H,$D$1,Dados!$G:$G,L4)</f>
        <v>0</v>
      </c>
      <c r="M148" s="81">
        <f>sumifs(Dados!$N:$N,Dados!$B:$B,$B$148,Dados!$H:$H,$D$1,Dados!$G:$G,M4)</f>
        <v>0</v>
      </c>
      <c r="N148" s="81">
        <f>sumifs(Dados!$N:$N,Dados!$B:$B,$B$148,Dados!$H:$H,$D$1,Dados!$G:$G,N4)</f>
        <v>0</v>
      </c>
      <c r="O148" s="81">
        <f>sumifs(Dados!$N:$N,Dados!$B:$B,$B$148,Dados!$H:$H,$D$1,Dados!$G:$G,O4)</f>
        <v>0</v>
      </c>
      <c r="P148" s="81">
        <f>sumifs(Dados!$N:$N,Dados!$B:$B,$B$148,Dados!$H:$H,$D$1,Dados!$G:$G,P4)</f>
        <v>0</v>
      </c>
      <c r="Q148" s="81"/>
    </row>
    <row r="149" ht="15.75" customHeight="1">
      <c r="A149" s="77"/>
      <c r="B149" s="77" t="s">
        <v>233</v>
      </c>
      <c r="C149" s="79"/>
      <c r="D149" s="80">
        <f t="shared" si="34"/>
        <v>0</v>
      </c>
      <c r="E149" s="81">
        <f>sumifs(Dados!$N:$N,Dados!$B:$B,B149,Dados!$H:$H,$D$1,Dados!$G:$G,$E$4)</f>
        <v>0</v>
      </c>
      <c r="F149" s="81">
        <f>sumifs(Dados!$N:$N,Dados!$B:$B,B149,Dados!$H:$H,$D$1,Dados!$G:$G,$F$4)</f>
        <v>0</v>
      </c>
      <c r="G149" s="81">
        <f>sumifs(Dados!$N:$N,Dados!$B:$B,B149,Dados!$H:$H,$D$1,Dados!$G:$G,$G$4)</f>
        <v>0</v>
      </c>
      <c r="H149" s="81">
        <f>sumifs(Dados!$N:$N,Dados!$B:$B,B149,Dados!$H:$H,$D$1,Dados!$G:$G,$H$4)</f>
        <v>0</v>
      </c>
      <c r="I149" s="81">
        <f>sumifs(Dados!$N:$N,Dados!$B:$B,B149,Dados!$H:$H,$D$1,Dados!$G:$G,$I$4)</f>
        <v>0</v>
      </c>
      <c r="J149" s="81">
        <f>sumifs(Dados!$N:$N,Dados!$B:$B,B149,Dados!$H:$H,$D$1,Dados!$G:$G,$J$4)</f>
        <v>0</v>
      </c>
      <c r="K149" s="81">
        <f>sumifs(Dados!$N:$N,Dados!$B:$B,B149,Dados!$H:$H,$D$1,Dados!$G:$G,$K$4)</f>
        <v>0</v>
      </c>
      <c r="L149" s="81">
        <f>sumifs(Dados!$N:$N,Dados!$B:$B,B149,Dados!$H:$H,$D$1,Dados!$G:$G,$L$4)</f>
        <v>0</v>
      </c>
      <c r="M149" s="81">
        <f>sumifs(Dados!$N:$N,Dados!$B:$B,B149,Dados!$H:$H,$D$1,Dados!$G:$G,$M$4)</f>
        <v>0</v>
      </c>
      <c r="N149" s="81">
        <f>sumifs(Dados!$N:$N,Dados!$B:$B,B149,Dados!$H:$H,$D$1,Dados!$G:$G,$N$4)</f>
        <v>0</v>
      </c>
      <c r="O149" s="81">
        <f>sumifs(Dados!$N:$N,Dados!$B:$B,B149,Dados!$H:$H,$D$1,Dados!$G:$G,$O$4)</f>
        <v>0</v>
      </c>
      <c r="P149" s="81">
        <f>sumifs(Dados!$N:$N,Dados!$B:$B,B149,Dados!$H:$H,$D$1,Dados!$G:$G,$P$4)</f>
        <v>0</v>
      </c>
      <c r="Q149" s="81"/>
    </row>
    <row r="150" ht="15.75" customHeight="1">
      <c r="A150" s="87"/>
      <c r="B150" s="87" t="s">
        <v>234</v>
      </c>
      <c r="C150" s="79"/>
      <c r="D150" s="80">
        <f t="shared" si="34"/>
        <v>0</v>
      </c>
      <c r="E150" s="81">
        <f>sumifs(Dados!$N:$N,Dados!$B:$B,B150,Dados!$H:$H,$D$1,Dados!$G:$G,$E$4)</f>
        <v>0</v>
      </c>
      <c r="F150" s="81">
        <f>sumifs(Dados!$N:$N,Dados!$B:$B,B150,Dados!$H:$H,$D$1,Dados!$G:$G,$F$4)</f>
        <v>0</v>
      </c>
      <c r="G150" s="81">
        <f>sumifs(Dados!$N:$N,Dados!$B:$B,B150,Dados!$H:$H,$D$1,Dados!$G:$G,$G$4)</f>
        <v>0</v>
      </c>
      <c r="H150" s="81">
        <f>sumifs(Dados!$N:$N,Dados!$B:$B,B150,Dados!$H:$H,$D$1,Dados!$G:$G,$H$4)</f>
        <v>0</v>
      </c>
      <c r="I150" s="81">
        <f>sumifs(Dados!$N:$N,Dados!$B:$B,B150,Dados!$H:$H,$D$1,Dados!$G:$G,$I$4)</f>
        <v>0</v>
      </c>
      <c r="J150" s="81">
        <f>sumifs(Dados!$N:$N,Dados!$B:$B,B150,Dados!$H:$H,$D$1,Dados!$G:$G,$J$4)</f>
        <v>0</v>
      </c>
      <c r="K150" s="81">
        <f>sumifs(Dados!$N:$N,Dados!$B:$B,B150,Dados!$H:$H,$D$1,Dados!$G:$G,$K$4)</f>
        <v>0</v>
      </c>
      <c r="L150" s="81">
        <f>sumifs(Dados!$N:$N,Dados!$B:$B,B150,Dados!$H:$H,$D$1,Dados!$G:$G,$L$4)</f>
        <v>0</v>
      </c>
      <c r="M150" s="81">
        <f>sumifs(Dados!$N:$N,Dados!$B:$B,B150,Dados!$H:$H,$D$1,Dados!$G:$G,$M$4)</f>
        <v>0</v>
      </c>
      <c r="N150" s="81">
        <f>sumifs(Dados!$N:$N,Dados!$B:$B,B150,Dados!$H:$H,$D$1,Dados!$G:$G,$N$4)</f>
        <v>0</v>
      </c>
      <c r="O150" s="81">
        <f>sumifs(Dados!$N:$N,Dados!$B:$B,B150,Dados!$H:$H,$D$1,Dados!$G:$G,$O$4)</f>
        <v>0</v>
      </c>
      <c r="P150" s="81">
        <f>sumifs(Dados!$N:$N,Dados!$B:$B,B150,Dados!$H:$H,$D$1,Dados!$G:$G,$P$4)</f>
        <v>0</v>
      </c>
      <c r="Q150" s="81"/>
    </row>
    <row r="151" ht="15.75" customHeight="1">
      <c r="A151" s="77"/>
      <c r="B151" s="77" t="s">
        <v>235</v>
      </c>
      <c r="C151" s="79"/>
      <c r="D151" s="80">
        <f t="shared" si="34"/>
        <v>0</v>
      </c>
      <c r="E151" s="81">
        <f>sumifs(Dados!$N:$N,Dados!$B:$B,B151,Dados!$H:$H,$D$1,Dados!$G:$G,$E$4)</f>
        <v>0</v>
      </c>
      <c r="F151" s="81">
        <f>sumifs(Dados!$N:$N,Dados!$B:$B,B151,Dados!$H:$H,$D$1,Dados!$G:$G,$F$4)</f>
        <v>0</v>
      </c>
      <c r="G151" s="81">
        <f>sumifs(Dados!$N:$N,Dados!$B:$B,B151,Dados!$H:$H,$D$1,Dados!$G:$G,$G$4)</f>
        <v>0</v>
      </c>
      <c r="H151" s="81">
        <f>sumifs(Dados!$N:$N,Dados!$B:$B,B151,Dados!$H:$H,$D$1,Dados!$G:$G,$H$4)</f>
        <v>0</v>
      </c>
      <c r="I151" s="81">
        <f>sumifs(Dados!$N:$N,Dados!$B:$B,B151,Dados!$H:$H,$D$1,Dados!$G:$G,$I$4)</f>
        <v>0</v>
      </c>
      <c r="J151" s="81">
        <f>sumifs(Dados!$N:$N,Dados!$B:$B,B151,Dados!$H:$H,$D$1,Dados!$G:$G,$J$4)</f>
        <v>0</v>
      </c>
      <c r="K151" s="81">
        <f>sumifs(Dados!$N:$N,Dados!$B:$B,B151,Dados!$H:$H,$D$1,Dados!$G:$G,$K$4)</f>
        <v>0</v>
      </c>
      <c r="L151" s="81">
        <f>sumifs(Dados!$N:$N,Dados!$B:$B,B151,Dados!$H:$H,$D$1,Dados!$G:$G,$L$4)</f>
        <v>0</v>
      </c>
      <c r="M151" s="81">
        <f>sumifs(Dados!$N:$N,Dados!$B:$B,B151,Dados!$H:$H,$D$1,Dados!$G:$G,$M$4)</f>
        <v>0</v>
      </c>
      <c r="N151" s="81">
        <f>sumifs(Dados!$N:$N,Dados!$B:$B,B151,Dados!$H:$H,$D$1,Dados!$G:$G,$N$4)</f>
        <v>0</v>
      </c>
      <c r="O151" s="81">
        <f>sumifs(Dados!$N:$N,Dados!$B:$B,B151,Dados!$H:$H,$D$1,Dados!$G:$G,$O$4)</f>
        <v>0</v>
      </c>
      <c r="P151" s="81">
        <f>sumifs(Dados!$N:$N,Dados!$B:$B,B151,Dados!$H:$H,$D$1,Dados!$G:$G,$P$4)</f>
        <v>0</v>
      </c>
      <c r="Q151" s="81"/>
    </row>
    <row r="152" ht="15.75" customHeight="1">
      <c r="A152" s="77"/>
      <c r="B152" s="77" t="s">
        <v>236</v>
      </c>
      <c r="C152" s="79"/>
      <c r="D152" s="80">
        <f t="shared" si="34"/>
        <v>0</v>
      </c>
      <c r="E152" s="81">
        <f>sumifs(Dados!$N:$N,Dados!$B:$B,B152,Dados!$H:$H,$D$1,Dados!$G:$G,$E$4)</f>
        <v>0</v>
      </c>
      <c r="F152" s="81">
        <f>sumifs(Dados!$N:$N,Dados!$B:$B,B152,Dados!$H:$H,$D$1,Dados!$G:$G,$F$4)</f>
        <v>0</v>
      </c>
      <c r="G152" s="81">
        <f>sumifs(Dados!$N:$N,Dados!$B:$B,B152,Dados!$H:$H,$D$1,Dados!$G:$G,$G$4)</f>
        <v>0</v>
      </c>
      <c r="H152" s="81">
        <f>sumifs(Dados!$N:$N,Dados!$B:$B,B152,Dados!$H:$H,$D$1,Dados!$G:$G,$H$4)</f>
        <v>0</v>
      </c>
      <c r="I152" s="81">
        <f>sumifs(Dados!$N:$N,Dados!$B:$B,B152,Dados!$H:$H,$D$1,Dados!$G:$G,$I$4)</f>
        <v>0</v>
      </c>
      <c r="J152" s="81">
        <f>sumifs(Dados!$N:$N,Dados!$B:$B,B152,Dados!$H:$H,$D$1,Dados!$G:$G,$J$4)</f>
        <v>0</v>
      </c>
      <c r="K152" s="81">
        <f>sumifs(Dados!$N:$N,Dados!$B:$B,B152,Dados!$H:$H,$D$1,Dados!$G:$G,$K$4)</f>
        <v>0</v>
      </c>
      <c r="L152" s="81">
        <f>sumifs(Dados!$N:$N,Dados!$B:$B,B152,Dados!$H:$H,$D$1,Dados!$G:$G,$L$4)</f>
        <v>0</v>
      </c>
      <c r="M152" s="81">
        <f>sumifs(Dados!$N:$N,Dados!$B:$B,B152,Dados!$H:$H,$D$1,Dados!$G:$G,$M$4)</f>
        <v>0</v>
      </c>
      <c r="N152" s="81">
        <f>sumifs(Dados!$N:$N,Dados!$B:$B,B152,Dados!$H:$H,$D$1,Dados!$G:$G,$N$4)</f>
        <v>0</v>
      </c>
      <c r="O152" s="81">
        <f>sumifs(Dados!$N:$N,Dados!$B:$B,B152,Dados!$H:$H,$D$1,Dados!$G:$G,$O$4)</f>
        <v>0</v>
      </c>
      <c r="P152" s="81">
        <f>sumifs(Dados!$N:$N,Dados!$B:$B,B152,Dados!$H:$H,$D$1,Dados!$G:$G,$P$4)</f>
        <v>0</v>
      </c>
      <c r="Q152" s="81"/>
    </row>
    <row r="153" ht="15.75" customHeight="1">
      <c r="A153" s="87"/>
      <c r="B153" s="83" t="s">
        <v>237</v>
      </c>
      <c r="C153" s="79"/>
      <c r="D153" s="80">
        <f t="shared" si="34"/>
        <v>0</v>
      </c>
      <c r="E153" s="81">
        <f>sumifs(Dados!$N:$N,Dados!$B:$B,B153,Dados!$H:$H,$D$1,Dados!$G:$G,$E$4)</f>
        <v>0</v>
      </c>
      <c r="F153" s="81">
        <f>sumifs(Dados!$N:$N,Dados!$B:$B,B153,Dados!$H:$H,$D$1,Dados!$G:$G,$F$4)</f>
        <v>0</v>
      </c>
      <c r="G153" s="81">
        <f>sumifs(Dados!$N:$N,Dados!$B:$B,B153,Dados!$H:$H,$D$1,Dados!$G:$G,$G$4)</f>
        <v>0</v>
      </c>
      <c r="H153" s="81">
        <f>sumifs(Dados!$N:$N,Dados!$B:$B,B153,Dados!$H:$H,$D$1,Dados!$G:$G,$H$4)</f>
        <v>0</v>
      </c>
      <c r="I153" s="81">
        <f>sumifs(Dados!$N:$N,Dados!$B:$B,B153,Dados!$H:$H,$D$1,Dados!$G:$G,$I$4)</f>
        <v>0</v>
      </c>
      <c r="J153" s="81">
        <f>sumifs(Dados!$N:$N,Dados!$B:$B,B153,Dados!$H:$H,$D$1,Dados!$G:$G,$J$4)</f>
        <v>0</v>
      </c>
      <c r="K153" s="81">
        <f>sumifs(Dados!$N:$N,Dados!$B:$B,B153,Dados!$H:$H,$D$1,Dados!$G:$G,$K$4)</f>
        <v>0</v>
      </c>
      <c r="L153" s="81">
        <f>sumifs(Dados!$N:$N,Dados!$B:$B,B153,Dados!$H:$H,$D$1,Dados!$G:$G,$L$4)</f>
        <v>0</v>
      </c>
      <c r="M153" s="81">
        <f>sumifs(Dados!$N:$N,Dados!$B:$B,B153,Dados!$H:$H,$D$1,Dados!$G:$G,$M$4)</f>
        <v>0</v>
      </c>
      <c r="N153" s="81">
        <f>sumifs(Dados!$N:$N,Dados!$B:$B,B153,Dados!$H:$H,$D$1,Dados!$G:$G,$N$4)</f>
        <v>0</v>
      </c>
      <c r="O153" s="81">
        <f>sumifs(Dados!$N:$N,Dados!$B:$B,B153,Dados!$H:$H,$D$1,Dados!$G:$G,$O$4)</f>
        <v>0</v>
      </c>
      <c r="P153" s="81">
        <f>sumifs(Dados!$N:$N,Dados!$B:$B,B153,Dados!$H:$H,$D$1,Dados!$G:$G,$P$4)</f>
        <v>0</v>
      </c>
      <c r="Q153" s="81"/>
    </row>
    <row r="154" ht="15.75" customHeight="1">
      <c r="B154" s="32" t="s">
        <v>238</v>
      </c>
      <c r="C154" s="79"/>
      <c r="D154" s="80">
        <f t="shared" si="34"/>
        <v>0</v>
      </c>
      <c r="E154" s="81">
        <f>sumifs(Dados!$N:$N,Dados!$B:$B,$B$154,Dados!$H:$H,$D$1,Dados!$G:$G,E4)</f>
        <v>0</v>
      </c>
      <c r="F154" s="81">
        <f>sumifs(Dados!$N:$N,Dados!$B:$B,$B$154,Dados!$H:$H,$D$1,Dados!$G:$G,F4)</f>
        <v>0</v>
      </c>
      <c r="G154" s="81">
        <f>sumifs(Dados!$N:$N,Dados!$B:$B,$B$154,Dados!$H:$H,$D$1,Dados!$G:$G,G4)</f>
        <v>0</v>
      </c>
      <c r="H154" s="81">
        <f>sumifs(Dados!$N:$N,Dados!$B:$B,$B$154,Dados!$H:$H,$D$1,Dados!$G:$G,H4)</f>
        <v>0</v>
      </c>
      <c r="I154" s="81">
        <f>sumifs(Dados!$N:$N,Dados!$B:$B,$B$154,Dados!$H:$H,$D$1,Dados!$G:$G,I4)</f>
        <v>0</v>
      </c>
      <c r="J154" s="81">
        <f>sumifs(Dados!$N:$N,Dados!$B:$B,$B$154,Dados!$H:$H,$D$1,Dados!$G:$G,J4)</f>
        <v>0</v>
      </c>
      <c r="K154" s="81">
        <f>sumifs(Dados!$N:$N,Dados!$B:$B,$B$154,Dados!$H:$H,$D$1,Dados!$G:$G,K4)</f>
        <v>0</v>
      </c>
      <c r="L154" s="81">
        <f>sumifs(Dados!$N:$N,Dados!$B:$B,$B$154,Dados!$H:$H,$D$1,Dados!$G:$G,L4)</f>
        <v>0</v>
      </c>
      <c r="M154" s="81">
        <f>sumifs(Dados!$N:$N,Dados!$B:$B,$B$154,Dados!$H:$H,$D$1,Dados!$G:$G,M4)</f>
        <v>0</v>
      </c>
      <c r="N154" s="81">
        <f>sumifs(Dados!$N:$N,Dados!$B:$B,$B$154,Dados!$H:$H,$D$1,Dados!$G:$G,N4)</f>
        <v>0</v>
      </c>
      <c r="O154" s="81">
        <f>sumifs(Dados!$N:$N,Dados!$B:$B,$B$154,Dados!$H:$H,$D$1,Dados!$G:$G,O4)</f>
        <v>0</v>
      </c>
      <c r="P154" s="81">
        <f>sumifs(Dados!$N:$N,Dados!$B:$B,$B$154,Dados!$H:$H,$D$1,Dados!$G:$G,P4)</f>
        <v>0</v>
      </c>
      <c r="Q154" s="81"/>
    </row>
    <row r="155" ht="15.75" customHeight="1">
      <c r="A155" s="77"/>
      <c r="B155" s="77" t="s">
        <v>239</v>
      </c>
      <c r="C155" s="79"/>
      <c r="D155" s="80">
        <f t="shared" si="34"/>
        <v>0</v>
      </c>
      <c r="E155" s="81">
        <f>sumifs(Dados!$N:$N,Dados!$B:$B,B155,Dados!$H:$H,$D$1,Dados!$G:$G,$E$4)</f>
        <v>0</v>
      </c>
      <c r="F155" s="81">
        <f>sumifs(Dados!$N:$N,Dados!$B:$B,B155,Dados!$H:$H,$D$1,Dados!$G:$G,$F$4)</f>
        <v>0</v>
      </c>
      <c r="G155" s="81">
        <f>sumifs(Dados!$N:$N,Dados!$B:$B,B155,Dados!$H:$H,$D$1,Dados!$G:$G,$G$4)</f>
        <v>0</v>
      </c>
      <c r="H155" s="81">
        <f>sumifs(Dados!$N:$N,Dados!$B:$B,B155,Dados!$H:$H,$D$1,Dados!$G:$G,$H$4)</f>
        <v>0</v>
      </c>
      <c r="I155" s="81">
        <f>sumifs(Dados!$N:$N,Dados!$B:$B,B155,Dados!$H:$H,$D$1,Dados!$G:$G,$I$4)</f>
        <v>0</v>
      </c>
      <c r="J155" s="81">
        <f>sumifs(Dados!$N:$N,Dados!$B:$B,B155,Dados!$H:$H,$D$1,Dados!$G:$G,$J$4)</f>
        <v>0</v>
      </c>
      <c r="K155" s="81">
        <f>sumifs(Dados!$N:$N,Dados!$B:$B,B155,Dados!$H:$H,$D$1,Dados!$G:$G,$K$4)</f>
        <v>0</v>
      </c>
      <c r="L155" s="81">
        <f>sumifs(Dados!$N:$N,Dados!$B:$B,B155,Dados!$H:$H,$D$1,Dados!$G:$G,$L$4)</f>
        <v>0</v>
      </c>
      <c r="M155" s="81">
        <f>sumifs(Dados!$N:$N,Dados!$B:$B,B155,Dados!$H:$H,$D$1,Dados!$G:$G,$M$4)</f>
        <v>0</v>
      </c>
      <c r="N155" s="81">
        <f>sumifs(Dados!$N:$N,Dados!$B:$B,B155,Dados!$H:$H,$D$1,Dados!$G:$G,$N$4)</f>
        <v>0</v>
      </c>
      <c r="O155" s="81">
        <f>sumifs(Dados!$N:$N,Dados!$B:$B,B155,Dados!$H:$H,$D$1,Dados!$G:$G,$O$4)</f>
        <v>0</v>
      </c>
      <c r="P155" s="81">
        <f>sumifs(Dados!$N:$N,Dados!$B:$B,B155,Dados!$H:$H,$D$1,Dados!$G:$G,$P$4)</f>
        <v>0</v>
      </c>
      <c r="Q155" s="81"/>
    </row>
    <row r="156" ht="15.75" customHeight="1">
      <c r="A156" s="77"/>
      <c r="B156" s="78" t="s">
        <v>240</v>
      </c>
      <c r="C156" s="79"/>
      <c r="D156" s="80">
        <f t="shared" si="34"/>
        <v>0</v>
      </c>
      <c r="E156" s="81">
        <f>sumifs(Dados!$N:$N,Dados!$B:$B,B156,Dados!$H:$H,$D$1,Dados!$G:$G,$E$4)</f>
        <v>0</v>
      </c>
      <c r="F156" s="81">
        <f>sumifs(Dados!$N:$N,Dados!$B:$B,B156,Dados!$H:$H,$D$1,Dados!$G:$G,$F$4)</f>
        <v>0</v>
      </c>
      <c r="G156" s="81">
        <f>sumifs(Dados!$N:$N,Dados!$B:$B,B156,Dados!$H:$H,$D$1,Dados!$G:$G,$G$4)</f>
        <v>0</v>
      </c>
      <c r="H156" s="81">
        <f>sumifs(Dados!$N:$N,Dados!$B:$B,B156,Dados!$H:$H,$D$1,Dados!$G:$G,$H$4)</f>
        <v>0</v>
      </c>
      <c r="I156" s="81">
        <f>sumifs(Dados!$N:$N,Dados!$B:$B,B156,Dados!$H:$H,$D$1,Dados!$G:$G,$I$4)</f>
        <v>0</v>
      </c>
      <c r="J156" s="81">
        <f>sumifs(Dados!$N:$N,Dados!$B:$B,B156,Dados!$H:$H,$D$1,Dados!$G:$G,$J$4)</f>
        <v>0</v>
      </c>
      <c r="K156" s="81">
        <f>sumifs(Dados!$N:$N,Dados!$B:$B,B156,Dados!$H:$H,$D$1,Dados!$G:$G,$K$4)</f>
        <v>0</v>
      </c>
      <c r="L156" s="81">
        <f>sumifs(Dados!$N:$N,Dados!$B:$B,B156,Dados!$H:$H,$D$1,Dados!$G:$G,$L$4)</f>
        <v>0</v>
      </c>
      <c r="M156" s="81">
        <f>sumifs(Dados!$N:$N,Dados!$B:$B,B156,Dados!$H:$H,$D$1,Dados!$G:$G,$M$4)</f>
        <v>0</v>
      </c>
      <c r="N156" s="81">
        <f>sumifs(Dados!$N:$N,Dados!$B:$B,B156,Dados!$H:$H,$D$1,Dados!$G:$G,$N$4)</f>
        <v>0</v>
      </c>
      <c r="O156" s="81">
        <f>sumifs(Dados!$N:$N,Dados!$B:$B,B156,Dados!$H:$H,$D$1,Dados!$G:$G,$O$4)</f>
        <v>0</v>
      </c>
      <c r="P156" s="81">
        <f>sumifs(Dados!$N:$N,Dados!$B:$B,B156,Dados!$H:$H,$D$1,Dados!$G:$G,$P$4)</f>
        <v>0</v>
      </c>
      <c r="Q156" s="81"/>
    </row>
    <row r="157" ht="15.75" customHeight="1">
      <c r="A157" s="99" t="s">
        <v>241</v>
      </c>
      <c r="B157" s="100">
        <f>sumifs(Dados!$N:$N,Dados!$A:$A,A157,Dados!$H:$H,$D$1)</f>
        <v>0</v>
      </c>
      <c r="C157" s="101"/>
      <c r="D157" s="100">
        <f t="shared" ref="D157:P157" si="35">SUM(D145:D156)</f>
        <v>0</v>
      </c>
      <c r="E157" s="100">
        <f t="shared" si="35"/>
        <v>0</v>
      </c>
      <c r="F157" s="100">
        <f t="shared" si="35"/>
        <v>0</v>
      </c>
      <c r="G157" s="100">
        <f t="shared" si="35"/>
        <v>0</v>
      </c>
      <c r="H157" s="100">
        <f t="shared" si="35"/>
        <v>0</v>
      </c>
      <c r="I157" s="100">
        <f t="shared" si="35"/>
        <v>0</v>
      </c>
      <c r="J157" s="100">
        <f t="shared" si="35"/>
        <v>0</v>
      </c>
      <c r="K157" s="100">
        <f t="shared" si="35"/>
        <v>0</v>
      </c>
      <c r="L157" s="100">
        <f t="shared" si="35"/>
        <v>0</v>
      </c>
      <c r="M157" s="100">
        <f t="shared" si="35"/>
        <v>0</v>
      </c>
      <c r="N157" s="100">
        <f t="shared" si="35"/>
        <v>0</v>
      </c>
      <c r="O157" s="100">
        <f t="shared" si="35"/>
        <v>0</v>
      </c>
      <c r="P157" s="100">
        <f t="shared" si="35"/>
        <v>0</v>
      </c>
      <c r="Q157" s="100"/>
    </row>
    <row r="158" ht="15.75" customHeight="1">
      <c r="A158" s="77"/>
      <c r="B158" s="77" t="s">
        <v>242</v>
      </c>
      <c r="C158" s="79"/>
      <c r="D158" s="80">
        <f t="shared" ref="D158:D161" si="36">SUM(E158:P158)</f>
        <v>0</v>
      </c>
      <c r="E158" s="81">
        <f>sumifs(Dados!$N:$N,Dados!$B:$B,B158,Dados!$H:$H,$D$1,Dados!$G:$G,$E$4)</f>
        <v>0</v>
      </c>
      <c r="F158" s="81">
        <f>sumifs(Dados!$N:$N,Dados!$B:$B,B158,Dados!$H:$H,$D$1,Dados!$G:$G,$F$4)</f>
        <v>0</v>
      </c>
      <c r="G158" s="81">
        <f>sumifs(Dados!$N:$N,Dados!$B:$B,B158,Dados!$H:$H,$D$1,Dados!$G:$G,$G$4)</f>
        <v>0</v>
      </c>
      <c r="H158" s="81">
        <f>sumifs(Dados!$N:$N,Dados!$B:$B,B158,Dados!$H:$H,$D$1,Dados!$G:$G,$H$4)</f>
        <v>0</v>
      </c>
      <c r="I158" s="81">
        <f>sumifs(Dados!$N:$N,Dados!$B:$B,B158,Dados!$H:$H,$D$1,Dados!$G:$G,$I$4)</f>
        <v>0</v>
      </c>
      <c r="J158" s="81">
        <f>sumifs(Dados!$N:$N,Dados!$B:$B,B158,Dados!$H:$H,$D$1,Dados!$G:$G,$J$4)</f>
        <v>0</v>
      </c>
      <c r="K158" s="81">
        <f>sumifs(Dados!$N:$N,Dados!$B:$B,B158,Dados!$H:$H,$D$1,Dados!$G:$G,$K$4)</f>
        <v>0</v>
      </c>
      <c r="L158" s="81">
        <f>sumifs(Dados!$N:$N,Dados!$B:$B,B158,Dados!$H:$H,$D$1,Dados!$G:$G,$L$4)</f>
        <v>0</v>
      </c>
      <c r="M158" s="81">
        <f>sumifs(Dados!$N:$N,Dados!$B:$B,B158,Dados!$H:$H,$D$1,Dados!$G:$G,$M$4)</f>
        <v>0</v>
      </c>
      <c r="N158" s="81">
        <f>sumifs(Dados!$N:$N,Dados!$B:$B,B158,Dados!$H:$H,$D$1,Dados!$G:$G,$N$4)</f>
        <v>0</v>
      </c>
      <c r="O158" s="81">
        <f>sumifs(Dados!$N:$N,Dados!$B:$B,B158,Dados!$H:$H,$D$1,Dados!$G:$G,$O$4)</f>
        <v>0</v>
      </c>
      <c r="P158" s="81">
        <f>sumifs(Dados!$N:$N,Dados!$B:$B,B158,Dados!$H:$H,$D$1,Dados!$G:$G,$P$4)</f>
        <v>0</v>
      </c>
      <c r="Q158" s="81"/>
    </row>
    <row r="159" ht="15.75" customHeight="1">
      <c r="A159" s="77"/>
      <c r="B159" s="77" t="s">
        <v>243</v>
      </c>
      <c r="C159" s="79"/>
      <c r="D159" s="80">
        <f t="shared" si="36"/>
        <v>0</v>
      </c>
      <c r="E159" s="81">
        <f>sumifs(Dados!$N:$N,Dados!$B:$B,B159,Dados!$H:$H,$D$1,Dados!$G:$G,$E$4)</f>
        <v>0</v>
      </c>
      <c r="F159" s="81">
        <f>sumifs(Dados!$N:$N,Dados!$B:$B,B159,Dados!$H:$H,$D$1,Dados!$G:$G,$F$4)</f>
        <v>0</v>
      </c>
      <c r="G159" s="81">
        <f>sumifs(Dados!$N:$N,Dados!$B:$B,B159,Dados!$H:$H,$D$1,Dados!$G:$G,$G$4)</f>
        <v>0</v>
      </c>
      <c r="H159" s="81">
        <f>sumifs(Dados!$N:$N,Dados!$B:$B,B159,Dados!$H:$H,$D$1,Dados!$G:$G,$H$4)</f>
        <v>0</v>
      </c>
      <c r="I159" s="81">
        <f>sumifs(Dados!$N:$N,Dados!$B:$B,B159,Dados!$H:$H,$D$1,Dados!$G:$G,$I$4)</f>
        <v>0</v>
      </c>
      <c r="J159" s="81">
        <f>sumifs(Dados!$N:$N,Dados!$B:$B,B159,Dados!$H:$H,$D$1,Dados!$G:$G,$J$4)</f>
        <v>0</v>
      </c>
      <c r="K159" s="81">
        <f>sumifs(Dados!$N:$N,Dados!$B:$B,B159,Dados!$H:$H,$D$1,Dados!$G:$G,$K$4)</f>
        <v>0</v>
      </c>
      <c r="L159" s="81">
        <f>sumifs(Dados!$N:$N,Dados!$B:$B,B159,Dados!$H:$H,$D$1,Dados!$G:$G,$L$4)</f>
        <v>0</v>
      </c>
      <c r="M159" s="81">
        <f>sumifs(Dados!$N:$N,Dados!$B:$B,B159,Dados!$H:$H,$D$1,Dados!$G:$G,$M$4)</f>
        <v>0</v>
      </c>
      <c r="N159" s="81">
        <f>sumifs(Dados!$N:$N,Dados!$B:$B,B159,Dados!$H:$H,$D$1,Dados!$G:$G,$N$4)</f>
        <v>0</v>
      </c>
      <c r="O159" s="81">
        <f>sumifs(Dados!$N:$N,Dados!$B:$B,B159,Dados!$H:$H,$D$1,Dados!$G:$G,$O$4)</f>
        <v>0</v>
      </c>
      <c r="P159" s="81">
        <f>sumifs(Dados!$N:$N,Dados!$B:$B,B159,Dados!$H:$H,$D$1,Dados!$G:$G,$P$4)</f>
        <v>0</v>
      </c>
      <c r="Q159" s="81"/>
    </row>
    <row r="160" ht="15.75" customHeight="1">
      <c r="A160" s="77"/>
      <c r="B160" s="78" t="s">
        <v>244</v>
      </c>
      <c r="C160" s="79"/>
      <c r="D160" s="80">
        <f t="shared" si="36"/>
        <v>0</v>
      </c>
      <c r="E160" s="81">
        <f>sumifs(Dados!$N:$N,Dados!$B:$B,$B$160,Dados!$H:$H,$D$1,Dados!$G:$G,E4)</f>
        <v>0</v>
      </c>
      <c r="F160" s="81">
        <f>sumifs(Dados!$N:$N,Dados!$B:$B,$B$160,Dados!$H:$H,$D$1,Dados!$G:$G,F4)</f>
        <v>0</v>
      </c>
      <c r="G160" s="81">
        <f>sumifs(Dados!$N:$N,Dados!$B:$B,$B$160,Dados!$H:$H,$D$1,Dados!$G:$G,G4)</f>
        <v>0</v>
      </c>
      <c r="H160" s="81">
        <f>sumifs(Dados!$N:$N,Dados!$B:$B,$B$160,Dados!$H:$H,$D$1,Dados!$G:$G,H4)</f>
        <v>0</v>
      </c>
      <c r="I160" s="81">
        <f>sumifs(Dados!$N:$N,Dados!$B:$B,$B$160,Dados!$H:$H,$D$1,Dados!$G:$G,I4)</f>
        <v>0</v>
      </c>
      <c r="J160" s="81">
        <f>sumifs(Dados!$N:$N,Dados!$B:$B,$B$160,Dados!$H:$H,$D$1,Dados!$G:$G,J4)</f>
        <v>0</v>
      </c>
      <c r="K160" s="81">
        <f>sumifs(Dados!$N:$N,Dados!$B:$B,$B$160,Dados!$H:$H,$D$1,Dados!$G:$G,K4)</f>
        <v>0</v>
      </c>
      <c r="L160" s="81">
        <f>sumifs(Dados!$N:$N,Dados!$B:$B,$B$160,Dados!$H:$H,$D$1,Dados!$G:$G,L4)</f>
        <v>0</v>
      </c>
      <c r="M160" s="81">
        <f>sumifs(Dados!$N:$N,Dados!$B:$B,$B$160,Dados!$H:$H,$D$1,Dados!$G:$G,M4)</f>
        <v>0</v>
      </c>
      <c r="N160" s="81">
        <f>sumifs(Dados!$N:$N,Dados!$B:$B,$B$160,Dados!$H:$H,$D$1,Dados!$G:$G,N4)</f>
        <v>0</v>
      </c>
      <c r="O160" s="81">
        <f>sumifs(Dados!$N:$N,Dados!$B:$B,$B$160,Dados!$H:$H,$D$1,Dados!$G:$G,O4)</f>
        <v>0</v>
      </c>
      <c r="P160" s="81">
        <f>sumifs(Dados!$N:$N,Dados!$B:$B,$B$160,Dados!$H:$H,$D$1,Dados!$G:$G,P4)</f>
        <v>0</v>
      </c>
      <c r="Q160" s="81"/>
    </row>
    <row r="161" ht="15.75" customHeight="1">
      <c r="A161" s="77"/>
      <c r="B161" s="77" t="s">
        <v>245</v>
      </c>
      <c r="C161" s="79"/>
      <c r="D161" s="80">
        <f t="shared" si="36"/>
        <v>0</v>
      </c>
      <c r="E161" s="81">
        <f>sumifs(Dados!$N:$N,Dados!$B:$B,B161,Dados!$H:$H,$D$1,Dados!$G:$G,$E$4)</f>
        <v>0</v>
      </c>
      <c r="F161" s="81">
        <f>sumifs(Dados!$N:$N,Dados!$B:$B,B161,Dados!$H:$H,$D$1,Dados!$G:$G,$F$4)</f>
        <v>0</v>
      </c>
      <c r="G161" s="81">
        <f>sumifs(Dados!$N:$N,Dados!$B:$B,B161,Dados!$H:$H,$D$1,Dados!$G:$G,$G$4)</f>
        <v>0</v>
      </c>
      <c r="H161" s="81">
        <f>sumifs(Dados!$N:$N,Dados!$B:$B,B161,Dados!$H:$H,$D$1,Dados!$G:$G,$H$4)</f>
        <v>0</v>
      </c>
      <c r="I161" s="81">
        <f>sumifs(Dados!$N:$N,Dados!$B:$B,B161,Dados!$H:$H,$D$1,Dados!$G:$G,$I$4)</f>
        <v>0</v>
      </c>
      <c r="J161" s="81">
        <f>sumifs(Dados!$N:$N,Dados!$B:$B,B161,Dados!$H:$H,$D$1,Dados!$G:$G,$J$4)</f>
        <v>0</v>
      </c>
      <c r="K161" s="81">
        <f>sumifs(Dados!$N:$N,Dados!$B:$B,B161,Dados!$H:$H,$D$1,Dados!$G:$G,$K$4)</f>
        <v>0</v>
      </c>
      <c r="L161" s="81">
        <f>sumifs(Dados!$N:$N,Dados!$B:$B,B161,Dados!$H:$H,$D$1,Dados!$G:$G,$L$4)</f>
        <v>0</v>
      </c>
      <c r="M161" s="81">
        <f>sumifs(Dados!$N:$N,Dados!$B:$B,B161,Dados!$H:$H,$D$1,Dados!$G:$G,$M$4)</f>
        <v>0</v>
      </c>
      <c r="N161" s="81">
        <f>sumifs(Dados!$N:$N,Dados!$B:$B,B161,Dados!$H:$H,$D$1,Dados!$G:$G,$N$4)</f>
        <v>0</v>
      </c>
      <c r="O161" s="81">
        <f>sumifs(Dados!$N:$N,Dados!$B:$B,B161,Dados!$H:$H,$D$1,Dados!$G:$G,$O$4)</f>
        <v>0</v>
      </c>
      <c r="P161" s="81">
        <f>sumifs(Dados!$N:$N,Dados!$B:$B,B161,Dados!$H:$H,$D$1,Dados!$G:$G,$P$4)</f>
        <v>0</v>
      </c>
      <c r="Q161" s="81"/>
    </row>
    <row r="162" ht="15.75" customHeight="1">
      <c r="A162" s="99" t="s">
        <v>246</v>
      </c>
      <c r="B162" s="100">
        <f>sumifs(Dados!$N:$N,Dados!$A:$A,A162,Dados!$H:$H,$D$1)</f>
        <v>0</v>
      </c>
      <c r="C162" s="101"/>
      <c r="D162" s="100">
        <f t="shared" ref="D162:P162" si="37">SUM(D158:D161)</f>
        <v>0</v>
      </c>
      <c r="E162" s="100">
        <f t="shared" si="37"/>
        <v>0</v>
      </c>
      <c r="F162" s="100">
        <f t="shared" si="37"/>
        <v>0</v>
      </c>
      <c r="G162" s="100">
        <f t="shared" si="37"/>
        <v>0</v>
      </c>
      <c r="H162" s="100">
        <f t="shared" si="37"/>
        <v>0</v>
      </c>
      <c r="I162" s="100">
        <f t="shared" si="37"/>
        <v>0</v>
      </c>
      <c r="J162" s="100">
        <f t="shared" si="37"/>
        <v>0</v>
      </c>
      <c r="K162" s="100">
        <f t="shared" si="37"/>
        <v>0</v>
      </c>
      <c r="L162" s="100">
        <f t="shared" si="37"/>
        <v>0</v>
      </c>
      <c r="M162" s="100">
        <f t="shared" si="37"/>
        <v>0</v>
      </c>
      <c r="N162" s="100">
        <f t="shared" si="37"/>
        <v>0</v>
      </c>
      <c r="O162" s="100">
        <f t="shared" si="37"/>
        <v>0</v>
      </c>
      <c r="P162" s="100">
        <f t="shared" si="37"/>
        <v>0</v>
      </c>
      <c r="Q162" s="100"/>
    </row>
    <row r="163" ht="15.75" customHeight="1">
      <c r="A163" s="77"/>
      <c r="B163" s="78" t="s">
        <v>247</v>
      </c>
      <c r="C163" s="79"/>
      <c r="D163" s="80">
        <f t="shared" ref="D163:D166" si="38">SUM(E163:P163)</f>
        <v>0</v>
      </c>
      <c r="E163" s="81">
        <f>sumifs(Dados!$N:$N,Dados!$B:$B,B163,Dados!$H:$H,$D$1,Dados!$G:$G,$E$4)</f>
        <v>0</v>
      </c>
      <c r="F163" s="81">
        <f>sumifs(Dados!$N:$N,Dados!$B:$B,B163,Dados!$H:$H,$D$1,Dados!$G:$G,$F$4)</f>
        <v>0</v>
      </c>
      <c r="G163" s="81">
        <f>sumifs(Dados!$N:$N,Dados!$B:$B,B163,Dados!$H:$H,$D$1,Dados!$G:$G,$G$4)</f>
        <v>0</v>
      </c>
      <c r="H163" s="81">
        <f>sumifs(Dados!$N:$N,Dados!$B:$B,B163,Dados!$H:$H,$D$1,Dados!$G:$G,$H$4)</f>
        <v>0</v>
      </c>
      <c r="I163" s="81">
        <f>sumifs(Dados!$N:$N,Dados!$B:$B,B163,Dados!$H:$H,$D$1,Dados!$G:$G,$I$4)</f>
        <v>0</v>
      </c>
      <c r="J163" s="81">
        <f>sumifs(Dados!$N:$N,Dados!$B:$B,B163,Dados!$H:$H,$D$1,Dados!$G:$G,$J$4)</f>
        <v>0</v>
      </c>
      <c r="K163" s="81">
        <f>sumifs(Dados!$N:$N,Dados!$B:$B,B163,Dados!$H:$H,$D$1,Dados!$G:$G,$K$4)</f>
        <v>0</v>
      </c>
      <c r="L163" s="81">
        <f>sumifs(Dados!$N:$N,Dados!$B:$B,B163,Dados!$H:$H,$D$1,Dados!$G:$G,$L$4)</f>
        <v>0</v>
      </c>
      <c r="M163" s="81">
        <f>sumifs(Dados!$N:$N,Dados!$B:$B,B163,Dados!$H:$H,$D$1,Dados!$G:$G,$M$4)</f>
        <v>0</v>
      </c>
      <c r="N163" s="81">
        <f>sumifs(Dados!$N:$N,Dados!$B:$B,B163,Dados!$H:$H,$D$1,Dados!$G:$G,$N$4)</f>
        <v>0</v>
      </c>
      <c r="O163" s="81">
        <f>sumifs(Dados!$N:$N,Dados!$B:$B,B163,Dados!$H:$H,$D$1,Dados!$G:$G,$O$4)</f>
        <v>0</v>
      </c>
      <c r="P163" s="81">
        <f>sumifs(Dados!$N:$N,Dados!$B:$B,B163,Dados!$H:$H,$D$1,Dados!$G:$G,$P$4)</f>
        <v>0</v>
      </c>
      <c r="Q163" s="81"/>
    </row>
    <row r="164" ht="15.75" customHeight="1">
      <c r="A164" s="87"/>
      <c r="B164" s="83" t="s">
        <v>248</v>
      </c>
      <c r="C164" s="79"/>
      <c r="D164" s="80">
        <f t="shared" si="38"/>
        <v>0</v>
      </c>
      <c r="E164" s="81">
        <f>sumifs(Dados!$N:$N,Dados!$B:$B,B164,Dados!$H:$H,$D$1,Dados!$G:$G,$E$4)</f>
        <v>0</v>
      </c>
      <c r="F164" s="81">
        <f>sumifs(Dados!$N:$N,Dados!$B:$B,B164,Dados!$H:$H,$D$1,Dados!$G:$G,$F$4)</f>
        <v>0</v>
      </c>
      <c r="G164" s="81">
        <f>sumifs(Dados!$N:$N,Dados!$B:$B,B164,Dados!$H:$H,$D$1,Dados!$G:$G,$G$4)</f>
        <v>0</v>
      </c>
      <c r="H164" s="81">
        <f>sumifs(Dados!$N:$N,Dados!$B:$B,B164,Dados!$H:$H,$D$1,Dados!$G:$G,$H$4)</f>
        <v>0</v>
      </c>
      <c r="I164" s="81">
        <f>sumifs(Dados!$N:$N,Dados!$B:$B,B164,Dados!$H:$H,$D$1,Dados!$G:$G,$I$4)</f>
        <v>0</v>
      </c>
      <c r="J164" s="81">
        <f>sumifs(Dados!$N:$N,Dados!$B:$B,B164,Dados!$H:$H,$D$1,Dados!$G:$G,$J$4)</f>
        <v>0</v>
      </c>
      <c r="K164" s="81">
        <f>sumifs(Dados!$N:$N,Dados!$B:$B,B164,Dados!$H:$H,$D$1,Dados!$G:$G,$K$4)</f>
        <v>0</v>
      </c>
      <c r="L164" s="81">
        <f>sumifs(Dados!$N:$N,Dados!$B:$B,B164,Dados!$H:$H,$D$1,Dados!$G:$G,$L$4)</f>
        <v>0</v>
      </c>
      <c r="M164" s="81">
        <f>sumifs(Dados!$N:$N,Dados!$B:$B,B164,Dados!$H:$H,$D$1,Dados!$G:$G,$M$4)</f>
        <v>0</v>
      </c>
      <c r="N164" s="81">
        <f>sumifs(Dados!$N:$N,Dados!$B:$B,B164,Dados!$H:$H,$D$1,Dados!$G:$G,$N$4)</f>
        <v>0</v>
      </c>
      <c r="O164" s="81">
        <f>sumifs(Dados!$N:$N,Dados!$B:$B,B164,Dados!$H:$H,$D$1,Dados!$G:$G,$O$4)</f>
        <v>0</v>
      </c>
      <c r="P164" s="81">
        <f>sumifs(Dados!$N:$N,Dados!$B:$B,B164,Dados!$H:$H,$D$1,Dados!$G:$G,$P$4)</f>
        <v>0</v>
      </c>
      <c r="Q164" s="81"/>
    </row>
    <row r="165" ht="15.75" customHeight="1">
      <c r="A165" s="87"/>
      <c r="B165" s="87" t="s">
        <v>249</v>
      </c>
      <c r="C165" s="79"/>
      <c r="D165" s="80">
        <f t="shared" si="38"/>
        <v>0</v>
      </c>
      <c r="E165" s="81">
        <f>sumifs(Dados!$N:$N,Dados!$B:$B,B165,Dados!$H:$H,$D$1,Dados!$G:$G,$E$4)</f>
        <v>0</v>
      </c>
      <c r="F165" s="81">
        <f>sumifs(Dados!$N:$N,Dados!$B:$B,B165,Dados!$H:$H,$D$1,Dados!$G:$G,$F$4)</f>
        <v>0</v>
      </c>
      <c r="G165" s="81">
        <f>sumifs(Dados!$N:$N,Dados!$B:$B,B165,Dados!$H:$H,$D$1,Dados!$G:$G,$G$4)</f>
        <v>0</v>
      </c>
      <c r="H165" s="81">
        <f>sumifs(Dados!$N:$N,Dados!$B:$B,B165,Dados!$H:$H,$D$1,Dados!$G:$G,$H$4)</f>
        <v>0</v>
      </c>
      <c r="I165" s="81">
        <f>sumifs(Dados!$N:$N,Dados!$B:$B,B165,Dados!$H:$H,$D$1,Dados!$G:$G,$I$4)</f>
        <v>0</v>
      </c>
      <c r="J165" s="81">
        <f>sumifs(Dados!$N:$N,Dados!$B:$B,B165,Dados!$H:$H,$D$1,Dados!$G:$G,$J$4)</f>
        <v>0</v>
      </c>
      <c r="K165" s="81">
        <f>sumifs(Dados!$N:$N,Dados!$B:$B,B165,Dados!$H:$H,$D$1,Dados!$G:$G,$K$4)</f>
        <v>0</v>
      </c>
      <c r="L165" s="81">
        <f>sumifs(Dados!$N:$N,Dados!$B:$B,B165,Dados!$H:$H,$D$1,Dados!$G:$G,$L$4)</f>
        <v>0</v>
      </c>
      <c r="M165" s="81">
        <f>sumifs(Dados!$N:$N,Dados!$B:$B,B165,Dados!$H:$H,$D$1,Dados!$G:$G,$M$4)</f>
        <v>0</v>
      </c>
      <c r="N165" s="81">
        <f>sumifs(Dados!$N:$N,Dados!$B:$B,B165,Dados!$H:$H,$D$1,Dados!$G:$G,$N$4)</f>
        <v>0</v>
      </c>
      <c r="O165" s="81">
        <f>sumifs(Dados!$N:$N,Dados!$B:$B,B165,Dados!$H:$H,$D$1,Dados!$G:$G,$O$4)</f>
        <v>0</v>
      </c>
      <c r="P165" s="81">
        <f>sumifs(Dados!$N:$N,Dados!$B:$B,B165,Dados!$H:$H,$D$1,Dados!$G:$G,$P$4)</f>
        <v>0</v>
      </c>
      <c r="Q165" s="81"/>
    </row>
    <row r="166" ht="15.75" customHeight="1">
      <c r="A166" s="77"/>
      <c r="B166" s="77" t="s">
        <v>250</v>
      </c>
      <c r="C166" s="79"/>
      <c r="D166" s="80">
        <f t="shared" si="38"/>
        <v>509.49</v>
      </c>
      <c r="E166" s="81">
        <f>sumifs(Dados!$N:$N,Dados!$B:$B,B166,Dados!$H:$H,$D$1,Dados!$G:$G,$E$4)</f>
        <v>0</v>
      </c>
      <c r="F166" s="81">
        <f>sumifs(Dados!$N:$N,Dados!$B:$B,B166,Dados!$H:$H,$D$1,Dados!$G:$G,$F$4)</f>
        <v>0</v>
      </c>
      <c r="G166" s="81">
        <f>sumifs(Dados!$N:$N,Dados!$B:$B,B166,Dados!$H:$H,$D$1,Dados!$G:$G,$G$4)</f>
        <v>0</v>
      </c>
      <c r="H166" s="81">
        <f>sumifs(Dados!$N:$N,Dados!$B:$B,B166,Dados!$H:$H,$D$1,Dados!$G:$G,$H$4)</f>
        <v>89.28</v>
      </c>
      <c r="I166" s="81">
        <f>sumifs(Dados!$N:$N,Dados!$B:$B,B166,Dados!$H:$H,$D$1,Dados!$G:$G,$I$4)</f>
        <v>167.4</v>
      </c>
      <c r="J166" s="81">
        <f>sumifs(Dados!$N:$N,Dados!$B:$B,B166,Dados!$H:$H,$D$1,Dados!$G:$G,$J$4)</f>
        <v>100.44</v>
      </c>
      <c r="K166" s="81">
        <f>sumifs(Dados!$N:$N,Dados!$B:$B,B166,Dados!$H:$H,$D$1,Dados!$G:$G,$K$4)</f>
        <v>152.37</v>
      </c>
      <c r="L166" s="81">
        <f>sumifs(Dados!$N:$N,Dados!$B:$B,B166,Dados!$H:$H,$D$1,Dados!$G:$G,$L$4)</f>
        <v>0</v>
      </c>
      <c r="M166" s="81">
        <f>sumifs(Dados!$N:$N,Dados!$B:$B,B166,Dados!$H:$H,$D$1,Dados!$G:$G,$M$4)</f>
        <v>0</v>
      </c>
      <c r="N166" s="81">
        <f>sumifs(Dados!$N:$N,Dados!$B:$B,B166,Dados!$H:$H,$D$1,Dados!$G:$G,$N$4)</f>
        <v>0</v>
      </c>
      <c r="O166" s="81">
        <f>sumifs(Dados!$N:$N,Dados!$B:$B,B166,Dados!$H:$H,$D$1,Dados!$G:$G,$O$4)</f>
        <v>0</v>
      </c>
      <c r="P166" s="81">
        <f>sumifs(Dados!$N:$N,Dados!$B:$B,B166,Dados!$H:$H,$D$1,Dados!$G:$G,$P$4)</f>
        <v>0</v>
      </c>
      <c r="Q166" s="81"/>
    </row>
    <row r="167" ht="15.75" customHeight="1">
      <c r="A167" s="99" t="s">
        <v>251</v>
      </c>
      <c r="B167" s="100">
        <f>sumifs(Dados!$N:$N,Dados!$A:$A,A167,Dados!$H:$H,$D$1)</f>
        <v>509.49</v>
      </c>
      <c r="C167" s="101">
        <f>D167+D162+D157-B167</f>
        <v>0</v>
      </c>
      <c r="D167" s="100">
        <f t="shared" ref="D167:P167" si="39">SUM(D163:D166)</f>
        <v>509.49</v>
      </c>
      <c r="E167" s="100">
        <f t="shared" si="39"/>
        <v>0</v>
      </c>
      <c r="F167" s="100">
        <f t="shared" si="39"/>
        <v>0</v>
      </c>
      <c r="G167" s="100">
        <f t="shared" si="39"/>
        <v>0</v>
      </c>
      <c r="H167" s="100">
        <f t="shared" si="39"/>
        <v>89.28</v>
      </c>
      <c r="I167" s="100">
        <f t="shared" si="39"/>
        <v>167.4</v>
      </c>
      <c r="J167" s="100">
        <f t="shared" si="39"/>
        <v>100.44</v>
      </c>
      <c r="K167" s="100">
        <f t="shared" si="39"/>
        <v>152.37</v>
      </c>
      <c r="L167" s="100">
        <f t="shared" si="39"/>
        <v>0</v>
      </c>
      <c r="M167" s="100">
        <f t="shared" si="39"/>
        <v>0</v>
      </c>
      <c r="N167" s="100">
        <f t="shared" si="39"/>
        <v>0</v>
      </c>
      <c r="O167" s="100">
        <f t="shared" si="39"/>
        <v>0</v>
      </c>
      <c r="P167" s="100">
        <f t="shared" si="39"/>
        <v>0</v>
      </c>
      <c r="Q167" s="100"/>
    </row>
    <row r="168" ht="15.75" customHeight="1">
      <c r="A168" s="77"/>
      <c r="B168" s="78" t="s">
        <v>240</v>
      </c>
      <c r="C168" s="79"/>
      <c r="D168" s="80">
        <f t="shared" ref="D168:D173" si="40">SUM(E168:P168)</f>
        <v>0</v>
      </c>
      <c r="E168" s="81">
        <f>sumifs(Dados!$N:$N,Dados!$B:$B,B168,Dados!$H:$H,$D$1,Dados!$G:$G,$E$4)</f>
        <v>0</v>
      </c>
      <c r="F168" s="81">
        <f>sumifs(Dados!$N:$N,Dados!$B:$B,B168,Dados!$H:$H,$D$1,Dados!$G:$G,$F$4)</f>
        <v>0</v>
      </c>
      <c r="G168" s="81">
        <f>sumifs(Dados!$N:$N,Dados!$B:$B,B168,Dados!$H:$H,$D$1,Dados!$G:$G,$G$4)</f>
        <v>0</v>
      </c>
      <c r="H168" s="81">
        <f>sumifs(Dados!$N:$N,Dados!$B:$B,B168,Dados!$H:$H,$D$1,Dados!$G:$G,$H$4)</f>
        <v>0</v>
      </c>
      <c r="I168" s="81">
        <f>sumifs(Dados!$N:$N,Dados!$B:$B,B168,Dados!$H:$H,$D$1,Dados!$G:$G,$I$4)</f>
        <v>0</v>
      </c>
      <c r="J168" s="81">
        <f>sumifs(Dados!$N:$N,Dados!$B:$B,B168,Dados!$H:$H,$D$1,Dados!$G:$G,$J$4)</f>
        <v>0</v>
      </c>
      <c r="K168" s="81">
        <f>sumifs(Dados!$N:$N,Dados!$B:$B,B168,Dados!$H:$H,$D$1,Dados!$G:$G,$K$4)</f>
        <v>0</v>
      </c>
      <c r="L168" s="81">
        <f>sumifs(Dados!$N:$N,Dados!$B:$B,B168,Dados!$H:$H,$D$1,Dados!$G:$G,$L$4)</f>
        <v>0</v>
      </c>
      <c r="M168" s="81">
        <f>sumifs(Dados!$N:$N,Dados!$B:$B,B168,Dados!$H:$H,$D$1,Dados!$G:$G,$M$4)</f>
        <v>0</v>
      </c>
      <c r="N168" s="81">
        <f>sumifs(Dados!$N:$N,Dados!$B:$B,B168,Dados!$H:$H,$D$1,Dados!$G:$G,$N$4)</f>
        <v>0</v>
      </c>
      <c r="O168" s="81">
        <f>sumifs(Dados!$N:$N,Dados!$B:$B,B168,Dados!$H:$H,$D$1,Dados!$G:$G,$O$4)</f>
        <v>0</v>
      </c>
      <c r="P168" s="81">
        <f>sumifs(Dados!$N:$N,Dados!$B:$B,B168,Dados!$H:$H,$D$1,Dados!$G:$G,$P$4)</f>
        <v>0</v>
      </c>
      <c r="Q168" s="81"/>
    </row>
    <row r="169" ht="15.75" customHeight="1">
      <c r="A169" s="77"/>
      <c r="B169" s="77" t="s">
        <v>252</v>
      </c>
      <c r="C169" s="79"/>
      <c r="D169" s="80">
        <f t="shared" si="40"/>
        <v>0</v>
      </c>
      <c r="E169" s="81">
        <f>sumifs(Dados!$N:$N,Dados!$B:$B,B169,Dados!$H:$H,$D$1,Dados!$G:$G,$E$4)</f>
        <v>0</v>
      </c>
      <c r="F169" s="81">
        <f>sumifs(Dados!$N:$N,Dados!$B:$B,B169,Dados!$H:$H,$D$1,Dados!$G:$G,$F$4)</f>
        <v>0</v>
      </c>
      <c r="G169" s="81">
        <f>sumifs(Dados!$N:$N,Dados!$B:$B,B169,Dados!$H:$H,$D$1,Dados!$G:$G,$G$4)</f>
        <v>0</v>
      </c>
      <c r="H169" s="81">
        <f>sumifs(Dados!$N:$N,Dados!$B:$B,B169,Dados!$H:$H,$D$1,Dados!$G:$G,$H$4)</f>
        <v>0</v>
      </c>
      <c r="I169" s="81">
        <f>sumifs(Dados!$N:$N,Dados!$B:$B,B169,Dados!$H:$H,$D$1,Dados!$G:$G,$I$4)</f>
        <v>0</v>
      </c>
      <c r="J169" s="81">
        <f>sumifs(Dados!$N:$N,Dados!$B:$B,B169,Dados!$H:$H,$D$1,Dados!$G:$G,$J$4)</f>
        <v>0</v>
      </c>
      <c r="K169" s="81">
        <f>sumifs(Dados!$N:$N,Dados!$B:$B,B169,Dados!$H:$H,$D$1,Dados!$G:$G,$K$4)</f>
        <v>0</v>
      </c>
      <c r="L169" s="81">
        <f>sumifs(Dados!$N:$N,Dados!$B:$B,B169,Dados!$H:$H,$D$1,Dados!$G:$G,$L$4)</f>
        <v>0</v>
      </c>
      <c r="M169" s="81">
        <f>sumifs(Dados!$N:$N,Dados!$B:$B,B169,Dados!$H:$H,$D$1,Dados!$G:$G,$M$4)</f>
        <v>0</v>
      </c>
      <c r="N169" s="81">
        <f>sumifs(Dados!$N:$N,Dados!$B:$B,B169,Dados!$H:$H,$D$1,Dados!$G:$G,$N$4)</f>
        <v>0</v>
      </c>
      <c r="O169" s="81">
        <f>sumifs(Dados!$N:$N,Dados!$B:$B,B169,Dados!$H:$H,$D$1,Dados!$G:$G,$O$4)</f>
        <v>0</v>
      </c>
      <c r="P169" s="81">
        <f>sumifs(Dados!$N:$N,Dados!$B:$B,B169,Dados!$H:$H,$D$1,Dados!$G:$G,$P$4)</f>
        <v>0</v>
      </c>
      <c r="Q169" s="81"/>
    </row>
    <row r="170" ht="15.75" customHeight="1">
      <c r="A170" s="77"/>
      <c r="B170" s="77" t="s">
        <v>253</v>
      </c>
      <c r="C170" s="79"/>
      <c r="D170" s="80">
        <f t="shared" si="40"/>
        <v>0</v>
      </c>
      <c r="E170" s="81">
        <f>sumifs(Dados!$N:$N,Dados!$B:$B,B170,Dados!$H:$H,$D$1,Dados!$G:$G,$E$4)</f>
        <v>0</v>
      </c>
      <c r="F170" s="81">
        <f>sumifs(Dados!$N:$N,Dados!$B:$B,B170,Dados!$H:$H,$D$1,Dados!$G:$G,$F$4)</f>
        <v>0</v>
      </c>
      <c r="G170" s="81">
        <f>sumifs(Dados!$N:$N,Dados!$B:$B,B170,Dados!$H:$H,$D$1,Dados!$G:$G,$G$4)</f>
        <v>0</v>
      </c>
      <c r="H170" s="81">
        <f>sumifs(Dados!$N:$N,Dados!$B:$B,B170,Dados!$H:$H,$D$1,Dados!$G:$G,$H$4)</f>
        <v>0</v>
      </c>
      <c r="I170" s="81">
        <f>sumifs(Dados!$N:$N,Dados!$B:$B,B170,Dados!$H:$H,$D$1,Dados!$G:$G,$I$4)</f>
        <v>0</v>
      </c>
      <c r="J170" s="81">
        <f>sumifs(Dados!$N:$N,Dados!$B:$B,B170,Dados!$H:$H,$D$1,Dados!$G:$G,$J$4)</f>
        <v>0</v>
      </c>
      <c r="K170" s="81">
        <f>sumifs(Dados!$N:$N,Dados!$B:$B,B170,Dados!$H:$H,$D$1,Dados!$G:$G,$K$4)</f>
        <v>0</v>
      </c>
      <c r="L170" s="81">
        <f>sumifs(Dados!$N:$N,Dados!$B:$B,B170,Dados!$H:$H,$D$1,Dados!$G:$G,$L$4)</f>
        <v>0</v>
      </c>
      <c r="M170" s="81">
        <f>sumifs(Dados!$N:$N,Dados!$B:$B,B170,Dados!$H:$H,$D$1,Dados!$G:$G,$M$4)</f>
        <v>0</v>
      </c>
      <c r="N170" s="81">
        <f>sumifs(Dados!$N:$N,Dados!$B:$B,B170,Dados!$H:$H,$D$1,Dados!$G:$G,$N$4)</f>
        <v>0</v>
      </c>
      <c r="O170" s="81">
        <f>sumifs(Dados!$N:$N,Dados!$B:$B,B170,Dados!$H:$H,$D$1,Dados!$G:$G,$O$4)</f>
        <v>0</v>
      </c>
      <c r="P170" s="81">
        <f>sumifs(Dados!$N:$N,Dados!$B:$B,B170,Dados!$H:$H,$D$1,Dados!$G:$G,$P$4)</f>
        <v>0</v>
      </c>
      <c r="Q170" s="81"/>
    </row>
    <row r="171" ht="15.75" customHeight="1">
      <c r="A171" s="77"/>
      <c r="B171" s="77" t="s">
        <v>254</v>
      </c>
      <c r="C171" s="79"/>
      <c r="D171" s="80">
        <f t="shared" si="40"/>
        <v>0</v>
      </c>
      <c r="E171" s="81">
        <f>sumifs(Dados!$N:$N,Dados!$B:$B,B171,Dados!$H:$H,$D$1,Dados!$G:$G,$E$4)</f>
        <v>0</v>
      </c>
      <c r="F171" s="81">
        <f>sumifs(Dados!$N:$N,Dados!$B:$B,B171,Dados!$H:$H,$D$1,Dados!$G:$G,$F$4)</f>
        <v>0</v>
      </c>
      <c r="G171" s="81">
        <f>sumifs(Dados!$N:$N,Dados!$B:$B,B171,Dados!$H:$H,$D$1,Dados!$G:$G,$G$4)</f>
        <v>0</v>
      </c>
      <c r="H171" s="81">
        <f>sumifs(Dados!$N:$N,Dados!$B:$B,B171,Dados!$H:$H,$D$1,Dados!$G:$G,$H$4)</f>
        <v>0</v>
      </c>
      <c r="I171" s="81">
        <f>sumifs(Dados!$N:$N,Dados!$B:$B,B171,Dados!$H:$H,$D$1,Dados!$G:$G,$I$4)</f>
        <v>0</v>
      </c>
      <c r="J171" s="81">
        <f>sumifs(Dados!$N:$N,Dados!$B:$B,B171,Dados!$H:$H,$D$1,Dados!$G:$G,$J$4)</f>
        <v>0</v>
      </c>
      <c r="K171" s="81">
        <f>sumifs(Dados!$N:$N,Dados!$B:$B,B171,Dados!$H:$H,$D$1,Dados!$G:$G,$K$4)</f>
        <v>0</v>
      </c>
      <c r="L171" s="81">
        <f>sumifs(Dados!$N:$N,Dados!$B:$B,B171,Dados!$H:$H,$D$1,Dados!$G:$G,$L$4)</f>
        <v>0</v>
      </c>
      <c r="M171" s="81">
        <f>sumifs(Dados!$N:$N,Dados!$B:$B,B171,Dados!$H:$H,$D$1,Dados!$G:$G,$M$4)</f>
        <v>0</v>
      </c>
      <c r="N171" s="81">
        <f>sumifs(Dados!$N:$N,Dados!$B:$B,B171,Dados!$H:$H,$D$1,Dados!$G:$G,$N$4)</f>
        <v>0</v>
      </c>
      <c r="O171" s="81">
        <f>sumifs(Dados!$N:$N,Dados!$B:$B,B171,Dados!$H:$H,$D$1,Dados!$G:$G,$O$4)</f>
        <v>0</v>
      </c>
      <c r="P171" s="81">
        <f>sumifs(Dados!$N:$N,Dados!$B:$B,B171,Dados!$H:$H,$D$1,Dados!$G:$G,$P$4)</f>
        <v>0</v>
      </c>
      <c r="Q171" s="81"/>
    </row>
    <row r="172" ht="15.75" customHeight="1">
      <c r="A172" s="77"/>
      <c r="B172" s="77" t="s">
        <v>255</v>
      </c>
      <c r="C172" s="79"/>
      <c r="D172" s="80">
        <f t="shared" si="40"/>
        <v>0</v>
      </c>
      <c r="E172" s="81">
        <f>sumifs(Dados!$N:$N,Dados!$B:$B,B172,Dados!$H:$H,$D$1,Dados!$G:$G,$E$4)</f>
        <v>0</v>
      </c>
      <c r="F172" s="81">
        <f>sumifs(Dados!$N:$N,Dados!$B:$B,B172,Dados!$H:$H,$D$1,Dados!$G:$G,$F$4)</f>
        <v>0</v>
      </c>
      <c r="G172" s="81">
        <f>sumifs(Dados!$N:$N,Dados!$B:$B,B172,Dados!$H:$H,$D$1,Dados!$G:$G,$G$4)</f>
        <v>0</v>
      </c>
      <c r="H172" s="81">
        <f>sumifs(Dados!$N:$N,Dados!$B:$B,B172,Dados!$H:$H,$D$1,Dados!$G:$G,$H$4)</f>
        <v>0</v>
      </c>
      <c r="I172" s="81">
        <f>sumifs(Dados!$N:$N,Dados!$B:$B,B172,Dados!$H:$H,$D$1,Dados!$G:$G,$I$4)</f>
        <v>0</v>
      </c>
      <c r="J172" s="81">
        <f>sumifs(Dados!$N:$N,Dados!$B:$B,B172,Dados!$H:$H,$D$1,Dados!$G:$G,$J$4)</f>
        <v>0</v>
      </c>
      <c r="K172" s="81">
        <f>sumifs(Dados!$N:$N,Dados!$B:$B,B172,Dados!$H:$H,$D$1,Dados!$G:$G,$K$4)</f>
        <v>0</v>
      </c>
      <c r="L172" s="81">
        <f>sumifs(Dados!$N:$N,Dados!$B:$B,B172,Dados!$H:$H,$D$1,Dados!$G:$G,$L$4)</f>
        <v>0</v>
      </c>
      <c r="M172" s="81">
        <f>sumifs(Dados!$N:$N,Dados!$B:$B,B172,Dados!$H:$H,$D$1,Dados!$G:$G,$M$4)</f>
        <v>0</v>
      </c>
      <c r="N172" s="81">
        <f>sumifs(Dados!$N:$N,Dados!$B:$B,B172,Dados!$H:$H,$D$1,Dados!$G:$G,$N$4)</f>
        <v>0</v>
      </c>
      <c r="O172" s="81">
        <f>sumifs(Dados!$N:$N,Dados!$B:$B,B172,Dados!$H:$H,$D$1,Dados!$G:$G,$O$4)</f>
        <v>0</v>
      </c>
      <c r="P172" s="81">
        <f>sumifs(Dados!$N:$N,Dados!$B:$B,B172,Dados!$H:$H,$D$1,Dados!$G:$G,$P$4)</f>
        <v>0</v>
      </c>
      <c r="Q172" s="81"/>
    </row>
    <row r="173" ht="15.75" customHeight="1">
      <c r="A173" s="77"/>
      <c r="B173" s="77" t="s">
        <v>256</v>
      </c>
      <c r="C173" s="79"/>
      <c r="D173" s="80">
        <f t="shared" si="40"/>
        <v>0</v>
      </c>
      <c r="E173" s="81">
        <f>sumifs(Dados!$N:$N,Dados!$B:$B,B173,Dados!$H:$H,$D$1,Dados!$G:$G,$E$4)</f>
        <v>0</v>
      </c>
      <c r="F173" s="81">
        <f>sumifs(Dados!$N:$N,Dados!$B:$B,B173,Dados!$H:$H,$D$1,Dados!$G:$G,$F$4)</f>
        <v>0</v>
      </c>
      <c r="G173" s="81">
        <f>sumifs(Dados!$N:$N,Dados!$B:$B,B173,Dados!$H:$H,$D$1,Dados!$G:$G,$G$4)</f>
        <v>0</v>
      </c>
      <c r="H173" s="81">
        <f>sumifs(Dados!$N:$N,Dados!$B:$B,B173,Dados!$H:$H,$D$1,Dados!$G:$G,$H$4)</f>
        <v>0</v>
      </c>
      <c r="I173" s="81">
        <f>sumifs(Dados!$N:$N,Dados!$B:$B,B173,Dados!$H:$H,$D$1,Dados!$G:$G,$I$4)</f>
        <v>0</v>
      </c>
      <c r="J173" s="81">
        <f>sumifs(Dados!$N:$N,Dados!$B:$B,B173,Dados!$H:$H,$D$1,Dados!$G:$G,$J$4)</f>
        <v>0</v>
      </c>
      <c r="K173" s="81">
        <f>sumifs(Dados!$N:$N,Dados!$B:$B,B173,Dados!$H:$H,$D$1,Dados!$G:$G,$K$4)</f>
        <v>0</v>
      </c>
      <c r="L173" s="81">
        <f>sumifs(Dados!$N:$N,Dados!$B:$B,B173,Dados!$H:$H,$D$1,Dados!$G:$G,$L$4)</f>
        <v>0</v>
      </c>
      <c r="M173" s="81">
        <f>sumifs(Dados!$N:$N,Dados!$B:$B,B173,Dados!$H:$H,$D$1,Dados!$G:$G,$M$4)</f>
        <v>0</v>
      </c>
      <c r="N173" s="81">
        <f>sumifs(Dados!$N:$N,Dados!$B:$B,B173,Dados!$H:$H,$D$1,Dados!$G:$G,$N$4)</f>
        <v>0</v>
      </c>
      <c r="O173" s="81">
        <f>sumifs(Dados!$N:$N,Dados!$B:$B,B173,Dados!$H:$H,$D$1,Dados!$G:$G,$O$4)</f>
        <v>0</v>
      </c>
      <c r="P173" s="81">
        <f>sumifs(Dados!$N:$N,Dados!$B:$B,B173,Dados!$H:$H,$D$1,Dados!$G:$G,$P$4)</f>
        <v>0</v>
      </c>
      <c r="Q173" s="81"/>
    </row>
    <row r="174" ht="15.75" customHeight="1">
      <c r="A174" s="99" t="s">
        <v>257</v>
      </c>
      <c r="B174" s="100">
        <f>sumifs(Dados!$N:$N,Dados!$A:$A,A174,Dados!$H:$H,$D$1)</f>
        <v>0</v>
      </c>
      <c r="C174" s="101">
        <f>B174-D174</f>
        <v>0</v>
      </c>
      <c r="D174" s="100">
        <f t="shared" ref="D174:P174" si="41">SUM(D168:D173)</f>
        <v>0</v>
      </c>
      <c r="E174" s="100">
        <f t="shared" si="41"/>
        <v>0</v>
      </c>
      <c r="F174" s="100">
        <f t="shared" si="41"/>
        <v>0</v>
      </c>
      <c r="G174" s="100">
        <f t="shared" si="41"/>
        <v>0</v>
      </c>
      <c r="H174" s="100">
        <f t="shared" si="41"/>
        <v>0</v>
      </c>
      <c r="I174" s="100">
        <f t="shared" si="41"/>
        <v>0</v>
      </c>
      <c r="J174" s="100">
        <f t="shared" si="41"/>
        <v>0</v>
      </c>
      <c r="K174" s="100">
        <f t="shared" si="41"/>
        <v>0</v>
      </c>
      <c r="L174" s="100">
        <f t="shared" si="41"/>
        <v>0</v>
      </c>
      <c r="M174" s="100">
        <f t="shared" si="41"/>
        <v>0</v>
      </c>
      <c r="N174" s="100">
        <f t="shared" si="41"/>
        <v>0</v>
      </c>
      <c r="O174" s="100">
        <f t="shared" si="41"/>
        <v>0</v>
      </c>
      <c r="P174" s="100">
        <f t="shared" si="41"/>
        <v>0</v>
      </c>
      <c r="Q174" s="100"/>
    </row>
    <row r="175" ht="15.75" customHeight="1">
      <c r="A175" s="77"/>
      <c r="B175" s="77" t="s">
        <v>258</v>
      </c>
      <c r="C175" s="79"/>
      <c r="D175" s="80">
        <f>SUM(E175:P175)</f>
        <v>0</v>
      </c>
      <c r="E175" s="81">
        <f>sumifs(Dados!$N:$N,Dados!$B:$B,B175,Dados!$H:$H,$D$1,Dados!$G:$G,$E$4)</f>
        <v>0</v>
      </c>
      <c r="F175" s="81">
        <f>sumifs(Dados!$N:$N,Dados!$B:$B,B175,Dados!$H:$H,$D$1,Dados!$G:$G,$F$4)</f>
        <v>0</v>
      </c>
      <c r="G175" s="81">
        <f>sumifs(Dados!$N:$N,Dados!$B:$B,B175,Dados!$H:$H,$D$1,Dados!$G:$G,$G$4)</f>
        <v>0</v>
      </c>
      <c r="H175" s="81">
        <f>sumifs(Dados!$N:$N,Dados!$B:$B,B175,Dados!$H:$H,$D$1,Dados!$G:$G,$H$4)</f>
        <v>0</v>
      </c>
      <c r="I175" s="81">
        <f>sumifs(Dados!$N:$N,Dados!$B:$B,B175,Dados!$H:$H,$D$1,Dados!$G:$G,$I$4)</f>
        <v>0</v>
      </c>
      <c r="J175" s="81">
        <f>sumifs(Dados!$N:$N,Dados!$B:$B,B175,Dados!$H:$H,$D$1,Dados!$G:$G,$J$4)</f>
        <v>0</v>
      </c>
      <c r="K175" s="81">
        <f>sumifs(Dados!$N:$N,Dados!$B:$B,B175,Dados!$H:$H,$D$1,Dados!$G:$G,$K$4)</f>
        <v>0</v>
      </c>
      <c r="L175" s="81">
        <f>sumifs(Dados!$N:$N,Dados!$B:$B,B175,Dados!$H:$H,$D$1,Dados!$G:$G,$L$4)</f>
        <v>0</v>
      </c>
      <c r="M175" s="81">
        <f>sumifs(Dados!$N:$N,Dados!$B:$B,B175,Dados!$H:$H,$D$1,Dados!$G:$G,$M$4)</f>
        <v>0</v>
      </c>
      <c r="N175" s="81">
        <f>sumifs(Dados!$N:$N,Dados!$B:$B,B175,Dados!$H:$H,$D$1,Dados!$G:$G,$N$4)</f>
        <v>0</v>
      </c>
      <c r="O175" s="81">
        <f>sumifs(Dados!$N:$N,Dados!$B:$B,B175,Dados!$H:$H,$D$1,Dados!$G:$G,$O$4)</f>
        <v>0</v>
      </c>
      <c r="P175" s="81">
        <f>sumifs(Dados!$N:$N,Dados!$B:$B,B175,Dados!$H:$H,$D$1,Dados!$G:$G,$P$4)</f>
        <v>0</v>
      </c>
      <c r="Q175" s="81"/>
    </row>
    <row r="176" ht="15.75" customHeight="1">
      <c r="A176" s="99" t="s">
        <v>258</v>
      </c>
      <c r="B176" s="100">
        <f>sumifs(Dados!$N:$N,Dados!$A:$A,A176,Dados!$H:$H,$D$1)</f>
        <v>0</v>
      </c>
      <c r="C176" s="101">
        <f>B176-D176</f>
        <v>0</v>
      </c>
      <c r="D176" s="100">
        <f t="shared" ref="D176:P176" si="42">SUM(D175)</f>
        <v>0</v>
      </c>
      <c r="E176" s="100">
        <f t="shared" si="42"/>
        <v>0</v>
      </c>
      <c r="F176" s="100">
        <f t="shared" si="42"/>
        <v>0</v>
      </c>
      <c r="G176" s="100">
        <f t="shared" si="42"/>
        <v>0</v>
      </c>
      <c r="H176" s="100">
        <f t="shared" si="42"/>
        <v>0</v>
      </c>
      <c r="I176" s="100">
        <f t="shared" si="42"/>
        <v>0</v>
      </c>
      <c r="J176" s="100">
        <f t="shared" si="42"/>
        <v>0</v>
      </c>
      <c r="K176" s="100">
        <f t="shared" si="42"/>
        <v>0</v>
      </c>
      <c r="L176" s="100">
        <f t="shared" si="42"/>
        <v>0</v>
      </c>
      <c r="M176" s="100">
        <f t="shared" si="42"/>
        <v>0</v>
      </c>
      <c r="N176" s="100">
        <f t="shared" si="42"/>
        <v>0</v>
      </c>
      <c r="O176" s="100">
        <f t="shared" si="42"/>
        <v>0</v>
      </c>
      <c r="P176" s="100">
        <f t="shared" si="42"/>
        <v>0</v>
      </c>
      <c r="Q176" s="100"/>
    </row>
    <row r="177" ht="15.75" customHeight="1">
      <c r="A177" s="77"/>
      <c r="B177" s="77" t="s">
        <v>259</v>
      </c>
      <c r="C177" s="79"/>
      <c r="D177" s="80">
        <f>SUM(E177:P177)</f>
        <v>0</v>
      </c>
      <c r="E177" s="81">
        <f>sumifs(Dados!$N:$N,Dados!$B:$B,B177,Dados!$H:$H,$D$1,Dados!$G:$G,$E$4)</f>
        <v>0</v>
      </c>
      <c r="F177" s="81">
        <f>sumifs(Dados!$N:$N,Dados!$B:$B,B177,Dados!$H:$H,$D$1,Dados!$G:$G,$F$4)</f>
        <v>0</v>
      </c>
      <c r="G177" s="81">
        <f>sumifs(Dados!$N:$N,Dados!$B:$B,B177,Dados!$H:$H,$D$1,Dados!$G:$G,$G$4)</f>
        <v>0</v>
      </c>
      <c r="H177" s="81">
        <f>sumifs(Dados!$N:$N,Dados!$B:$B,B177,Dados!$H:$H,$D$1,Dados!$G:$G,$H$4)</f>
        <v>0</v>
      </c>
      <c r="I177" s="81">
        <f>sumifs(Dados!$N:$N,Dados!$B:$B,B177,Dados!$H:$H,$D$1,Dados!$G:$G,$I$4)</f>
        <v>0</v>
      </c>
      <c r="J177" s="81">
        <f>sumifs(Dados!$N:$N,Dados!$B:$B,B177,Dados!$H:$H,$D$1,Dados!$G:$G,$J$4)</f>
        <v>0</v>
      </c>
      <c r="K177" s="81">
        <f>sumifs(Dados!$N:$N,Dados!$B:$B,B177,Dados!$H:$H,$D$1,Dados!$G:$G,$K$4)</f>
        <v>0</v>
      </c>
      <c r="L177" s="81">
        <f>sumifs(Dados!$N:$N,Dados!$B:$B,B177,Dados!$H:$H,$D$1,Dados!$G:$G,$L$4)</f>
        <v>0</v>
      </c>
      <c r="M177" s="81">
        <f>sumifs(Dados!$N:$N,Dados!$B:$B,B177,Dados!$H:$H,$D$1,Dados!$G:$G,$M$4)</f>
        <v>0</v>
      </c>
      <c r="N177" s="81">
        <f>sumifs(Dados!$N:$N,Dados!$B:$B,B177,Dados!$H:$H,$D$1,Dados!$G:$G,$N$4)</f>
        <v>0</v>
      </c>
      <c r="O177" s="81">
        <f>sumifs(Dados!$N:$N,Dados!$B:$B,B177,Dados!$H:$H,$D$1,Dados!$G:$G,$O$4)</f>
        <v>0</v>
      </c>
      <c r="P177" s="81">
        <f>sumifs(Dados!$N:$N,Dados!$B:$B,B177,Dados!$H:$H,$D$1,Dados!$G:$G,$P$4)</f>
        <v>0</v>
      </c>
      <c r="Q177" s="81"/>
    </row>
    <row r="178" ht="15.75" customHeight="1">
      <c r="A178" s="99" t="s">
        <v>260</v>
      </c>
      <c r="B178" s="100">
        <f>sumifs(Dados!$N:$N,Dados!$A:$A,A178,Dados!$H:$H,$D$1)</f>
        <v>0</v>
      </c>
      <c r="C178" s="101">
        <f>B178-D178</f>
        <v>0</v>
      </c>
      <c r="D178" s="100">
        <f t="shared" ref="D178:P178" si="43">SUM(D177)</f>
        <v>0</v>
      </c>
      <c r="E178" s="100">
        <f t="shared" si="43"/>
        <v>0</v>
      </c>
      <c r="F178" s="100">
        <f t="shared" si="43"/>
        <v>0</v>
      </c>
      <c r="G178" s="100">
        <f t="shared" si="43"/>
        <v>0</v>
      </c>
      <c r="H178" s="100">
        <f t="shared" si="43"/>
        <v>0</v>
      </c>
      <c r="I178" s="100">
        <f t="shared" si="43"/>
        <v>0</v>
      </c>
      <c r="J178" s="100">
        <f t="shared" si="43"/>
        <v>0</v>
      </c>
      <c r="K178" s="100">
        <f t="shared" si="43"/>
        <v>0</v>
      </c>
      <c r="L178" s="100">
        <f t="shared" si="43"/>
        <v>0</v>
      </c>
      <c r="M178" s="100">
        <f t="shared" si="43"/>
        <v>0</v>
      </c>
      <c r="N178" s="100">
        <f t="shared" si="43"/>
        <v>0</v>
      </c>
      <c r="O178" s="100">
        <f t="shared" si="43"/>
        <v>0</v>
      </c>
      <c r="P178" s="100">
        <f t="shared" si="43"/>
        <v>0</v>
      </c>
      <c r="Q178" s="100"/>
    </row>
    <row r="179" ht="15.75" customHeight="1">
      <c r="A179" s="77"/>
      <c r="B179" s="77" t="s">
        <v>261</v>
      </c>
      <c r="C179" s="79"/>
      <c r="D179" s="80">
        <f t="shared" ref="D179:D186" si="44">SUM(E179:P179)</f>
        <v>0</v>
      </c>
      <c r="E179" s="81">
        <f>sumifs(Dados!$N:$N,Dados!$B:$B,B179,Dados!$H:$H,$D$1,Dados!$G:$G,$E$4)</f>
        <v>0</v>
      </c>
      <c r="F179" s="81">
        <f>sumifs(Dados!$N:$N,Dados!$B:$B,B179,Dados!$H:$H,$D$1,Dados!$G:$G,$F$4)</f>
        <v>0</v>
      </c>
      <c r="G179" s="81">
        <f>sumifs(Dados!$N:$N,Dados!$B:$B,B179,Dados!$H:$H,$D$1,Dados!$G:$G,$G$4)</f>
        <v>0</v>
      </c>
      <c r="H179" s="81">
        <f>sumifs(Dados!$N:$N,Dados!$B:$B,B179,Dados!$H:$H,$D$1,Dados!$G:$G,$H$4)</f>
        <v>0</v>
      </c>
      <c r="I179" s="81">
        <f>sumifs(Dados!$N:$N,Dados!$B:$B,B179,Dados!$H:$H,$D$1,Dados!$G:$G,$I$4)</f>
        <v>0</v>
      </c>
      <c r="J179" s="81">
        <f>sumifs(Dados!$N:$N,Dados!$B:$B,B179,Dados!$H:$H,$D$1,Dados!$G:$G,$J$4)</f>
        <v>0</v>
      </c>
      <c r="K179" s="81">
        <f>sumifs(Dados!$N:$N,Dados!$B:$B,B179,Dados!$H:$H,$D$1,Dados!$G:$G,$K$4)</f>
        <v>0</v>
      </c>
      <c r="L179" s="81">
        <f>sumifs(Dados!$N:$N,Dados!$B:$B,B179,Dados!$H:$H,$D$1,Dados!$G:$G,$L$4)</f>
        <v>0</v>
      </c>
      <c r="M179" s="81">
        <f>sumifs(Dados!$N:$N,Dados!$B:$B,B179,Dados!$H:$H,$D$1,Dados!$G:$G,$M$4)</f>
        <v>0</v>
      </c>
      <c r="N179" s="81">
        <f>sumifs(Dados!$N:$N,Dados!$B:$B,B179,Dados!$H:$H,$D$1,Dados!$G:$G,$N$4)</f>
        <v>0</v>
      </c>
      <c r="O179" s="81">
        <f>sumifs(Dados!$N:$N,Dados!$B:$B,B179,Dados!$H:$H,$D$1,Dados!$G:$G,$O$4)</f>
        <v>0</v>
      </c>
      <c r="P179" s="81">
        <f>sumifs(Dados!$N:$N,Dados!$B:$B,B179,Dados!$H:$H,$D$1,Dados!$G:$G,$P$4)</f>
        <v>0</v>
      </c>
      <c r="Q179" s="81"/>
    </row>
    <row r="180" ht="15.75" customHeight="1">
      <c r="A180" s="77"/>
      <c r="B180" s="77" t="s">
        <v>262</v>
      </c>
      <c r="C180" s="79"/>
      <c r="D180" s="80">
        <f t="shared" si="44"/>
        <v>0</v>
      </c>
      <c r="E180" s="81">
        <f>sumifs(Dados!$N:$N,Dados!$B:$B,B180,Dados!$H:$H,$D$1,Dados!$G:$G,$E$4)</f>
        <v>0</v>
      </c>
      <c r="F180" s="81">
        <f>sumifs(Dados!$N:$N,Dados!$B:$B,B180,Dados!$H:$H,$D$1,Dados!$G:$G,$F$4)</f>
        <v>0</v>
      </c>
      <c r="G180" s="81">
        <f>sumifs(Dados!$N:$N,Dados!$B:$B,B180,Dados!$H:$H,$D$1,Dados!$G:$G,$G$4)</f>
        <v>0</v>
      </c>
      <c r="H180" s="81">
        <f>sumifs(Dados!$N:$N,Dados!$B:$B,B180,Dados!$H:$H,$D$1,Dados!$G:$G,$H$4)</f>
        <v>0</v>
      </c>
      <c r="I180" s="81">
        <f>sumifs(Dados!$N:$N,Dados!$B:$B,B180,Dados!$H:$H,$D$1,Dados!$G:$G,$I$4)</f>
        <v>0</v>
      </c>
      <c r="J180" s="81">
        <f>sumifs(Dados!$N:$N,Dados!$B:$B,B180,Dados!$H:$H,$D$1,Dados!$G:$G,$J$4)</f>
        <v>0</v>
      </c>
      <c r="K180" s="81">
        <f>sumifs(Dados!$N:$N,Dados!$B:$B,B180,Dados!$H:$H,$D$1,Dados!$G:$G,$K$4)</f>
        <v>0</v>
      </c>
      <c r="L180" s="81">
        <f>sumifs(Dados!$N:$N,Dados!$B:$B,B180,Dados!$H:$H,$D$1,Dados!$G:$G,$L$4)</f>
        <v>0</v>
      </c>
      <c r="M180" s="81">
        <f>sumifs(Dados!$N:$N,Dados!$B:$B,B180,Dados!$H:$H,$D$1,Dados!$G:$G,$M$4)</f>
        <v>0</v>
      </c>
      <c r="N180" s="81">
        <f>sumifs(Dados!$N:$N,Dados!$B:$B,B180,Dados!$H:$H,$D$1,Dados!$G:$G,$N$4)</f>
        <v>0</v>
      </c>
      <c r="O180" s="81">
        <f>sumifs(Dados!$N:$N,Dados!$B:$B,B180,Dados!$H:$H,$D$1,Dados!$G:$G,$O$4)</f>
        <v>0</v>
      </c>
      <c r="P180" s="81">
        <f>sumifs(Dados!$N:$N,Dados!$B:$B,B180,Dados!$H:$H,$D$1,Dados!$G:$G,$P$4)</f>
        <v>0</v>
      </c>
      <c r="Q180" s="81"/>
    </row>
    <row r="181" ht="15.75" customHeight="1">
      <c r="A181" s="77"/>
      <c r="B181" s="77" t="s">
        <v>263</v>
      </c>
      <c r="C181" s="79"/>
      <c r="D181" s="80">
        <f t="shared" si="44"/>
        <v>108.6</v>
      </c>
      <c r="E181" s="81">
        <f>sumifs(Dados!$N:$N,Dados!$B:$B,B181,Dados!$H:$H,$D$1,Dados!$G:$G,$E$4)</f>
        <v>0</v>
      </c>
      <c r="F181" s="81">
        <f>sumifs(Dados!$N:$N,Dados!$B:$B,B181,Dados!$H:$H,$D$1,Dados!$G:$G,$F$4)</f>
        <v>0</v>
      </c>
      <c r="G181" s="81">
        <f>sumifs(Dados!$N:$N,Dados!$B:$B,B181,Dados!$H:$H,$D$1,Dados!$G:$G,$G$4)</f>
        <v>0</v>
      </c>
      <c r="H181" s="81">
        <f>sumifs(Dados!$N:$N,Dados!$B:$B,B181,Dados!$H:$H,$D$1,Dados!$G:$G,$H$4)</f>
        <v>0</v>
      </c>
      <c r="I181" s="81">
        <f>sumifs(Dados!$N:$N,Dados!$B:$B,B181,Dados!$H:$H,$D$1,Dados!$G:$G,$I$4)</f>
        <v>0</v>
      </c>
      <c r="J181" s="81">
        <f>sumifs(Dados!$N:$N,Dados!$B:$B,B181,Dados!$H:$H,$D$1,Dados!$G:$G,$J$4)</f>
        <v>0</v>
      </c>
      <c r="K181" s="81">
        <f>sumifs(Dados!$N:$N,Dados!$B:$B,B181,Dados!$H:$H,$D$1,Dados!$G:$G,$K$4)</f>
        <v>108.6</v>
      </c>
      <c r="L181" s="81">
        <f>sumifs(Dados!$N:$N,Dados!$B:$B,B181,Dados!$H:$H,$D$1,Dados!$G:$G,$L$4)</f>
        <v>0</v>
      </c>
      <c r="M181" s="81">
        <f>sumifs(Dados!$N:$N,Dados!$B:$B,B181,Dados!$H:$H,$D$1,Dados!$G:$G,$M$4)</f>
        <v>0</v>
      </c>
      <c r="N181" s="81">
        <f>sumifs(Dados!$N:$N,Dados!$B:$B,B181,Dados!$H:$H,$D$1,Dados!$G:$G,$N$4)</f>
        <v>0</v>
      </c>
      <c r="O181" s="81">
        <f>sumifs(Dados!$N:$N,Dados!$B:$B,B181,Dados!$H:$H,$D$1,Dados!$G:$G,$O$4)</f>
        <v>0</v>
      </c>
      <c r="P181" s="81">
        <f>sumifs(Dados!$N:$N,Dados!$B:$B,B181,Dados!$H:$H,$D$1,Dados!$G:$G,$P$4)</f>
        <v>0</v>
      </c>
      <c r="Q181" s="81"/>
    </row>
    <row r="182" ht="15.75" customHeight="1">
      <c r="A182" s="77"/>
      <c r="B182" s="77" t="s">
        <v>264</v>
      </c>
      <c r="C182" s="79"/>
      <c r="D182" s="80">
        <f t="shared" si="44"/>
        <v>0</v>
      </c>
      <c r="E182" s="81">
        <f>sumifs(Dados!$N:$N,Dados!$B:$B,B182,Dados!$H:$H,$D$1,Dados!$G:$G,$E$4)</f>
        <v>0</v>
      </c>
      <c r="F182" s="81">
        <f>sumifs(Dados!$N:$N,Dados!$B:$B,B182,Dados!$H:$H,$D$1,Dados!$G:$G,$F$4)</f>
        <v>0</v>
      </c>
      <c r="G182" s="81">
        <f>sumifs(Dados!$N:$N,Dados!$B:$B,B182,Dados!$H:$H,$D$1,Dados!$G:$G,$G$4)</f>
        <v>0</v>
      </c>
      <c r="H182" s="81">
        <f>sumifs(Dados!$N:$N,Dados!$B:$B,B182,Dados!$H:$H,$D$1,Dados!$G:$G,$H$4)</f>
        <v>0</v>
      </c>
      <c r="I182" s="81">
        <f>sumifs(Dados!$N:$N,Dados!$B:$B,B182,Dados!$H:$H,$D$1,Dados!$G:$G,$I$4)</f>
        <v>0</v>
      </c>
      <c r="J182" s="81">
        <f>sumifs(Dados!$N:$N,Dados!$B:$B,B182,Dados!$H:$H,$D$1,Dados!$G:$G,$J$4)</f>
        <v>0</v>
      </c>
      <c r="K182" s="81">
        <f>sumifs(Dados!$N:$N,Dados!$B:$B,B182,Dados!$H:$H,$D$1,Dados!$G:$G,$K$4)</f>
        <v>0</v>
      </c>
      <c r="L182" s="81">
        <f>sumifs(Dados!$N:$N,Dados!$B:$B,B182,Dados!$H:$H,$D$1,Dados!$G:$G,$L$4)</f>
        <v>0</v>
      </c>
      <c r="M182" s="81">
        <f>sumifs(Dados!$N:$N,Dados!$B:$B,B182,Dados!$H:$H,$D$1,Dados!$G:$G,$M$4)</f>
        <v>0</v>
      </c>
      <c r="N182" s="81">
        <f>sumifs(Dados!$N:$N,Dados!$B:$B,B182,Dados!$H:$H,$D$1,Dados!$G:$G,$N$4)</f>
        <v>0</v>
      </c>
      <c r="O182" s="81">
        <f>sumifs(Dados!$N:$N,Dados!$B:$B,B182,Dados!$H:$H,$D$1,Dados!$G:$G,$O$4)</f>
        <v>0</v>
      </c>
      <c r="P182" s="81">
        <f>sumifs(Dados!$N:$N,Dados!$B:$B,B182,Dados!$H:$H,$D$1,Dados!$G:$G,$P$4)</f>
        <v>0</v>
      </c>
      <c r="Q182" s="81"/>
    </row>
    <row r="183" ht="15.75" customHeight="1">
      <c r="A183" s="77"/>
      <c r="B183" s="77" t="s">
        <v>269</v>
      </c>
      <c r="C183" s="79"/>
      <c r="D183" s="80">
        <f t="shared" si="44"/>
        <v>0</v>
      </c>
      <c r="E183" s="81">
        <f>sumifs(Dados!$N:$N,Dados!$B:$B,B183,Dados!$H:$H,$D$1,Dados!$G:$G,$E$4)</f>
        <v>0</v>
      </c>
      <c r="F183" s="81">
        <f>sumifs(Dados!$N:$N,Dados!$B:$B,B183,Dados!$H:$H,$D$1,Dados!$G:$G,$F$4)</f>
        <v>0</v>
      </c>
      <c r="G183" s="81">
        <f>sumifs(Dados!$N:$N,Dados!$B:$B,B183,Dados!$H:$H,$D$1,Dados!$G:$G,$G$4)</f>
        <v>0</v>
      </c>
      <c r="H183" s="81">
        <f>sumifs(Dados!$N:$N,Dados!$B:$B,B183,Dados!$H:$H,$D$1,Dados!$G:$G,$H$4)</f>
        <v>0</v>
      </c>
      <c r="I183" s="81">
        <f>sumifs(Dados!$N:$N,Dados!$B:$B,B183,Dados!$H:$H,$D$1,Dados!$G:$G,$I$4)</f>
        <v>0</v>
      </c>
      <c r="J183" s="81">
        <f>sumifs(Dados!$N:$N,Dados!$B:$B,B183,Dados!$H:$H,$D$1,Dados!$G:$G,$J$4)</f>
        <v>0</v>
      </c>
      <c r="K183" s="81">
        <f>sumifs(Dados!$N:$N,Dados!$B:$B,B183,Dados!$H:$H,$D$1,Dados!$G:$G,$K$4)</f>
        <v>0</v>
      </c>
      <c r="L183" s="81">
        <f>sumifs(Dados!$N:$N,Dados!$B:$B,B183,Dados!$H:$H,$D$1,Dados!$G:$G,$L$4)</f>
        <v>0</v>
      </c>
      <c r="M183" s="81">
        <f>sumifs(Dados!$N:$N,Dados!$B:$B,B183,Dados!$H:$H,$D$1,Dados!$G:$G,$M$4)</f>
        <v>0</v>
      </c>
      <c r="N183" s="81">
        <f>sumifs(Dados!$N:$N,Dados!$B:$B,B183,Dados!$H:$H,$D$1,Dados!$G:$G,$N$4)</f>
        <v>0</v>
      </c>
      <c r="O183" s="81">
        <f>sumifs(Dados!$N:$N,Dados!$B:$B,B183,Dados!$H:$H,$D$1,Dados!$G:$G,$O$4)</f>
        <v>0</v>
      </c>
      <c r="P183" s="81">
        <f>sumifs(Dados!$N:$N,Dados!$B:$B,B183,Dados!$H:$H,$D$1,Dados!$G:$G,$P$4)</f>
        <v>0</v>
      </c>
      <c r="Q183" s="81"/>
    </row>
    <row r="184" ht="15.75" customHeight="1">
      <c r="A184" s="77"/>
      <c r="B184" s="77" t="s">
        <v>273</v>
      </c>
      <c r="C184" s="79"/>
      <c r="D184" s="80">
        <f t="shared" si="44"/>
        <v>0</v>
      </c>
      <c r="E184" s="81">
        <f>sumifs(Dados!$N:$N,Dados!$B:$B,B184,Dados!$H:$H,$D$1,Dados!$G:$G,$E$4)</f>
        <v>0</v>
      </c>
      <c r="F184" s="81">
        <f>sumifs(Dados!$N:$N,Dados!$B:$B,B184,Dados!$H:$H,$D$1,Dados!$G:$G,$F$4)</f>
        <v>0</v>
      </c>
      <c r="G184" s="81">
        <f>sumifs(Dados!$N:$N,Dados!$B:$B,B184,Dados!$H:$H,$D$1,Dados!$G:$G,$G$4)</f>
        <v>0</v>
      </c>
      <c r="H184" s="81">
        <f>sumifs(Dados!$N:$N,Dados!$B:$B,B184,Dados!$H:$H,$D$1,Dados!$G:$G,$H$4)</f>
        <v>0</v>
      </c>
      <c r="I184" s="81">
        <f>sumifs(Dados!$N:$N,Dados!$B:$B,B184,Dados!$H:$H,$D$1,Dados!$G:$G,$I$4)</f>
        <v>0</v>
      </c>
      <c r="J184" s="81">
        <f>sumifs(Dados!$N:$N,Dados!$B:$B,B184,Dados!$H:$H,$D$1,Dados!$G:$G,$J$4)</f>
        <v>0</v>
      </c>
      <c r="K184" s="81">
        <f>sumifs(Dados!$N:$N,Dados!$B:$B,B184,Dados!$H:$H,$D$1,Dados!$G:$G,$K$4)</f>
        <v>0</v>
      </c>
      <c r="L184" s="81">
        <f>sumifs(Dados!$N:$N,Dados!$B:$B,B184,Dados!$H:$H,$D$1,Dados!$G:$G,$L$4)</f>
        <v>0</v>
      </c>
      <c r="M184" s="81">
        <f>sumifs(Dados!$N:$N,Dados!$B:$B,B184,Dados!$H:$H,$D$1,Dados!$G:$G,$M$4)</f>
        <v>0</v>
      </c>
      <c r="N184" s="81">
        <f>sumifs(Dados!$N:$N,Dados!$B:$B,B184,Dados!$H:$H,$D$1,Dados!$G:$G,$N$4)</f>
        <v>0</v>
      </c>
      <c r="O184" s="81">
        <f>sumifs(Dados!$N:$N,Dados!$B:$B,B184,Dados!$H:$H,$D$1,Dados!$G:$G,$O$4)</f>
        <v>0</v>
      </c>
      <c r="P184" s="81">
        <f>sumifs(Dados!$N:$N,Dados!$B:$B,B184,Dados!$H:$H,$D$1,Dados!$G:$G,$P$4)</f>
        <v>0</v>
      </c>
      <c r="Q184" s="81"/>
    </row>
    <row r="185" ht="15.75" customHeight="1">
      <c r="A185" s="77"/>
      <c r="B185" s="77" t="s">
        <v>278</v>
      </c>
      <c r="C185" s="79"/>
      <c r="D185" s="80">
        <f t="shared" si="44"/>
        <v>0</v>
      </c>
      <c r="E185" s="81">
        <f>sumifs(Dados!$N:$N,Dados!$B:$B,$B$185,Dados!$H:$H,$D$1,Dados!$G:$G,E4)</f>
        <v>0</v>
      </c>
      <c r="F185" s="81">
        <f>sumifs(Dados!$N:$N,Dados!$B:$B,$B$185,Dados!$H:$H,$D$1,Dados!$G:$G,F4)</f>
        <v>0</v>
      </c>
      <c r="G185" s="81">
        <f>sumifs(Dados!$N:$N,Dados!$B:$B,$B$185,Dados!$H:$H,$D$1,Dados!$G:$G,G4)</f>
        <v>0</v>
      </c>
      <c r="H185" s="81">
        <f>sumifs(Dados!$N:$N,Dados!$B:$B,$B$185,Dados!$H:$H,$D$1,Dados!$G:$G,H4)</f>
        <v>0</v>
      </c>
      <c r="I185" s="81">
        <f>sumifs(Dados!$N:$N,Dados!$B:$B,$B$185,Dados!$H:$H,$D$1,Dados!$G:$G,I4)</f>
        <v>0</v>
      </c>
      <c r="J185" s="81">
        <f>sumifs(Dados!$N:$N,Dados!$B:$B,$B$185,Dados!$H:$H,$D$1,Dados!$G:$G,J4)</f>
        <v>0</v>
      </c>
      <c r="K185" s="81">
        <f>sumifs(Dados!$N:$N,Dados!$B:$B,$B$185,Dados!$H:$H,$D$1,Dados!$G:$G,K4)</f>
        <v>0</v>
      </c>
      <c r="L185" s="81">
        <f>sumifs(Dados!$N:$N,Dados!$B:$B,$B$185,Dados!$H:$H,$D$1,Dados!$G:$G,L4)</f>
        <v>0</v>
      </c>
      <c r="M185" s="81">
        <f>sumifs(Dados!$N:$N,Dados!$B:$B,$B$185,Dados!$H:$H,$D$1,Dados!$G:$G,M4)</f>
        <v>0</v>
      </c>
      <c r="N185" s="81">
        <f>sumifs(Dados!$N:$N,Dados!$B:$B,$B$185,Dados!$H:$H,$D$1,Dados!$G:$G,N4)</f>
        <v>0</v>
      </c>
      <c r="O185" s="81">
        <f>sumifs(Dados!$N:$N,Dados!$B:$B,$B$185,Dados!$H:$H,$D$1,Dados!$G:$G,O4)</f>
        <v>0</v>
      </c>
      <c r="P185" s="81">
        <f>sumifs(Dados!$N:$N,Dados!$B:$B,$B$185,Dados!$H:$H,$D$1,Dados!$G:$G,P4)</f>
        <v>0</v>
      </c>
      <c r="Q185" s="81"/>
    </row>
    <row r="186" ht="15.75" customHeight="1">
      <c r="A186" s="77"/>
      <c r="B186" s="77" t="s">
        <v>285</v>
      </c>
      <c r="C186" s="79"/>
      <c r="D186" s="80">
        <f t="shared" si="44"/>
        <v>0</v>
      </c>
      <c r="E186" s="81">
        <f>sumifs(Dados!$N:$N,Dados!$B:$B,B186,Dados!$H:$H,$D$1,Dados!$G:$G,$E$4)</f>
        <v>0</v>
      </c>
      <c r="F186" s="81">
        <f>sumifs(Dados!$N:$N,Dados!$B:$B,B186,Dados!$H:$H,$D$1,Dados!$G:$G,$F$4)</f>
        <v>0</v>
      </c>
      <c r="G186" s="81">
        <f>sumifs(Dados!$N:$N,Dados!$B:$B,B186,Dados!$H:$H,$D$1,Dados!$G:$G,$G$4)</f>
        <v>0</v>
      </c>
      <c r="H186" s="81">
        <f>sumifs(Dados!$N:$N,Dados!$B:$B,B186,Dados!$H:$H,$D$1,Dados!$G:$G,$H$4)</f>
        <v>0</v>
      </c>
      <c r="I186" s="81">
        <f>sumifs(Dados!$N:$N,Dados!$B:$B,B186,Dados!$H:$H,$D$1,Dados!$G:$G,$I$4)</f>
        <v>0</v>
      </c>
      <c r="J186" s="81">
        <f>sumifs(Dados!$N:$N,Dados!$B:$B,B186,Dados!$H:$H,$D$1,Dados!$G:$G,$J$4)</f>
        <v>0</v>
      </c>
      <c r="K186" s="81">
        <f>sumifs(Dados!$N:$N,Dados!$B:$B,B186,Dados!$H:$H,$D$1,Dados!$G:$G,$K$4)</f>
        <v>0</v>
      </c>
      <c r="L186" s="81">
        <f>sumifs(Dados!$N:$N,Dados!$B:$B,B186,Dados!$H:$H,$D$1,Dados!$G:$G,$L$4)</f>
        <v>0</v>
      </c>
      <c r="M186" s="81">
        <f>sumifs(Dados!$N:$N,Dados!$B:$B,B186,Dados!$H:$H,$D$1,Dados!$G:$G,$M$4)</f>
        <v>0</v>
      </c>
      <c r="N186" s="81">
        <f>sumifs(Dados!$N:$N,Dados!$B:$B,B186,Dados!$H:$H,$D$1,Dados!$G:$G,$N$4)</f>
        <v>0</v>
      </c>
      <c r="O186" s="81">
        <f>sumifs(Dados!$N:$N,Dados!$B:$B,B186,Dados!$H:$H,$D$1,Dados!$G:$G,$O$4)</f>
        <v>0</v>
      </c>
      <c r="P186" s="81">
        <f>sumifs(Dados!$N:$N,Dados!$B:$B,B186,Dados!$H:$H,$D$1,Dados!$G:$G,$P$4)</f>
        <v>0</v>
      </c>
      <c r="Q186" s="81"/>
    </row>
    <row r="187" ht="15.75" customHeight="1">
      <c r="A187" s="109" t="s">
        <v>290</v>
      </c>
      <c r="B187" s="100">
        <f>sumifs(Dados!$N:$N,Dados!$A:$A,A187,Dados!$H:$H,$D$1)</f>
        <v>108.6</v>
      </c>
      <c r="C187" s="101">
        <f>B187-D187</f>
        <v>0</v>
      </c>
      <c r="D187" s="100">
        <f t="shared" ref="D187:P187" si="45">SUM(D179:D186)</f>
        <v>108.6</v>
      </c>
      <c r="E187" s="100">
        <f t="shared" si="45"/>
        <v>0</v>
      </c>
      <c r="F187" s="100">
        <f t="shared" si="45"/>
        <v>0</v>
      </c>
      <c r="G187" s="100">
        <f t="shared" si="45"/>
        <v>0</v>
      </c>
      <c r="H187" s="100">
        <f t="shared" si="45"/>
        <v>0</v>
      </c>
      <c r="I187" s="100">
        <f t="shared" si="45"/>
        <v>0</v>
      </c>
      <c r="J187" s="100">
        <f t="shared" si="45"/>
        <v>0</v>
      </c>
      <c r="K187" s="100">
        <f t="shared" si="45"/>
        <v>108.6</v>
      </c>
      <c r="L187" s="100">
        <f t="shared" si="45"/>
        <v>0</v>
      </c>
      <c r="M187" s="100">
        <f t="shared" si="45"/>
        <v>0</v>
      </c>
      <c r="N187" s="100">
        <f t="shared" si="45"/>
        <v>0</v>
      </c>
      <c r="O187" s="100">
        <f t="shared" si="45"/>
        <v>0</v>
      </c>
      <c r="P187" s="100">
        <f t="shared" si="45"/>
        <v>0</v>
      </c>
      <c r="Q187" s="100"/>
    </row>
    <row r="188" ht="15.75" customHeight="1">
      <c r="A188" s="77"/>
      <c r="B188" s="77" t="s">
        <v>291</v>
      </c>
      <c r="C188" s="79"/>
      <c r="D188" s="80">
        <f t="shared" ref="D188:D197" si="46">SUM(E188:P188)</f>
        <v>219.22</v>
      </c>
      <c r="E188" s="81">
        <f>sumifs(Dados!$N:$N,Dados!$B:$B,B188,Dados!$H:$H,$D$1,Dados!$G:$G,$E$4)</f>
        <v>0</v>
      </c>
      <c r="F188" s="81">
        <f>sumifs(Dados!$N:$N,Dados!$B:$B,B188,Dados!$H:$H,$D$1,Dados!$G:$G,$F$4)</f>
        <v>0</v>
      </c>
      <c r="G188" s="81">
        <f>sumifs(Dados!$N:$N,Dados!$B:$B,B188,Dados!$H:$H,$D$1,Dados!$G:$G,$G$4)</f>
        <v>0</v>
      </c>
      <c r="H188" s="81">
        <f>sumifs(Dados!$N:$N,Dados!$B:$B,B188,Dados!$H:$H,$D$1,Dados!$G:$G,$H$4)</f>
        <v>0</v>
      </c>
      <c r="I188" s="81">
        <f>sumifs(Dados!$N:$N,Dados!$B:$B,B188,Dados!$H:$H,$D$1,Dados!$G:$G,$I$4)</f>
        <v>140.19</v>
      </c>
      <c r="J188" s="81">
        <f>sumifs(Dados!$N:$N,Dados!$B:$B,B188,Dados!$H:$H,$D$1,Dados!$G:$G,$J$4)</f>
        <v>79.03</v>
      </c>
      <c r="K188" s="81">
        <f>sumifs(Dados!$N:$N,Dados!$B:$B,B188,Dados!$H:$H,$D$1,Dados!$G:$G,$K$4)</f>
        <v>0</v>
      </c>
      <c r="L188" s="81">
        <f>sumifs(Dados!$N:$N,Dados!$B:$B,B188,Dados!$H:$H,$D$1,Dados!$G:$G,$L$4)</f>
        <v>0</v>
      </c>
      <c r="M188" s="81">
        <f>sumifs(Dados!$N:$N,Dados!$B:$B,B188,Dados!$H:$H,$D$1,Dados!$G:$G,$M$4)</f>
        <v>0</v>
      </c>
      <c r="N188" s="81">
        <f>sumifs(Dados!$N:$N,Dados!$B:$B,B188,Dados!$H:$H,$D$1,Dados!$G:$G,$N$4)</f>
        <v>0</v>
      </c>
      <c r="O188" s="81">
        <f>sumifs(Dados!$N:$N,Dados!$B:$B,B188,Dados!$H:$H,$D$1,Dados!$G:$G,$O$4)</f>
        <v>0</v>
      </c>
      <c r="P188" s="81">
        <f>sumifs(Dados!$N:$N,Dados!$B:$B,B188,Dados!$H:$H,$D$1,Dados!$G:$G,$P$4)</f>
        <v>0</v>
      </c>
      <c r="Q188" s="81"/>
    </row>
    <row r="189" ht="15.75" customHeight="1">
      <c r="A189" s="77"/>
      <c r="B189" s="77" t="s">
        <v>292</v>
      </c>
      <c r="C189" s="79"/>
      <c r="D189" s="80">
        <f t="shared" si="46"/>
        <v>0</v>
      </c>
      <c r="E189" s="81">
        <f>sumifs(Dados!$N:$N,Dados!$B:$B,B189,Dados!$H:$H,$D$1,Dados!$G:$G,$E$4)</f>
        <v>0</v>
      </c>
      <c r="F189" s="81">
        <f>sumifs(Dados!$N:$N,Dados!$B:$B,B189,Dados!$H:$H,$D$1,Dados!$G:$G,$F$4)</f>
        <v>0</v>
      </c>
      <c r="G189" s="81">
        <f>sumifs(Dados!$N:$N,Dados!$B:$B,B189,Dados!$H:$H,$D$1,Dados!$G:$G,$G$4)</f>
        <v>0</v>
      </c>
      <c r="H189" s="81">
        <f>sumifs(Dados!$N:$N,Dados!$B:$B,B189,Dados!$H:$H,$D$1,Dados!$G:$G,$H$4)</f>
        <v>0</v>
      </c>
      <c r="I189" s="81">
        <f>sumifs(Dados!$N:$N,Dados!$B:$B,B189,Dados!$H:$H,$D$1,Dados!$G:$G,$I$4)</f>
        <v>0</v>
      </c>
      <c r="J189" s="81">
        <f>sumifs(Dados!$N:$N,Dados!$B:$B,B189,Dados!$H:$H,$D$1,Dados!$G:$G,$J$4)</f>
        <v>0</v>
      </c>
      <c r="K189" s="81">
        <f>sumifs(Dados!$N:$N,Dados!$B:$B,B189,Dados!$H:$H,$D$1,Dados!$G:$G,$K$4)</f>
        <v>0</v>
      </c>
      <c r="L189" s="81">
        <f>sumifs(Dados!$N:$N,Dados!$B:$B,B189,Dados!$H:$H,$D$1,Dados!$G:$G,$L$4)</f>
        <v>0</v>
      </c>
      <c r="M189" s="81">
        <f>sumifs(Dados!$N:$N,Dados!$B:$B,B189,Dados!$H:$H,$D$1,Dados!$G:$G,$M$4)</f>
        <v>0</v>
      </c>
      <c r="N189" s="81">
        <f>sumifs(Dados!$N:$N,Dados!$B:$B,B189,Dados!$H:$H,$D$1,Dados!$G:$G,$N$4)</f>
        <v>0</v>
      </c>
      <c r="O189" s="81">
        <f>sumifs(Dados!$N:$N,Dados!$B:$B,B189,Dados!$H:$H,$D$1,Dados!$G:$G,$O$4)</f>
        <v>0</v>
      </c>
      <c r="P189" s="81">
        <f>sumifs(Dados!$N:$N,Dados!$B:$B,B189,Dados!$H:$H,$D$1,Dados!$G:$G,$P$4)</f>
        <v>0</v>
      </c>
      <c r="Q189" s="81"/>
    </row>
    <row r="190" ht="15.75" customHeight="1">
      <c r="A190" s="77"/>
      <c r="B190" s="77" t="s">
        <v>293</v>
      </c>
      <c r="C190" s="79"/>
      <c r="D190" s="80">
        <f t="shared" si="46"/>
        <v>0</v>
      </c>
      <c r="E190" s="81">
        <f>sumifs(Dados!$N:$N,Dados!$B:$B,B190,Dados!$H:$H,$D$1,Dados!$G:$G,$E$4)</f>
        <v>0</v>
      </c>
      <c r="F190" s="81">
        <f>sumifs(Dados!$N:$N,Dados!$B:$B,B190,Dados!$H:$H,$D$1,Dados!$G:$G,$F$4)</f>
        <v>0</v>
      </c>
      <c r="G190" s="81">
        <f>sumifs(Dados!$N:$N,Dados!$B:$B,B190,Dados!$H:$H,$D$1,Dados!$G:$G,$G$4)</f>
        <v>0</v>
      </c>
      <c r="H190" s="81">
        <f>sumifs(Dados!$N:$N,Dados!$B:$B,B190,Dados!$H:$H,$D$1,Dados!$G:$G,$H$4)</f>
        <v>0</v>
      </c>
      <c r="I190" s="81">
        <f>sumifs(Dados!$N:$N,Dados!$B:$B,B190,Dados!$H:$H,$D$1,Dados!$G:$G,$I$4)</f>
        <v>0</v>
      </c>
      <c r="J190" s="81">
        <f>sumifs(Dados!$N:$N,Dados!$B:$B,B190,Dados!$H:$H,$D$1,Dados!$G:$G,$J$4)</f>
        <v>0</v>
      </c>
      <c r="K190" s="81">
        <f>sumifs(Dados!$N:$N,Dados!$B:$B,B190,Dados!$H:$H,$D$1,Dados!$G:$G,$K$4)</f>
        <v>0</v>
      </c>
      <c r="L190" s="81">
        <f>sumifs(Dados!$N:$N,Dados!$B:$B,B190,Dados!$H:$H,$D$1,Dados!$G:$G,$L$4)</f>
        <v>0</v>
      </c>
      <c r="M190" s="81">
        <f>sumifs(Dados!$N:$N,Dados!$B:$B,B190,Dados!$H:$H,$D$1,Dados!$G:$G,$M$4)</f>
        <v>0</v>
      </c>
      <c r="N190" s="81">
        <f>sumifs(Dados!$N:$N,Dados!$B:$B,B190,Dados!$H:$H,$D$1,Dados!$G:$G,$N$4)</f>
        <v>0</v>
      </c>
      <c r="O190" s="81">
        <f>sumifs(Dados!$N:$N,Dados!$B:$B,B190,Dados!$H:$H,$D$1,Dados!$G:$G,$O$4)</f>
        <v>0</v>
      </c>
      <c r="P190" s="81">
        <f>sumifs(Dados!$N:$N,Dados!$B:$B,B190,Dados!$H:$H,$D$1,Dados!$G:$G,$P$4)</f>
        <v>0</v>
      </c>
      <c r="Q190" s="81"/>
    </row>
    <row r="191" ht="15.75" customHeight="1">
      <c r="A191" s="77"/>
      <c r="B191" s="77" t="s">
        <v>294</v>
      </c>
      <c r="C191" s="79"/>
      <c r="D191" s="80">
        <f t="shared" si="46"/>
        <v>0</v>
      </c>
      <c r="E191" s="81">
        <f>sumifs(Dados!$N:$N,Dados!$B:$B,B191,Dados!$H:$H,$D$1,Dados!$G:$G,$E$4)</f>
        <v>0</v>
      </c>
      <c r="F191" s="81">
        <f>sumifs(Dados!$N:$N,Dados!$B:$B,B191,Dados!$H:$H,$D$1,Dados!$G:$G,$F$4)</f>
        <v>0</v>
      </c>
      <c r="G191" s="81">
        <f>sumifs(Dados!$N:$N,Dados!$B:$B,B191,Dados!$H:$H,$D$1,Dados!$G:$G,$G$4)</f>
        <v>0</v>
      </c>
      <c r="H191" s="81">
        <f>sumifs(Dados!$N:$N,Dados!$B:$B,B191,Dados!$H:$H,$D$1,Dados!$G:$G,$H$4)</f>
        <v>0</v>
      </c>
      <c r="I191" s="81">
        <f>sumifs(Dados!$N:$N,Dados!$B:$B,B191,Dados!$H:$H,$D$1,Dados!$G:$G,$I$4)</f>
        <v>0</v>
      </c>
      <c r="J191" s="81">
        <f>sumifs(Dados!$N:$N,Dados!$B:$B,B191,Dados!$H:$H,$D$1,Dados!$G:$G,$J$4)</f>
        <v>0</v>
      </c>
      <c r="K191" s="81">
        <f>sumifs(Dados!$N:$N,Dados!$B:$B,B191,Dados!$H:$H,$D$1,Dados!$G:$G,$K$4)</f>
        <v>0</v>
      </c>
      <c r="L191" s="81">
        <f>sumifs(Dados!$N:$N,Dados!$B:$B,B191,Dados!$H:$H,$D$1,Dados!$G:$G,$L$4)</f>
        <v>0</v>
      </c>
      <c r="M191" s="81">
        <f>sumifs(Dados!$N:$N,Dados!$B:$B,B191,Dados!$H:$H,$D$1,Dados!$G:$G,$M$4)</f>
        <v>0</v>
      </c>
      <c r="N191" s="81">
        <f>sumifs(Dados!$N:$N,Dados!$B:$B,B191,Dados!$H:$H,$D$1,Dados!$G:$G,$N$4)</f>
        <v>0</v>
      </c>
      <c r="O191" s="81">
        <f>sumifs(Dados!$N:$N,Dados!$B:$B,B191,Dados!$H:$H,$D$1,Dados!$G:$G,$O$4)</f>
        <v>0</v>
      </c>
      <c r="P191" s="81">
        <f>sumifs(Dados!$N:$N,Dados!$B:$B,B191,Dados!$H:$H,$D$1,Dados!$G:$G,$P$4)</f>
        <v>0</v>
      </c>
      <c r="Q191" s="81"/>
    </row>
    <row r="192" ht="15.75" customHeight="1">
      <c r="A192" s="142"/>
      <c r="B192" s="142" t="s">
        <v>295</v>
      </c>
      <c r="C192" s="79"/>
      <c r="D192" s="80">
        <f t="shared" si="46"/>
        <v>0</v>
      </c>
      <c r="E192" s="81">
        <f>sumifs(Dados!$N:$N,Dados!$B:$B,B192,Dados!$H:$H,$D$1,Dados!$G:$G,$E$4)</f>
        <v>0</v>
      </c>
      <c r="F192" s="81">
        <f>sumifs(Dados!$N:$N,Dados!$B:$B,B192,Dados!$H:$H,$D$1,Dados!$G:$G,$F$4)</f>
        <v>0</v>
      </c>
      <c r="G192" s="81">
        <f>sumifs(Dados!$N:$N,Dados!$B:$B,B192,Dados!$H:$H,$D$1,Dados!$G:$G,$G$4)</f>
        <v>0</v>
      </c>
      <c r="H192" s="81">
        <f>sumifs(Dados!$N:$N,Dados!$B:$B,B192,Dados!$H:$H,$D$1,Dados!$G:$G,$H$4)</f>
        <v>0</v>
      </c>
      <c r="I192" s="81">
        <f>sumifs(Dados!$N:$N,Dados!$B:$B,B192,Dados!$H:$H,$D$1,Dados!$G:$G,$I$4)</f>
        <v>0</v>
      </c>
      <c r="J192" s="81">
        <f>sumifs(Dados!$N:$N,Dados!$B:$B,B192,Dados!$H:$H,$D$1,Dados!$G:$G,$J$4)</f>
        <v>0</v>
      </c>
      <c r="K192" s="81">
        <f>sumifs(Dados!$N:$N,Dados!$B:$B,B192,Dados!$H:$H,$D$1,Dados!$G:$G,$K$4)</f>
        <v>0</v>
      </c>
      <c r="L192" s="81">
        <f>sumifs(Dados!$N:$N,Dados!$B:$B,B192,Dados!$H:$H,$D$1,Dados!$G:$G,$L$4)</f>
        <v>0</v>
      </c>
      <c r="M192" s="81">
        <f>sumifs(Dados!$N:$N,Dados!$B:$B,B192,Dados!$H:$H,$D$1,Dados!$G:$G,$M$4)</f>
        <v>0</v>
      </c>
      <c r="N192" s="81">
        <f>sumifs(Dados!$N:$N,Dados!$B:$B,B192,Dados!$H:$H,$D$1,Dados!$G:$G,$N$4)</f>
        <v>0</v>
      </c>
      <c r="O192" s="81">
        <f>sumifs(Dados!$N:$N,Dados!$B:$B,B192,Dados!$H:$H,$D$1,Dados!$G:$G,$O$4)</f>
        <v>0</v>
      </c>
      <c r="P192" s="81">
        <f>sumifs(Dados!$N:$N,Dados!$B:$B,B192,Dados!$H:$H,$D$1,Dados!$G:$G,$P$4)</f>
        <v>0</v>
      </c>
      <c r="Q192" s="81"/>
    </row>
    <row r="193" ht="15.75" customHeight="1">
      <c r="A193" s="142"/>
      <c r="B193" s="142" t="s">
        <v>296</v>
      </c>
      <c r="C193" s="79"/>
      <c r="D193" s="80">
        <f t="shared" si="46"/>
        <v>0</v>
      </c>
      <c r="E193" s="81">
        <f>sumifs(Dados!$N:$N,Dados!$B:$B,B193,Dados!$H:$H,$D$1,Dados!$G:$G,$E$4)</f>
        <v>0</v>
      </c>
      <c r="F193" s="81">
        <f>sumifs(Dados!$N:$N,Dados!$B:$B,B193,Dados!$H:$H,$D$1,Dados!$G:$G,$F$4)</f>
        <v>0</v>
      </c>
      <c r="G193" s="81">
        <f>sumifs(Dados!$N:$N,Dados!$B:$B,B193,Dados!$H:$H,$D$1,Dados!$G:$G,$G$4)</f>
        <v>0</v>
      </c>
      <c r="H193" s="81">
        <f>sumifs(Dados!$N:$N,Dados!$B:$B,B193,Dados!$H:$H,$D$1,Dados!$G:$G,$H$4)</f>
        <v>0</v>
      </c>
      <c r="I193" s="81">
        <f>sumifs(Dados!$N:$N,Dados!$B:$B,B193,Dados!$H:$H,$D$1,Dados!$G:$G,$I$4)</f>
        <v>0</v>
      </c>
      <c r="J193" s="81">
        <f>sumifs(Dados!$N:$N,Dados!$B:$B,B193,Dados!$H:$H,$D$1,Dados!$G:$G,$J$4)</f>
        <v>0</v>
      </c>
      <c r="K193" s="81">
        <f>sumifs(Dados!$N:$N,Dados!$B:$B,B193,Dados!$H:$H,$D$1,Dados!$G:$G,$K$4)</f>
        <v>0</v>
      </c>
      <c r="L193" s="81">
        <f>sumifs(Dados!$N:$N,Dados!$B:$B,B193,Dados!$H:$H,$D$1,Dados!$G:$G,$L$4)</f>
        <v>0</v>
      </c>
      <c r="M193" s="81">
        <f>sumifs(Dados!$N:$N,Dados!$B:$B,B193,Dados!$H:$H,$D$1,Dados!$G:$G,$M$4)</f>
        <v>0</v>
      </c>
      <c r="N193" s="81">
        <f>sumifs(Dados!$N:$N,Dados!$B:$B,B193,Dados!$H:$H,$D$1,Dados!$G:$G,$N$4)</f>
        <v>0</v>
      </c>
      <c r="O193" s="81">
        <f>sumifs(Dados!$N:$N,Dados!$B:$B,B193,Dados!$H:$H,$D$1,Dados!$G:$G,$O$4)</f>
        <v>0</v>
      </c>
      <c r="P193" s="81">
        <f>sumifs(Dados!$N:$N,Dados!$B:$B,B193,Dados!$H:$H,$D$1,Dados!$G:$G,$P$4)</f>
        <v>0</v>
      </c>
      <c r="Q193" s="81"/>
    </row>
    <row r="194" ht="15.75" customHeight="1">
      <c r="A194" s="77"/>
      <c r="B194" s="77" t="s">
        <v>297</v>
      </c>
      <c r="C194" s="79"/>
      <c r="D194" s="80">
        <f t="shared" si="46"/>
        <v>42.98</v>
      </c>
      <c r="E194" s="81">
        <f>sumifs(Dados!$N:$N,Dados!$B:$B,B194,Dados!$H:$H,$D$1,Dados!$G:$G,$E$4)</f>
        <v>0</v>
      </c>
      <c r="F194" s="81">
        <f>sumifs(Dados!$N:$N,Dados!$B:$B,B194,Dados!$H:$H,$D$1,Dados!$G:$G,$F$4)</f>
        <v>0</v>
      </c>
      <c r="G194" s="81">
        <f>sumifs(Dados!$N:$N,Dados!$B:$B,B194,Dados!$H:$H,$D$1,Dados!$G:$G,$G$4)</f>
        <v>0</v>
      </c>
      <c r="H194" s="81">
        <f>sumifs(Dados!$N:$N,Dados!$B:$B,B194,Dados!$H:$H,$D$1,Dados!$G:$G,$H$4)</f>
        <v>21.49</v>
      </c>
      <c r="I194" s="81">
        <f>sumifs(Dados!$N:$N,Dados!$B:$B,B194,Dados!$H:$H,$D$1,Dados!$G:$G,$I$4)</f>
        <v>21.49</v>
      </c>
      <c r="J194" s="81">
        <f>sumifs(Dados!$N:$N,Dados!$B:$B,B194,Dados!$H:$H,$D$1,Dados!$G:$G,$J$4)</f>
        <v>0</v>
      </c>
      <c r="K194" s="81">
        <f>sumifs(Dados!$N:$N,Dados!$B:$B,B194,Dados!$H:$H,$D$1,Dados!$G:$G,$K$4)</f>
        <v>0</v>
      </c>
      <c r="L194" s="81">
        <f>sumifs(Dados!$N:$N,Dados!$B:$B,B194,Dados!$H:$H,$D$1,Dados!$G:$G,$L$4)</f>
        <v>0</v>
      </c>
      <c r="M194" s="81">
        <f>sumifs(Dados!$N:$N,Dados!$B:$B,B194,Dados!$H:$H,$D$1,Dados!$G:$G,$M$4)</f>
        <v>0</v>
      </c>
      <c r="N194" s="81">
        <f>sumifs(Dados!$N:$N,Dados!$B:$B,B194,Dados!$H:$H,$D$1,Dados!$G:$G,$N$4)</f>
        <v>0</v>
      </c>
      <c r="O194" s="81">
        <f>sumifs(Dados!$N:$N,Dados!$B:$B,B194,Dados!$H:$H,$D$1,Dados!$G:$G,$O$4)</f>
        <v>0</v>
      </c>
      <c r="P194" s="81">
        <f>sumifs(Dados!$N:$N,Dados!$B:$B,B194,Dados!$H:$H,$D$1,Dados!$G:$G,$P$4)</f>
        <v>0</v>
      </c>
      <c r="Q194" s="81"/>
    </row>
    <row r="195" ht="15.75" customHeight="1">
      <c r="A195" s="77"/>
      <c r="B195" s="77" t="s">
        <v>298</v>
      </c>
      <c r="C195" s="79"/>
      <c r="D195" s="80">
        <f t="shared" si="46"/>
        <v>280.98</v>
      </c>
      <c r="E195" s="81">
        <f>sumifs(Dados!$N:$N,Dados!$B:$B,B195,Dados!$H:$H,$D$1,Dados!$G:$G,$E$4)</f>
        <v>0</v>
      </c>
      <c r="F195" s="81">
        <f>sumifs(Dados!$N:$N,Dados!$B:$B,B195,Dados!$H:$H,$D$1,Dados!$G:$G,$F$4)</f>
        <v>0</v>
      </c>
      <c r="G195" s="81">
        <f>sumifs(Dados!$N:$N,Dados!$B:$B,B195,Dados!$H:$H,$D$1,Dados!$G:$G,$G$4)</f>
        <v>0</v>
      </c>
      <c r="H195" s="81">
        <f>sumifs(Dados!$N:$N,Dados!$B:$B,B195,Dados!$H:$H,$D$1,Dados!$G:$G,$H$4)</f>
        <v>96.12</v>
      </c>
      <c r="I195" s="81">
        <f>sumifs(Dados!$N:$N,Dados!$B:$B,B195,Dados!$H:$H,$D$1,Dados!$G:$G,$I$4)</f>
        <v>184.86</v>
      </c>
      <c r="J195" s="81">
        <f>sumifs(Dados!$N:$N,Dados!$B:$B,B195,Dados!$H:$H,$D$1,Dados!$G:$G,$J$4)</f>
        <v>0</v>
      </c>
      <c r="K195" s="81">
        <f>sumifs(Dados!$N:$N,Dados!$B:$B,B195,Dados!$H:$H,$D$1,Dados!$G:$G,$K$4)</f>
        <v>0</v>
      </c>
      <c r="L195" s="81">
        <f>sumifs(Dados!$N:$N,Dados!$B:$B,B195,Dados!$H:$H,$D$1,Dados!$G:$G,$L$4)</f>
        <v>0</v>
      </c>
      <c r="M195" s="81">
        <f>sumifs(Dados!$N:$N,Dados!$B:$B,B195,Dados!$H:$H,$D$1,Dados!$G:$G,$M$4)</f>
        <v>0</v>
      </c>
      <c r="N195" s="81">
        <f>sumifs(Dados!$N:$N,Dados!$B:$B,B195,Dados!$H:$H,$D$1,Dados!$G:$G,$N$4)</f>
        <v>0</v>
      </c>
      <c r="O195" s="81">
        <f>sumifs(Dados!$N:$N,Dados!$B:$B,B195,Dados!$H:$H,$D$1,Dados!$G:$G,$O$4)</f>
        <v>0</v>
      </c>
      <c r="P195" s="81">
        <f>sumifs(Dados!$N:$N,Dados!$B:$B,B195,Dados!$H:$H,$D$1,Dados!$G:$G,$P$4)</f>
        <v>0</v>
      </c>
      <c r="Q195" s="81"/>
    </row>
    <row r="196" ht="15.75" customHeight="1">
      <c r="A196" s="77"/>
      <c r="B196" s="77" t="s">
        <v>299</v>
      </c>
      <c r="C196" s="79"/>
      <c r="D196" s="80">
        <f t="shared" si="46"/>
        <v>0</v>
      </c>
      <c r="E196" s="81">
        <f>sumifs(Dados!$N:$N,Dados!$B:$B,B196,Dados!$H:$H,$D$1,Dados!$G:$G,$E$4)</f>
        <v>0</v>
      </c>
      <c r="F196" s="81">
        <f>sumifs(Dados!$N:$N,Dados!$B:$B,B196,Dados!$H:$H,$D$1,Dados!$G:$G,$F$4)</f>
        <v>0</v>
      </c>
      <c r="G196" s="81">
        <f>sumifs(Dados!$N:$N,Dados!$B:$B,B196,Dados!$H:$H,$D$1,Dados!$G:$G,$G$4)</f>
        <v>0</v>
      </c>
      <c r="H196" s="81">
        <f>sumifs(Dados!$N:$N,Dados!$B:$B,B196,Dados!$H:$H,$D$1,Dados!$G:$G,$H$4)</f>
        <v>0</v>
      </c>
      <c r="I196" s="81">
        <f>sumifs(Dados!$N:$N,Dados!$B:$B,B196,Dados!$H:$H,$D$1,Dados!$G:$G,$I$4)</f>
        <v>0</v>
      </c>
      <c r="J196" s="81">
        <f>sumifs(Dados!$N:$N,Dados!$B:$B,B196,Dados!$H:$H,$D$1,Dados!$G:$G,$J$4)</f>
        <v>0</v>
      </c>
      <c r="K196" s="81">
        <f>sumifs(Dados!$N:$N,Dados!$B:$B,B196,Dados!$H:$H,$D$1,Dados!$G:$G,$K$4)</f>
        <v>0</v>
      </c>
      <c r="L196" s="81">
        <f>sumifs(Dados!$N:$N,Dados!$B:$B,B196,Dados!$H:$H,$D$1,Dados!$G:$G,$L$4)</f>
        <v>0</v>
      </c>
      <c r="M196" s="81">
        <f>sumifs(Dados!$N:$N,Dados!$B:$B,B196,Dados!$H:$H,$D$1,Dados!$G:$G,$M$4)</f>
        <v>0</v>
      </c>
      <c r="N196" s="81">
        <f>sumifs(Dados!$N:$N,Dados!$B:$B,B196,Dados!$H:$H,$D$1,Dados!$G:$G,$N$4)</f>
        <v>0</v>
      </c>
      <c r="O196" s="81">
        <f>sumifs(Dados!$N:$N,Dados!$B:$B,B196,Dados!$H:$H,$D$1,Dados!$G:$G,$O$4)</f>
        <v>0</v>
      </c>
      <c r="P196" s="81">
        <f>sumifs(Dados!$N:$N,Dados!$B:$B,B196,Dados!$H:$H,$D$1,Dados!$G:$G,$P$4)</f>
        <v>0</v>
      </c>
      <c r="Q196" s="81"/>
    </row>
    <row r="197" ht="15.75" customHeight="1">
      <c r="A197" s="77"/>
      <c r="B197" s="77" t="s">
        <v>300</v>
      </c>
      <c r="C197" s="79"/>
      <c r="D197" s="80">
        <f t="shared" si="46"/>
        <v>0</v>
      </c>
      <c r="E197" s="81">
        <f>sumifs(Dados!$N:$N,Dados!$B:$B,B197,Dados!$H:$H,$D$1,Dados!$G:$G,$E$4)</f>
        <v>0</v>
      </c>
      <c r="F197" s="81">
        <f>sumifs(Dados!$N:$N,Dados!$B:$B,B197,Dados!$H:$H,$D$1,Dados!$G:$G,$F$4)</f>
        <v>0</v>
      </c>
      <c r="G197" s="81">
        <f>sumifs(Dados!$N:$N,Dados!$B:$B,B197,Dados!$H:$H,$D$1,Dados!$G:$G,$G$4)</f>
        <v>0</v>
      </c>
      <c r="H197" s="81">
        <f>sumifs(Dados!$N:$N,Dados!$B:$B,B197,Dados!$H:$H,$D$1,Dados!$G:$G,$H$4)</f>
        <v>0</v>
      </c>
      <c r="I197" s="81">
        <f>sumifs(Dados!$N:$N,Dados!$B:$B,B197,Dados!$H:$H,$D$1,Dados!$G:$G,$I$4)</f>
        <v>0</v>
      </c>
      <c r="J197" s="81">
        <f>sumifs(Dados!$N:$N,Dados!$B:$B,B197,Dados!$H:$H,$D$1,Dados!$G:$G,$J$4)</f>
        <v>0</v>
      </c>
      <c r="K197" s="81">
        <f>sumifs(Dados!$N:$N,Dados!$B:$B,B197,Dados!$H:$H,$D$1,Dados!$G:$G,$K$4)</f>
        <v>0</v>
      </c>
      <c r="L197" s="81">
        <f>sumifs(Dados!$N:$N,Dados!$B:$B,B197,Dados!$H:$H,$D$1,Dados!$G:$G,$L$4)</f>
        <v>0</v>
      </c>
      <c r="M197" s="81">
        <f>sumifs(Dados!$N:$N,Dados!$B:$B,B197,Dados!$H:$H,$D$1,Dados!$G:$G,$M$4)</f>
        <v>0</v>
      </c>
      <c r="N197" s="81">
        <f>sumifs(Dados!$N:$N,Dados!$B:$B,B197,Dados!$H:$H,$D$1,Dados!$G:$G,$N$4)</f>
        <v>0</v>
      </c>
      <c r="O197" s="81">
        <f>sumifs(Dados!$N:$N,Dados!$B:$B,B197,Dados!$H:$H,$D$1,Dados!$G:$G,$O$4)</f>
        <v>0</v>
      </c>
      <c r="P197" s="81">
        <f>sumifs(Dados!$N:$N,Dados!$B:$B,B197,Dados!$H:$H,$D$1,Dados!$G:$G,$P$4)</f>
        <v>0</v>
      </c>
      <c r="Q197" s="81"/>
    </row>
    <row r="198" ht="15.75" customHeight="1">
      <c r="A198" s="109" t="s">
        <v>301</v>
      </c>
      <c r="B198" s="100">
        <f>sumifs(Dados!$N:$N,Dados!$A:$A,A198,Dados!$H:$H,$D$1)</f>
        <v>543.18</v>
      </c>
      <c r="C198" s="101">
        <f>B198-D198</f>
        <v>0</v>
      </c>
      <c r="D198" s="100">
        <f t="shared" ref="D198:P198" si="47">SUM(D188:D197)</f>
        <v>543.18</v>
      </c>
      <c r="E198" s="100">
        <f t="shared" si="47"/>
        <v>0</v>
      </c>
      <c r="F198" s="100">
        <f t="shared" si="47"/>
        <v>0</v>
      </c>
      <c r="G198" s="100">
        <f t="shared" si="47"/>
        <v>0</v>
      </c>
      <c r="H198" s="100">
        <f t="shared" si="47"/>
        <v>117.61</v>
      </c>
      <c r="I198" s="100">
        <f t="shared" si="47"/>
        <v>346.54</v>
      </c>
      <c r="J198" s="100">
        <f t="shared" si="47"/>
        <v>79.03</v>
      </c>
      <c r="K198" s="100">
        <f t="shared" si="47"/>
        <v>0</v>
      </c>
      <c r="L198" s="100">
        <f t="shared" si="47"/>
        <v>0</v>
      </c>
      <c r="M198" s="100">
        <f t="shared" si="47"/>
        <v>0</v>
      </c>
      <c r="N198" s="100">
        <f t="shared" si="47"/>
        <v>0</v>
      </c>
      <c r="O198" s="100">
        <f t="shared" si="47"/>
        <v>0</v>
      </c>
      <c r="P198" s="100">
        <f t="shared" si="47"/>
        <v>0</v>
      </c>
      <c r="Q198" s="100"/>
    </row>
    <row r="199" ht="15.75" customHeight="1">
      <c r="A199" s="77"/>
      <c r="B199" s="83" t="s">
        <v>25</v>
      </c>
      <c r="C199" s="79"/>
      <c r="D199" s="80">
        <f t="shared" ref="D199:D207" si="48">SUM(E199:P199)</f>
        <v>18174.81</v>
      </c>
      <c r="E199" s="81">
        <f>sumifs(Dados!$N:$N,Dados!$B:$B,B199,Dados!$H:$H,$D$1,Dados!$G:$G,$E$4)</f>
        <v>149.35</v>
      </c>
      <c r="F199" s="81">
        <f>sumifs(Dados!$N:$N,Dados!$B:$B,B199,Dados!$H:$H,$D$1,Dados!$G:$G,$F$4)</f>
        <v>8020.54</v>
      </c>
      <c r="G199" s="81">
        <f>sumifs(Dados!$N:$N,Dados!$B:$B,B199,Dados!$H:$H,$D$1,Dados!$G:$G,$G$4)</f>
        <v>2963.67</v>
      </c>
      <c r="H199" s="81">
        <f>sumifs(Dados!$N:$N,Dados!$B:$B,$B$199,Dados!$H:$H,$D$1,Dados!$G:$G,H4)</f>
        <v>3925.72</v>
      </c>
      <c r="I199" s="81">
        <f>sumifs(Dados!$N:$N,Dados!$B:$B,B199,Dados!$H:$H,$D$1,Dados!$G:$G,$I$4)</f>
        <v>1262.95</v>
      </c>
      <c r="J199" s="81">
        <f>sumifs(Dados!$N:$N,Dados!$B:$B,B199,Dados!$H:$H,$D$1,Dados!$G:$G,$J$4)</f>
        <v>1852.58</v>
      </c>
      <c r="K199" s="81">
        <f>sumifs(Dados!$N:$N,Dados!$B:$B,B199,Dados!$H:$H,$D$1,Dados!$G:$G,$K$4)</f>
        <v>0</v>
      </c>
      <c r="L199" s="81">
        <f>sumifs(Dados!$N:$N,Dados!$B:$B,B199,Dados!$H:$H,$D$1,Dados!$G:$G,$L$4)</f>
        <v>0</v>
      </c>
      <c r="M199" s="81">
        <f>sumifs(Dados!$N:$N,Dados!$B:$B,B199,Dados!$H:$H,$D$1,Dados!$G:$G,$M$4)</f>
        <v>0</v>
      </c>
      <c r="N199" s="81">
        <f>sumifs(Dados!$N:$N,Dados!$B:$B,B199,Dados!$H:$H,$D$1,Dados!$G:$G,$N$4)</f>
        <v>0</v>
      </c>
      <c r="O199" s="81">
        <f>sumifs(Dados!$N:$N,Dados!$B:$B,B199,Dados!$H:$H,$D$1,Dados!$G:$G,$O$4)</f>
        <v>0</v>
      </c>
      <c r="P199" s="81">
        <f>sumifs(Dados!$N:$N,Dados!$B:$B,$B199,Dados!$H:$H,$D$1,Dados!$G:$G,$P$4)</f>
        <v>0</v>
      </c>
      <c r="Q199" s="80"/>
    </row>
    <row r="200" ht="15.75" customHeight="1">
      <c r="A200" s="77"/>
      <c r="B200" s="83" t="s">
        <v>302</v>
      </c>
      <c r="C200" s="79"/>
      <c r="D200" s="80">
        <f t="shared" si="48"/>
        <v>24070.51</v>
      </c>
      <c r="E200" s="81">
        <f>sumifs(Dados!$N:$N,Dados!$B:$B,B200,Dados!$H:$H,$D$1,Dados!$G:$G,$E$4)</f>
        <v>2695.4</v>
      </c>
      <c r="F200" s="81">
        <f>sumifs(Dados!$N:$N,Dados!$B:$B,B200,Dados!$H:$H,$D$1,Dados!$G:$G,$F$4)</f>
        <v>8070</v>
      </c>
      <c r="G200" s="81">
        <f>sumifs(Dados!$N:$N,Dados!$B:$B,B200,Dados!$H:$H,$D$1,Dados!$G:$G,$G$4)</f>
        <v>4270.13</v>
      </c>
      <c r="H200" s="81">
        <f>sumifs(Dados!$N:$N,Dados!$B:$B,B200,Dados!$H:$H,$D$1,Dados!$G:$G,$H$4)</f>
        <v>3175</v>
      </c>
      <c r="I200" s="81">
        <f>sumifs(Dados!$N:$N,Dados!$B:$B,B200,Dados!$H:$H,$D$1,Dados!$G:$G,$I$4)</f>
        <v>4246.1</v>
      </c>
      <c r="J200" s="81">
        <f>sumifs(Dados!$N:$N,Dados!$B:$B,B200,Dados!$H:$H,$D$1,Dados!$G:$G,$J$4)</f>
        <v>913.88</v>
      </c>
      <c r="K200" s="81">
        <f>sumifs(Dados!$N:$N,Dados!$B:$B,B200,Dados!$H:$H,$D$1,Dados!$G:$G,$K$4)</f>
        <v>700</v>
      </c>
      <c r="L200" s="81">
        <f>sumifs(Dados!$N:$N,Dados!$B:$B,B200,Dados!$H:$H,$D$1,Dados!$G:$G,$L$4)</f>
        <v>0</v>
      </c>
      <c r="M200" s="81">
        <f>sumifs(Dados!$N:$N,Dados!$B:$B,B200,Dados!$H:$H,$D$1,Dados!$G:$G,$M$4)</f>
        <v>0</v>
      </c>
      <c r="N200" s="81">
        <f>sumifs(Dados!$N:$N,Dados!$B:$B,B200,Dados!$H:$H,$D$1,Dados!$G:$G,$N$4)</f>
        <v>0</v>
      </c>
      <c r="O200" s="81">
        <f>sumifs(Dados!$N:$N,Dados!$B:$B,B200,Dados!$H:$H,$D$1,Dados!$G:$G,$O$4)</f>
        <v>0</v>
      </c>
      <c r="P200" s="81">
        <f>sumifs(Dados!$N:$N,Dados!$B:$B,$B200,Dados!$H:$H,$D$1,Dados!$G:$G,$P$4)</f>
        <v>0</v>
      </c>
      <c r="Q200" s="80"/>
    </row>
    <row r="201" ht="15.75" customHeight="1">
      <c r="A201" s="77"/>
      <c r="B201" s="83" t="s">
        <v>31</v>
      </c>
      <c r="C201" s="79"/>
      <c r="D201" s="80">
        <f t="shared" si="48"/>
        <v>26495.6</v>
      </c>
      <c r="E201" s="81">
        <f>sumifs(Dados!$N:$N,Dados!$B:$B,B201,Dados!$H:$H,$D$1,Dados!$G:$G,$E$4)</f>
        <v>4278.63</v>
      </c>
      <c r="F201" s="81">
        <f>sumifs(Dados!$N:$N,Dados!$B:$B,B201,Dados!$H:$H,$D$1,Dados!$G:$G,$F$4)</f>
        <v>11060.43</v>
      </c>
      <c r="G201" s="81">
        <f>sumifs(Dados!$N:$N,Dados!$B:$B,B201,Dados!$H:$H,$D$1,Dados!$G:$G,$G$4)</f>
        <v>2444.42</v>
      </c>
      <c r="H201" s="81">
        <f>sumifs(Dados!$N:$N,Dados!$B:$B,B201,Dados!$H:$H,$D$1,Dados!$G:$G,$H$4)</f>
        <v>1786.11</v>
      </c>
      <c r="I201" s="81">
        <f>sumifs(Dados!$N:$N,Dados!$B:$B,B201,Dados!$H:$H,$D$1,Dados!$G:$G,$I$4)</f>
        <v>1949.27</v>
      </c>
      <c r="J201" s="81">
        <f>sumifs(Dados!$N:$N,Dados!$B:$B,B201,Dados!$H:$H,$D$1,Dados!$G:$G,$J$4)</f>
        <v>594.44</v>
      </c>
      <c r="K201" s="81">
        <f>sumifs(Dados!$N:$N,Dados!$B:$B,B201,Dados!$H:$H,$D$1,Dados!$G:$G,$K$4)</f>
        <v>1202.3</v>
      </c>
      <c r="L201" s="81">
        <f>sumifs(Dados!$N:$N,Dados!$B:$B,B201,Dados!$H:$H,$D$1,Dados!$G:$G,$L$4)</f>
        <v>3180</v>
      </c>
      <c r="M201" s="81">
        <f>sumifs(Dados!$N:$N,Dados!$B:$B,B201,Dados!$H:$H,$D$1,Dados!$G:$G,$M$4)</f>
        <v>0</v>
      </c>
      <c r="N201" s="81">
        <f>sumifs(Dados!$N:$N,Dados!$B:$B,B201,Dados!$H:$H,$D$1,Dados!$G:$G,$N$4)</f>
        <v>0</v>
      </c>
      <c r="O201" s="81">
        <f>sumifs(Dados!$N:$N,Dados!$B:$B,B201,Dados!$H:$H,$D$1,Dados!$G:$G,$O$4)</f>
        <v>0</v>
      </c>
      <c r="P201" s="81">
        <f>sumifs(Dados!$N:$N,Dados!$B:$B,$B201,Dados!$H:$H,$D$1,Dados!$G:$G,$P$4)</f>
        <v>0</v>
      </c>
      <c r="Q201" s="80"/>
    </row>
    <row r="202" ht="15.75" customHeight="1">
      <c r="A202" s="77"/>
      <c r="B202" s="159" t="s">
        <v>22</v>
      </c>
      <c r="C202" s="79"/>
      <c r="D202" s="80">
        <f t="shared" si="48"/>
        <v>837.82</v>
      </c>
      <c r="E202" s="81">
        <f>sumifs(Dados!$N:$N,Dados!$B:$B,B202,Dados!$H:$H,$D$1,Dados!$G:$G,$E$4)</f>
        <v>160</v>
      </c>
      <c r="F202" s="81">
        <f>sumifs(Dados!$N:$N,Dados!$B:$B,B202,Dados!$H:$H,$D$1,Dados!$G:$G,$F$4)</f>
        <v>255.5</v>
      </c>
      <c r="G202" s="81">
        <f>sumifs(Dados!$N:$N,Dados!$B:$B,B202,Dados!$H:$H,$D$1,Dados!$G:$G,$G$4)</f>
        <v>253.9</v>
      </c>
      <c r="H202" s="81">
        <f>sumifs(Dados!$N:$N,Dados!$B:$B,B202,Dados!$H:$H,$D$1,Dados!$G:$G,$H$4)</f>
        <v>168.42</v>
      </c>
      <c r="I202" s="81">
        <f>sumifs(Dados!$N:$N,Dados!$B:$B,B202,Dados!$H:$H,$D$1,Dados!$G:$G,$I$4)</f>
        <v>0</v>
      </c>
      <c r="J202" s="81">
        <f>sumifs(Dados!$N:$N,Dados!$B:$B,B202,Dados!$H:$H,$D$1,Dados!$G:$G,$J$4)</f>
        <v>0</v>
      </c>
      <c r="K202" s="81">
        <f>sumifs(Dados!$N:$N,Dados!$B:$B,B202,Dados!$H:$H,$D$1,Dados!$G:$G,$K$4)</f>
        <v>0</v>
      </c>
      <c r="L202" s="81">
        <f>sumifs(Dados!$N:$N,Dados!$B:$B,B202,Dados!$H:$H,$D$1,Dados!$G:$G,$L$4)</f>
        <v>0</v>
      </c>
      <c r="M202" s="81">
        <f>sumifs(Dados!$N:$N,Dados!$B:$B,B202,Dados!$H:$H,$D$1,Dados!$G:$G,$M$4)</f>
        <v>0</v>
      </c>
      <c r="N202" s="81">
        <f>sumifs(Dados!$N:$N,Dados!$B:$B,B202,Dados!$H:$H,$D$1,Dados!$G:$G,$N$4)</f>
        <v>0</v>
      </c>
      <c r="O202" s="81">
        <f>sumifs(Dados!$N:$N,Dados!$B:$B,B202,Dados!$H:$H,$D$1,Dados!$G:$G,$O$4)</f>
        <v>0</v>
      </c>
      <c r="P202" s="81">
        <f>sumifs(Dados!$N:$N,Dados!$B:$B,$B202,Dados!$H:$H,$D$1,Dados!$G:$G,$P$4)</f>
        <v>0</v>
      </c>
      <c r="Q202" s="80"/>
    </row>
    <row r="203" ht="15.75" customHeight="1">
      <c r="A203" s="77"/>
      <c r="B203" s="159" t="s">
        <v>33</v>
      </c>
      <c r="C203" s="79"/>
      <c r="D203" s="80">
        <f t="shared" si="48"/>
        <v>6705.51</v>
      </c>
      <c r="E203" s="81">
        <f>sumifs(Dados!$N:$N,Dados!$B:$B,B203,Dados!$H:$H,$D$1,Dados!$G:$G,$E$4)</f>
        <v>0</v>
      </c>
      <c r="F203" s="81">
        <f>sumifs(Dados!$N:$N,Dados!$B:$B,B203,Dados!$H:$H,$D$1,Dados!$G:$G,$F$4)</f>
        <v>1702.56</v>
      </c>
      <c r="G203" s="81">
        <f>sumifs(Dados!$N:$N,Dados!$B:$B,B203,Dados!$H:$H,$D$1,Dados!$G:$G,$G$4)</f>
        <v>350</v>
      </c>
      <c r="H203" s="81">
        <f>sumifs(Dados!$N:$N,Dados!$B:$B,B203,Dados!$H:$H,$D$1,Dados!$G:$G,$H$4)</f>
        <v>2121.61</v>
      </c>
      <c r="I203" s="81">
        <f>sumifs(Dados!$N:$N,Dados!$B:$B,B203,Dados!$H:$H,$D$1,Dados!$G:$G,$I$4)</f>
        <v>0</v>
      </c>
      <c r="J203" s="81">
        <f>sumifs(Dados!$N:$N,Dados!$B:$B,B203,Dados!$H:$H,$D$1,Dados!$G:$G,$J$4)</f>
        <v>2531.34</v>
      </c>
      <c r="K203" s="81">
        <f>sumifs(Dados!$N:$N,Dados!$B:$B,B203,Dados!$H:$H,$D$1,Dados!$G:$G,$K$4)</f>
        <v>0</v>
      </c>
      <c r="L203" s="81">
        <f>sumifs(Dados!$N:$N,Dados!$B:$B,B203,Dados!$H:$H,$D$1,Dados!$G:$G,$L$4)</f>
        <v>0</v>
      </c>
      <c r="M203" s="81">
        <f>sumifs(Dados!$N:$N,Dados!$B:$B,B203,Dados!$H:$H,$D$1,Dados!$G:$G,$M$4)</f>
        <v>0</v>
      </c>
      <c r="N203" s="81">
        <f>sumifs(Dados!$N:$N,Dados!$B:$B,B203,Dados!$H:$H,$D$1,Dados!$G:$G,$N$4)</f>
        <v>0</v>
      </c>
      <c r="O203" s="81">
        <f>sumifs(Dados!$N:$N,Dados!$B:$B,B203,Dados!$H:$H,$D$1,Dados!$G:$G,$O$4)</f>
        <v>0</v>
      </c>
      <c r="P203" s="81">
        <f>sumifs(Dados!$N:$N,Dados!$B:$B,$B203,Dados!$H:$H,$D$1,Dados!$G:$G,$P$4)</f>
        <v>0</v>
      </c>
      <c r="Q203" s="80"/>
    </row>
    <row r="204" ht="15.75" customHeight="1">
      <c r="A204" s="77"/>
      <c r="B204" s="164" t="s">
        <v>34</v>
      </c>
      <c r="C204" s="79"/>
      <c r="D204" s="80">
        <f t="shared" si="48"/>
        <v>396.37</v>
      </c>
      <c r="E204" s="81">
        <f>sumifs(Dados!$N:$N,Dados!$B:$B,B204,Dados!$H:$H,$D$1,Dados!$G:$G,$E$4)</f>
        <v>7.52</v>
      </c>
      <c r="F204" s="81">
        <f>sumifs(Dados!$N:$N,Dados!$B:$B,B204,Dados!$H:$H,$D$1,Dados!$G:$G,$F$4)</f>
        <v>383.91</v>
      </c>
      <c r="G204" s="81">
        <f>sumifs(Dados!$N:$N,Dados!$B:$B,B204,Dados!$H:$H,$D$1,Dados!$G:$G,$G$4)</f>
        <v>4.94</v>
      </c>
      <c r="H204" s="81">
        <f>sumifs(Dados!$N:$N,Dados!$B:$B,B204,Dados!$H:$H,$D$1,Dados!$G:$G,$H$4)</f>
        <v>0</v>
      </c>
      <c r="I204" s="81">
        <f>sumifs(Dados!$N:$N,Dados!$B:$B,B204,Dados!$H:$H,$D$1,Dados!$G:$G,$I$4)</f>
        <v>0</v>
      </c>
      <c r="J204" s="81">
        <f>sumifs(Dados!$N:$N,Dados!$B:$B,B204,Dados!$H:$H,$D$1,Dados!$G:$G,$J$4)</f>
        <v>0</v>
      </c>
      <c r="K204" s="81">
        <f>sumifs(Dados!$N:$N,Dados!$B:$B,B204,Dados!$H:$H,$D$1,Dados!$G:$G,$K$4)</f>
        <v>0</v>
      </c>
      <c r="L204" s="81">
        <f>sumifs(Dados!$N:$N,Dados!$B:$B,B204,Dados!$H:$H,$D$1,Dados!$G:$G,$L$4)</f>
        <v>0</v>
      </c>
      <c r="M204" s="81">
        <f>sumifs(Dados!$N:$N,Dados!$B:$B,B204,Dados!$H:$H,$D$1,Dados!$G:$G,$M$4)</f>
        <v>0</v>
      </c>
      <c r="N204" s="81">
        <f>sumifs(Dados!$N:$N,Dados!$B:$B,B204,Dados!$H:$H,$D$1,Dados!$G:$G,$N$4)</f>
        <v>0</v>
      </c>
      <c r="O204" s="81">
        <f>sumifs(Dados!$N:$N,Dados!$B:$B,B204,Dados!$H:$H,$D$1,Dados!$G:$G,$O$4)</f>
        <v>0</v>
      </c>
      <c r="P204" s="81">
        <f>sumifs(Dados!$N:$N,Dados!$B:$B,$B204,Dados!$H:$H,$D$1,Dados!$G:$G,$P$4)</f>
        <v>0</v>
      </c>
      <c r="Q204" s="80"/>
    </row>
    <row r="205" ht="15.75" customHeight="1">
      <c r="A205" s="77"/>
      <c r="B205" s="165"/>
      <c r="C205" s="79"/>
      <c r="D205" s="80">
        <f t="shared" si="48"/>
        <v>0</v>
      </c>
      <c r="E205" s="81">
        <f>sumifs(Dados!$N:$N,Dados!$B:$B,B205,Dados!$H:$H,$D$1,Dados!$G:$G,$E$4)</f>
        <v>0</v>
      </c>
      <c r="F205" s="81">
        <f>sumifs(Dados!$N:$N,Dados!$B:$B,B205,Dados!$H:$H,$D$1,Dados!$G:$G,$F$4)</f>
        <v>0</v>
      </c>
      <c r="G205" s="81">
        <f>sumifs(Dados!$N:$N,Dados!$B:$B,B205,Dados!$H:$H,$D$1,Dados!$G:$G,$G$4)</f>
        <v>0</v>
      </c>
      <c r="H205" s="81">
        <f>sumifs(Dados!$N:$N,Dados!$B:$B,B205,Dados!$H:$H,$D$1,Dados!$G:$G,$H$4)</f>
        <v>0</v>
      </c>
      <c r="I205" s="81">
        <f>sumifs(Dados!$N:$N,Dados!$B:$B,B205,Dados!$H:$H,$D$1,Dados!$G:$G,$I$4)</f>
        <v>0</v>
      </c>
      <c r="J205" s="81">
        <f>sumifs(Dados!$N:$N,Dados!$B:$B,B205,Dados!$H:$H,$D$1,Dados!$G:$G,$J$4)</f>
        <v>0</v>
      </c>
      <c r="K205" s="81">
        <f>sumifs(Dados!$N:$N,Dados!$B:$B,B205,Dados!$H:$H,$D$1,Dados!$G:$G,$K$4)</f>
        <v>0</v>
      </c>
      <c r="L205" s="81">
        <f>sumifs(Dados!$N:$N,Dados!$B:$B,B205,Dados!$H:$H,$D$1,Dados!$G:$G,$L$4)</f>
        <v>0</v>
      </c>
      <c r="M205" s="81">
        <f>sumifs(Dados!$N:$N,Dados!$B:$B,B205,Dados!$H:$H,$D$1,Dados!$G:$G,$M$4)</f>
        <v>0</v>
      </c>
      <c r="N205" s="81">
        <f>sumifs(Dados!$N:$N,Dados!$B:$B,B205,Dados!$H:$H,$D$1,Dados!$G:$G,$N$4)</f>
        <v>0</v>
      </c>
      <c r="O205" s="81">
        <f>sumifs(Dados!$N:$N,Dados!$B:$B,B205,Dados!$H:$H,$D$1,Dados!$G:$G,$O$4)</f>
        <v>0</v>
      </c>
      <c r="P205" s="81">
        <f>sumifs(Dados!$N:$N,Dados!$B:$B,$B205,Dados!$H:$H,$D$1,Dados!$G:$G,$P$4)</f>
        <v>0</v>
      </c>
      <c r="Q205" s="80"/>
    </row>
    <row r="206" ht="15.75" customHeight="1">
      <c r="A206" s="77"/>
      <c r="B206" s="82"/>
      <c r="C206" s="79"/>
      <c r="D206" s="80">
        <f t="shared" si="48"/>
        <v>0</v>
      </c>
      <c r="E206" s="81">
        <f>sumifs(Dados!$N:$N,Dados!$B:$B,B206,Dados!$H:$H,$D$1,Dados!$G:$G,$E$4)</f>
        <v>0</v>
      </c>
      <c r="F206" s="81">
        <f>sumifs(Dados!$N:$N,Dados!$B:$B,B206,Dados!$H:$H,$D$1,Dados!$G:$G,$F$4)</f>
        <v>0</v>
      </c>
      <c r="G206" s="81">
        <f>sumifs(Dados!$N:$N,Dados!$B:$B,B206,Dados!$H:$H,$D$1,Dados!$G:$G,$G$4)</f>
        <v>0</v>
      </c>
      <c r="H206" s="81">
        <f>sumifs(Dados!$N:$N,Dados!$B:$B,B206,Dados!$H:$H,$D$1,Dados!$G:$G,$H$4)</f>
        <v>0</v>
      </c>
      <c r="I206" s="81">
        <f>sumifs(Dados!$N:$N,Dados!$B:$B,B206,Dados!$H:$H,$D$1,Dados!$G:$G,$I$4)</f>
        <v>0</v>
      </c>
      <c r="J206" s="81">
        <f>sumifs(Dados!$N:$N,Dados!$B:$B,B206,Dados!$H:$H,$D$1,Dados!$G:$G,$J$4)</f>
        <v>0</v>
      </c>
      <c r="K206" s="81">
        <f>sumifs(Dados!$N:$N,Dados!$B:$B,B206,Dados!$H:$H,$D$1,Dados!$G:$G,$K$4)</f>
        <v>0</v>
      </c>
      <c r="L206" s="81">
        <f>sumifs(Dados!$N:$N,Dados!$B:$B,B206,Dados!$H:$H,$D$1,Dados!$G:$G,$L$4)</f>
        <v>0</v>
      </c>
      <c r="M206" s="81">
        <f>sumifs(Dados!$N:$N,Dados!$B:$B,B206,Dados!$H:$H,$D$1,Dados!$G:$G,$M$4)</f>
        <v>0</v>
      </c>
      <c r="N206" s="81">
        <f>sumifs(Dados!$N:$N,Dados!$B:$B,B206,Dados!$H:$H,$D$1,Dados!$G:$G,$N$4)</f>
        <v>0</v>
      </c>
      <c r="O206" s="81">
        <f>sumifs(Dados!$N:$N,Dados!$B:$B,B206,Dados!$H:$H,$D$1,Dados!$G:$G,$O$4)</f>
        <v>0</v>
      </c>
      <c r="P206" s="81">
        <f>sumifs(Dados!$N:$N,Dados!$B:$B,$B206,Dados!$H:$H,$D$1,Dados!$G:$G,$P$4)</f>
        <v>0</v>
      </c>
      <c r="Q206" s="80"/>
    </row>
    <row r="207" ht="15.75" customHeight="1">
      <c r="A207" s="77"/>
      <c r="B207" s="82"/>
      <c r="C207" s="79"/>
      <c r="D207" s="80">
        <f t="shared" si="48"/>
        <v>0</v>
      </c>
      <c r="E207" s="81">
        <f>sumifs(Dados!$N:$N,Dados!$B:$B,B207,Dados!$H:$H,$D$1,Dados!$G:$G,$E$4)</f>
        <v>0</v>
      </c>
      <c r="F207" s="81">
        <f>sumifs(Dados!$N:$N,Dados!$B:$B,B207,Dados!$H:$H,$D$1,Dados!$G:$G,$F$4)</f>
        <v>0</v>
      </c>
      <c r="G207" s="81">
        <f>sumifs(Dados!$N:$N,Dados!$B:$B,B207,Dados!$H:$H,$D$1,Dados!$G:$G,$G$4)</f>
        <v>0</v>
      </c>
      <c r="H207" s="81">
        <f>sumifs(Dados!$N:$N,Dados!$B:$B,B207,Dados!$H:$H,$D$1,Dados!$G:$G,$H$4)</f>
        <v>0</v>
      </c>
      <c r="I207" s="81">
        <f>sumifs(Dados!$N:$N,Dados!$B:$B,B207,Dados!$H:$H,$D$1,Dados!$G:$G,$I$4)</f>
        <v>0</v>
      </c>
      <c r="J207" s="81">
        <f>sumifs(Dados!$N:$N,Dados!$B:$B,B207,Dados!$H:$H,$D$1,Dados!$G:$G,$J$4)</f>
        <v>0</v>
      </c>
      <c r="K207" s="81">
        <f>sumifs(Dados!$N:$N,Dados!$B:$B,B207,Dados!$H:$H,$D$1,Dados!$G:$G,$K$4)</f>
        <v>0</v>
      </c>
      <c r="L207" s="81">
        <f>sumifs(Dados!$N:$N,Dados!$B:$B,B207,Dados!$H:$H,$D$1,Dados!$G:$G,$L$4)</f>
        <v>0</v>
      </c>
      <c r="M207" s="81">
        <f>sumifs(Dados!$N:$N,Dados!$B:$B,B207,Dados!$H:$H,$D$1,Dados!$G:$G,$M$4)</f>
        <v>0</v>
      </c>
      <c r="N207" s="81">
        <f>sumifs(Dados!$N:$N,Dados!$B:$B,B207,Dados!$H:$H,$D$1,Dados!$G:$G,$N$4)</f>
        <v>0</v>
      </c>
      <c r="O207" s="81">
        <f>sumifs(Dados!$N:$N,Dados!$B:$B,B207,Dados!$H:$H,$D$1,Dados!$G:$G,$O$4)</f>
        <v>0</v>
      </c>
      <c r="P207" s="81">
        <f>sumifs(Dados!$N:$N,Dados!$B:$B,$B207,Dados!$H:$H,$D$1,Dados!$G:$G,$P$4)</f>
        <v>0</v>
      </c>
      <c r="Q207" s="80"/>
    </row>
    <row r="208" ht="15.75" customHeight="1">
      <c r="A208" s="109" t="s">
        <v>20</v>
      </c>
      <c r="B208" s="100">
        <f>sumifs(Dados!$N:$N,Dados!$A:$A,A208,Dados!$H:$H,$D$1)</f>
        <v>76680.62</v>
      </c>
      <c r="C208" s="101">
        <f>B208-D208</f>
        <v>0</v>
      </c>
      <c r="D208" s="100">
        <f t="shared" ref="D208:P208" si="49">SUM(D199:D207)</f>
        <v>76680.62</v>
      </c>
      <c r="E208" s="100">
        <f t="shared" si="49"/>
        <v>7290.9</v>
      </c>
      <c r="F208" s="100">
        <f t="shared" si="49"/>
        <v>29492.94</v>
      </c>
      <c r="G208" s="100">
        <f t="shared" si="49"/>
        <v>10287.06</v>
      </c>
      <c r="H208" s="100">
        <f t="shared" si="49"/>
        <v>11176.86</v>
      </c>
      <c r="I208" s="100">
        <f t="shared" si="49"/>
        <v>7458.32</v>
      </c>
      <c r="J208" s="100">
        <f t="shared" si="49"/>
        <v>5892.24</v>
      </c>
      <c r="K208" s="100">
        <f t="shared" si="49"/>
        <v>1902.3</v>
      </c>
      <c r="L208" s="100">
        <f t="shared" si="49"/>
        <v>3180</v>
      </c>
      <c r="M208" s="100">
        <f t="shared" si="49"/>
        <v>0</v>
      </c>
      <c r="N208" s="100">
        <f t="shared" si="49"/>
        <v>0</v>
      </c>
      <c r="O208" s="100">
        <f t="shared" si="49"/>
        <v>0</v>
      </c>
      <c r="P208" s="100">
        <f t="shared" si="49"/>
        <v>0</v>
      </c>
      <c r="Q208" s="100"/>
    </row>
    <row r="209" ht="15.75" customHeight="1">
      <c r="A209" s="77"/>
      <c r="B209" s="82" t="s">
        <v>309</v>
      </c>
      <c r="C209" s="79"/>
      <c r="D209" s="80">
        <f t="shared" ref="D209:D211" si="50">SUM(E209:P209)</f>
        <v>0</v>
      </c>
      <c r="E209" s="81">
        <f>sumifs(Dados!$N:$N,Dados!$B:$B,B209,Dados!$H:$H,$D$1,Dados!$G:$G,$E$4)</f>
        <v>0</v>
      </c>
      <c r="F209" s="81">
        <f>sumifs(Dados!$N:$N,Dados!$B:$B,B209,Dados!$H:$H,$D$1,Dados!$G:$G,$F$4)</f>
        <v>0</v>
      </c>
      <c r="G209" s="81">
        <f>sumifs(Dados!$N:$N,Dados!$B:$B,B209,Dados!$H:$H,$D$1,Dados!$G:$G,$G$4)</f>
        <v>0</v>
      </c>
      <c r="H209" s="81">
        <f>sumifs(Dados!$N:$N,Dados!$B:$B,B209,Dados!$H:$H,$D$1,Dados!$G:$G,$H$4)</f>
        <v>0</v>
      </c>
      <c r="I209" s="81">
        <f>sumifs(Dados!$N:$N,Dados!$B:$B,B209,Dados!$H:$H,$D$1,Dados!$G:$G,$I$4)</f>
        <v>0</v>
      </c>
      <c r="J209" s="81">
        <f>sumifs(Dados!$N:$N,Dados!$B:$B,B209,Dados!$H:$H,$D$1,Dados!$G:$G,$J$4)</f>
        <v>0</v>
      </c>
      <c r="K209" s="81">
        <f>sumifs(Dados!$N:$N,Dados!$B:$B,B209,Dados!$H:$H,$D$1,Dados!$G:$G,$K$4)</f>
        <v>0</v>
      </c>
      <c r="L209" s="81">
        <f>sumifs(Dados!$N:$N,Dados!$B:$B,B209,Dados!$H:$H,$D$1,Dados!$G:$G,$L$4)</f>
        <v>0</v>
      </c>
      <c r="M209" s="81">
        <f>sumifs(Dados!$N:$N,Dados!$B:$B,B209,Dados!$H:$H,$D$1,Dados!$G:$G,$M$4)</f>
        <v>0</v>
      </c>
      <c r="N209" s="81">
        <f>sumifs(Dados!$N:$N,Dados!$B:$B,B209,Dados!$H:$H,$D$1,Dados!$G:$G,$N$4)</f>
        <v>0</v>
      </c>
      <c r="O209" s="81">
        <f>sumifs(Dados!$N:$N,Dados!$B:$B,B209,Dados!$H:$H,$D$1,Dados!$G:$G,$O$4)</f>
        <v>0</v>
      </c>
      <c r="P209" s="81">
        <f>sumifs(Dados!$N:$N,Dados!$B:$B,$B209,Dados!$H:$H,$D$1,Dados!$G:$G,$P$4)</f>
        <v>0</v>
      </c>
      <c r="Q209" s="80"/>
    </row>
    <row r="210" ht="15.75" customHeight="1">
      <c r="A210" s="77"/>
      <c r="B210" s="165" t="s">
        <v>311</v>
      </c>
      <c r="C210" s="79"/>
      <c r="D210" s="80">
        <f t="shared" si="50"/>
        <v>0</v>
      </c>
      <c r="E210" s="81">
        <f>sumifs(Dados!$N:$N,Dados!$B:$B,B210,Dados!$H:$H,$D$1,Dados!$G:$G,$E$4)</f>
        <v>0</v>
      </c>
      <c r="F210" s="81">
        <f>sumifs(Dados!$N:$N,Dados!$B:$B,B210,Dados!$H:$H,$D$1,Dados!$G:$G,$F$4)</f>
        <v>0</v>
      </c>
      <c r="G210" s="81">
        <f>sumifs(Dados!$N:$N,Dados!$B:$B,B210,Dados!$H:$H,$D$1,Dados!$G:$G,$G$4)</f>
        <v>0</v>
      </c>
      <c r="H210" s="81">
        <f>sumifs(Dados!$N:$N,Dados!$B:$B,B210,Dados!$H:$H,$D$1,Dados!$G:$G,$H$4)</f>
        <v>0</v>
      </c>
      <c r="I210" s="81">
        <f>sumifs(Dados!$N:$N,Dados!$B:$B,B210,Dados!$H:$H,$D$1,Dados!$G:$G,$I$4)</f>
        <v>0</v>
      </c>
      <c r="J210" s="81">
        <f>sumifs(Dados!$N:$N,Dados!$B:$B,B210,Dados!$H:$H,$D$1,Dados!$G:$G,$J$4)</f>
        <v>0</v>
      </c>
      <c r="K210" s="81">
        <f>sumifs(Dados!$N:$N,Dados!$B:$B,B210,Dados!$H:$H,$D$1,Dados!$G:$G,$K$4)</f>
        <v>0</v>
      </c>
      <c r="L210" s="81">
        <f>sumifs(Dados!$N:$N,Dados!$B:$B,B210,Dados!$H:$H,$D$1,Dados!$G:$G,$L$4)</f>
        <v>0</v>
      </c>
      <c r="M210" s="81">
        <f>sumifs(Dados!$N:$N,Dados!$B:$B,B210,Dados!$H:$H,$D$1,Dados!$G:$G,$M$4)</f>
        <v>0</v>
      </c>
      <c r="N210" s="81">
        <f>sumifs(Dados!$N:$N,Dados!$B:$B,B210,Dados!$H:$H,$D$1,Dados!$G:$G,$N$4)</f>
        <v>0</v>
      </c>
      <c r="O210" s="81">
        <f>sumifs(Dados!$N:$N,Dados!$B:$B,B210,Dados!$H:$H,$D$1,Dados!$G:$G,$O$4)</f>
        <v>0</v>
      </c>
      <c r="P210" s="81">
        <f>sumifs(Dados!$N:$N,Dados!$B:$B,$B210,Dados!$H:$H,$D$1,Dados!$G:$G,$P$4)</f>
        <v>0</v>
      </c>
      <c r="Q210" s="80"/>
    </row>
    <row r="211" ht="15.75" customHeight="1">
      <c r="A211" s="77"/>
      <c r="B211" s="165" t="s">
        <v>313</v>
      </c>
      <c r="C211" s="79"/>
      <c r="D211" s="80">
        <f t="shared" si="50"/>
        <v>0</v>
      </c>
      <c r="E211" s="81">
        <f>sumifs(Dados!$N:$N,Dados!$B:$B,B211,Dados!$H:$H,$D$1,Dados!$G:$G,$E$4)</f>
        <v>0</v>
      </c>
      <c r="F211" s="81">
        <f>sumifs(Dados!$N:$N,Dados!$B:$B,B211,Dados!$H:$H,$D$1,Dados!$G:$G,$F$4)</f>
        <v>0</v>
      </c>
      <c r="G211" s="81">
        <f>sumifs(Dados!$N:$N,Dados!$B:$B,B211,Dados!$H:$H,$D$1,Dados!$G:$G,$G$4)</f>
        <v>0</v>
      </c>
      <c r="H211" s="81">
        <f>sumifs(Dados!$N:$N,Dados!$B:$B,B211,Dados!$H:$H,$D$1,Dados!$G:$G,$H$4)</f>
        <v>0</v>
      </c>
      <c r="I211" s="81">
        <f>sumifs(Dados!$N:$N,Dados!$B:$B,B211,Dados!$H:$H,$D$1,Dados!$G:$G,$I$4)</f>
        <v>0</v>
      </c>
      <c r="J211" s="81">
        <f>sumifs(Dados!$N:$N,Dados!$B:$B,B211,Dados!$H:$H,$D$1,Dados!$G:$G,$J$4)</f>
        <v>0</v>
      </c>
      <c r="K211" s="81">
        <f>sumifs(Dados!$N:$N,Dados!$B:$B,B211,Dados!$H:$H,$D$1,Dados!$G:$G,$K$4)</f>
        <v>0</v>
      </c>
      <c r="L211" s="81">
        <f>sumifs(Dados!$N:$N,Dados!$B:$B,B211,Dados!$H:$H,$D$1,Dados!$G:$G,$L$4)</f>
        <v>0</v>
      </c>
      <c r="M211" s="81">
        <f>sumifs(Dados!$N:$N,Dados!$B:$B,B211,Dados!$H:$H,$D$1,Dados!$G:$G,$M$4)</f>
        <v>0</v>
      </c>
      <c r="N211" s="81">
        <f>sumifs(Dados!$N:$N,Dados!$B:$B,B211,Dados!$H:$H,$D$1,Dados!$G:$G,$N$4)</f>
        <v>0</v>
      </c>
      <c r="O211" s="81">
        <f>sumifs(Dados!$N:$N,Dados!$B:$B,B211,Dados!$H:$H,$D$1,Dados!$G:$G,$O$4)</f>
        <v>0</v>
      </c>
      <c r="P211" s="81">
        <f>sumifs(Dados!$N:$N,Dados!$B:$B,$B211,Dados!$H:$H,$D$1,Dados!$G:$G,$P$4)</f>
        <v>0</v>
      </c>
      <c r="Q211" s="80"/>
    </row>
    <row r="212" ht="15.75" customHeight="1">
      <c r="A212" s="109" t="s">
        <v>315</v>
      </c>
      <c r="B212" s="100">
        <f>sumifs(Dados!$N:$N,Dados!$A:$A,A212,Dados!$H:$H,$D$1)</f>
        <v>0</v>
      </c>
      <c r="C212" s="101">
        <f>B212-D212</f>
        <v>0</v>
      </c>
      <c r="D212" s="100">
        <f t="shared" ref="D212:P212" si="51">SUM(D209:D211)</f>
        <v>0</v>
      </c>
      <c r="E212" s="100">
        <f t="shared" si="51"/>
        <v>0</v>
      </c>
      <c r="F212" s="100">
        <f t="shared" si="51"/>
        <v>0</v>
      </c>
      <c r="G212" s="100">
        <f t="shared" si="51"/>
        <v>0</v>
      </c>
      <c r="H212" s="100">
        <f t="shared" si="51"/>
        <v>0</v>
      </c>
      <c r="I212" s="100">
        <f t="shared" si="51"/>
        <v>0</v>
      </c>
      <c r="J212" s="100">
        <f t="shared" si="51"/>
        <v>0</v>
      </c>
      <c r="K212" s="100">
        <f t="shared" si="51"/>
        <v>0</v>
      </c>
      <c r="L212" s="100">
        <f t="shared" si="51"/>
        <v>0</v>
      </c>
      <c r="M212" s="100">
        <f t="shared" si="51"/>
        <v>0</v>
      </c>
      <c r="N212" s="100">
        <f t="shared" si="51"/>
        <v>0</v>
      </c>
      <c r="O212" s="100">
        <f t="shared" si="51"/>
        <v>0</v>
      </c>
      <c r="P212" s="100">
        <f t="shared" si="51"/>
        <v>0</v>
      </c>
      <c r="Q212" s="100"/>
    </row>
    <row r="213" ht="15.75" customHeight="1">
      <c r="A213" s="77"/>
      <c r="B213" s="77"/>
      <c r="C213" s="79"/>
      <c r="D213" s="80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</row>
    <row r="214" ht="15.75" customHeight="1">
      <c r="A214" s="77"/>
      <c r="B214" s="77" t="s">
        <v>316</v>
      </c>
      <c r="C214" s="79"/>
      <c r="D214" s="80">
        <f>SUM(E214:P214)</f>
        <v>0</v>
      </c>
      <c r="E214" s="81">
        <f>sumifs(Dados!$N:$N,Dados!$B:$B,B214,Dados!$H:$H,$D$1,Dados!$G:$G,$E$4)</f>
        <v>0</v>
      </c>
      <c r="F214" s="81">
        <f>sumifs(Dados!$N:$N,Dados!$B:$B,B214,Dados!$H:$H,$D$1,Dados!$G:$G,$F$4)</f>
        <v>0</v>
      </c>
      <c r="G214" s="81">
        <f>sumifs(Dados!$N:$N,Dados!$B:$B,B214,Dados!$H:$H,$D$1,Dados!$G:$G,$G$4)</f>
        <v>0</v>
      </c>
      <c r="H214" s="81">
        <f>sumifs(Dados!$N:$N,Dados!$B:$B,B214,Dados!$H:$H,$D$1,Dados!$G:$G,$H$4)</f>
        <v>0</v>
      </c>
      <c r="I214" s="81">
        <f>sumifs(Dados!$N:$N,Dados!$B:$B,B214,Dados!$H:$H,$D$1,Dados!$G:$G,$I$4)</f>
        <v>0</v>
      </c>
      <c r="J214" s="81">
        <f>sumifs(Dados!$N:$N,Dados!$B:$B,B214,Dados!$H:$H,$D$1,Dados!$G:$G,$J$4)</f>
        <v>0</v>
      </c>
      <c r="K214" s="81">
        <f>sumifs(Dados!$N:$N,Dados!$B:$B,B214,Dados!$H:$H,$D$1,Dados!$G:$G,$K$4)</f>
        <v>0</v>
      </c>
      <c r="L214" s="81">
        <f>sumifs(Dados!$N:$N,Dados!$B:$B,B214,Dados!$H:$H,$D$1,Dados!$G:$G,$L$4)</f>
        <v>0</v>
      </c>
      <c r="M214" s="81">
        <f>sumifs(Dados!$N:$N,Dados!$B:$B,B214,Dados!$H:$H,$D$1,Dados!$G:$G,$M$4)</f>
        <v>0</v>
      </c>
      <c r="N214" s="81">
        <f>sumifs(Dados!$N:$N,Dados!$B:$B,B214,Dados!$H:$H,$D$1,Dados!$G:$G,$N$4)</f>
        <v>0</v>
      </c>
      <c r="O214" s="81">
        <f>sumifs(Dados!$N:$N,Dados!$B:$B,B214,Dados!$H:$H,$D$1,Dados!$G:$G,$O$4)</f>
        <v>0</v>
      </c>
      <c r="P214" s="81">
        <f>sumifs(Dados!$N:$N,Dados!$B:$B,B214,Dados!$H:$H,$D$1,Dados!$G:$G,$P$4)</f>
        <v>0</v>
      </c>
      <c r="Q214" s="81"/>
    </row>
    <row r="215" ht="15.75" customHeight="1">
      <c r="A215" s="99" t="s">
        <v>318</v>
      </c>
      <c r="B215" s="100">
        <f>sumifs(Dados!$N:$N,Dados!$A:$A,A215,Dados!$H:$H,$D$1)</f>
        <v>0</v>
      </c>
      <c r="C215" s="101">
        <f>B215-D215</f>
        <v>0</v>
      </c>
      <c r="D215" s="100">
        <f t="shared" ref="D215:P215" si="52">SUM(D214)</f>
        <v>0</v>
      </c>
      <c r="E215" s="100">
        <f t="shared" si="52"/>
        <v>0</v>
      </c>
      <c r="F215" s="100">
        <f t="shared" si="52"/>
        <v>0</v>
      </c>
      <c r="G215" s="100">
        <f t="shared" si="52"/>
        <v>0</v>
      </c>
      <c r="H215" s="100">
        <f t="shared" si="52"/>
        <v>0</v>
      </c>
      <c r="I215" s="100">
        <f t="shared" si="52"/>
        <v>0</v>
      </c>
      <c r="J215" s="100">
        <f t="shared" si="52"/>
        <v>0</v>
      </c>
      <c r="K215" s="100">
        <f t="shared" si="52"/>
        <v>0</v>
      </c>
      <c r="L215" s="100">
        <f t="shared" si="52"/>
        <v>0</v>
      </c>
      <c r="M215" s="100">
        <f t="shared" si="52"/>
        <v>0</v>
      </c>
      <c r="N215" s="100">
        <f t="shared" si="52"/>
        <v>0</v>
      </c>
      <c r="O215" s="100">
        <f t="shared" si="52"/>
        <v>0</v>
      </c>
      <c r="P215" s="100">
        <f t="shared" si="52"/>
        <v>0</v>
      </c>
      <c r="Q215" s="100"/>
    </row>
    <row r="216" ht="15.75" customHeight="1">
      <c r="A216" s="102"/>
      <c r="B216" s="102" t="s">
        <v>320</v>
      </c>
      <c r="C216" s="79"/>
      <c r="D216" s="80">
        <f t="shared" ref="D216:D218" si="53">SUM(E216:P216)</f>
        <v>0</v>
      </c>
      <c r="E216" s="81">
        <f>sumifs(Dados!$N:$N,Dados!$B:$B,B216,Dados!$H:$H,$D$1,Dados!$G:$G,$E$4)</f>
        <v>0</v>
      </c>
      <c r="F216" s="81">
        <f>sumifs(Dados!$N:$N,Dados!$B:$B,B216,Dados!$H:$H,$D$1,Dados!$G:$G,$F$4)</f>
        <v>0</v>
      </c>
      <c r="G216" s="81">
        <f>sumifs(Dados!$N:$N,Dados!$B:$B,B216,Dados!$H:$H,$D$1,Dados!$G:$G,$G$4)</f>
        <v>0</v>
      </c>
      <c r="H216" s="81">
        <f>sumifs(Dados!$N:$N,Dados!$B:$B,B216,Dados!$H:$H,$D$1,Dados!$G:$G,$H$4)</f>
        <v>0</v>
      </c>
      <c r="I216" s="81">
        <f>sumifs(Dados!$N:$N,Dados!$B:$B,B216,Dados!$H:$H,$D$1,Dados!$G:$G,$I$4)</f>
        <v>0</v>
      </c>
      <c r="J216" s="81">
        <f>sumifs(Dados!$N:$N,Dados!$B:$B,B216,Dados!$H:$H,$D$1,Dados!$G:$G,$J$4)</f>
        <v>0</v>
      </c>
      <c r="K216" s="81">
        <f>sumifs(Dados!$N:$N,Dados!$B:$B,B216,Dados!$H:$H,$D$1,Dados!$G:$G,$K$4)</f>
        <v>0</v>
      </c>
      <c r="L216" s="81">
        <f>sumifs(Dados!$N:$N,Dados!$B:$B,B216,Dados!$H:$H,$D$1,Dados!$G:$G,$L$4)</f>
        <v>0</v>
      </c>
      <c r="M216" s="81">
        <f>sumifs(Dados!$N:$N,Dados!$B:$B,B216,Dados!$H:$H,$D$1,Dados!$G:$G,$M$4)</f>
        <v>0</v>
      </c>
      <c r="N216" s="81">
        <f>sumifs(Dados!$N:$N,Dados!$B:$B,B216,Dados!$H:$H,$D$1,Dados!$G:$G,$N$4)</f>
        <v>0</v>
      </c>
      <c r="O216" s="81">
        <f>sumifs(Dados!$N:$N,Dados!$B:$B,B216,Dados!$H:$H,$D$1,Dados!$G:$G,$O$4)</f>
        <v>0</v>
      </c>
      <c r="P216" s="81">
        <f>sumifs(Dados!$N:$N,Dados!$B:$B,B216,Dados!$H:$H,$D$1,Dados!$G:$G,$P$4)</f>
        <v>0</v>
      </c>
      <c r="Q216" s="81"/>
    </row>
    <row r="217" ht="15.75" customHeight="1">
      <c r="A217" s="102"/>
      <c r="B217" s="102" t="s">
        <v>321</v>
      </c>
      <c r="C217" s="79"/>
      <c r="D217" s="80">
        <f t="shared" si="53"/>
        <v>0</v>
      </c>
      <c r="E217" s="81">
        <f>sumifs(Dados!$N:$N,Dados!$B:$B,B217,Dados!$H:$H,$D$1,Dados!$G:$G,$E$4)</f>
        <v>0</v>
      </c>
      <c r="F217" s="81">
        <f>sumifs(Dados!$N:$N,Dados!$B:$B,B217,Dados!$H:$H,$D$1,Dados!$G:$G,$F$4)</f>
        <v>0</v>
      </c>
      <c r="G217" s="81">
        <f>sumifs(Dados!$N:$N,Dados!$B:$B,B217,Dados!$H:$H,$D$1,Dados!$G:$G,$G$4)</f>
        <v>0</v>
      </c>
      <c r="H217" s="81">
        <f>sumifs(Dados!$N:$N,Dados!$B:$B,B217,Dados!$H:$H,$D$1,Dados!$G:$G,$H$4)</f>
        <v>0</v>
      </c>
      <c r="I217" s="81">
        <f>sumifs(Dados!$N:$N,Dados!$B:$B,B217,Dados!$H:$H,$D$1,Dados!$G:$G,$I$4)</f>
        <v>0</v>
      </c>
      <c r="J217" s="81">
        <f>sumifs(Dados!$N:$N,Dados!$B:$B,B217,Dados!$H:$H,$D$1,Dados!$G:$G,$J$4)</f>
        <v>0</v>
      </c>
      <c r="K217" s="81">
        <f>sumifs(Dados!$N:$N,Dados!$B:$B,B217,Dados!$H:$H,$D$1,Dados!$G:$G,$K$4)</f>
        <v>0</v>
      </c>
      <c r="L217" s="81">
        <f>sumifs(Dados!$N:$N,Dados!$B:$B,B217,Dados!$H:$H,$D$1,Dados!$G:$G,$L$4)</f>
        <v>0</v>
      </c>
      <c r="M217" s="81">
        <f>sumifs(Dados!$N:$N,Dados!$B:$B,B217,Dados!$H:$H,$D$1,Dados!$G:$G,$M$4)</f>
        <v>0</v>
      </c>
      <c r="N217" s="81">
        <f>sumifs(Dados!$N:$N,Dados!$B:$B,B217,Dados!$H:$H,$D$1,Dados!$G:$G,$N$4)</f>
        <v>0</v>
      </c>
      <c r="O217" s="81">
        <f>sumifs(Dados!$N:$N,Dados!$B:$B,B217,Dados!$H:$H,$D$1,Dados!$G:$G,$O$4)</f>
        <v>0</v>
      </c>
      <c r="P217" s="81">
        <f>sumifs(Dados!$N:$N,Dados!$B:$B,B217,Dados!$H:$H,$D$1,Dados!$G:$G,$P$4)</f>
        <v>0</v>
      </c>
      <c r="Q217" s="81"/>
    </row>
    <row r="218" ht="15.75" customHeight="1">
      <c r="A218" s="102"/>
      <c r="B218" s="102" t="s">
        <v>322</v>
      </c>
      <c r="C218" s="79"/>
      <c r="D218" s="80">
        <f t="shared" si="53"/>
        <v>0</v>
      </c>
      <c r="E218" s="81">
        <f>sumifs(Dados!$N:$N,Dados!$B:$B,B218,Dados!$H:$H,$D$1,Dados!$G:$G,$E$4)</f>
        <v>0</v>
      </c>
      <c r="F218" s="81">
        <f>sumifs(Dados!$N:$N,Dados!$B:$B,B218,Dados!$H:$H,$D$1,Dados!$G:$G,$F$4)</f>
        <v>0</v>
      </c>
      <c r="G218" s="81">
        <f>sumifs(Dados!$N:$N,Dados!$B:$B,B218,Dados!$H:$H,$D$1,Dados!$G:$G,$G$4)</f>
        <v>0</v>
      </c>
      <c r="H218" s="81">
        <f>sumifs(Dados!$N:$N,Dados!$B:$B,B218,Dados!$H:$H,$D$1,Dados!$G:$G,$H$4)</f>
        <v>0</v>
      </c>
      <c r="I218" s="81">
        <f>sumifs(Dados!$N:$N,Dados!$B:$B,B218,Dados!$H:$H,$D$1,Dados!$G:$G,$I$4)</f>
        <v>0</v>
      </c>
      <c r="J218" s="81">
        <f>sumifs(Dados!$N:$N,Dados!$B:$B,B218,Dados!$H:$H,$D$1,Dados!$G:$G,$J$4)</f>
        <v>0</v>
      </c>
      <c r="K218" s="81">
        <f>sumifs(Dados!$N:$N,Dados!$B:$B,B218,Dados!$H:$H,$D$1,Dados!$G:$G,$K$4)</f>
        <v>0</v>
      </c>
      <c r="L218" s="81">
        <f>sumifs(Dados!$N:$N,Dados!$B:$B,B218,Dados!$H:$H,$D$1,Dados!$G:$G,$L$4)</f>
        <v>0</v>
      </c>
      <c r="M218" s="81">
        <f>sumifs(Dados!$N:$N,Dados!$B:$B,B218,Dados!$H:$H,$D$1,Dados!$G:$G,$M$4)</f>
        <v>0</v>
      </c>
      <c r="N218" s="81">
        <f>sumifs(Dados!$N:$N,Dados!$B:$B,B218,Dados!$H:$H,$D$1,Dados!$G:$G,$N$4)</f>
        <v>0</v>
      </c>
      <c r="O218" s="81">
        <f>sumifs(Dados!$N:$N,Dados!$B:$B,B218,Dados!$H:$H,$D$1,Dados!$G:$G,$O$4)</f>
        <v>0</v>
      </c>
      <c r="P218" s="81">
        <f>sumifs(Dados!$N:$N,Dados!$B:$B,B218,Dados!$H:$H,$D$1,Dados!$G:$G,$P$4)</f>
        <v>0</v>
      </c>
      <c r="Q218" s="81"/>
    </row>
    <row r="219" ht="15.75" customHeight="1">
      <c r="A219" s="99" t="s">
        <v>324</v>
      </c>
      <c r="B219" s="100">
        <f>sumifs(Dados!$N:$N,Dados!$A:$A,A219,Dados!$H:$H,$D$1)</f>
        <v>0</v>
      </c>
      <c r="C219" s="101">
        <f>B219-D219</f>
        <v>0</v>
      </c>
      <c r="D219" s="100">
        <f t="shared" ref="D219:P219" si="54">SUM(D216:D218)</f>
        <v>0</v>
      </c>
      <c r="E219" s="100">
        <f t="shared" si="54"/>
        <v>0</v>
      </c>
      <c r="F219" s="100">
        <f t="shared" si="54"/>
        <v>0</v>
      </c>
      <c r="G219" s="100">
        <f t="shared" si="54"/>
        <v>0</v>
      </c>
      <c r="H219" s="100">
        <f t="shared" si="54"/>
        <v>0</v>
      </c>
      <c r="I219" s="100">
        <f t="shared" si="54"/>
        <v>0</v>
      </c>
      <c r="J219" s="100">
        <f t="shared" si="54"/>
        <v>0</v>
      </c>
      <c r="K219" s="100">
        <f t="shared" si="54"/>
        <v>0</v>
      </c>
      <c r="L219" s="100">
        <f t="shared" si="54"/>
        <v>0</v>
      </c>
      <c r="M219" s="100">
        <f t="shared" si="54"/>
        <v>0</v>
      </c>
      <c r="N219" s="100">
        <f t="shared" si="54"/>
        <v>0</v>
      </c>
      <c r="O219" s="100">
        <f t="shared" si="54"/>
        <v>0</v>
      </c>
      <c r="P219" s="100">
        <f t="shared" si="54"/>
        <v>0</v>
      </c>
      <c r="Q219" s="100"/>
    </row>
    <row r="220" ht="15.75" customHeight="1">
      <c r="A220" s="77"/>
      <c r="B220" s="77" t="s">
        <v>326</v>
      </c>
      <c r="C220" s="79"/>
      <c r="D220" s="80">
        <f>SUM(E220:P220)</f>
        <v>0</v>
      </c>
      <c r="E220" s="81">
        <f>sumifs(Dados!$N:$N,Dados!$B:$B,B220,Dados!$H:$H,$D$1,Dados!$G:$G,$E$4)</f>
        <v>0</v>
      </c>
      <c r="F220" s="81">
        <f>sumifs(Dados!$N:$N,Dados!$B:$B,B220,Dados!$H:$H,$D$1,Dados!$G:$G,$F$4)</f>
        <v>0</v>
      </c>
      <c r="G220" s="81">
        <f>sumifs(Dados!$N:$N,Dados!$B:$B,B220,Dados!$H:$H,$D$1,Dados!$G:$G,$G$4)</f>
        <v>0</v>
      </c>
      <c r="H220" s="81">
        <f>sumifs(Dados!$N:$N,Dados!$B:$B,B220,Dados!$H:$H,$D$1,Dados!$G:$G,$H$4)</f>
        <v>0</v>
      </c>
      <c r="I220" s="81">
        <f>sumifs(Dados!$N:$N,Dados!$B:$B,B220,Dados!$H:$H,$D$1,Dados!$G:$G,$I$4)</f>
        <v>0</v>
      </c>
      <c r="J220" s="81">
        <f>sumifs(Dados!$N:$N,Dados!$B:$B,B220,Dados!$H:$H,$D$1,Dados!$G:$G,$J$4)</f>
        <v>0</v>
      </c>
      <c r="K220" s="81">
        <f>sumifs(Dados!$N:$N,Dados!$B:$B,B220,Dados!$H:$H,$D$1,Dados!$G:$G,$K$4)</f>
        <v>0</v>
      </c>
      <c r="L220" s="81">
        <f>sumifs(Dados!$N:$N,Dados!$B:$B,B220,Dados!$H:$H,$D$1,Dados!$G:$G,$L$4)</f>
        <v>0</v>
      </c>
      <c r="M220" s="81">
        <f>sumifs(Dados!$N:$N,Dados!$B:$B,B220,Dados!$H:$H,$D$1,Dados!$G:$G,$M$4)</f>
        <v>0</v>
      </c>
      <c r="N220" s="81">
        <f>sumifs(Dados!$N:$N,Dados!$B:$B,B220,Dados!$H:$H,$D$1,Dados!$G:$G,$N$4)</f>
        <v>0</v>
      </c>
      <c r="O220" s="81">
        <f>sumifs(Dados!$N:$N,Dados!$B:$B,B220,Dados!$H:$H,$D$1,Dados!$G:$G,$O$4)</f>
        <v>0</v>
      </c>
      <c r="P220" s="81">
        <f>sumifs(Dados!$N:$N,Dados!$B:$B,B220,Dados!$H:$H,$D$1,Dados!$G:$G,$P$4)</f>
        <v>0</v>
      </c>
      <c r="Q220" s="81"/>
    </row>
    <row r="221" ht="15.75" customHeight="1">
      <c r="A221" s="99" t="s">
        <v>328</v>
      </c>
      <c r="B221" s="100">
        <f>sumifs(Dados!$N:$N,Dados!$A:$A,A221,Dados!$H:$H,$D$1)</f>
        <v>0</v>
      </c>
      <c r="C221" s="101">
        <f>B221-D221</f>
        <v>0</v>
      </c>
      <c r="D221" s="100">
        <f t="shared" ref="D221:P221" si="55">SUM(D220)</f>
        <v>0</v>
      </c>
      <c r="E221" s="100">
        <f t="shared" si="55"/>
        <v>0</v>
      </c>
      <c r="F221" s="100">
        <f t="shared" si="55"/>
        <v>0</v>
      </c>
      <c r="G221" s="100">
        <f t="shared" si="55"/>
        <v>0</v>
      </c>
      <c r="H221" s="100">
        <f t="shared" si="55"/>
        <v>0</v>
      </c>
      <c r="I221" s="100">
        <f t="shared" si="55"/>
        <v>0</v>
      </c>
      <c r="J221" s="100">
        <f t="shared" si="55"/>
        <v>0</v>
      </c>
      <c r="K221" s="100">
        <f t="shared" si="55"/>
        <v>0</v>
      </c>
      <c r="L221" s="100">
        <f t="shared" si="55"/>
        <v>0</v>
      </c>
      <c r="M221" s="100">
        <f t="shared" si="55"/>
        <v>0</v>
      </c>
      <c r="N221" s="100">
        <f t="shared" si="55"/>
        <v>0</v>
      </c>
      <c r="O221" s="100">
        <f t="shared" si="55"/>
        <v>0</v>
      </c>
      <c r="P221" s="100">
        <f t="shared" si="55"/>
        <v>0</v>
      </c>
      <c r="Q221" s="100"/>
    </row>
    <row r="222" ht="15.75" customHeight="1">
      <c r="A222" s="143" t="s">
        <v>329</v>
      </c>
      <c r="B222" s="176">
        <f>D144+D157+D162+D167+D174+D178+D187+D198+D208+D212+D215+D219+D221+D176</f>
        <v>77841.89</v>
      </c>
      <c r="C222" s="177"/>
      <c r="D222" s="178">
        <f>B222</f>
        <v>77841.89</v>
      </c>
      <c r="E222" s="178">
        <f t="shared" ref="E222:Q222" si="56">E144+E157+E162+E167+E174+E178+E187+E198+E208+E212+E215+E219+E221+E176</f>
        <v>7290.9</v>
      </c>
      <c r="F222" s="178">
        <f t="shared" si="56"/>
        <v>29492.94</v>
      </c>
      <c r="G222" s="178">
        <f t="shared" si="56"/>
        <v>10287.06</v>
      </c>
      <c r="H222" s="178">
        <f t="shared" si="56"/>
        <v>11383.75</v>
      </c>
      <c r="I222" s="178">
        <f t="shared" si="56"/>
        <v>7972.26</v>
      </c>
      <c r="J222" s="178">
        <f t="shared" si="56"/>
        <v>6071.71</v>
      </c>
      <c r="K222" s="178">
        <f t="shared" si="56"/>
        <v>2163.27</v>
      </c>
      <c r="L222" s="178">
        <f t="shared" si="56"/>
        <v>3180</v>
      </c>
      <c r="M222" s="178">
        <f t="shared" si="56"/>
        <v>0</v>
      </c>
      <c r="N222" s="178">
        <f t="shared" si="56"/>
        <v>0</v>
      </c>
      <c r="O222" s="178">
        <f t="shared" si="56"/>
        <v>0</v>
      </c>
      <c r="P222" s="178">
        <f t="shared" si="56"/>
        <v>0</v>
      </c>
      <c r="Q222" s="178">
        <f t="shared" si="56"/>
        <v>0</v>
      </c>
    </row>
    <row r="224" ht="15.75" customHeight="1">
      <c r="A224" s="77"/>
      <c r="B224" s="77" t="s">
        <v>330</v>
      </c>
      <c r="C224" s="79"/>
      <c r="D224" s="80">
        <f t="shared" ref="D224:D228" si="57">SUM(E224:P224)</f>
        <v>0</v>
      </c>
      <c r="E224" s="81">
        <f>sumifs(Dados!$N:$N,Dados!$B:$B,B224,Dados!$H:$H,$D$1,Dados!$G:$G,$E$4)</f>
        <v>0</v>
      </c>
      <c r="F224" s="81">
        <f>sumifs(Dados!$N:$N,Dados!$B:$B,B224,Dados!$H:$H,$D$1,Dados!$G:$G,$F$4)</f>
        <v>0</v>
      </c>
      <c r="G224" s="81">
        <f>sumifs(Dados!$N:$N,Dados!$B:$B,B224,Dados!$H:$H,$D$1,Dados!$G:$G,$G$4)</f>
        <v>0</v>
      </c>
      <c r="H224" s="81">
        <f>sumifs(Dados!$N:$N,Dados!$B:$B,B224,Dados!$H:$H,$D$1,Dados!$G:$G,$H$4)</f>
        <v>0</v>
      </c>
      <c r="I224" s="81">
        <f>sumifs(Dados!$N:$N,Dados!$B:$B,B224,Dados!$H:$H,$D$1,Dados!$G:$G,$I$4)</f>
        <v>0</v>
      </c>
      <c r="J224" s="81">
        <f>sumifs(Dados!$N:$N,Dados!$B:$B,B224,Dados!$H:$H,$D$1,Dados!$G:$G,$J$4)</f>
        <v>0</v>
      </c>
      <c r="K224" s="81">
        <f>sumifs(Dados!$N:$N,Dados!$B:$B,B224,Dados!$H:$H,$D$1,Dados!$G:$G,$K$4)</f>
        <v>0</v>
      </c>
      <c r="L224" s="81">
        <f>sumifs(Dados!$N:$N,Dados!$B:$B,B224,Dados!$H:$H,$D$1,Dados!$G:$G,$L$4)</f>
        <v>0</v>
      </c>
      <c r="M224" s="81">
        <f>sumifs(Dados!$N:$N,Dados!$B:$B,B224,Dados!$H:$H,$D$1,Dados!$G:$G,$M$4)</f>
        <v>0</v>
      </c>
      <c r="N224" s="81">
        <f>sumifs(Dados!$N:$N,Dados!$B:$B,B224,Dados!$H:$H,$D$1,Dados!$G:$G,$N$4)</f>
        <v>0</v>
      </c>
      <c r="O224" s="81">
        <f>sumifs(Dados!$N:$N,Dados!$B:$B,B224,Dados!$H:$H,$D$1,Dados!$G:$G,$O$4)</f>
        <v>0</v>
      </c>
      <c r="P224" s="81">
        <f>sumifs(Dados!$N:$N,Dados!$B:$B,B224,Dados!$H:$H,$D$1,Dados!$G:$G,$P$4)</f>
        <v>0</v>
      </c>
      <c r="Q224" s="81"/>
    </row>
    <row r="225" ht="15.75" customHeight="1">
      <c r="A225" s="77"/>
      <c r="B225" s="77" t="s">
        <v>182</v>
      </c>
      <c r="C225" s="79"/>
      <c r="D225" s="80">
        <f t="shared" si="57"/>
        <v>0</v>
      </c>
      <c r="E225" s="81">
        <f>sumifs(Dados!$N:$N,Dados!$B:$B,B225,Dados!$H:$H,$D$1,Dados!$G:$G,$E$4)</f>
        <v>0</v>
      </c>
      <c r="F225" s="81">
        <f>sumifs(Dados!$N:$N,Dados!$B:$B,B225,Dados!$H:$H,$D$1,Dados!$G:$G,$F$4)</f>
        <v>0</v>
      </c>
      <c r="G225" s="81">
        <f>sumifs(Dados!$N:$N,Dados!$B:$B,B225,Dados!$H:$H,$D$1,Dados!$G:$G,$G$4)</f>
        <v>0</v>
      </c>
      <c r="H225" s="81">
        <f>sumifs(Dados!$N:$N,Dados!$B:$B,B225,Dados!$H:$H,$D$1,Dados!$G:$G,$H$4)</f>
        <v>0</v>
      </c>
      <c r="I225" s="81">
        <f>sumifs(Dados!$N:$N,Dados!$B:$B,B225,Dados!$H:$H,$D$1,Dados!$G:$G,$I$4)</f>
        <v>0</v>
      </c>
      <c r="J225" s="81">
        <f>sumifs(Dados!$N:$N,Dados!$B:$B,B225,Dados!$H:$H,$D$1,Dados!$G:$G,$J$4)</f>
        <v>0</v>
      </c>
      <c r="K225" s="81">
        <f>sumifs(Dados!$N:$N,Dados!$B:$B,B225,Dados!$H:$H,$D$1,Dados!$G:$G,$K$4)</f>
        <v>0</v>
      </c>
      <c r="L225" s="81">
        <f>sumifs(Dados!$N:$N,Dados!$B:$B,B225,Dados!$H:$H,$D$1,Dados!$G:$G,$L$4)</f>
        <v>0</v>
      </c>
      <c r="M225" s="81">
        <f>sumifs(Dados!$N:$N,Dados!$B:$B,B225,Dados!$H:$H,$D$1,Dados!$G:$G,$M$4)</f>
        <v>0</v>
      </c>
      <c r="N225" s="81">
        <f>sumifs(Dados!$N:$N,Dados!$B:$B,B225,Dados!$H:$H,$D$1,Dados!$G:$G,$N$4)</f>
        <v>0</v>
      </c>
      <c r="O225" s="81">
        <f>sumifs(Dados!$N:$N,Dados!$B:$B,B225,Dados!$H:$H,$D$1,Dados!$G:$G,$O$4)</f>
        <v>0</v>
      </c>
      <c r="P225" s="81">
        <f>sumifs(Dados!$N:$N,Dados!$B:$B,B225,Dados!$H:$H,$D$1,Dados!$G:$G,$P$4)</f>
        <v>0</v>
      </c>
      <c r="Q225" s="81"/>
    </row>
    <row r="226" ht="15.75" customHeight="1">
      <c r="A226" s="77"/>
      <c r="B226" s="87" t="s">
        <v>333</v>
      </c>
      <c r="C226" s="79"/>
      <c r="D226" s="80">
        <f t="shared" si="57"/>
        <v>0</v>
      </c>
      <c r="E226" s="81">
        <f>sumifs(Dados!$N:$N,Dados!$B:$B,B226,Dados!$H:$H,$D$1,Dados!$G:$G,$E$4)</f>
        <v>0</v>
      </c>
      <c r="F226" s="81">
        <f>sumifs(Dados!$N:$N,Dados!$B:$B,B226,Dados!$H:$H,$D$1,Dados!$G:$G,$F$4)</f>
        <v>0</v>
      </c>
      <c r="G226" s="81">
        <f>sumifs(Dados!$N:$N,Dados!$B:$B,B226,Dados!$H:$H,$D$1,Dados!$G:$G,$G$4)</f>
        <v>0</v>
      </c>
      <c r="H226" s="81">
        <f>sumifs(Dados!$N:$N,Dados!$B:$B,B226,Dados!$H:$H,$D$1,Dados!$G:$G,$H$4)</f>
        <v>0</v>
      </c>
      <c r="I226" s="81">
        <f>sumifs(Dados!$N:$N,Dados!$B:$B,B226,Dados!$H:$H,$D$1,Dados!$G:$G,$I$4)</f>
        <v>0</v>
      </c>
      <c r="J226" s="81">
        <f>sumifs(Dados!$N:$N,Dados!$B:$B,B226,Dados!$H:$H,$D$1,Dados!$G:$G,$J$4)</f>
        <v>0</v>
      </c>
      <c r="K226" s="81">
        <f>sumifs(Dados!$N:$N,Dados!$B:$B,B226,Dados!$H:$H,$D$1,Dados!$G:$G,$K$4)</f>
        <v>0</v>
      </c>
      <c r="L226" s="81">
        <f>sumifs(Dados!$N:$N,Dados!$B:$B,B226,Dados!$H:$H,$D$1,Dados!$G:$G,$L$4)</f>
        <v>0</v>
      </c>
      <c r="M226" s="81">
        <f>sumifs(Dados!$N:$N,Dados!$B:$B,B226,Dados!$H:$H,$D$1,Dados!$G:$G,$M$4)</f>
        <v>0</v>
      </c>
      <c r="N226" s="81">
        <f>sumifs(Dados!$N:$N,Dados!$B:$B,B226,Dados!$H:$H,$D$1,Dados!$G:$G,$N$4)</f>
        <v>0</v>
      </c>
      <c r="O226" s="81">
        <f>sumifs(Dados!$N:$N,Dados!$B:$B,B226,Dados!$H:$H,$D$1,Dados!$G:$G,$O$4)</f>
        <v>0</v>
      </c>
      <c r="P226" s="81">
        <f>sumifs(Dados!$N:$N,Dados!$B:$B,B226,Dados!$H:$H,$D$1,Dados!$G:$G,$P$4)</f>
        <v>0</v>
      </c>
      <c r="Q226" s="81"/>
    </row>
    <row r="227" ht="15.75" customHeight="1">
      <c r="A227" s="77"/>
      <c r="B227" s="77" t="s">
        <v>30</v>
      </c>
      <c r="C227" s="79"/>
      <c r="D227" s="80">
        <f t="shared" si="57"/>
        <v>16260.16</v>
      </c>
      <c r="E227" s="81">
        <f>sumifs(Dados!$N:$N,Dados!$B:$B,B227,Dados!$H:$H,$D$1,Dados!$G:$G,$E$4)</f>
        <v>1771.23</v>
      </c>
      <c r="F227" s="81">
        <f>sumifs(Dados!$N:$N,Dados!$B:$B,B227,Dados!$H:$H,$D$1,Dados!$G:$G,$F$4)</f>
        <v>1391.4</v>
      </c>
      <c r="G227" s="81">
        <f>sumifs(Dados!$N:$N,Dados!$B:$B,B227,Dados!$H:$H,$D$1,Dados!$G:$G,$G$4)</f>
        <v>3855.94</v>
      </c>
      <c r="H227" s="81">
        <f>sumifs(Dados!$N:$N,Dados!$B:$B,B227,Dados!$H:$H,$D$1,Dados!$G:$G,$H$4)</f>
        <v>939.7</v>
      </c>
      <c r="I227" s="81">
        <f>sumifs(Dados!$N:$N,Dados!$B:$B,B227,Dados!$H:$H,$D$1,Dados!$G:$G,$I$4)</f>
        <v>2243.34</v>
      </c>
      <c r="J227" s="81">
        <f>sumifs(Dados!$N:$N,Dados!$B:$B,B227,Dados!$H:$H,$D$1,Dados!$G:$G,$J$4)</f>
        <v>3608.1</v>
      </c>
      <c r="K227" s="81">
        <f>sumifs(Dados!$N:$N,Dados!$B:$B,B227,Dados!$H:$H,$D$1,Dados!$G:$G,$K$4)</f>
        <v>2450.45</v>
      </c>
      <c r="L227" s="81">
        <f>sumifs(Dados!$N:$N,Dados!$B:$B,B227,Dados!$H:$H,$D$1,Dados!$G:$G,$L$4)</f>
        <v>0</v>
      </c>
      <c r="M227" s="81">
        <f>sumifs(Dados!$N:$N,Dados!$B:$B,B227,Dados!$H:$H,$D$1,Dados!$G:$G,$M$4)</f>
        <v>0</v>
      </c>
      <c r="N227" s="81">
        <f>sumifs(Dados!$N:$N,Dados!$B:$B,B227,Dados!$H:$H,$D$1,Dados!$G:$G,$N$4)</f>
        <v>0</v>
      </c>
      <c r="O227" s="81">
        <f>sumifs(Dados!$N:$N,Dados!$B:$B,B227,Dados!$H:$H,$D$1,Dados!$G:$G,$O$4)</f>
        <v>0</v>
      </c>
      <c r="P227" s="81">
        <f>sumifs(Dados!$N:$N,Dados!$B:$B,B227,Dados!$H:$H,$D$1,Dados!$G:$G,$P$4)</f>
        <v>0</v>
      </c>
      <c r="Q227" s="81"/>
    </row>
    <row r="228" ht="15.75" customHeight="1">
      <c r="A228" s="77"/>
      <c r="B228" s="77" t="s">
        <v>42</v>
      </c>
      <c r="C228" s="79"/>
      <c r="D228" s="80">
        <f t="shared" si="57"/>
        <v>18500</v>
      </c>
      <c r="E228" s="81">
        <f>sumifs(Dados!$N:$N,Dados!$B:$B,B228,Dados!$H:$H,$D$1,Dados!$G:$G,$E$4)</f>
        <v>0</v>
      </c>
      <c r="F228" s="81">
        <f>sumifs(Dados!$N:$N,Dados!$B:$B,B228,Dados!$H:$H,$D$1,Dados!$G:$G,$F$4)</f>
        <v>15000</v>
      </c>
      <c r="G228" s="81">
        <f>sumifs(Dados!$N:$N,Dados!$B:$B,B228,Dados!$H:$H,$D$1,Dados!$G:$G,$G$4)</f>
        <v>0</v>
      </c>
      <c r="H228" s="81">
        <f>sumifs(Dados!$N:$N,Dados!$B:$B,B228,Dados!$H:$H,$D$1,Dados!$G:$G,$H$4)</f>
        <v>0</v>
      </c>
      <c r="I228" s="81">
        <f>sumifs(Dados!$N:$N,Dados!$B:$B,B228,Dados!$H:$H,$D$1,Dados!$G:$G,$I$4)</f>
        <v>0</v>
      </c>
      <c r="J228" s="81">
        <f>sumifs(Dados!$N:$N,Dados!$B:$B,B228,Dados!$H:$H,$D$1,Dados!$G:$G,$J$4)</f>
        <v>2000</v>
      </c>
      <c r="K228" s="81">
        <f>sumifs(Dados!$N:$N,Dados!$B:$B,B228,Dados!$H:$H,$D$1,Dados!$G:$G,$K$4)</f>
        <v>1500</v>
      </c>
      <c r="L228" s="81">
        <f>sumifs(Dados!$N:$N,Dados!$B:$B,B228,Dados!$H:$H,$D$1,Dados!$G:$G,$L$4)</f>
        <v>0</v>
      </c>
      <c r="M228" s="81">
        <f>sumifs(Dados!$N:$N,Dados!$B:$B,B228,Dados!$H:$H,$D$1,Dados!$G:$G,$M$4)</f>
        <v>0</v>
      </c>
      <c r="N228" s="81">
        <f>sumifs(Dados!$N:$N,Dados!$B:$B,B228,Dados!$H:$H,$D$1,Dados!$G:$G,$N$4)</f>
        <v>0</v>
      </c>
      <c r="O228" s="81">
        <f>sumifs(Dados!$N:$N,Dados!$B:$B,B228,Dados!$H:$H,$D$1,Dados!$G:$G,$O$4)</f>
        <v>0</v>
      </c>
      <c r="P228" s="81">
        <f>sumifs(Dados!$N:$N,Dados!$B:$B,B228,Dados!$H:$H,$D$1,Dados!$G:$G,$P$4)</f>
        <v>0</v>
      </c>
      <c r="Q228" s="81"/>
    </row>
    <row r="229" ht="15.75" customHeight="1">
      <c r="A229" s="109" t="s">
        <v>336</v>
      </c>
      <c r="B229" s="100">
        <f>sumifs(Dados!$N:$N,Dados!$A:$A,A229,Dados!$H:$H,$D$1)</f>
        <v>34760.16</v>
      </c>
      <c r="C229" s="101">
        <f>B229-D229</f>
        <v>0</v>
      </c>
      <c r="D229" s="100">
        <f t="shared" ref="D229:P229" si="58">SUM(D224:D228)</f>
        <v>34760.16</v>
      </c>
      <c r="E229" s="100">
        <f t="shared" si="58"/>
        <v>1771.23</v>
      </c>
      <c r="F229" s="100">
        <f t="shared" si="58"/>
        <v>16391.4</v>
      </c>
      <c r="G229" s="100">
        <f t="shared" si="58"/>
        <v>3855.94</v>
      </c>
      <c r="H229" s="100">
        <f t="shared" si="58"/>
        <v>939.7</v>
      </c>
      <c r="I229" s="100">
        <f t="shared" si="58"/>
        <v>2243.34</v>
      </c>
      <c r="J229" s="100">
        <f t="shared" si="58"/>
        <v>5608.1</v>
      </c>
      <c r="K229" s="100">
        <f t="shared" si="58"/>
        <v>3950.45</v>
      </c>
      <c r="L229" s="100">
        <f t="shared" si="58"/>
        <v>0</v>
      </c>
      <c r="M229" s="100">
        <f t="shared" si="58"/>
        <v>0</v>
      </c>
      <c r="N229" s="100">
        <f t="shared" si="58"/>
        <v>0</v>
      </c>
      <c r="O229" s="100">
        <f t="shared" si="58"/>
        <v>0</v>
      </c>
      <c r="P229" s="100">
        <f t="shared" si="58"/>
        <v>0</v>
      </c>
      <c r="Q229" s="100"/>
    </row>
    <row r="230" ht="15.75" customHeight="1">
      <c r="A230" s="140"/>
      <c r="B230" s="78" t="s">
        <v>337</v>
      </c>
      <c r="C230" s="79"/>
      <c r="D230" s="80">
        <f t="shared" ref="D230:D236" si="59">SUM(E230:P230)</f>
        <v>12510</v>
      </c>
      <c r="E230" s="81">
        <f>sumifs(Dados!$N:$N,Dados!$B:$B,$B$230,Dados!$H:$H,$D$1,Dados!$G:$G,E4)</f>
        <v>0</v>
      </c>
      <c r="F230" s="81">
        <f>sumifs(Dados!$N:$N,Dados!$B:$B,$B$230,Dados!$H:$H,$D$1,Dados!$G:$G,F4)</f>
        <v>0</v>
      </c>
      <c r="G230" s="81">
        <f>sumifs(Dados!$N:$N,Dados!$B:$B,$B$230,Dados!$H:$H,$D$1,Dados!$G:$G,G4)</f>
        <v>0</v>
      </c>
      <c r="H230" s="81">
        <f>sumifs(Dados!$N:$N,Dados!$B:$B,$B$230,Dados!$H:$H,$D$1,Dados!$G:$G,H4)</f>
        <v>0</v>
      </c>
      <c r="I230" s="81">
        <f>sumifs(Dados!$N:$N,Dados!$B:$B,$B$230,Dados!$H:$H,$D$1,Dados!$G:$G,I4)</f>
        <v>1000</v>
      </c>
      <c r="J230" s="81">
        <f>sumifs(Dados!$N:$N,Dados!$B:$B,$B$230,Dados!$H:$H,$D$1,Dados!$G:$G,J4)</f>
        <v>3000</v>
      </c>
      <c r="K230" s="81">
        <f>sumifs(Dados!$N:$N,Dados!$B:$B,$B$230,Dados!$H:$H,$D$1,Dados!$G:$G,K4)</f>
        <v>8510</v>
      </c>
      <c r="L230" s="81">
        <f>sumifs(Dados!$N:$N,Dados!$B:$B,$B$230,Dados!$H:$H,$D$1,Dados!$G:$G,L4)</f>
        <v>0</v>
      </c>
      <c r="M230" s="81">
        <f>sumifs(Dados!$N:$N,Dados!$B:$B,$B$230,Dados!$H:$H,$D$1,Dados!$G:$G,M4)</f>
        <v>0</v>
      </c>
      <c r="N230" s="81">
        <f>sumifs(Dados!$N:$N,Dados!$B:$B,$B$230,Dados!$H:$H,$D$1,Dados!$G:$G,N4)</f>
        <v>0</v>
      </c>
      <c r="O230" s="81">
        <f>sumifs(Dados!$N:$N,Dados!$B:$B,$B$230,Dados!$H:$H,$D$1,Dados!$G:$G,O4)</f>
        <v>0</v>
      </c>
      <c r="P230" s="81">
        <f>sumifs(Dados!$N:$N,Dados!$B:$B,$B$230,Dados!$H:$H,$D$1,Dados!$G:$G,P4)</f>
        <v>0</v>
      </c>
      <c r="Q230" s="81"/>
    </row>
    <row r="231" ht="15.75" customHeight="1">
      <c r="A231" s="140"/>
      <c r="B231" s="82" t="s">
        <v>338</v>
      </c>
      <c r="C231" s="79"/>
      <c r="D231" s="80">
        <f t="shared" si="59"/>
        <v>0</v>
      </c>
      <c r="E231" s="81">
        <f>sumifs(Dados!$N:$N,Dados!$B:$B,$B$231,Dados!$H:$H,$D$1,Dados!$G:$G,E4)</f>
        <v>0</v>
      </c>
      <c r="F231" s="81">
        <f>sumifs(Dados!$N:$N,Dados!$B:$B,$B$231,Dados!$H:$H,$D$1,Dados!$G:$G,F4)</f>
        <v>0</v>
      </c>
      <c r="G231" s="81">
        <f>sumifs(Dados!$N:$N,Dados!$B:$B,$B$231,Dados!$H:$H,$D$1,Dados!$G:$G,G4)</f>
        <v>0</v>
      </c>
      <c r="H231" s="81">
        <f>sumifs(Dados!$N:$N,Dados!$B:$B,$B$231,Dados!$H:$H,$D$1,Dados!$G:$G,H4)</f>
        <v>0</v>
      </c>
      <c r="I231" s="81">
        <f>sumifs(Dados!$N:$N,Dados!$B:$B,$B$231,Dados!$H:$H,$D$1,Dados!$G:$G,I4)</f>
        <v>0</v>
      </c>
      <c r="J231" s="81">
        <f>sumifs(Dados!$N:$N,Dados!$B:$B,$B$231,Dados!$H:$H,$D$1,Dados!$G:$G,J4)</f>
        <v>0</v>
      </c>
      <c r="K231" s="81">
        <f>sumifs(Dados!$N:$N,Dados!$B:$B,$B$231,Dados!$H:$H,$D$1,Dados!$G:$G,K4)</f>
        <v>0</v>
      </c>
      <c r="L231" s="81">
        <f>sumifs(Dados!$N:$N,Dados!$B:$B,$B$231,Dados!$H:$H,$D$1,Dados!$G:$G,L4)</f>
        <v>0</v>
      </c>
      <c r="M231" s="81">
        <f>sumifs(Dados!$N:$N,Dados!$B:$B,$B$231,Dados!$H:$H,$D$1,Dados!$G:$G,M4)</f>
        <v>0</v>
      </c>
      <c r="N231" s="81">
        <f>sumifs(Dados!$N:$N,Dados!$B:$B,$B$231,Dados!$H:$H,$D$1,Dados!$G:$G,N4)</f>
        <v>0</v>
      </c>
      <c r="O231" s="81">
        <f>sumifs(Dados!$N:$N,Dados!$B:$B,$B$231,Dados!$H:$H,$D$1,Dados!$G:$G,O4)</f>
        <v>0</v>
      </c>
      <c r="P231" s="81">
        <f>sumifs(Dados!$N:$N,Dados!$B:$B,$B$231,Dados!$H:$H,$D$1,Dados!$G:$G,P4)</f>
        <v>0</v>
      </c>
      <c r="Q231" s="81"/>
    </row>
    <row r="232" ht="15.75" customHeight="1">
      <c r="A232" s="82"/>
      <c r="B232" s="83" t="s">
        <v>339</v>
      </c>
      <c r="C232" s="79"/>
      <c r="D232" s="80">
        <f t="shared" si="59"/>
        <v>0</v>
      </c>
      <c r="E232" s="81">
        <f>sumifs(Dados!$N:$N,Dados!$B:$B,$B$232,Dados!$H:$H,$D$1,Dados!$G:$G,E4)</f>
        <v>0</v>
      </c>
      <c r="F232" s="81">
        <f>sumifs(Dados!$N:$N,Dados!$B:$B,$B$232,Dados!$H:$H,$D$1,Dados!$G:$G,F4)</f>
        <v>0</v>
      </c>
      <c r="G232" s="81">
        <f>sumifs(Dados!$N:$N,Dados!$B:$B,$B$232,Dados!$H:$H,$D$1,Dados!$G:$G,G4)</f>
        <v>0</v>
      </c>
      <c r="H232" s="81">
        <f>sumifs(Dados!$N:$N,Dados!$B:$B,$B$232,Dados!$H:$H,$D$1,Dados!$G:$G,H4)</f>
        <v>0</v>
      </c>
      <c r="I232" s="81">
        <f>sumifs(Dados!$N:$N,Dados!$B:$B,$B$232,Dados!$H:$H,$D$1,Dados!$G:$G,I4)</f>
        <v>0</v>
      </c>
      <c r="J232" s="81">
        <f>sumifs(Dados!$N:$N,Dados!$B:$B,$B$232,Dados!$H:$H,$D$1,Dados!$G:$G,J4)</f>
        <v>0</v>
      </c>
      <c r="K232" s="81">
        <f>sumifs(Dados!$N:$N,Dados!$B:$B,$B$232,Dados!$H:$H,$D$1,Dados!$G:$G,K4)</f>
        <v>0</v>
      </c>
      <c r="L232" s="81">
        <f>sumifs(Dados!$N:$N,Dados!$B:$B,$B$232,Dados!$H:$H,$D$1,Dados!$G:$G,L4)</f>
        <v>0</v>
      </c>
      <c r="M232" s="81">
        <f>sumifs(Dados!$N:$N,Dados!$B:$B,$B$232,Dados!$H:$H,$D$1,Dados!$G:$G,M4)</f>
        <v>0</v>
      </c>
      <c r="N232" s="81">
        <f>sumifs(Dados!$N:$N,Dados!$B:$B,$B$232,Dados!$H:$H,$D$1,Dados!$G:$G,N4)</f>
        <v>0</v>
      </c>
      <c r="O232" s="81">
        <f>sumifs(Dados!$N:$N,Dados!$B:$B,$B$232,Dados!$H:$H,$D$1,Dados!$G:$G,O4)</f>
        <v>0</v>
      </c>
      <c r="P232" s="81">
        <f>sumifs(Dados!$N:$N,Dados!$B:$B,$B$232,Dados!$H:$H,$D$1,Dados!$G:$G,P4)</f>
        <v>0</v>
      </c>
      <c r="Q232" s="81"/>
    </row>
    <row r="233" ht="15.75" customHeight="1">
      <c r="A233" s="82"/>
      <c r="B233" s="83" t="s">
        <v>340</v>
      </c>
      <c r="C233" s="79"/>
      <c r="D233" s="80">
        <f t="shared" si="59"/>
        <v>0</v>
      </c>
      <c r="E233" s="81">
        <f>sumifs(Dados!$N:$N,Dados!$B:$B,$B$233,Dados!$H:$H,$D$1,Dados!$G:$G,E4)</f>
        <v>0</v>
      </c>
      <c r="F233" s="81">
        <f>sumifs(Dados!$N:$N,Dados!$B:$B,$B$233,Dados!$H:$H,$D$1,Dados!$G:$G,F4)</f>
        <v>0</v>
      </c>
      <c r="G233" s="81">
        <f>sumifs(Dados!$N:$N,Dados!$B:$B,$B$233,Dados!$H:$H,$D$1,Dados!$G:$G,G4)</f>
        <v>0</v>
      </c>
      <c r="H233" s="81">
        <f>sumifs(Dados!$N:$N,Dados!$B:$B,$B$233,Dados!$H:$H,$D$1,Dados!$G:$G,H4)</f>
        <v>0</v>
      </c>
      <c r="I233" s="81">
        <f>sumifs(Dados!$N:$N,Dados!$B:$B,$B$233,Dados!$H:$H,$D$1,Dados!$G:$G,I4)</f>
        <v>0</v>
      </c>
      <c r="J233" s="81">
        <f>sumifs(Dados!$N:$N,Dados!$B:$B,$B$233,Dados!$H:$H,$D$1,Dados!$G:$G,J4)</f>
        <v>0</v>
      </c>
      <c r="K233" s="81">
        <f>sumifs(Dados!$N:$N,Dados!$B:$B,$B$233,Dados!$H:$H,$D$1,Dados!$G:$G,K4)</f>
        <v>0</v>
      </c>
      <c r="L233" s="81">
        <f>sumifs(Dados!$N:$N,Dados!$B:$B,$B$233,Dados!$H:$H,$D$1,Dados!$G:$G,L4)</f>
        <v>0</v>
      </c>
      <c r="M233" s="81">
        <f>sumifs(Dados!$N:$N,Dados!$B:$B,$B$233,Dados!$H:$H,$D$1,Dados!$G:$G,M4)</f>
        <v>0</v>
      </c>
      <c r="N233" s="81">
        <f>sumifs(Dados!$N:$N,Dados!$B:$B,$B$233,Dados!$H:$H,$D$1,Dados!$G:$G,N4)</f>
        <v>0</v>
      </c>
      <c r="O233" s="81">
        <f>sumifs(Dados!$N:$N,Dados!$B:$B,$B$233,Dados!$H:$H,$D$1,Dados!$G:$G,O4)</f>
        <v>0</v>
      </c>
      <c r="P233" s="81">
        <f>sumifs(Dados!$N:$N,Dados!$B:$B,$B$233,Dados!$H:$H,$D$1,Dados!$G:$G,P4)</f>
        <v>0</v>
      </c>
      <c r="Q233" s="81"/>
    </row>
    <row r="234" ht="15.75" customHeight="1">
      <c r="A234" s="82"/>
      <c r="B234" s="83" t="s">
        <v>341</v>
      </c>
      <c r="C234" s="79"/>
      <c r="D234" s="80">
        <f t="shared" si="59"/>
        <v>40000</v>
      </c>
      <c r="E234" s="81">
        <f>sumifs(Dados!$N:$N,Dados!$B:$B,$B$234,Dados!$H:$H,$D$1,Dados!$G:$G,E4)</f>
        <v>10000</v>
      </c>
      <c r="F234" s="81">
        <f>sumifs(Dados!$N:$N,Dados!$B:$B,$B$234,Dados!$H:$H,$D$1,Dados!$G:$G,F4)</f>
        <v>20000</v>
      </c>
      <c r="G234" s="81">
        <f>sumifs(Dados!$N:$N,Dados!$B:$B,$B$234,Dados!$H:$H,$D$1,Dados!$G:$G,G4)</f>
        <v>0</v>
      </c>
      <c r="H234" s="81">
        <f>sumifs(Dados!$N:$N,Dados!$B:$B,$B$234,Dados!$H:$H,$D$1,Dados!$G:$G,H4)</f>
        <v>0</v>
      </c>
      <c r="I234" s="81">
        <f>sumifs(Dados!$N:$N,Dados!$B:$B,$B$234,Dados!$H:$H,$D$1,Dados!$G:$G,I4)</f>
        <v>5000</v>
      </c>
      <c r="J234" s="81">
        <f>sumifs(Dados!$N:$N,Dados!$B:$B,$B$234,Dados!$H:$H,$D$1,Dados!$G:$G,J4)</f>
        <v>5000</v>
      </c>
      <c r="K234" s="81">
        <f>sumifs(Dados!$N:$N,Dados!$B:$B,$B$234,Dados!$H:$H,$D$1,Dados!$G:$G,K4)</f>
        <v>0</v>
      </c>
      <c r="L234" s="81">
        <f>sumifs(Dados!$N:$N,Dados!$B:$B,$B$234,Dados!$H:$H,$D$1,Dados!$G:$G,L4)</f>
        <v>0</v>
      </c>
      <c r="M234" s="81">
        <f>sumifs(Dados!$N:$N,Dados!$B:$B,$B$234,Dados!$H:$H,$D$1,Dados!$G:$G,M4)</f>
        <v>0</v>
      </c>
      <c r="N234" s="81">
        <f>sumifs(Dados!$N:$N,Dados!$B:$B,$B$234,Dados!$H:$H,$D$1,Dados!$G:$G,N4)</f>
        <v>0</v>
      </c>
      <c r="O234" s="81">
        <f>sumifs(Dados!$N:$N,Dados!$B:$B,$B$234,Dados!$H:$H,$D$1,Dados!$G:$G,O4)</f>
        <v>0</v>
      </c>
      <c r="P234" s="81">
        <f>sumifs(Dados!$N:$N,Dados!$B:$B,$B$234,Dados!$H:$H,$D$1,Dados!$G:$G,P4)</f>
        <v>0</v>
      </c>
      <c r="Q234" s="81"/>
    </row>
    <row r="235" ht="15.75" customHeight="1">
      <c r="A235" s="82"/>
      <c r="B235" s="83" t="s">
        <v>342</v>
      </c>
      <c r="C235" s="79"/>
      <c r="D235" s="80">
        <f t="shared" si="59"/>
        <v>2000</v>
      </c>
      <c r="E235" s="81">
        <f>sumifs(Dados!$N:$N,Dados!$B:$B,$B$235,Dados!$H:$H,$D$1,Dados!$G:$G,E4)</f>
        <v>0</v>
      </c>
      <c r="F235" s="81">
        <f>sumifs(Dados!$N:$N,Dados!$B:$B,$B$235,Dados!$H:$H,$D$1,Dados!$G:$G,F4)</f>
        <v>0</v>
      </c>
      <c r="G235" s="81">
        <f>sumifs(Dados!$N:$N,Dados!$B:$B,$B$235,Dados!$H:$H,$D$1,Dados!$G:$G,G4)</f>
        <v>2000</v>
      </c>
      <c r="H235" s="81">
        <f>sumifs(Dados!$N:$N,Dados!$B:$B,$B$235,Dados!$H:$H,$D$1,Dados!$G:$G,H4)</f>
        <v>0</v>
      </c>
      <c r="I235" s="81">
        <f>sumifs(Dados!$N:$N,Dados!$B:$B,$B$235,Dados!$H:$H,$D$1,Dados!$G:$G,I4)</f>
        <v>0</v>
      </c>
      <c r="J235" s="81">
        <f>sumifs(Dados!$N:$N,Dados!$B:$B,$B$235,Dados!$H:$H,$D$1,Dados!$G:$G,J4)</f>
        <v>0</v>
      </c>
      <c r="K235" s="81">
        <f>sumifs(Dados!$N:$N,Dados!$B:$B,$B$235,Dados!$H:$H,$D$1,Dados!$G:$G,K4)</f>
        <v>0</v>
      </c>
      <c r="L235" s="81">
        <f>sumifs(Dados!$N:$N,Dados!$B:$B,$B$235,Dados!$H:$H,$D$1,Dados!$G:$G,L4)</f>
        <v>0</v>
      </c>
      <c r="M235" s="81">
        <f>sumifs(Dados!$N:$N,Dados!$B:$B,$B$235,Dados!$H:$H,$D$1,Dados!$G:$G,M4)</f>
        <v>0</v>
      </c>
      <c r="N235" s="81">
        <f>sumifs(Dados!$N:$N,Dados!$B:$B,$B$235,Dados!$H:$H,$D$1,Dados!$G:$G,N4)</f>
        <v>0</v>
      </c>
      <c r="O235" s="81">
        <f>sumifs(Dados!$N:$N,Dados!$B:$B,$B$235,Dados!$H:$H,$D$1,Dados!$G:$G,O4)</f>
        <v>0</v>
      </c>
      <c r="P235" s="81">
        <f>sumifs(Dados!$N:$N,Dados!$B:$B,$B$235,Dados!$H:$H,$D$1,Dados!$G:$G,P4)</f>
        <v>0</v>
      </c>
      <c r="Q235" s="81"/>
    </row>
    <row r="236" ht="15.75" customHeight="1">
      <c r="A236" s="82"/>
      <c r="B236" s="83" t="s">
        <v>343</v>
      </c>
      <c r="C236" s="79"/>
      <c r="D236" s="80">
        <f t="shared" si="59"/>
        <v>0</v>
      </c>
      <c r="E236" s="81">
        <f>sumifs(Dados!$N:$N,Dados!$B:$B,$B$236,Dados!$H:$H,$D$1,Dados!$G:$G,E4)</f>
        <v>0</v>
      </c>
      <c r="F236" s="81">
        <f>sumifs(Dados!$N:$N,Dados!$B:$B,$B$236,Dados!$H:$H,$D$1,Dados!$G:$G,F4)</f>
        <v>0</v>
      </c>
      <c r="G236" s="81">
        <f>sumifs(Dados!$N:$N,Dados!$B:$B,$B$236,Dados!$H:$H,$D$1,Dados!$G:$G,G4)</f>
        <v>0</v>
      </c>
      <c r="H236" s="81">
        <f>sumifs(Dados!$N:$N,Dados!$B:$B,$B$236,Dados!$H:$H,$D$1,Dados!$G:$G,H4)</f>
        <v>0</v>
      </c>
      <c r="I236" s="81">
        <f>sumifs(Dados!$N:$N,Dados!$B:$B,$B$236,Dados!$H:$H,$D$1,Dados!$G:$G,I4)</f>
        <v>0</v>
      </c>
      <c r="J236" s="81">
        <f>sumifs(Dados!$N:$N,Dados!$B:$B,$B$236,Dados!$H:$H,$D$1,Dados!$G:$G,J4)</f>
        <v>0</v>
      </c>
      <c r="K236" s="81">
        <f>sumifs(Dados!$N:$N,Dados!$B:$B,$B$236,Dados!$H:$H,$D$1,Dados!$G:$G,K4)</f>
        <v>0</v>
      </c>
      <c r="L236" s="81">
        <f>sumifs(Dados!$N:$N,Dados!$B:$B,$B$236,Dados!$H:$H,$D$1,Dados!$G:$G,L4)</f>
        <v>0</v>
      </c>
      <c r="M236" s="81">
        <f>sumifs(Dados!$N:$N,Dados!$B:$B,$B$236,Dados!$H:$H,$D$1,Dados!$G:$G,M4)</f>
        <v>0</v>
      </c>
      <c r="N236" s="81">
        <f>sumifs(Dados!$N:$N,Dados!$B:$B,$B$236,Dados!$H:$H,$D$1,Dados!$G:$G,N4)</f>
        <v>0</v>
      </c>
      <c r="O236" s="81">
        <f>sumifs(Dados!$N:$N,Dados!$B:$B,$B$236,Dados!$H:$H,$D$1,Dados!$G:$G,O4)</f>
        <v>0</v>
      </c>
      <c r="P236" s="81">
        <f>sumifs(Dados!$N:$N,Dados!$B:$B,$B$236,Dados!$H:$H,$D$1,Dados!$G:$G,P4)</f>
        <v>0</v>
      </c>
      <c r="Q236" s="81"/>
    </row>
    <row r="237" ht="15.75" customHeight="1">
      <c r="A237" s="99" t="s">
        <v>334</v>
      </c>
      <c r="B237" s="100">
        <f>sumifs(Dados!$N:$N,Dados!$A:$A,A237,Dados!$H:$H,$D$1)</f>
        <v>54510</v>
      </c>
      <c r="C237" s="101">
        <f>B237-D237</f>
        <v>0</v>
      </c>
      <c r="D237" s="100">
        <f t="shared" ref="D237:P237" si="60">SUM(D230:D236)</f>
        <v>54510</v>
      </c>
      <c r="E237" s="100">
        <f t="shared" si="60"/>
        <v>10000</v>
      </c>
      <c r="F237" s="100">
        <f t="shared" si="60"/>
        <v>20000</v>
      </c>
      <c r="G237" s="100">
        <f t="shared" si="60"/>
        <v>2000</v>
      </c>
      <c r="H237" s="100">
        <f t="shared" si="60"/>
        <v>0</v>
      </c>
      <c r="I237" s="100">
        <f t="shared" si="60"/>
        <v>6000</v>
      </c>
      <c r="J237" s="100">
        <f t="shared" si="60"/>
        <v>8000</v>
      </c>
      <c r="K237" s="100">
        <f t="shared" si="60"/>
        <v>8510</v>
      </c>
      <c r="L237" s="100">
        <f t="shared" si="60"/>
        <v>0</v>
      </c>
      <c r="M237" s="100">
        <f t="shared" si="60"/>
        <v>0</v>
      </c>
      <c r="N237" s="100">
        <f t="shared" si="60"/>
        <v>0</v>
      </c>
      <c r="O237" s="100">
        <f t="shared" si="60"/>
        <v>0</v>
      </c>
      <c r="P237" s="100">
        <f t="shared" si="60"/>
        <v>0</v>
      </c>
      <c r="Q237" s="100"/>
    </row>
    <row r="238" ht="15.75" customHeight="1">
      <c r="A238" s="87"/>
      <c r="B238" s="87" t="s">
        <v>43</v>
      </c>
      <c r="C238" s="79"/>
      <c r="D238" s="80">
        <f t="shared" ref="D238:D239" si="61">SUM(E238:P238)</f>
        <v>0</v>
      </c>
      <c r="E238" s="81">
        <f>sumifs(Dados!$N:$N,Dados!$B:$B,$B$238,Dados!$H:$H,$D$1,Dados!$G:$G,E4)</f>
        <v>0</v>
      </c>
      <c r="F238" s="81">
        <f>sumifs(Dados!$N:$N,Dados!$B:$B,$B$238,Dados!$H:$H,$D$1,Dados!$G:$G,F4)</f>
        <v>0</v>
      </c>
      <c r="G238" s="81">
        <f>sumifs(Dados!$N:$N,Dados!$B:$B,$B$238,Dados!$H:$H,$D$1,Dados!$G:$G,G4)</f>
        <v>0</v>
      </c>
      <c r="H238" s="81">
        <f>sumifs(Dados!$N:$N,Dados!$B:$B,$B$238,Dados!$H:$H,$D$1,Dados!$G:$G,H4)</f>
        <v>0</v>
      </c>
      <c r="I238" s="81">
        <f>sumifs(Dados!$N:$N,Dados!$B:$B,$B$238,Dados!$H:$H,$D$1,Dados!$G:$G,I4)</f>
        <v>0</v>
      </c>
      <c r="J238" s="81">
        <f>sumifs(Dados!$N:$N,Dados!$B:$B,$B$238,Dados!$H:$H,$D$1,Dados!$G:$G,J4)</f>
        <v>0</v>
      </c>
      <c r="K238" s="81">
        <f>sumifs(Dados!$N:$N,Dados!$B:$B,$B$238,Dados!$H:$H,$D$1,Dados!$G:$G,K4)</f>
        <v>0</v>
      </c>
      <c r="L238" s="81">
        <f>sumifs(Dados!$N:$N,Dados!$B:$B,$B$238,Dados!$H:$H,$D$1,Dados!$G:$G,L4)</f>
        <v>0</v>
      </c>
      <c r="M238" s="81">
        <f>sumifs(Dados!$N:$N,Dados!$B:$B,$B$238,Dados!$H:$H,$D$1,Dados!$G:$G,M4)</f>
        <v>0</v>
      </c>
      <c r="N238" s="81">
        <f>sumifs(Dados!$N:$N,Dados!$B:$B,$B$238,Dados!$H:$H,$D$1,Dados!$G:$G,N4)</f>
        <v>0</v>
      </c>
      <c r="O238" s="81">
        <f>sumifs(Dados!$N:$N,Dados!$B:$B,$B$238,Dados!$H:$H,$D$1,Dados!$G:$G,O4)</f>
        <v>0</v>
      </c>
      <c r="P238" s="81">
        <f>sumifs(Dados!$N:$N,Dados!$B:$B,$B$238,Dados!$H:$H,$D$1,Dados!$G:$G,P4)</f>
        <v>0</v>
      </c>
      <c r="Q238" s="81"/>
    </row>
    <row r="239" ht="15.75" customHeight="1">
      <c r="A239" s="77"/>
      <c r="B239" s="77" t="s">
        <v>109</v>
      </c>
      <c r="C239" s="79"/>
      <c r="D239" s="80">
        <f t="shared" si="61"/>
        <v>183.66</v>
      </c>
      <c r="E239" s="81">
        <f>sumifs(Dados!$N:$N,Dados!$B:$B,B239,Dados!$H:$H,$D$1,Dados!$G:$G,$E$4)</f>
        <v>0</v>
      </c>
      <c r="F239" s="81">
        <f>sumifs(Dados!$N:$N,Dados!$B:$B,B239,Dados!$H:$H,$D$1,Dados!$G:$G,$F$4)</f>
        <v>0</v>
      </c>
      <c r="G239" s="81">
        <f>sumifs(Dados!$N:$N,Dados!$B:$B,B239,Dados!$H:$H,$D$1,Dados!$G:$G,$G$4)</f>
        <v>0</v>
      </c>
      <c r="H239" s="81">
        <f>sumifs(Dados!$N:$N,Dados!$B:$B,B239,Dados!$H:$H,$D$1,Dados!$G:$G,$H$4)</f>
        <v>0</v>
      </c>
      <c r="I239" s="81">
        <f>sumifs(Dados!$N:$N,Dados!$B:$B,B239,Dados!$H:$H,$D$1,Dados!$G:$G,$I$4)</f>
        <v>0</v>
      </c>
      <c r="J239" s="81">
        <f>sumifs(Dados!$N:$N,Dados!$B:$B,B239,Dados!$H:$H,$D$1,Dados!$G:$G,$J$4)</f>
        <v>183.66</v>
      </c>
      <c r="K239" s="81">
        <f>sumifs(Dados!$N:$N,Dados!$B:$B,B239,Dados!$H:$H,$D$1,Dados!$G:$G,$K$4)</f>
        <v>0</v>
      </c>
      <c r="L239" s="81">
        <f>sumifs(Dados!$N:$N,Dados!$B:$B,B239,Dados!$H:$H,$D$1,Dados!$G:$G,$L$4)</f>
        <v>0</v>
      </c>
      <c r="M239" s="81">
        <f>sumifs(Dados!$N:$N,Dados!$B:$B,B239,Dados!$H:$H,$D$1,Dados!$G:$G,$M$4)</f>
        <v>0</v>
      </c>
      <c r="N239" s="81">
        <f>sumifs(Dados!$N:$N,Dados!$B:$B,B239,Dados!$H:$H,$D$1,Dados!$G:$G,$N$4)</f>
        <v>0</v>
      </c>
      <c r="O239" s="81">
        <f>sumifs(Dados!$N:$N,Dados!$B:$B,B239,Dados!$H:$H,$D$1,Dados!$G:$G,$O$4)</f>
        <v>0</v>
      </c>
      <c r="P239" s="81">
        <f>sumifs(Dados!$N:$N,Dados!$B:$B,B239,Dados!$H:$H,$D$1,Dados!$G:$G,$P$4)</f>
        <v>0</v>
      </c>
      <c r="Q239" s="81"/>
    </row>
    <row r="240" ht="15.75" customHeight="1">
      <c r="A240" s="99" t="s">
        <v>109</v>
      </c>
      <c r="B240" s="100">
        <f>sumifs(Dados!$N:$N,Dados!$A:$A,A240,Dados!$H:$H,$D$1)</f>
        <v>183.66</v>
      </c>
      <c r="C240" s="101">
        <f t="shared" ref="C240:C241" si="63">B240-D240</f>
        <v>0</v>
      </c>
      <c r="D240" s="100">
        <f t="shared" ref="D240:P240" si="62">SUM(D238:D239)</f>
        <v>183.66</v>
      </c>
      <c r="E240" s="100">
        <f t="shared" si="62"/>
        <v>0</v>
      </c>
      <c r="F240" s="100">
        <f t="shared" si="62"/>
        <v>0</v>
      </c>
      <c r="G240" s="100">
        <f t="shared" si="62"/>
        <v>0</v>
      </c>
      <c r="H240" s="100">
        <f t="shared" si="62"/>
        <v>0</v>
      </c>
      <c r="I240" s="100">
        <f t="shared" si="62"/>
        <v>0</v>
      </c>
      <c r="J240" s="100">
        <f t="shared" si="62"/>
        <v>183.66</v>
      </c>
      <c r="K240" s="100">
        <f t="shared" si="62"/>
        <v>0</v>
      </c>
      <c r="L240" s="100">
        <f t="shared" si="62"/>
        <v>0</v>
      </c>
      <c r="M240" s="100">
        <f t="shared" si="62"/>
        <v>0</v>
      </c>
      <c r="N240" s="100">
        <f t="shared" si="62"/>
        <v>0</v>
      </c>
      <c r="O240" s="100">
        <f t="shared" si="62"/>
        <v>0</v>
      </c>
      <c r="P240" s="100">
        <f t="shared" si="62"/>
        <v>0</v>
      </c>
      <c r="Q240" s="100"/>
    </row>
    <row r="241" ht="15.75" customHeight="1">
      <c r="A241" s="99" t="s">
        <v>344</v>
      </c>
      <c r="B241" s="100">
        <f>sumifs(Dados!$N:$N,Dados!$A:$A,A241,Dados!$H:$H,$D$1)</f>
        <v>0</v>
      </c>
      <c r="C241" s="101">
        <f t="shared" si="63"/>
        <v>0</v>
      </c>
      <c r="D241" s="100">
        <f>SUM(E241:P241)</f>
        <v>0</v>
      </c>
      <c r="E241" s="100">
        <f>sumifs(Dados!$N:$N,Dados!$B:$B,A241,Dados!$H:$H,$D$1,Dados!$G:$G,$E$4)</f>
        <v>0</v>
      </c>
      <c r="F241" s="100">
        <f>sumifs(Dados!$N:$N,Dados!$B:$B,A241,Dados!$H:$H,$D$1,Dados!$G:$G,$F$4)</f>
        <v>0</v>
      </c>
      <c r="G241" s="100">
        <f>sumifs(Dados!$N:$N,Dados!$B:$B,A241,Dados!$H:$H,$D$1,Dados!$G:$G,$G$4)</f>
        <v>0</v>
      </c>
      <c r="H241" s="100">
        <f>sumifs(Dados!$N:$N,Dados!$B:$B,A241,Dados!$H:$H,$D$1,Dados!$G:$G,$H$4)</f>
        <v>0</v>
      </c>
      <c r="I241" s="100">
        <f>sumifs(Dados!$N:$N,Dados!$B:$B,A241,Dados!$H:$H,$D$1,Dados!$G:$G,$I$4)</f>
        <v>0</v>
      </c>
      <c r="J241" s="100">
        <f>sumifs(Dados!$N:$N,Dados!$B:$B,A241,Dados!$H:$H,$D$1,Dados!$G:$G,$J$4)</f>
        <v>0</v>
      </c>
      <c r="K241" s="100">
        <f>sumifs(Dados!$N:$N,Dados!$B:$B,A241,Dados!$H:$H,$D$1,Dados!$G:$G,$K$4)</f>
        <v>0</v>
      </c>
      <c r="L241" s="100">
        <f>sumifs(Dados!$N:$N,Dados!$B:$B,A241,Dados!$H:$H,$D$1,Dados!$G:$G,$L$4)</f>
        <v>0</v>
      </c>
      <c r="M241" s="100">
        <f>sumifs(Dados!$N:$N,Dados!$B:$B,A241,Dados!$H:$H,$D$1,Dados!$G:$G,$M$4)</f>
        <v>0</v>
      </c>
      <c r="N241" s="100">
        <f>sumifs(Dados!$N:$N,Dados!$B:$B,A241,Dados!$H:$H,$D$1,Dados!$G:$G,$N$4)</f>
        <v>0</v>
      </c>
      <c r="O241" s="100">
        <f>sumifs(Dados!$N:$N,Dados!$B:$B,A241,Dados!$H:$H,$D$1,Dados!$G:$G,$O$4)</f>
        <v>0</v>
      </c>
      <c r="P241" s="100">
        <f>sumifs(Dados!$N:$N,Dados!$B:$B,A241,Dados!$H:$H,$D$1,Dados!$G:$G,$P$4)</f>
        <v>0</v>
      </c>
      <c r="Q241" s="100"/>
    </row>
    <row r="242" ht="15.75" customHeight="1">
      <c r="A242" s="143" t="s">
        <v>345</v>
      </c>
      <c r="B242" s="176">
        <f>D229+D237+D240+D241</f>
        <v>89453.82</v>
      </c>
      <c r="C242" s="176"/>
      <c r="D242" s="176"/>
      <c r="E242" s="176">
        <f t="shared" ref="E242:P242" si="64">E229+E237+E240</f>
        <v>11771.23</v>
      </c>
      <c r="F242" s="176">
        <f t="shared" si="64"/>
        <v>36391.4</v>
      </c>
      <c r="G242" s="176">
        <f t="shared" si="64"/>
        <v>5855.94</v>
      </c>
      <c r="H242" s="176">
        <f t="shared" si="64"/>
        <v>939.7</v>
      </c>
      <c r="I242" s="176">
        <f t="shared" si="64"/>
        <v>8243.34</v>
      </c>
      <c r="J242" s="176">
        <f t="shared" si="64"/>
        <v>13791.76</v>
      </c>
      <c r="K242" s="176">
        <f t="shared" si="64"/>
        <v>12460.45</v>
      </c>
      <c r="L242" s="176">
        <f t="shared" si="64"/>
        <v>0</v>
      </c>
      <c r="M242" s="176">
        <f t="shared" si="64"/>
        <v>0</v>
      </c>
      <c r="N242" s="176">
        <f t="shared" si="64"/>
        <v>0</v>
      </c>
      <c r="O242" s="176">
        <f t="shared" si="64"/>
        <v>0</v>
      </c>
      <c r="P242" s="176">
        <f t="shared" si="64"/>
        <v>0</v>
      </c>
      <c r="Q242" s="178"/>
    </row>
    <row r="243" ht="15.75" customHeight="1">
      <c r="A243" s="183" t="s">
        <v>27</v>
      </c>
      <c r="B243" s="184">
        <f>B242+B222+B137</f>
        <v>208425.5</v>
      </c>
      <c r="C243" s="176"/>
      <c r="D243" s="184">
        <f t="shared" ref="D243:P243" si="65">D242+D222+D137</f>
        <v>77841.89</v>
      </c>
      <c r="E243" s="184">
        <f t="shared" si="65"/>
        <v>20612.93</v>
      </c>
      <c r="F243" s="184">
        <f t="shared" si="65"/>
        <v>66826.77</v>
      </c>
      <c r="G243" s="184">
        <f t="shared" si="65"/>
        <v>16968.3</v>
      </c>
      <c r="H243" s="184">
        <f t="shared" si="65"/>
        <v>14583.33</v>
      </c>
      <c r="I243" s="184">
        <f t="shared" si="65"/>
        <v>21500.68</v>
      </c>
      <c r="J243" s="184">
        <f t="shared" si="65"/>
        <v>33168.97</v>
      </c>
      <c r="K243" s="184">
        <f t="shared" si="65"/>
        <v>29173.72</v>
      </c>
      <c r="L243" s="184">
        <f t="shared" si="65"/>
        <v>5590.8</v>
      </c>
      <c r="M243" s="184">
        <f t="shared" si="65"/>
        <v>0</v>
      </c>
      <c r="N243" s="184">
        <f t="shared" si="65"/>
        <v>0</v>
      </c>
      <c r="O243" s="184">
        <f t="shared" si="65"/>
        <v>0</v>
      </c>
      <c r="P243" s="184">
        <f t="shared" si="65"/>
        <v>0</v>
      </c>
      <c r="Q243" s="184"/>
      <c r="R243" s="185"/>
      <c r="S243" s="185"/>
      <c r="T243" s="185"/>
      <c r="U243" s="185"/>
      <c r="V243" s="185"/>
      <c r="W243" s="185"/>
      <c r="X243" s="185"/>
      <c r="Y243" s="185"/>
      <c r="Z243" s="185"/>
      <c r="AA243" s="185"/>
    </row>
    <row r="244" ht="15.75" customHeight="1">
      <c r="A244" s="186" t="s">
        <v>347</v>
      </c>
      <c r="B244" s="184">
        <f>B243-B237</f>
        <v>153915.5</v>
      </c>
      <c r="C244" s="184"/>
      <c r="D244" s="184">
        <f t="shared" ref="D244:P244" si="66">D243-D237</f>
        <v>23331.89</v>
      </c>
      <c r="E244" s="184">
        <f t="shared" si="66"/>
        <v>10612.93</v>
      </c>
      <c r="F244" s="184">
        <f t="shared" si="66"/>
        <v>46826.77</v>
      </c>
      <c r="G244" s="184">
        <f t="shared" si="66"/>
        <v>14968.3</v>
      </c>
      <c r="H244" s="184">
        <f t="shared" si="66"/>
        <v>14583.33</v>
      </c>
      <c r="I244" s="184">
        <f t="shared" si="66"/>
        <v>15500.68</v>
      </c>
      <c r="J244" s="184">
        <f t="shared" si="66"/>
        <v>25168.97</v>
      </c>
      <c r="K244" s="184">
        <f t="shared" si="66"/>
        <v>20663.72</v>
      </c>
      <c r="L244" s="184">
        <f t="shared" si="66"/>
        <v>5590.8</v>
      </c>
      <c r="M244" s="184">
        <f t="shared" si="66"/>
        <v>0</v>
      </c>
      <c r="N244" s="184">
        <f t="shared" si="66"/>
        <v>0</v>
      </c>
      <c r="O244" s="184">
        <f t="shared" si="66"/>
        <v>0</v>
      </c>
      <c r="P244" s="184">
        <f t="shared" si="66"/>
        <v>0</v>
      </c>
      <c r="Q244" s="184"/>
      <c r="R244" s="185"/>
      <c r="S244" s="185"/>
      <c r="T244" s="185"/>
      <c r="U244" s="185"/>
      <c r="V244" s="185"/>
      <c r="W244" s="185"/>
      <c r="X244" s="185"/>
      <c r="Y244" s="185"/>
      <c r="Z244" s="185"/>
      <c r="AA244" s="185"/>
    </row>
    <row r="245" ht="15.75" customHeight="1">
      <c r="A245" s="188" t="s">
        <v>348</v>
      </c>
      <c r="B245" s="100">
        <f>sumifs(Dados!$N:$N,Dados!$H:$H,$D$1)</f>
        <v>208425.5</v>
      </c>
      <c r="C245" s="189"/>
      <c r="D245" s="190"/>
      <c r="E245" s="100">
        <f>sumifs(Dados!$N:$N,Dados!$H:$H,$D$1,Dados!$G:$G,E4)</f>
        <v>20612.93</v>
      </c>
      <c r="F245" s="100">
        <f>sumifs(Dados!$N:$N,Dados!$H:$H,$D$1,Dados!$G:$G,F4)</f>
        <v>66826.77</v>
      </c>
      <c r="G245" s="100">
        <f>sumifs(Dados!$N:$N,Dados!$H:$H,$D$1,Dados!$G:$G,G4)</f>
        <v>16968.3</v>
      </c>
      <c r="H245" s="100">
        <f>sumifs(Dados!$N:$N,Dados!$H:$H,$D$1,Dados!$G:$G,H4)</f>
        <v>14583.33</v>
      </c>
      <c r="I245" s="100">
        <f>sumifs(Dados!$N:$N,Dados!$H:$H,$D$1,Dados!$G:$G,I4)</f>
        <v>21500.68</v>
      </c>
      <c r="J245" s="100">
        <f>sumifs(Dados!$N:$N,Dados!$H:$H,$D$1,Dados!$G:$G,J4)</f>
        <v>33168.97</v>
      </c>
      <c r="K245" s="100">
        <f>sumifs(Dados!$N:$N,Dados!$H:$H,$D$1,Dados!$G:$G,K4)</f>
        <v>29173.72</v>
      </c>
      <c r="L245" s="100">
        <f>sumifs(Dados!$N:$N,Dados!$H:$H,$D$1,Dados!$G:$G,L4)</f>
        <v>5590.8</v>
      </c>
      <c r="M245" s="100">
        <f>sumifs(Dados!$N:$N,Dados!$H:$H,$D$1,Dados!$G:$G,M4)</f>
        <v>0</v>
      </c>
      <c r="N245" s="100">
        <f>sumifs(Dados!$N:$N,Dados!$H:$H,$D$1,Dados!$G:$G,N4)</f>
        <v>0</v>
      </c>
      <c r="O245" s="100">
        <f>sumifs(Dados!$N:$N,Dados!$H:$H,$D$1,Dados!$G:$G,O4)</f>
        <v>0</v>
      </c>
      <c r="P245" s="100">
        <f>sumifs(Dados!$N:$N,Dados!$H:$H,$D$1,Dados!$G:$G,P4)</f>
        <v>0</v>
      </c>
      <c r="Q245" s="190"/>
    </row>
    <row r="246" ht="15.75" customHeight="1">
      <c r="A246" s="188" t="s">
        <v>350</v>
      </c>
      <c r="B246" s="100">
        <f>B243-B245</f>
        <v>-0.0000000001164153218</v>
      </c>
      <c r="C246" s="101"/>
      <c r="D246" s="100"/>
      <c r="E246" s="100">
        <f t="shared" ref="E246:P246" si="67">E243-E245</f>
        <v>0</v>
      </c>
      <c r="F246" s="100">
        <f t="shared" si="67"/>
        <v>0</v>
      </c>
      <c r="G246" s="100">
        <f t="shared" si="67"/>
        <v>0</v>
      </c>
      <c r="H246" s="100">
        <f t="shared" si="67"/>
        <v>0</v>
      </c>
      <c r="I246" s="100">
        <f t="shared" si="67"/>
        <v>0</v>
      </c>
      <c r="J246" s="100">
        <f t="shared" si="67"/>
        <v>0</v>
      </c>
      <c r="K246" s="100">
        <f t="shared" si="67"/>
        <v>0</v>
      </c>
      <c r="L246" s="100">
        <f t="shared" si="67"/>
        <v>0</v>
      </c>
      <c r="M246" s="100">
        <f t="shared" si="67"/>
        <v>0</v>
      </c>
      <c r="N246" s="100">
        <f t="shared" si="67"/>
        <v>0</v>
      </c>
      <c r="O246" s="100">
        <f t="shared" si="67"/>
        <v>0</v>
      </c>
      <c r="P246" s="100">
        <f t="shared" si="67"/>
        <v>0</v>
      </c>
      <c r="Q246" s="190"/>
    </row>
    <row r="247" ht="15.75" customHeight="1">
      <c r="C247" s="191"/>
    </row>
    <row r="248" ht="15.75" customHeight="1">
      <c r="C248" s="191"/>
    </row>
    <row r="249" ht="15.75" customHeight="1">
      <c r="C249" s="191"/>
    </row>
    <row r="250" ht="15.75" customHeight="1">
      <c r="C250" s="191"/>
    </row>
    <row r="251" ht="15.75" customHeight="1">
      <c r="C251" s="191"/>
    </row>
    <row r="252" ht="15.75" customHeight="1">
      <c r="C252" s="191"/>
    </row>
    <row r="253" ht="15.75" customHeight="1">
      <c r="C253" s="191"/>
    </row>
    <row r="254" ht="15.75" customHeight="1">
      <c r="C254" s="191"/>
    </row>
    <row r="255" ht="15.75" customHeight="1">
      <c r="C255" s="191"/>
    </row>
    <row r="256" ht="15.75" customHeight="1">
      <c r="C256" s="191"/>
    </row>
    <row r="257" ht="15.75" customHeight="1">
      <c r="C257" s="191"/>
    </row>
    <row r="258" ht="15.75" customHeight="1">
      <c r="C258" s="191"/>
    </row>
    <row r="259" ht="15.75" customHeight="1">
      <c r="C259" s="191"/>
    </row>
    <row r="260" ht="15.75" customHeight="1">
      <c r="C260" s="191"/>
    </row>
    <row r="261" ht="15.75" customHeight="1">
      <c r="C261" s="191"/>
    </row>
    <row r="262" ht="15.75" customHeight="1">
      <c r="C262" s="191"/>
    </row>
    <row r="263" ht="15.75" customHeight="1">
      <c r="C263" s="191"/>
    </row>
    <row r="264" ht="15.75" customHeight="1">
      <c r="C264" s="191"/>
    </row>
    <row r="265" ht="15.75" customHeight="1">
      <c r="C265" s="191"/>
    </row>
    <row r="266" ht="15.75" customHeight="1">
      <c r="C266" s="191"/>
    </row>
    <row r="267" ht="15.75" customHeight="1">
      <c r="C267" s="191"/>
    </row>
    <row r="268" ht="15.75" customHeight="1">
      <c r="C268" s="191"/>
    </row>
    <row r="269" ht="15.75" customHeight="1">
      <c r="C269" s="191"/>
    </row>
    <row r="270" ht="15.75" customHeight="1">
      <c r="C270" s="191"/>
    </row>
    <row r="271" ht="15.75" customHeight="1">
      <c r="C271" s="191"/>
    </row>
    <row r="272" ht="15.75" customHeight="1">
      <c r="C272" s="191"/>
    </row>
    <row r="273" ht="15.75" customHeight="1">
      <c r="C273" s="191"/>
    </row>
    <row r="274" ht="15.75" customHeight="1">
      <c r="C274" s="79"/>
      <c r="D274" s="80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</row>
    <row r="275" ht="15.75" customHeight="1">
      <c r="C275" s="79"/>
      <c r="D275" s="80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</row>
    <row r="276" ht="15.75" customHeight="1">
      <c r="C276" s="79"/>
      <c r="D276" s="80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</row>
    <row r="277" ht="15.75" customHeight="1">
      <c r="C277" s="79"/>
      <c r="D277" s="80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</row>
    <row r="278" ht="15.75" customHeight="1">
      <c r="C278" s="79"/>
      <c r="D278" s="80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</row>
    <row r="279" ht="15.75" customHeight="1">
      <c r="A279" s="65"/>
      <c r="B279" s="65"/>
      <c r="C279" s="192"/>
      <c r="D279" s="193"/>
      <c r="E279" s="65"/>
      <c r="F279" s="65"/>
      <c r="G279" s="65"/>
      <c r="H279" s="65"/>
      <c r="I279" s="65"/>
      <c r="J279" s="65"/>
    </row>
    <row r="280" ht="15.75" customHeight="1">
      <c r="A280" s="65"/>
      <c r="B280" s="65"/>
      <c r="C280" s="192"/>
      <c r="D280" s="193"/>
      <c r="E280" s="65"/>
      <c r="F280" s="65"/>
      <c r="G280" s="65"/>
      <c r="H280" s="65"/>
      <c r="I280" s="65"/>
      <c r="J280" s="65"/>
    </row>
    <row r="281" ht="15.75" customHeight="1">
      <c r="A281" s="65"/>
      <c r="B281" s="65"/>
      <c r="C281" s="192"/>
      <c r="D281" s="193"/>
      <c r="E281" s="65"/>
      <c r="F281" s="65"/>
      <c r="G281" s="65"/>
      <c r="H281" s="65"/>
      <c r="I281" s="65"/>
      <c r="J281" s="65"/>
    </row>
    <row r="282" ht="15.75" customHeight="1">
      <c r="A282" s="65"/>
      <c r="B282" s="65"/>
      <c r="C282" s="192"/>
      <c r="D282" s="193"/>
      <c r="E282" s="65"/>
      <c r="F282" s="65"/>
      <c r="G282" s="65"/>
      <c r="H282" s="65"/>
      <c r="I282" s="65"/>
      <c r="J282" s="65"/>
    </row>
    <row r="283" ht="15.75" customHeight="1">
      <c r="A283" s="65"/>
      <c r="B283" s="65"/>
      <c r="C283" s="192"/>
      <c r="D283" s="193"/>
      <c r="E283" s="65"/>
      <c r="F283" s="65"/>
      <c r="G283" s="65"/>
      <c r="H283" s="65"/>
      <c r="I283" s="65"/>
      <c r="J283" s="65"/>
    </row>
    <row r="284" ht="15.75" customHeight="1">
      <c r="A284" s="65"/>
      <c r="B284" s="65"/>
      <c r="C284" s="192"/>
      <c r="D284" s="193"/>
      <c r="E284" s="65"/>
      <c r="F284" s="65"/>
      <c r="G284" s="65"/>
      <c r="H284" s="65"/>
      <c r="I284" s="65"/>
      <c r="J284" s="65"/>
    </row>
    <row r="285" ht="15.75" customHeight="1">
      <c r="A285" s="65"/>
      <c r="B285" s="65"/>
      <c r="C285" s="192"/>
      <c r="D285" s="193"/>
      <c r="E285" s="65"/>
      <c r="F285" s="65"/>
      <c r="G285" s="65"/>
      <c r="H285" s="65"/>
      <c r="I285" s="65"/>
      <c r="J285" s="65"/>
    </row>
    <row r="286" ht="15.75" customHeight="1">
      <c r="A286" s="65"/>
      <c r="B286" s="65"/>
      <c r="C286" s="192"/>
      <c r="D286" s="193"/>
      <c r="E286" s="65"/>
      <c r="F286" s="65"/>
      <c r="G286" s="65"/>
      <c r="H286" s="65"/>
      <c r="I286" s="65"/>
      <c r="J286" s="65"/>
    </row>
    <row r="287" ht="15.75" customHeight="1">
      <c r="A287" s="65"/>
      <c r="B287" s="65"/>
      <c r="C287" s="192"/>
      <c r="D287" s="193"/>
      <c r="E287" s="65"/>
      <c r="F287" s="65"/>
      <c r="G287" s="65"/>
      <c r="H287" s="65"/>
      <c r="I287" s="65"/>
      <c r="J287" s="65"/>
    </row>
    <row r="288" ht="15.75" customHeight="1">
      <c r="A288" s="65"/>
      <c r="B288" s="65"/>
      <c r="C288" s="192"/>
      <c r="D288" s="193"/>
      <c r="E288" s="65"/>
      <c r="F288" s="65"/>
      <c r="G288" s="65"/>
      <c r="H288" s="65"/>
      <c r="I288" s="65"/>
      <c r="J288" s="65"/>
    </row>
    <row r="289" ht="15.75" customHeight="1">
      <c r="A289" s="65"/>
      <c r="B289" s="65"/>
      <c r="C289" s="192"/>
      <c r="D289" s="193"/>
      <c r="E289" s="65"/>
      <c r="F289" s="65"/>
      <c r="G289" s="65"/>
      <c r="H289" s="65"/>
      <c r="I289" s="65"/>
      <c r="J289" s="65"/>
    </row>
    <row r="290" ht="15.75" customHeight="1">
      <c r="A290" s="65"/>
      <c r="B290" s="65"/>
      <c r="C290" s="192"/>
      <c r="D290" s="193"/>
      <c r="E290" s="65"/>
      <c r="F290" s="65"/>
      <c r="G290" s="65"/>
      <c r="H290" s="65"/>
      <c r="I290" s="65"/>
      <c r="J290" s="65"/>
    </row>
    <row r="291" ht="15.75" customHeight="1">
      <c r="A291" s="65"/>
      <c r="B291" s="65"/>
      <c r="C291" s="192"/>
      <c r="D291" s="193"/>
      <c r="E291" s="65"/>
      <c r="F291" s="65"/>
      <c r="G291" s="65"/>
      <c r="H291" s="65"/>
      <c r="I291" s="65"/>
      <c r="J291" s="65"/>
    </row>
    <row r="292" ht="15.75" customHeight="1">
      <c r="A292" s="65"/>
      <c r="B292" s="65"/>
      <c r="C292" s="192"/>
      <c r="D292" s="193"/>
      <c r="E292" s="65"/>
      <c r="F292" s="65"/>
      <c r="G292" s="65"/>
      <c r="H292" s="65"/>
      <c r="I292" s="65"/>
      <c r="J292" s="65"/>
    </row>
    <row r="293" ht="15.75" customHeight="1">
      <c r="A293" s="65"/>
      <c r="B293" s="65"/>
      <c r="C293" s="192"/>
      <c r="D293" s="193"/>
      <c r="E293" s="65"/>
      <c r="F293" s="65"/>
      <c r="G293" s="65"/>
      <c r="H293" s="65"/>
      <c r="I293" s="65"/>
      <c r="J293" s="65"/>
    </row>
    <row r="294" ht="15.75" customHeight="1">
      <c r="A294" s="65"/>
      <c r="B294" s="65"/>
      <c r="C294" s="192"/>
      <c r="D294" s="193"/>
      <c r="E294" s="65"/>
      <c r="F294" s="65"/>
      <c r="G294" s="65"/>
      <c r="H294" s="65"/>
      <c r="I294" s="65"/>
      <c r="J294" s="65"/>
    </row>
    <row r="295" ht="15.75" customHeight="1">
      <c r="A295" s="65"/>
      <c r="B295" s="65"/>
      <c r="C295" s="192"/>
      <c r="D295" s="193"/>
      <c r="E295" s="65"/>
      <c r="F295" s="65"/>
      <c r="G295" s="65"/>
      <c r="H295" s="65"/>
      <c r="I295" s="65"/>
      <c r="J295" s="65"/>
    </row>
    <row r="296" ht="15.75" customHeight="1">
      <c r="A296" s="65"/>
      <c r="B296" s="65"/>
      <c r="C296" s="192"/>
      <c r="D296" s="193"/>
      <c r="E296" s="65"/>
      <c r="F296" s="65"/>
      <c r="G296" s="65"/>
      <c r="H296" s="65"/>
      <c r="I296" s="65"/>
      <c r="J296" s="65"/>
    </row>
    <row r="297" ht="15.75" customHeight="1">
      <c r="A297" s="65"/>
      <c r="B297" s="65"/>
      <c r="C297" s="192"/>
      <c r="D297" s="193"/>
      <c r="E297" s="65"/>
      <c r="F297" s="65"/>
      <c r="G297" s="65"/>
      <c r="H297" s="65"/>
      <c r="I297" s="65"/>
      <c r="J297" s="65"/>
    </row>
    <row r="298" ht="15.75" customHeight="1">
      <c r="A298" s="65"/>
      <c r="B298" s="65"/>
      <c r="C298" s="192"/>
      <c r="D298" s="193"/>
      <c r="E298" s="65"/>
      <c r="F298" s="65"/>
      <c r="G298" s="65"/>
      <c r="H298" s="65"/>
      <c r="I298" s="65"/>
      <c r="J298" s="65"/>
    </row>
    <row r="299" ht="15.75" customHeight="1">
      <c r="A299" s="65"/>
      <c r="B299" s="65"/>
      <c r="C299" s="192"/>
      <c r="D299" s="193"/>
      <c r="E299" s="65"/>
      <c r="F299" s="65"/>
      <c r="G299" s="65"/>
      <c r="H299" s="65"/>
      <c r="I299" s="65"/>
      <c r="J299" s="65"/>
    </row>
    <row r="300" ht="15.75" customHeight="1">
      <c r="A300" s="65"/>
      <c r="B300" s="65"/>
      <c r="C300" s="192"/>
      <c r="D300" s="193"/>
      <c r="E300" s="65"/>
      <c r="F300" s="65"/>
      <c r="G300" s="65"/>
      <c r="H300" s="65"/>
      <c r="I300" s="65"/>
      <c r="J300" s="65"/>
    </row>
    <row r="301" ht="15.75" customHeight="1">
      <c r="A301" s="65"/>
      <c r="B301" s="65"/>
      <c r="C301" s="192"/>
      <c r="D301" s="193"/>
      <c r="E301" s="65"/>
      <c r="F301" s="65"/>
      <c r="G301" s="65"/>
      <c r="H301" s="65"/>
      <c r="I301" s="65"/>
      <c r="J301" s="65"/>
    </row>
    <row r="302" ht="15.75" customHeight="1">
      <c r="A302" s="65"/>
      <c r="B302" s="65"/>
      <c r="C302" s="192"/>
      <c r="D302" s="193"/>
      <c r="E302" s="65"/>
      <c r="F302" s="65"/>
      <c r="G302" s="65"/>
      <c r="H302" s="65"/>
      <c r="I302" s="65"/>
      <c r="J302" s="65"/>
    </row>
    <row r="303" ht="15.75" customHeight="1">
      <c r="A303" s="65"/>
      <c r="B303" s="65"/>
      <c r="C303" s="192"/>
      <c r="D303" s="193"/>
      <c r="E303" s="65"/>
      <c r="F303" s="65"/>
      <c r="G303" s="65"/>
      <c r="H303" s="65"/>
      <c r="I303" s="65"/>
      <c r="J303" s="65"/>
    </row>
    <row r="304" ht="15.75" customHeight="1">
      <c r="A304" s="65"/>
      <c r="B304" s="65"/>
      <c r="C304" s="192"/>
      <c r="D304" s="193"/>
      <c r="E304" s="65"/>
      <c r="F304" s="65"/>
      <c r="G304" s="65"/>
      <c r="H304" s="65"/>
      <c r="I304" s="65"/>
      <c r="J304" s="65"/>
    </row>
    <row r="305" ht="15.75" customHeight="1">
      <c r="A305" s="65"/>
      <c r="B305" s="65"/>
      <c r="C305" s="192"/>
      <c r="D305" s="193"/>
      <c r="E305" s="65"/>
      <c r="F305" s="65"/>
      <c r="G305" s="65"/>
      <c r="H305" s="65"/>
      <c r="I305" s="65"/>
      <c r="J305" s="65"/>
    </row>
    <row r="306" ht="15.75" customHeight="1">
      <c r="A306" s="65"/>
      <c r="B306" s="65"/>
      <c r="C306" s="192"/>
      <c r="D306" s="193"/>
      <c r="E306" s="65"/>
      <c r="F306" s="65"/>
      <c r="G306" s="65"/>
      <c r="H306" s="65"/>
      <c r="I306" s="65"/>
      <c r="J306" s="65"/>
    </row>
    <row r="307" ht="15.75" customHeight="1">
      <c r="A307" s="65"/>
      <c r="B307" s="65"/>
      <c r="C307" s="192"/>
      <c r="D307" s="193"/>
      <c r="E307" s="65"/>
      <c r="F307" s="65"/>
      <c r="G307" s="65"/>
      <c r="H307" s="65"/>
      <c r="I307" s="65"/>
      <c r="J307" s="65"/>
    </row>
    <row r="308" ht="15.75" customHeight="1">
      <c r="A308" s="65"/>
      <c r="B308" s="65"/>
      <c r="C308" s="192"/>
      <c r="D308" s="193"/>
      <c r="E308" s="65"/>
      <c r="F308" s="65"/>
      <c r="G308" s="65"/>
      <c r="H308" s="65"/>
      <c r="I308" s="65"/>
      <c r="J308" s="65"/>
    </row>
    <row r="309" ht="15.75" customHeight="1">
      <c r="A309" s="65"/>
      <c r="B309" s="65"/>
      <c r="C309" s="192"/>
      <c r="D309" s="193"/>
      <c r="E309" s="65"/>
      <c r="F309" s="65"/>
      <c r="G309" s="65"/>
      <c r="H309" s="65"/>
      <c r="I309" s="65"/>
      <c r="J309" s="65"/>
    </row>
    <row r="310" ht="15.75" customHeight="1">
      <c r="A310" s="65"/>
      <c r="B310" s="65"/>
      <c r="C310" s="192"/>
      <c r="D310" s="193"/>
      <c r="E310" s="65"/>
      <c r="F310" s="65"/>
      <c r="G310" s="65"/>
      <c r="H310" s="65"/>
      <c r="I310" s="65"/>
      <c r="J310" s="65"/>
    </row>
    <row r="311" ht="15.75" customHeight="1">
      <c r="A311" s="65"/>
      <c r="B311" s="65"/>
      <c r="C311" s="192"/>
      <c r="D311" s="193"/>
      <c r="E311" s="65"/>
      <c r="F311" s="65"/>
      <c r="G311" s="65"/>
      <c r="H311" s="65"/>
      <c r="I311" s="65"/>
      <c r="J311" s="65"/>
    </row>
    <row r="312" ht="15.75" customHeight="1">
      <c r="A312" s="65"/>
      <c r="B312" s="65"/>
      <c r="C312" s="192"/>
      <c r="D312" s="193"/>
      <c r="E312" s="65"/>
      <c r="F312" s="65"/>
      <c r="G312" s="65"/>
      <c r="H312" s="65"/>
      <c r="I312" s="65"/>
      <c r="J312" s="65"/>
    </row>
    <row r="313" ht="15.75" customHeight="1">
      <c r="A313" s="65"/>
      <c r="B313" s="65"/>
      <c r="C313" s="192"/>
      <c r="D313" s="193"/>
      <c r="E313" s="65"/>
      <c r="F313" s="65"/>
      <c r="G313" s="65"/>
      <c r="H313" s="65"/>
      <c r="I313" s="65"/>
      <c r="J313" s="65"/>
    </row>
    <row r="314" ht="15.75" customHeight="1">
      <c r="A314" s="65"/>
      <c r="B314" s="65"/>
      <c r="C314" s="192"/>
      <c r="D314" s="193"/>
      <c r="E314" s="65"/>
      <c r="F314" s="65"/>
      <c r="G314" s="65"/>
      <c r="H314" s="65"/>
      <c r="I314" s="65"/>
      <c r="J314" s="65"/>
    </row>
    <row r="315" ht="15.75" customHeight="1">
      <c r="A315" s="65"/>
      <c r="B315" s="65"/>
      <c r="C315" s="192"/>
      <c r="D315" s="193"/>
      <c r="E315" s="65"/>
      <c r="F315" s="65"/>
      <c r="G315" s="65"/>
      <c r="H315" s="65"/>
      <c r="I315" s="65"/>
      <c r="J315" s="65"/>
    </row>
    <row r="316" ht="15.75" customHeight="1">
      <c r="A316" s="65"/>
      <c r="B316" s="65"/>
      <c r="C316" s="192"/>
      <c r="D316" s="193"/>
      <c r="E316" s="65"/>
      <c r="F316" s="65"/>
      <c r="G316" s="65"/>
      <c r="H316" s="65"/>
      <c r="I316" s="65"/>
      <c r="J316" s="65"/>
    </row>
    <row r="317" ht="15.75" customHeight="1">
      <c r="A317" s="65"/>
      <c r="B317" s="65"/>
      <c r="C317" s="192"/>
      <c r="D317" s="193"/>
      <c r="E317" s="65"/>
      <c r="F317" s="65"/>
      <c r="G317" s="65"/>
      <c r="H317" s="65"/>
      <c r="I317" s="65"/>
      <c r="J317" s="65"/>
    </row>
    <row r="318" ht="15.75" customHeight="1">
      <c r="A318" s="65"/>
      <c r="B318" s="65"/>
      <c r="C318" s="192"/>
      <c r="D318" s="193"/>
      <c r="E318" s="65"/>
      <c r="F318" s="65"/>
      <c r="G318" s="65"/>
      <c r="H318" s="65"/>
      <c r="I318" s="65"/>
      <c r="J318" s="65"/>
    </row>
    <row r="319" ht="15.75" customHeight="1">
      <c r="A319" s="65"/>
      <c r="B319" s="65"/>
      <c r="C319" s="192"/>
      <c r="D319" s="193"/>
      <c r="E319" s="65"/>
      <c r="F319" s="65"/>
      <c r="G319" s="65"/>
      <c r="H319" s="65"/>
      <c r="I319" s="65"/>
      <c r="J319" s="65"/>
    </row>
    <row r="320" ht="15.75" customHeight="1">
      <c r="A320" s="65"/>
      <c r="B320" s="65"/>
      <c r="C320" s="192"/>
      <c r="D320" s="193"/>
      <c r="E320" s="65"/>
      <c r="F320" s="65"/>
      <c r="G320" s="65"/>
      <c r="H320" s="65"/>
      <c r="I320" s="65"/>
      <c r="J320" s="65"/>
    </row>
    <row r="321" ht="15.75" customHeight="1">
      <c r="A321" s="65"/>
      <c r="B321" s="65"/>
      <c r="C321" s="192"/>
      <c r="D321" s="193"/>
      <c r="E321" s="65"/>
      <c r="F321" s="65"/>
      <c r="G321" s="65"/>
      <c r="H321" s="65"/>
      <c r="I321" s="65"/>
      <c r="J321" s="65"/>
    </row>
    <row r="322" ht="15.75" customHeight="1">
      <c r="A322" s="65"/>
      <c r="B322" s="65"/>
      <c r="C322" s="192"/>
      <c r="D322" s="193"/>
      <c r="E322" s="65"/>
      <c r="F322" s="65"/>
      <c r="G322" s="65"/>
      <c r="H322" s="65"/>
      <c r="I322" s="65"/>
      <c r="J322" s="65"/>
    </row>
    <row r="323" ht="15.75" customHeight="1">
      <c r="A323" s="65"/>
      <c r="B323" s="65"/>
      <c r="C323" s="192"/>
      <c r="D323" s="193"/>
      <c r="E323" s="65"/>
      <c r="F323" s="65"/>
      <c r="G323" s="65"/>
      <c r="H323" s="65"/>
      <c r="I323" s="65"/>
      <c r="J323" s="65"/>
    </row>
    <row r="324" ht="15.75" customHeight="1">
      <c r="A324" s="65"/>
      <c r="B324" s="65"/>
      <c r="C324" s="192"/>
      <c r="D324" s="193"/>
      <c r="E324" s="65"/>
      <c r="F324" s="65"/>
      <c r="G324" s="65"/>
      <c r="H324" s="65"/>
      <c r="I324" s="65"/>
      <c r="J324" s="65"/>
    </row>
    <row r="325" ht="15.75" customHeight="1">
      <c r="A325" s="65"/>
      <c r="B325" s="65"/>
      <c r="C325" s="192"/>
      <c r="D325" s="193"/>
      <c r="E325" s="65"/>
      <c r="F325" s="65"/>
      <c r="G325" s="65"/>
      <c r="H325" s="65"/>
      <c r="I325" s="65"/>
      <c r="J325" s="65"/>
    </row>
    <row r="326" ht="15.75" customHeight="1">
      <c r="A326" s="65"/>
      <c r="B326" s="65"/>
      <c r="C326" s="192"/>
      <c r="D326" s="193"/>
      <c r="E326" s="65"/>
      <c r="F326" s="65"/>
      <c r="G326" s="65"/>
      <c r="H326" s="65"/>
      <c r="I326" s="65"/>
      <c r="J326" s="65"/>
    </row>
    <row r="327" ht="15.75" customHeight="1">
      <c r="A327" s="65"/>
      <c r="B327" s="65"/>
      <c r="C327" s="192"/>
      <c r="D327" s="193"/>
      <c r="E327" s="65"/>
      <c r="F327" s="65"/>
      <c r="G327" s="65"/>
      <c r="H327" s="65"/>
      <c r="I327" s="65"/>
      <c r="J327" s="65"/>
    </row>
    <row r="328" ht="15.75" customHeight="1">
      <c r="A328" s="65"/>
      <c r="B328" s="65"/>
      <c r="C328" s="192"/>
      <c r="D328" s="193"/>
      <c r="E328" s="65"/>
      <c r="F328" s="65"/>
      <c r="G328" s="65"/>
      <c r="H328" s="65"/>
      <c r="I328" s="65"/>
      <c r="J328" s="65"/>
    </row>
    <row r="329" ht="15.75" customHeight="1">
      <c r="A329" s="65"/>
      <c r="B329" s="65"/>
      <c r="C329" s="192"/>
      <c r="D329" s="193"/>
      <c r="E329" s="65"/>
      <c r="F329" s="65"/>
      <c r="G329" s="65"/>
      <c r="H329" s="65"/>
      <c r="I329" s="65"/>
      <c r="J329" s="65"/>
    </row>
    <row r="330" ht="15.75" customHeight="1">
      <c r="A330" s="65"/>
      <c r="B330" s="65"/>
      <c r="C330" s="192"/>
      <c r="D330" s="193"/>
      <c r="E330" s="65"/>
      <c r="F330" s="65"/>
      <c r="G330" s="65"/>
      <c r="H330" s="65"/>
      <c r="I330" s="65"/>
      <c r="J330" s="65"/>
    </row>
    <row r="331" ht="15.75" customHeight="1">
      <c r="C331" s="194"/>
      <c r="D331" s="195"/>
    </row>
    <row r="332" ht="15.75" customHeight="1">
      <c r="C332" s="194"/>
      <c r="D332" s="195"/>
    </row>
    <row r="333" ht="15.75" customHeight="1">
      <c r="C333" s="194"/>
      <c r="D333" s="195"/>
    </row>
    <row r="334" ht="15.75" customHeight="1">
      <c r="C334" s="194"/>
      <c r="D334" s="195"/>
    </row>
    <row r="335" ht="15.75" customHeight="1">
      <c r="C335" s="194"/>
      <c r="D335" s="195"/>
    </row>
    <row r="336" ht="15.75" customHeight="1">
      <c r="C336" s="194"/>
      <c r="D336" s="195"/>
    </row>
    <row r="337" ht="15.75" customHeight="1">
      <c r="C337" s="194"/>
      <c r="D337" s="195"/>
    </row>
    <row r="338" ht="15.75" customHeight="1">
      <c r="C338" s="194"/>
      <c r="D338" s="195"/>
    </row>
    <row r="339" ht="15.75" customHeight="1">
      <c r="C339" s="194"/>
      <c r="D339" s="195"/>
    </row>
    <row r="340" ht="15.75" customHeight="1">
      <c r="C340" s="194"/>
      <c r="D340" s="195"/>
    </row>
    <row r="341" ht="15.75" customHeight="1">
      <c r="C341" s="194"/>
      <c r="D341" s="195"/>
    </row>
    <row r="342" ht="15.75" customHeight="1">
      <c r="C342" s="194"/>
      <c r="D342" s="195"/>
    </row>
    <row r="343" ht="15.75" customHeight="1">
      <c r="C343" s="194"/>
      <c r="D343" s="195"/>
    </row>
    <row r="344" ht="15.75" customHeight="1">
      <c r="C344" s="194"/>
      <c r="D344" s="195"/>
    </row>
    <row r="345" ht="15.75" customHeight="1">
      <c r="C345" s="194"/>
      <c r="D345" s="195"/>
    </row>
    <row r="346" ht="15.75" customHeight="1">
      <c r="C346" s="194"/>
      <c r="D346" s="195"/>
    </row>
    <row r="347" ht="15.75" customHeight="1">
      <c r="C347" s="194"/>
      <c r="D347" s="195"/>
    </row>
    <row r="348" ht="15.75" customHeight="1">
      <c r="C348" s="194"/>
      <c r="D348" s="195"/>
    </row>
    <row r="349" ht="15.75" customHeight="1">
      <c r="C349" s="194"/>
      <c r="D349" s="195"/>
    </row>
    <row r="350" ht="15.75" customHeight="1">
      <c r="C350" s="194"/>
      <c r="D350" s="195"/>
    </row>
    <row r="351" ht="15.75" customHeight="1">
      <c r="C351" s="194"/>
      <c r="D351" s="195"/>
    </row>
    <row r="352" ht="15.75" customHeight="1">
      <c r="C352" s="194"/>
      <c r="D352" s="195"/>
    </row>
    <row r="353" ht="15.75" customHeight="1">
      <c r="C353" s="194"/>
      <c r="D353" s="195"/>
    </row>
    <row r="354" ht="15.75" customHeight="1">
      <c r="C354" s="194"/>
      <c r="D354" s="195"/>
    </row>
    <row r="355" ht="15.75" customHeight="1">
      <c r="C355" s="194"/>
      <c r="D355" s="195"/>
    </row>
    <row r="356" ht="15.75" customHeight="1">
      <c r="C356" s="194"/>
      <c r="D356" s="195"/>
    </row>
    <row r="357" ht="15.75" customHeight="1">
      <c r="C357" s="194"/>
      <c r="D357" s="195"/>
    </row>
    <row r="358" ht="15.75" customHeight="1">
      <c r="C358" s="194"/>
      <c r="D358" s="195"/>
    </row>
    <row r="359" ht="15.75" customHeight="1">
      <c r="C359" s="194"/>
      <c r="D359" s="195"/>
    </row>
    <row r="360" ht="15.75" customHeight="1">
      <c r="C360" s="194"/>
      <c r="D360" s="195"/>
    </row>
    <row r="361" ht="15.75" customHeight="1">
      <c r="C361" s="194"/>
      <c r="D361" s="195"/>
    </row>
    <row r="362" ht="15.75" customHeight="1">
      <c r="C362" s="194"/>
      <c r="D362" s="195"/>
    </row>
    <row r="363" ht="15.75" customHeight="1">
      <c r="C363" s="194"/>
      <c r="D363" s="195"/>
    </row>
    <row r="364" ht="15.75" customHeight="1">
      <c r="C364" s="194"/>
      <c r="D364" s="195"/>
    </row>
    <row r="365" ht="15.75" customHeight="1">
      <c r="C365" s="194"/>
      <c r="D365" s="195"/>
    </row>
    <row r="366" ht="15.75" customHeight="1">
      <c r="C366" s="194"/>
      <c r="D366" s="195"/>
    </row>
    <row r="367" ht="15.75" customHeight="1">
      <c r="C367" s="194"/>
      <c r="D367" s="195"/>
    </row>
    <row r="368" ht="15.75" customHeight="1">
      <c r="C368" s="194"/>
      <c r="D368" s="195"/>
    </row>
    <row r="369" ht="15.75" customHeight="1">
      <c r="C369" s="194"/>
      <c r="D369" s="195"/>
    </row>
    <row r="370" ht="15.75" customHeight="1">
      <c r="C370" s="194"/>
      <c r="D370" s="195"/>
    </row>
    <row r="371" ht="15.75" customHeight="1">
      <c r="C371" s="194"/>
      <c r="D371" s="195"/>
    </row>
    <row r="372" ht="15.75" customHeight="1">
      <c r="C372" s="194"/>
      <c r="D372" s="195"/>
    </row>
    <row r="373" ht="15.75" customHeight="1">
      <c r="C373" s="194"/>
      <c r="D373" s="195"/>
    </row>
    <row r="374" ht="15.75" customHeight="1">
      <c r="C374" s="194"/>
      <c r="D374" s="195"/>
    </row>
    <row r="375" ht="15.75" customHeight="1">
      <c r="C375" s="194"/>
      <c r="D375" s="195"/>
    </row>
    <row r="376" ht="15.75" customHeight="1">
      <c r="C376" s="194"/>
      <c r="D376" s="195"/>
    </row>
    <row r="377" ht="15.75" customHeight="1">
      <c r="C377" s="194"/>
      <c r="D377" s="195"/>
    </row>
    <row r="378" ht="15.75" customHeight="1">
      <c r="C378" s="194"/>
      <c r="D378" s="195"/>
    </row>
    <row r="379" ht="15.75" customHeight="1">
      <c r="C379" s="194"/>
      <c r="D379" s="195"/>
    </row>
    <row r="380" ht="15.75" customHeight="1">
      <c r="C380" s="194"/>
      <c r="D380" s="195"/>
    </row>
    <row r="381" ht="15.75" customHeight="1">
      <c r="C381" s="194"/>
      <c r="D381" s="195"/>
    </row>
    <row r="382" ht="15.75" customHeight="1">
      <c r="C382" s="194"/>
      <c r="D382" s="195"/>
    </row>
    <row r="383" ht="15.75" customHeight="1">
      <c r="C383" s="194"/>
      <c r="D383" s="195"/>
    </row>
    <row r="384" ht="15.75" customHeight="1">
      <c r="C384" s="194"/>
      <c r="D384" s="195"/>
    </row>
    <row r="385" ht="15.75" customHeight="1">
      <c r="C385" s="194"/>
      <c r="D385" s="195"/>
    </row>
    <row r="386" ht="15.75" customHeight="1">
      <c r="C386" s="194"/>
      <c r="D386" s="195"/>
    </row>
    <row r="387" ht="15.75" customHeight="1">
      <c r="C387" s="194"/>
      <c r="D387" s="195"/>
    </row>
    <row r="388" ht="15.75" customHeight="1">
      <c r="C388" s="194"/>
      <c r="D388" s="195"/>
    </row>
    <row r="389" ht="15.75" customHeight="1">
      <c r="C389" s="194"/>
      <c r="D389" s="195"/>
    </row>
    <row r="390" ht="15.75" customHeight="1">
      <c r="C390" s="194"/>
      <c r="D390" s="195"/>
    </row>
    <row r="391" ht="15.75" customHeight="1">
      <c r="C391" s="194"/>
      <c r="D391" s="195"/>
    </row>
    <row r="392" ht="15.75" customHeight="1">
      <c r="C392" s="194"/>
      <c r="D392" s="195"/>
    </row>
    <row r="393" ht="15.75" customHeight="1">
      <c r="C393" s="194"/>
      <c r="D393" s="195"/>
    </row>
    <row r="394" ht="15.75" customHeight="1">
      <c r="C394" s="194"/>
      <c r="D394" s="195"/>
    </row>
    <row r="395" ht="15.75" customHeight="1">
      <c r="C395" s="194"/>
      <c r="D395" s="195"/>
    </row>
    <row r="396" ht="15.75" customHeight="1">
      <c r="C396" s="194"/>
      <c r="D396" s="195"/>
    </row>
    <row r="397" ht="15.75" customHeight="1">
      <c r="C397" s="194"/>
      <c r="D397" s="195"/>
    </row>
    <row r="398" ht="15.75" customHeight="1">
      <c r="C398" s="194"/>
      <c r="D398" s="195"/>
    </row>
    <row r="399" ht="15.75" customHeight="1">
      <c r="C399" s="194"/>
      <c r="D399" s="195"/>
    </row>
    <row r="400" ht="15.75" customHeight="1">
      <c r="C400" s="194"/>
      <c r="D400" s="195"/>
    </row>
    <row r="401" ht="15.75" customHeight="1">
      <c r="C401" s="194"/>
      <c r="D401" s="195"/>
    </row>
    <row r="402" ht="15.75" customHeight="1">
      <c r="C402" s="194"/>
      <c r="D402" s="195"/>
    </row>
    <row r="403" ht="15.75" customHeight="1">
      <c r="C403" s="194"/>
      <c r="D403" s="195"/>
    </row>
    <row r="404" ht="15.75" customHeight="1">
      <c r="C404" s="194"/>
      <c r="D404" s="195"/>
    </row>
    <row r="405" ht="15.75" customHeight="1">
      <c r="C405" s="194"/>
      <c r="D405" s="195"/>
    </row>
    <row r="406" ht="15.75" customHeight="1">
      <c r="C406" s="194"/>
      <c r="D406" s="195"/>
    </row>
    <row r="407" ht="15.75" customHeight="1">
      <c r="C407" s="194"/>
      <c r="D407" s="195"/>
    </row>
    <row r="408" ht="15.75" customHeight="1">
      <c r="C408" s="194"/>
      <c r="D408" s="195"/>
    </row>
    <row r="409" ht="15.75" customHeight="1">
      <c r="C409" s="194"/>
      <c r="D409" s="195"/>
    </row>
    <row r="410" ht="15.75" customHeight="1">
      <c r="C410" s="194"/>
      <c r="D410" s="195"/>
    </row>
    <row r="411" ht="15.75" customHeight="1">
      <c r="C411" s="194"/>
      <c r="D411" s="195"/>
    </row>
    <row r="412" ht="15.75" customHeight="1">
      <c r="C412" s="194"/>
      <c r="D412" s="195"/>
    </row>
    <row r="413" ht="15.75" customHeight="1">
      <c r="C413" s="194"/>
      <c r="D413" s="195"/>
    </row>
    <row r="414" ht="15.75" customHeight="1">
      <c r="C414" s="194"/>
      <c r="D414" s="195"/>
    </row>
    <row r="415" ht="15.75" customHeight="1">
      <c r="C415" s="194"/>
      <c r="D415" s="195"/>
    </row>
    <row r="416" ht="15.75" customHeight="1">
      <c r="C416" s="194"/>
      <c r="D416" s="195"/>
    </row>
    <row r="417" ht="15.75" customHeight="1">
      <c r="C417" s="194"/>
      <c r="D417" s="195"/>
    </row>
    <row r="418" ht="15.75" customHeight="1">
      <c r="C418" s="194"/>
      <c r="D418" s="195"/>
    </row>
    <row r="419" ht="15.75" customHeight="1">
      <c r="C419" s="194"/>
      <c r="D419" s="195"/>
    </row>
    <row r="420" ht="15.75" customHeight="1">
      <c r="C420" s="194"/>
      <c r="D420" s="195"/>
    </row>
    <row r="421" ht="15.75" customHeight="1">
      <c r="C421" s="194"/>
      <c r="D421" s="195"/>
    </row>
    <row r="422" ht="15.75" customHeight="1">
      <c r="C422" s="194"/>
      <c r="D422" s="195"/>
    </row>
    <row r="423" ht="15.75" customHeight="1">
      <c r="C423" s="194"/>
      <c r="D423" s="195"/>
    </row>
    <row r="424" ht="15.75" customHeight="1">
      <c r="C424" s="194"/>
      <c r="D424" s="195"/>
    </row>
    <row r="425" ht="15.75" customHeight="1">
      <c r="C425" s="194"/>
      <c r="D425" s="195"/>
    </row>
    <row r="426" ht="15.75" customHeight="1">
      <c r="C426" s="194"/>
      <c r="D426" s="195"/>
    </row>
    <row r="427" ht="15.75" customHeight="1">
      <c r="C427" s="194"/>
      <c r="D427" s="195"/>
    </row>
    <row r="428" ht="15.75" customHeight="1">
      <c r="C428" s="194"/>
      <c r="D428" s="195"/>
    </row>
    <row r="429" ht="15.75" customHeight="1">
      <c r="C429" s="194"/>
      <c r="D429" s="195"/>
    </row>
    <row r="430" ht="15.75" customHeight="1">
      <c r="C430" s="194"/>
      <c r="D430" s="195"/>
    </row>
    <row r="431" ht="15.75" customHeight="1">
      <c r="C431" s="194"/>
      <c r="D431" s="195"/>
    </row>
    <row r="432" ht="15.75" customHeight="1">
      <c r="C432" s="194"/>
      <c r="D432" s="195"/>
    </row>
    <row r="433" ht="15.75" customHeight="1">
      <c r="C433" s="194"/>
      <c r="D433" s="195"/>
    </row>
    <row r="434" ht="15.75" customHeight="1">
      <c r="C434" s="194"/>
      <c r="D434" s="195"/>
    </row>
    <row r="435" ht="15.75" customHeight="1">
      <c r="C435" s="194"/>
      <c r="D435" s="195"/>
    </row>
    <row r="436" ht="15.75" customHeight="1">
      <c r="C436" s="194"/>
      <c r="D436" s="195"/>
    </row>
    <row r="437" ht="15.75" customHeight="1">
      <c r="C437" s="194"/>
      <c r="D437" s="195"/>
    </row>
    <row r="438" ht="15.75" customHeight="1">
      <c r="C438" s="194"/>
      <c r="D438" s="195"/>
    </row>
    <row r="439" ht="15.75" customHeight="1">
      <c r="C439" s="194"/>
      <c r="D439" s="195"/>
    </row>
    <row r="440" ht="15.75" customHeight="1">
      <c r="C440" s="194"/>
      <c r="D440" s="195"/>
    </row>
    <row r="441" ht="15.75" customHeight="1">
      <c r="C441" s="194"/>
      <c r="D441" s="195"/>
    </row>
    <row r="442" ht="15.75" customHeight="1">
      <c r="C442" s="194"/>
      <c r="D442" s="195"/>
    </row>
    <row r="443" ht="15.75" customHeight="1">
      <c r="C443" s="194"/>
      <c r="D443" s="195"/>
    </row>
    <row r="444" ht="15.75" customHeight="1">
      <c r="C444" s="194"/>
      <c r="D444" s="195"/>
    </row>
    <row r="445" ht="15.75" customHeight="1">
      <c r="C445" s="194"/>
      <c r="D445" s="195"/>
    </row>
    <row r="446" ht="15.75" customHeight="1">
      <c r="C446" s="194"/>
      <c r="D446" s="195"/>
    </row>
    <row r="447" ht="15.75" customHeight="1">
      <c r="C447" s="191"/>
    </row>
    <row r="448" ht="15.75" customHeight="1">
      <c r="C448" s="191"/>
    </row>
    <row r="449" ht="15.75" customHeight="1">
      <c r="C449" s="191"/>
    </row>
    <row r="450" ht="15.75" customHeight="1">
      <c r="C450" s="191"/>
    </row>
    <row r="451" ht="15.75" customHeight="1">
      <c r="C451" s="191"/>
    </row>
    <row r="452" ht="15.75" customHeight="1">
      <c r="C452" s="191"/>
    </row>
    <row r="453" ht="15.75" customHeight="1">
      <c r="C453" s="191"/>
    </row>
    <row r="454" ht="15.75" customHeight="1">
      <c r="C454" s="191"/>
    </row>
    <row r="455" ht="15.75" customHeight="1">
      <c r="C455" s="191"/>
    </row>
    <row r="456" ht="15.75" customHeight="1">
      <c r="C456" s="191"/>
    </row>
    <row r="457" ht="15.75" customHeight="1">
      <c r="C457" s="191"/>
    </row>
    <row r="458" ht="15.75" customHeight="1">
      <c r="C458" s="191"/>
    </row>
    <row r="459" ht="15.75" customHeight="1">
      <c r="C459" s="191"/>
    </row>
    <row r="460" ht="15.75" customHeight="1">
      <c r="C460" s="191"/>
    </row>
    <row r="461" ht="15.75" customHeight="1">
      <c r="C461" s="191"/>
    </row>
    <row r="462" ht="15.75" customHeight="1">
      <c r="C462" s="191"/>
    </row>
    <row r="463" ht="15.75" customHeight="1">
      <c r="C463" s="191"/>
    </row>
    <row r="464" ht="15.75" customHeight="1">
      <c r="C464" s="191"/>
    </row>
    <row r="465" ht="15.75" customHeight="1">
      <c r="C465" s="191"/>
    </row>
    <row r="466" ht="15.75" customHeight="1">
      <c r="C466" s="191"/>
    </row>
    <row r="467" ht="15.75" customHeight="1">
      <c r="C467" s="191"/>
    </row>
    <row r="468" ht="15.75" customHeight="1">
      <c r="C468" s="191"/>
    </row>
    <row r="469" ht="15.75" customHeight="1">
      <c r="C469" s="191"/>
    </row>
    <row r="470" ht="15.75" customHeight="1">
      <c r="C470" s="191"/>
    </row>
    <row r="471" ht="15.75" customHeight="1">
      <c r="C471" s="191"/>
    </row>
    <row r="472" ht="15.75" customHeight="1">
      <c r="C472" s="191"/>
    </row>
    <row r="473" ht="15.75" customHeight="1">
      <c r="C473" s="191"/>
    </row>
    <row r="474" ht="15.75" customHeight="1">
      <c r="C474" s="191"/>
    </row>
    <row r="475" ht="15.75" customHeight="1">
      <c r="C475" s="191"/>
    </row>
    <row r="476" ht="15.75" customHeight="1">
      <c r="C476" s="191"/>
    </row>
    <row r="477" ht="15.75" customHeight="1">
      <c r="C477" s="191"/>
    </row>
    <row r="478" ht="15.75" customHeight="1">
      <c r="C478" s="191"/>
    </row>
    <row r="479" ht="15.75" customHeight="1">
      <c r="C479" s="191"/>
    </row>
    <row r="480" ht="15.75" customHeight="1">
      <c r="C480" s="191"/>
    </row>
    <row r="481" ht="15.75" customHeight="1">
      <c r="C481" s="191"/>
    </row>
    <row r="482" ht="15.75" customHeight="1">
      <c r="C482" s="191"/>
    </row>
    <row r="483" ht="15.75" customHeight="1">
      <c r="C483" s="191"/>
    </row>
    <row r="484" ht="15.75" customHeight="1">
      <c r="C484" s="191"/>
    </row>
    <row r="485" ht="15.75" customHeight="1">
      <c r="C485" s="191"/>
    </row>
    <row r="486" ht="15.75" customHeight="1">
      <c r="C486" s="191"/>
    </row>
    <row r="487" ht="15.75" customHeight="1">
      <c r="C487" s="191"/>
    </row>
    <row r="488" ht="15.75" customHeight="1">
      <c r="C488" s="191"/>
    </row>
    <row r="489" ht="15.75" customHeight="1">
      <c r="C489" s="191"/>
    </row>
    <row r="490" ht="15.75" customHeight="1">
      <c r="C490" s="191"/>
    </row>
    <row r="491" ht="15.75" customHeight="1">
      <c r="C491" s="191"/>
    </row>
    <row r="492" ht="15.75" customHeight="1">
      <c r="C492" s="191"/>
    </row>
    <row r="493" ht="15.75" customHeight="1">
      <c r="C493" s="191"/>
    </row>
    <row r="494" ht="15.75" customHeight="1">
      <c r="C494" s="191"/>
    </row>
    <row r="495" ht="15.75" customHeight="1">
      <c r="C495" s="191"/>
    </row>
    <row r="496" ht="15.75" customHeight="1">
      <c r="C496" s="191"/>
    </row>
    <row r="497" ht="15.75" customHeight="1">
      <c r="C497" s="191"/>
    </row>
    <row r="498" ht="15.75" customHeight="1">
      <c r="C498" s="191"/>
    </row>
    <row r="499" ht="15.75" customHeight="1">
      <c r="C499" s="191"/>
    </row>
    <row r="500" ht="15.75" customHeight="1">
      <c r="C500" s="191"/>
    </row>
    <row r="501" ht="15.75" customHeight="1">
      <c r="C501" s="191"/>
    </row>
    <row r="502" ht="15.75" customHeight="1">
      <c r="C502" s="191"/>
    </row>
    <row r="503" ht="15.75" customHeight="1">
      <c r="C503" s="191"/>
    </row>
    <row r="504" ht="15.75" customHeight="1">
      <c r="C504" s="191"/>
    </row>
    <row r="505" ht="15.75" customHeight="1">
      <c r="C505" s="191"/>
    </row>
    <row r="506" ht="15.75" customHeight="1">
      <c r="C506" s="191"/>
    </row>
    <row r="507" ht="15.75" customHeight="1">
      <c r="C507" s="191"/>
    </row>
    <row r="508" ht="15.75" customHeight="1">
      <c r="C508" s="191"/>
    </row>
    <row r="509" ht="15.75" customHeight="1">
      <c r="C509" s="191"/>
    </row>
    <row r="510" ht="15.75" customHeight="1">
      <c r="C510" s="191"/>
    </row>
    <row r="511" ht="15.75" customHeight="1">
      <c r="C511" s="191"/>
    </row>
    <row r="512" ht="15.75" customHeight="1">
      <c r="C512" s="191"/>
    </row>
    <row r="513" ht="15.75" customHeight="1">
      <c r="C513" s="191"/>
    </row>
    <row r="514" ht="15.75" customHeight="1">
      <c r="C514" s="191"/>
    </row>
    <row r="515" ht="15.75" customHeight="1">
      <c r="C515" s="191"/>
    </row>
    <row r="516" ht="15.75" customHeight="1">
      <c r="C516" s="191"/>
    </row>
    <row r="517" ht="15.75" customHeight="1">
      <c r="C517" s="191"/>
    </row>
    <row r="518" ht="15.75" customHeight="1">
      <c r="C518" s="191"/>
    </row>
    <row r="519" ht="15.75" customHeight="1">
      <c r="C519" s="191"/>
    </row>
    <row r="520" ht="15.75" customHeight="1">
      <c r="C520" s="191"/>
    </row>
    <row r="521" ht="15.75" customHeight="1">
      <c r="C521" s="191"/>
    </row>
    <row r="522" ht="15.75" customHeight="1">
      <c r="C522" s="191"/>
    </row>
    <row r="523" ht="15.75" customHeight="1">
      <c r="C523" s="191"/>
    </row>
    <row r="524" ht="15.75" customHeight="1">
      <c r="C524" s="191"/>
    </row>
    <row r="525" ht="15.75" customHeight="1">
      <c r="C525" s="191"/>
    </row>
    <row r="526" ht="15.75" customHeight="1">
      <c r="C526" s="191"/>
    </row>
    <row r="527" ht="15.75" customHeight="1">
      <c r="C527" s="191"/>
    </row>
    <row r="528" ht="15.75" customHeight="1">
      <c r="C528" s="191"/>
    </row>
    <row r="529" ht="15.75" customHeight="1">
      <c r="C529" s="191"/>
    </row>
    <row r="530" ht="15.75" customHeight="1">
      <c r="C530" s="191"/>
    </row>
    <row r="531" ht="15.75" customHeight="1">
      <c r="C531" s="191"/>
    </row>
    <row r="532" ht="15.75" customHeight="1">
      <c r="C532" s="191"/>
    </row>
    <row r="533" ht="15.75" customHeight="1">
      <c r="C533" s="191"/>
    </row>
    <row r="534" ht="15.75" customHeight="1">
      <c r="C534" s="191"/>
    </row>
    <row r="535" ht="15.75" customHeight="1">
      <c r="C535" s="191"/>
    </row>
    <row r="536" ht="15.75" customHeight="1">
      <c r="C536" s="191"/>
    </row>
    <row r="537" ht="15.75" customHeight="1">
      <c r="C537" s="191"/>
    </row>
    <row r="538" ht="15.75" customHeight="1">
      <c r="C538" s="191"/>
    </row>
    <row r="539" ht="15.75" customHeight="1">
      <c r="C539" s="191"/>
    </row>
    <row r="540" ht="15.75" customHeight="1">
      <c r="C540" s="191"/>
    </row>
    <row r="541" ht="15.75" customHeight="1">
      <c r="C541" s="191"/>
    </row>
    <row r="542" ht="15.75" customHeight="1">
      <c r="C542" s="191"/>
    </row>
    <row r="543" ht="15.75" customHeight="1">
      <c r="C543" s="191"/>
    </row>
    <row r="544" ht="15.75" customHeight="1">
      <c r="C544" s="191"/>
    </row>
    <row r="545" ht="15.75" customHeight="1">
      <c r="C545" s="191"/>
    </row>
    <row r="546" ht="15.75" customHeight="1">
      <c r="C546" s="191"/>
    </row>
    <row r="547" ht="15.75" customHeight="1">
      <c r="C547" s="191"/>
    </row>
    <row r="548" ht="15.75" customHeight="1">
      <c r="C548" s="191"/>
    </row>
    <row r="549" ht="15.75" customHeight="1">
      <c r="C549" s="191"/>
    </row>
    <row r="550" ht="15.75" customHeight="1">
      <c r="C550" s="191"/>
    </row>
    <row r="551" ht="15.75" customHeight="1">
      <c r="C551" s="191"/>
    </row>
    <row r="552" ht="15.75" customHeight="1">
      <c r="C552" s="191"/>
    </row>
    <row r="553" ht="15.75" customHeight="1">
      <c r="C553" s="191"/>
    </row>
    <row r="554" ht="15.75" customHeight="1">
      <c r="C554" s="191"/>
    </row>
    <row r="555" ht="15.75" customHeight="1">
      <c r="C555" s="191"/>
    </row>
    <row r="556" ht="15.75" customHeight="1">
      <c r="C556" s="191"/>
    </row>
    <row r="557" ht="15.75" customHeight="1">
      <c r="C557" s="191"/>
    </row>
    <row r="558" ht="15.75" customHeight="1">
      <c r="C558" s="191"/>
    </row>
    <row r="559" ht="15.75" customHeight="1">
      <c r="C559" s="191"/>
    </row>
    <row r="560" ht="15.75" customHeight="1">
      <c r="C560" s="191"/>
    </row>
    <row r="561" ht="15.75" customHeight="1">
      <c r="C561" s="191"/>
    </row>
    <row r="562" ht="15.75" customHeight="1">
      <c r="C562" s="191"/>
    </row>
    <row r="563" ht="15.75" customHeight="1">
      <c r="C563" s="191"/>
    </row>
    <row r="564" ht="15.75" customHeight="1">
      <c r="C564" s="191"/>
    </row>
    <row r="565" ht="15.75" customHeight="1">
      <c r="C565" s="191"/>
    </row>
    <row r="566" ht="15.75" customHeight="1">
      <c r="C566" s="191"/>
    </row>
    <row r="567" ht="15.75" customHeight="1">
      <c r="C567" s="191"/>
    </row>
    <row r="568" ht="15.75" customHeight="1">
      <c r="C568" s="191"/>
    </row>
    <row r="569" ht="15.75" customHeight="1">
      <c r="C569" s="191"/>
    </row>
    <row r="570" ht="15.75" customHeight="1">
      <c r="C570" s="191"/>
    </row>
    <row r="571" ht="15.75" customHeight="1">
      <c r="C571" s="191"/>
    </row>
    <row r="572" ht="15.75" customHeight="1">
      <c r="C572" s="191"/>
    </row>
    <row r="573" ht="15.75" customHeight="1">
      <c r="C573" s="191"/>
    </row>
    <row r="574" ht="15.75" customHeight="1">
      <c r="C574" s="191"/>
    </row>
    <row r="575" ht="15.75" customHeight="1">
      <c r="C575" s="191"/>
    </row>
    <row r="576" ht="15.75" customHeight="1">
      <c r="C576" s="191"/>
    </row>
    <row r="577" ht="15.75" customHeight="1">
      <c r="C577" s="191"/>
    </row>
    <row r="578" ht="15.75" customHeight="1">
      <c r="C578" s="191"/>
    </row>
    <row r="579" ht="15.75" customHeight="1">
      <c r="C579" s="191"/>
    </row>
    <row r="580" ht="15.75" customHeight="1">
      <c r="C580" s="191"/>
    </row>
    <row r="581" ht="15.75" customHeight="1">
      <c r="C581" s="191"/>
    </row>
    <row r="582" ht="15.75" customHeight="1">
      <c r="C582" s="191"/>
    </row>
    <row r="583" ht="15.75" customHeight="1">
      <c r="C583" s="191"/>
    </row>
    <row r="584" ht="15.75" customHeight="1">
      <c r="C584" s="191"/>
    </row>
    <row r="585" ht="15.75" customHeight="1">
      <c r="C585" s="191"/>
    </row>
    <row r="586" ht="15.75" customHeight="1">
      <c r="C586" s="191"/>
    </row>
    <row r="587" ht="15.75" customHeight="1">
      <c r="C587" s="191"/>
    </row>
    <row r="588" ht="15.75" customHeight="1">
      <c r="C588" s="191"/>
    </row>
    <row r="589" ht="15.75" customHeight="1">
      <c r="C589" s="191"/>
    </row>
    <row r="590" ht="15.75" customHeight="1">
      <c r="C590" s="191"/>
    </row>
    <row r="591" ht="15.75" customHeight="1">
      <c r="C591" s="191"/>
    </row>
    <row r="592" ht="15.75" customHeight="1">
      <c r="C592" s="191"/>
    </row>
    <row r="593" ht="15.75" customHeight="1">
      <c r="C593" s="191"/>
    </row>
    <row r="594" ht="15.75" customHeight="1">
      <c r="C594" s="191"/>
    </row>
    <row r="595" ht="15.75" customHeight="1">
      <c r="C595" s="191"/>
    </row>
    <row r="596" ht="15.75" customHeight="1">
      <c r="C596" s="191"/>
    </row>
    <row r="597" ht="15.75" customHeight="1">
      <c r="C597" s="191"/>
    </row>
    <row r="598" ht="15.75" customHeight="1">
      <c r="C598" s="191"/>
    </row>
    <row r="599" ht="15.75" customHeight="1">
      <c r="C599" s="191"/>
    </row>
    <row r="600" ht="15.75" customHeight="1">
      <c r="C600" s="191"/>
    </row>
    <row r="601" ht="15.75" customHeight="1">
      <c r="C601" s="191"/>
    </row>
    <row r="602" ht="15.75" customHeight="1">
      <c r="C602" s="191"/>
    </row>
    <row r="603" ht="15.75" customHeight="1">
      <c r="C603" s="191"/>
    </row>
    <row r="604" ht="15.75" customHeight="1">
      <c r="C604" s="191"/>
    </row>
    <row r="605" ht="15.75" customHeight="1">
      <c r="C605" s="191"/>
    </row>
    <row r="606" ht="15.75" customHeight="1">
      <c r="C606" s="191"/>
    </row>
    <row r="607" ht="15.75" customHeight="1">
      <c r="C607" s="191"/>
    </row>
    <row r="608" ht="15.75" customHeight="1">
      <c r="C608" s="191"/>
    </row>
    <row r="609" ht="15.75" customHeight="1">
      <c r="C609" s="191"/>
    </row>
    <row r="610" ht="15.75" customHeight="1">
      <c r="C610" s="191"/>
    </row>
    <row r="611" ht="15.75" customHeight="1">
      <c r="C611" s="191"/>
    </row>
    <row r="612" ht="15.75" customHeight="1">
      <c r="C612" s="191"/>
    </row>
    <row r="613" ht="15.75" customHeight="1">
      <c r="C613" s="191"/>
    </row>
    <row r="614" ht="15.75" customHeight="1">
      <c r="C614" s="191"/>
    </row>
    <row r="615" ht="15.75" customHeight="1">
      <c r="C615" s="191"/>
    </row>
    <row r="616" ht="15.75" customHeight="1">
      <c r="C616" s="191"/>
    </row>
    <row r="617" ht="15.75" customHeight="1">
      <c r="C617" s="191"/>
    </row>
    <row r="618" ht="15.75" customHeight="1">
      <c r="C618" s="191"/>
    </row>
    <row r="619" ht="15.75" customHeight="1">
      <c r="C619" s="191"/>
    </row>
    <row r="620" ht="15.75" customHeight="1">
      <c r="C620" s="191"/>
    </row>
    <row r="621" ht="15.75" customHeight="1">
      <c r="C621" s="191"/>
    </row>
    <row r="622" ht="15.75" customHeight="1">
      <c r="C622" s="191"/>
    </row>
    <row r="623" ht="15.75" customHeight="1">
      <c r="C623" s="191"/>
    </row>
    <row r="624" ht="15.75" customHeight="1">
      <c r="C624" s="191"/>
    </row>
    <row r="625" ht="15.75" customHeight="1">
      <c r="C625" s="191"/>
    </row>
    <row r="626" ht="15.75" customHeight="1">
      <c r="C626" s="191"/>
    </row>
    <row r="627" ht="15.75" customHeight="1">
      <c r="C627" s="191"/>
    </row>
    <row r="628" ht="15.75" customHeight="1">
      <c r="C628" s="191"/>
    </row>
    <row r="629" ht="15.75" customHeight="1">
      <c r="C629" s="191"/>
    </row>
    <row r="630" ht="15.75" customHeight="1">
      <c r="C630" s="191"/>
    </row>
    <row r="631" ht="15.75" customHeight="1">
      <c r="C631" s="191"/>
    </row>
    <row r="632" ht="15.75" customHeight="1">
      <c r="C632" s="191"/>
    </row>
    <row r="633" ht="15.75" customHeight="1">
      <c r="C633" s="191"/>
    </row>
    <row r="634" ht="15.75" customHeight="1">
      <c r="C634" s="191"/>
    </row>
    <row r="635" ht="15.75" customHeight="1">
      <c r="C635" s="191"/>
    </row>
    <row r="636" ht="15.75" customHeight="1">
      <c r="C636" s="191"/>
    </row>
    <row r="637" ht="15.75" customHeight="1">
      <c r="C637" s="191"/>
    </row>
    <row r="638" ht="15.75" customHeight="1">
      <c r="C638" s="191"/>
    </row>
    <row r="639" ht="15.75" customHeight="1">
      <c r="C639" s="191"/>
    </row>
    <row r="640" ht="15.75" customHeight="1">
      <c r="C640" s="191"/>
    </row>
    <row r="641" ht="15.75" customHeight="1">
      <c r="C641" s="191"/>
    </row>
    <row r="642" ht="15.75" customHeight="1">
      <c r="C642" s="191"/>
    </row>
    <row r="643" ht="15.75" customHeight="1">
      <c r="C643" s="191"/>
    </row>
    <row r="644" ht="15.75" customHeight="1">
      <c r="C644" s="191"/>
    </row>
    <row r="645" ht="15.75" customHeight="1">
      <c r="C645" s="191"/>
    </row>
    <row r="646" ht="15.75" customHeight="1">
      <c r="C646" s="191"/>
    </row>
    <row r="647" ht="15.75" customHeight="1">
      <c r="C647" s="191"/>
    </row>
    <row r="648" ht="15.75" customHeight="1">
      <c r="C648" s="191"/>
    </row>
    <row r="649" ht="15.75" customHeight="1">
      <c r="C649" s="191"/>
    </row>
    <row r="650" ht="15.75" customHeight="1">
      <c r="C650" s="191"/>
    </row>
    <row r="651" ht="15.75" customHeight="1">
      <c r="C651" s="191"/>
    </row>
    <row r="652" ht="15.75" customHeight="1">
      <c r="C652" s="191"/>
    </row>
    <row r="653" ht="15.75" customHeight="1">
      <c r="C653" s="191"/>
    </row>
    <row r="654" ht="15.75" customHeight="1">
      <c r="C654" s="191"/>
    </row>
    <row r="655" ht="15.75" customHeight="1">
      <c r="C655" s="191"/>
    </row>
    <row r="656" ht="15.75" customHeight="1">
      <c r="C656" s="191"/>
    </row>
    <row r="657" ht="15.75" customHeight="1">
      <c r="C657" s="191"/>
    </row>
    <row r="658" ht="15.75" customHeight="1">
      <c r="C658" s="191"/>
    </row>
    <row r="659" ht="15.75" customHeight="1">
      <c r="C659" s="191"/>
    </row>
    <row r="660" ht="15.75" customHeight="1">
      <c r="C660" s="191"/>
    </row>
    <row r="661" ht="15.75" customHeight="1">
      <c r="C661" s="191"/>
    </row>
    <row r="662" ht="15.75" customHeight="1">
      <c r="C662" s="191"/>
    </row>
    <row r="663" ht="15.75" customHeight="1">
      <c r="C663" s="191"/>
    </row>
    <row r="664" ht="15.75" customHeight="1">
      <c r="C664" s="191"/>
    </row>
    <row r="665" ht="15.75" customHeight="1">
      <c r="C665" s="191"/>
    </row>
    <row r="666" ht="15.75" customHeight="1">
      <c r="C666" s="191"/>
    </row>
    <row r="667" ht="15.75" customHeight="1">
      <c r="C667" s="191"/>
    </row>
    <row r="668" ht="15.75" customHeight="1">
      <c r="C668" s="191"/>
    </row>
    <row r="669" ht="15.75" customHeight="1">
      <c r="C669" s="191"/>
    </row>
    <row r="670" ht="15.75" customHeight="1">
      <c r="C670" s="191"/>
    </row>
    <row r="671" ht="15.75" customHeight="1">
      <c r="C671" s="191"/>
    </row>
    <row r="672" ht="15.75" customHeight="1">
      <c r="C672" s="191"/>
    </row>
    <row r="673" ht="15.75" customHeight="1">
      <c r="C673" s="191"/>
    </row>
    <row r="674" ht="15.75" customHeight="1">
      <c r="C674" s="191"/>
    </row>
    <row r="675" ht="15.75" customHeight="1">
      <c r="C675" s="191"/>
    </row>
    <row r="676" ht="15.75" customHeight="1">
      <c r="C676" s="191"/>
    </row>
    <row r="677" ht="15.75" customHeight="1">
      <c r="C677" s="191"/>
    </row>
    <row r="678" ht="15.75" customHeight="1">
      <c r="C678" s="191"/>
    </row>
    <row r="679" ht="15.75" customHeight="1">
      <c r="C679" s="191"/>
    </row>
    <row r="680" ht="15.75" customHeight="1">
      <c r="C680" s="191"/>
    </row>
    <row r="681" ht="15.75" customHeight="1">
      <c r="C681" s="191"/>
    </row>
    <row r="682" ht="15.75" customHeight="1">
      <c r="C682" s="191"/>
    </row>
    <row r="683" ht="15.75" customHeight="1">
      <c r="C683" s="191"/>
    </row>
    <row r="684" ht="15.75" customHeight="1">
      <c r="C684" s="191"/>
    </row>
    <row r="685" ht="15.75" customHeight="1">
      <c r="C685" s="191"/>
    </row>
    <row r="686" ht="15.75" customHeight="1">
      <c r="C686" s="191"/>
    </row>
    <row r="687" ht="15.75" customHeight="1">
      <c r="C687" s="191"/>
    </row>
    <row r="688" ht="15.75" customHeight="1">
      <c r="C688" s="191"/>
    </row>
    <row r="689" ht="15.75" customHeight="1">
      <c r="C689" s="191"/>
    </row>
    <row r="690" ht="15.75" customHeight="1">
      <c r="C690" s="191"/>
    </row>
    <row r="691" ht="15.75" customHeight="1">
      <c r="C691" s="191"/>
    </row>
    <row r="692" ht="15.75" customHeight="1">
      <c r="C692" s="191"/>
    </row>
    <row r="693" ht="15.75" customHeight="1">
      <c r="C693" s="191"/>
    </row>
    <row r="694" ht="15.75" customHeight="1">
      <c r="C694" s="191"/>
    </row>
    <row r="695" ht="15.75" customHeight="1">
      <c r="C695" s="191"/>
    </row>
    <row r="696" ht="15.75" customHeight="1">
      <c r="C696" s="191"/>
    </row>
    <row r="697" ht="15.75" customHeight="1">
      <c r="C697" s="191"/>
    </row>
    <row r="698" ht="15.75" customHeight="1">
      <c r="C698" s="191"/>
    </row>
    <row r="699" ht="15.75" customHeight="1">
      <c r="C699" s="191"/>
    </row>
    <row r="700" ht="15.75" customHeight="1">
      <c r="C700" s="191"/>
    </row>
    <row r="701" ht="15.75" customHeight="1">
      <c r="C701" s="191"/>
    </row>
    <row r="702" ht="15.75" customHeight="1">
      <c r="C702" s="191"/>
    </row>
    <row r="703" ht="15.75" customHeight="1">
      <c r="C703" s="191"/>
    </row>
    <row r="704" ht="15.75" customHeight="1">
      <c r="C704" s="191"/>
    </row>
    <row r="705" ht="15.75" customHeight="1">
      <c r="C705" s="191"/>
    </row>
    <row r="706" ht="15.75" customHeight="1">
      <c r="C706" s="191"/>
    </row>
    <row r="707" ht="15.75" customHeight="1">
      <c r="C707" s="191"/>
    </row>
    <row r="708" ht="15.75" customHeight="1">
      <c r="C708" s="191"/>
    </row>
    <row r="709" ht="15.75" customHeight="1">
      <c r="C709" s="191"/>
    </row>
    <row r="710" ht="15.75" customHeight="1">
      <c r="C710" s="191"/>
    </row>
    <row r="711" ht="15.75" customHeight="1">
      <c r="C711" s="191"/>
    </row>
    <row r="712" ht="15.75" customHeight="1">
      <c r="C712" s="191"/>
    </row>
    <row r="713" ht="15.75" customHeight="1">
      <c r="C713" s="191"/>
    </row>
    <row r="714" ht="15.75" customHeight="1">
      <c r="C714" s="191"/>
    </row>
    <row r="715" ht="15.75" customHeight="1">
      <c r="C715" s="191"/>
    </row>
    <row r="716" ht="15.75" customHeight="1">
      <c r="C716" s="191"/>
    </row>
    <row r="717" ht="15.75" customHeight="1">
      <c r="C717" s="191"/>
    </row>
    <row r="718" ht="15.75" customHeight="1">
      <c r="C718" s="191"/>
    </row>
    <row r="719" ht="15.75" customHeight="1">
      <c r="C719" s="191"/>
    </row>
    <row r="720" ht="15.75" customHeight="1">
      <c r="C720" s="191"/>
    </row>
    <row r="721" ht="15.75" customHeight="1">
      <c r="C721" s="191"/>
    </row>
    <row r="722" ht="15.75" customHeight="1">
      <c r="C722" s="191"/>
    </row>
    <row r="723" ht="15.75" customHeight="1">
      <c r="C723" s="191"/>
    </row>
    <row r="724" ht="15.75" customHeight="1">
      <c r="C724" s="191"/>
    </row>
    <row r="725" ht="15.75" customHeight="1">
      <c r="C725" s="191"/>
    </row>
    <row r="726" ht="15.75" customHeight="1">
      <c r="C726" s="191"/>
    </row>
    <row r="727" ht="15.75" customHeight="1">
      <c r="C727" s="191"/>
    </row>
    <row r="728" ht="15.75" customHeight="1">
      <c r="C728" s="191"/>
    </row>
    <row r="729" ht="15.75" customHeight="1">
      <c r="C729" s="191"/>
    </row>
    <row r="730" ht="15.75" customHeight="1">
      <c r="C730" s="191"/>
    </row>
    <row r="731" ht="15.75" customHeight="1">
      <c r="C731" s="191"/>
    </row>
    <row r="732" ht="15.75" customHeight="1">
      <c r="C732" s="191"/>
    </row>
    <row r="733" ht="15.75" customHeight="1">
      <c r="C733" s="191"/>
    </row>
    <row r="734" ht="15.75" customHeight="1">
      <c r="C734" s="191"/>
    </row>
    <row r="735" ht="15.75" customHeight="1">
      <c r="C735" s="191"/>
    </row>
    <row r="736" ht="15.75" customHeight="1">
      <c r="C736" s="191"/>
    </row>
    <row r="737" ht="15.75" customHeight="1">
      <c r="C737" s="191"/>
    </row>
    <row r="738" ht="15.75" customHeight="1">
      <c r="C738" s="191"/>
    </row>
    <row r="739" ht="15.75" customHeight="1">
      <c r="C739" s="191"/>
    </row>
    <row r="740" ht="15.75" customHeight="1">
      <c r="C740" s="191"/>
    </row>
    <row r="741" ht="15.75" customHeight="1">
      <c r="C741" s="191"/>
    </row>
    <row r="742" ht="15.75" customHeight="1">
      <c r="C742" s="191"/>
    </row>
    <row r="743" ht="15.75" customHeight="1">
      <c r="C743" s="191"/>
    </row>
    <row r="744" ht="15.75" customHeight="1">
      <c r="C744" s="191"/>
    </row>
    <row r="745" ht="15.75" customHeight="1">
      <c r="C745" s="191"/>
    </row>
    <row r="746" ht="15.75" customHeight="1">
      <c r="C746" s="191"/>
    </row>
    <row r="747" ht="15.75" customHeight="1">
      <c r="C747" s="191"/>
    </row>
    <row r="748" ht="15.75" customHeight="1">
      <c r="C748" s="191"/>
    </row>
    <row r="749" ht="15.75" customHeight="1">
      <c r="C749" s="191"/>
    </row>
    <row r="750" ht="15.75" customHeight="1">
      <c r="C750" s="191"/>
    </row>
    <row r="751" ht="15.75" customHeight="1">
      <c r="C751" s="191"/>
    </row>
    <row r="752" ht="15.75" customHeight="1">
      <c r="C752" s="191"/>
    </row>
    <row r="753" ht="15.75" customHeight="1">
      <c r="C753" s="191"/>
    </row>
    <row r="754" ht="15.75" customHeight="1">
      <c r="C754" s="191"/>
    </row>
    <row r="755" ht="15.75" customHeight="1">
      <c r="C755" s="191"/>
    </row>
    <row r="756" ht="15.75" customHeight="1">
      <c r="C756" s="191"/>
    </row>
    <row r="757" ht="15.75" customHeight="1">
      <c r="C757" s="191"/>
    </row>
    <row r="758" ht="15.75" customHeight="1">
      <c r="C758" s="191"/>
    </row>
    <row r="759" ht="15.75" customHeight="1">
      <c r="C759" s="191"/>
    </row>
    <row r="760" ht="15.75" customHeight="1">
      <c r="C760" s="191"/>
    </row>
    <row r="761" ht="15.75" customHeight="1">
      <c r="C761" s="191"/>
    </row>
    <row r="762" ht="15.75" customHeight="1">
      <c r="C762" s="191"/>
    </row>
    <row r="763" ht="15.75" customHeight="1">
      <c r="C763" s="191"/>
    </row>
    <row r="764" ht="15.75" customHeight="1">
      <c r="C764" s="191"/>
    </row>
    <row r="765" ht="15.75" customHeight="1">
      <c r="C765" s="191"/>
    </row>
    <row r="766" ht="15.75" customHeight="1">
      <c r="C766" s="191"/>
    </row>
    <row r="767" ht="15.75" customHeight="1">
      <c r="C767" s="191"/>
    </row>
    <row r="768" ht="15.75" customHeight="1">
      <c r="C768" s="191"/>
    </row>
    <row r="769" ht="15.75" customHeight="1">
      <c r="C769" s="191"/>
    </row>
    <row r="770" ht="15.75" customHeight="1">
      <c r="C770" s="191"/>
    </row>
    <row r="771" ht="15.75" customHeight="1">
      <c r="C771" s="191"/>
    </row>
    <row r="772" ht="15.75" customHeight="1">
      <c r="C772" s="191"/>
    </row>
    <row r="773" ht="15.75" customHeight="1">
      <c r="C773" s="191"/>
    </row>
    <row r="774" ht="15.75" customHeight="1">
      <c r="C774" s="191"/>
    </row>
    <row r="775" ht="15.75" customHeight="1">
      <c r="C775" s="191"/>
    </row>
    <row r="776" ht="15.75" customHeight="1">
      <c r="C776" s="191"/>
    </row>
    <row r="777" ht="15.75" customHeight="1">
      <c r="C777" s="191"/>
    </row>
    <row r="778" ht="15.75" customHeight="1">
      <c r="C778" s="191"/>
    </row>
    <row r="779" ht="15.75" customHeight="1">
      <c r="C779" s="191"/>
    </row>
    <row r="780" ht="15.75" customHeight="1">
      <c r="C780" s="191"/>
    </row>
    <row r="781" ht="15.75" customHeight="1">
      <c r="C781" s="191"/>
    </row>
    <row r="782" ht="15.75" customHeight="1">
      <c r="C782" s="191"/>
    </row>
    <row r="783" ht="15.75" customHeight="1">
      <c r="C783" s="191"/>
    </row>
    <row r="784" ht="15.75" customHeight="1">
      <c r="C784" s="191"/>
    </row>
    <row r="785" ht="15.75" customHeight="1">
      <c r="C785" s="191"/>
    </row>
    <row r="786" ht="15.75" customHeight="1">
      <c r="C786" s="191"/>
    </row>
    <row r="787" ht="15.75" customHeight="1">
      <c r="C787" s="191"/>
    </row>
    <row r="788" ht="15.75" customHeight="1">
      <c r="C788" s="191"/>
    </row>
    <row r="789" ht="15.75" customHeight="1">
      <c r="C789" s="191"/>
    </row>
    <row r="790" ht="15.75" customHeight="1">
      <c r="C790" s="191"/>
    </row>
    <row r="791" ht="15.75" customHeight="1">
      <c r="C791" s="191"/>
    </row>
    <row r="792" ht="15.75" customHeight="1">
      <c r="C792" s="191"/>
    </row>
    <row r="793" ht="15.75" customHeight="1">
      <c r="C793" s="191"/>
    </row>
    <row r="794" ht="15.75" customHeight="1">
      <c r="C794" s="191"/>
    </row>
    <row r="795" ht="15.75" customHeight="1">
      <c r="C795" s="191"/>
    </row>
    <row r="796" ht="15.75" customHeight="1">
      <c r="C796" s="191"/>
    </row>
    <row r="797" ht="15.75" customHeight="1">
      <c r="C797" s="191"/>
    </row>
    <row r="798" ht="15.75" customHeight="1">
      <c r="C798" s="191"/>
    </row>
    <row r="799" ht="15.75" customHeight="1">
      <c r="C799" s="191"/>
    </row>
    <row r="800" ht="15.75" customHeight="1">
      <c r="C800" s="191"/>
    </row>
    <row r="801" ht="15.75" customHeight="1">
      <c r="C801" s="191"/>
    </row>
    <row r="802" ht="15.75" customHeight="1">
      <c r="C802" s="191"/>
    </row>
    <row r="803" ht="15.75" customHeight="1">
      <c r="C803" s="191"/>
    </row>
    <row r="804" ht="15.75" customHeight="1">
      <c r="C804" s="191"/>
    </row>
    <row r="805" ht="15.75" customHeight="1">
      <c r="C805" s="191"/>
    </row>
    <row r="806" ht="15.75" customHeight="1">
      <c r="C806" s="191"/>
    </row>
    <row r="807" ht="15.75" customHeight="1">
      <c r="C807" s="191"/>
    </row>
    <row r="808" ht="15.75" customHeight="1">
      <c r="C808" s="191"/>
    </row>
    <row r="809" ht="15.75" customHeight="1">
      <c r="C809" s="191"/>
    </row>
    <row r="810" ht="15.75" customHeight="1">
      <c r="C810" s="191"/>
    </row>
    <row r="811" ht="15.75" customHeight="1">
      <c r="C811" s="191"/>
    </row>
    <row r="812" ht="15.75" customHeight="1">
      <c r="C812" s="191"/>
    </row>
    <row r="813" ht="15.75" customHeight="1">
      <c r="C813" s="191"/>
    </row>
    <row r="814" ht="15.75" customHeight="1">
      <c r="C814" s="191"/>
    </row>
    <row r="815" ht="15.75" customHeight="1">
      <c r="C815" s="191"/>
    </row>
    <row r="816" ht="15.75" customHeight="1">
      <c r="C816" s="191"/>
    </row>
    <row r="817" ht="15.75" customHeight="1">
      <c r="C817" s="191"/>
    </row>
    <row r="818" ht="15.75" customHeight="1">
      <c r="C818" s="191"/>
    </row>
    <row r="819" ht="15.75" customHeight="1">
      <c r="C819" s="191"/>
    </row>
    <row r="820" ht="15.75" customHeight="1">
      <c r="C820" s="191"/>
    </row>
    <row r="821" ht="15.75" customHeight="1">
      <c r="C821" s="191"/>
    </row>
    <row r="822" ht="15.75" customHeight="1">
      <c r="C822" s="191"/>
    </row>
    <row r="823" ht="15.75" customHeight="1">
      <c r="C823" s="191"/>
    </row>
    <row r="824" ht="15.75" customHeight="1">
      <c r="C824" s="191"/>
    </row>
    <row r="825" ht="15.75" customHeight="1">
      <c r="C825" s="191"/>
    </row>
    <row r="826" ht="15.75" customHeight="1">
      <c r="C826" s="191"/>
    </row>
    <row r="827" ht="15.75" customHeight="1">
      <c r="C827" s="191"/>
    </row>
    <row r="828" ht="15.75" customHeight="1">
      <c r="C828" s="191"/>
    </row>
    <row r="829" ht="15.75" customHeight="1">
      <c r="C829" s="191"/>
    </row>
    <row r="830" ht="15.75" customHeight="1">
      <c r="C830" s="191"/>
    </row>
    <row r="831" ht="15.75" customHeight="1">
      <c r="C831" s="191"/>
    </row>
    <row r="832" ht="15.75" customHeight="1">
      <c r="C832" s="191"/>
    </row>
    <row r="833" ht="15.75" customHeight="1">
      <c r="C833" s="191"/>
    </row>
    <row r="834" ht="15.75" customHeight="1">
      <c r="C834" s="191"/>
    </row>
    <row r="835" ht="15.75" customHeight="1">
      <c r="C835" s="191"/>
    </row>
    <row r="836" ht="15.75" customHeight="1">
      <c r="C836" s="191"/>
    </row>
    <row r="837" ht="15.75" customHeight="1">
      <c r="C837" s="191"/>
    </row>
    <row r="838" ht="15.75" customHeight="1">
      <c r="C838" s="191"/>
    </row>
    <row r="839" ht="15.75" customHeight="1">
      <c r="C839" s="191"/>
    </row>
    <row r="840" ht="15.75" customHeight="1">
      <c r="C840" s="191"/>
    </row>
    <row r="841" ht="15.75" customHeight="1">
      <c r="C841" s="191"/>
    </row>
    <row r="842" ht="15.75" customHeight="1">
      <c r="C842" s="191"/>
    </row>
    <row r="843" ht="15.75" customHeight="1">
      <c r="C843" s="191"/>
    </row>
    <row r="844" ht="15.75" customHeight="1">
      <c r="C844" s="191"/>
    </row>
    <row r="845" ht="15.75" customHeight="1">
      <c r="C845" s="191"/>
    </row>
    <row r="846" ht="15.75" customHeight="1">
      <c r="C846" s="191"/>
    </row>
    <row r="847" ht="15.75" customHeight="1">
      <c r="C847" s="191"/>
    </row>
    <row r="848" ht="15.75" customHeight="1">
      <c r="C848" s="191"/>
    </row>
    <row r="849" ht="15.75" customHeight="1">
      <c r="C849" s="191"/>
    </row>
    <row r="850" ht="15.75" customHeight="1">
      <c r="C850" s="191"/>
    </row>
    <row r="851" ht="15.75" customHeight="1">
      <c r="C851" s="191"/>
    </row>
    <row r="852" ht="15.75" customHeight="1">
      <c r="C852" s="191"/>
    </row>
    <row r="853" ht="15.75" customHeight="1">
      <c r="C853" s="191"/>
    </row>
    <row r="854" ht="15.75" customHeight="1">
      <c r="C854" s="191"/>
    </row>
    <row r="855" ht="15.75" customHeight="1">
      <c r="C855" s="191"/>
    </row>
    <row r="856" ht="15.75" customHeight="1">
      <c r="C856" s="191"/>
    </row>
    <row r="857" ht="15.75" customHeight="1">
      <c r="C857" s="191"/>
    </row>
    <row r="858" ht="15.75" customHeight="1">
      <c r="C858" s="191"/>
    </row>
    <row r="859" ht="15.75" customHeight="1">
      <c r="C859" s="191"/>
    </row>
    <row r="860" ht="15.75" customHeight="1">
      <c r="C860" s="191"/>
    </row>
    <row r="861" ht="15.75" customHeight="1">
      <c r="C861" s="191"/>
    </row>
    <row r="862" ht="15.75" customHeight="1">
      <c r="C862" s="191"/>
    </row>
    <row r="863" ht="15.75" customHeight="1">
      <c r="C863" s="191"/>
    </row>
    <row r="864" ht="15.75" customHeight="1">
      <c r="C864" s="191"/>
    </row>
    <row r="865" ht="15.75" customHeight="1">
      <c r="C865" s="191"/>
    </row>
    <row r="866" ht="15.75" customHeight="1">
      <c r="C866" s="191"/>
    </row>
    <row r="867" ht="15.75" customHeight="1">
      <c r="C867" s="191"/>
    </row>
    <row r="868" ht="15.75" customHeight="1">
      <c r="C868" s="191"/>
    </row>
    <row r="869" ht="15.75" customHeight="1">
      <c r="C869" s="191"/>
    </row>
    <row r="870" ht="15.75" customHeight="1">
      <c r="C870" s="191"/>
    </row>
    <row r="871" ht="15.75" customHeight="1">
      <c r="C871" s="191"/>
    </row>
    <row r="872" ht="15.75" customHeight="1">
      <c r="C872" s="191"/>
    </row>
    <row r="873" ht="15.75" customHeight="1">
      <c r="C873" s="191"/>
    </row>
    <row r="874" ht="15.75" customHeight="1">
      <c r="C874" s="191"/>
    </row>
    <row r="875" ht="15.75" customHeight="1">
      <c r="C875" s="191"/>
    </row>
    <row r="876" ht="15.75" customHeight="1">
      <c r="C876" s="191"/>
    </row>
    <row r="877" ht="15.75" customHeight="1">
      <c r="C877" s="191"/>
    </row>
    <row r="878" ht="15.75" customHeight="1">
      <c r="C878" s="191"/>
    </row>
    <row r="879" ht="15.75" customHeight="1">
      <c r="C879" s="191"/>
    </row>
    <row r="880" ht="15.75" customHeight="1">
      <c r="C880" s="191"/>
    </row>
    <row r="881" ht="15.75" customHeight="1">
      <c r="C881" s="191"/>
    </row>
    <row r="882" ht="15.75" customHeight="1">
      <c r="C882" s="191"/>
    </row>
    <row r="883" ht="15.75" customHeight="1">
      <c r="C883" s="191"/>
    </row>
    <row r="884" ht="15.75" customHeight="1">
      <c r="C884" s="191"/>
    </row>
    <row r="885" ht="15.75" customHeight="1">
      <c r="C885" s="191"/>
    </row>
    <row r="886" ht="15.75" customHeight="1">
      <c r="C886" s="191"/>
    </row>
    <row r="887" ht="15.75" customHeight="1">
      <c r="C887" s="191"/>
    </row>
    <row r="888" ht="15.75" customHeight="1">
      <c r="C888" s="191"/>
    </row>
    <row r="889" ht="15.75" customHeight="1">
      <c r="C889" s="191"/>
    </row>
    <row r="890" ht="15.75" customHeight="1">
      <c r="C890" s="191"/>
    </row>
    <row r="891" ht="15.75" customHeight="1">
      <c r="C891" s="191"/>
    </row>
    <row r="892" ht="15.75" customHeight="1">
      <c r="C892" s="191"/>
    </row>
    <row r="893" ht="15.75" customHeight="1">
      <c r="C893" s="191"/>
    </row>
    <row r="894" ht="15.75" customHeight="1">
      <c r="C894" s="191"/>
    </row>
    <row r="895" ht="15.75" customHeight="1">
      <c r="C895" s="191"/>
    </row>
    <row r="896" ht="15.75" customHeight="1">
      <c r="C896" s="191"/>
    </row>
    <row r="897" ht="15.75" customHeight="1">
      <c r="C897" s="191"/>
    </row>
    <row r="898" ht="15.75" customHeight="1">
      <c r="C898" s="191"/>
    </row>
    <row r="899" ht="15.75" customHeight="1">
      <c r="C899" s="191"/>
    </row>
    <row r="900" ht="15.75" customHeight="1">
      <c r="C900" s="191"/>
    </row>
    <row r="901" ht="15.75" customHeight="1">
      <c r="C901" s="191"/>
    </row>
    <row r="902" ht="15.75" customHeight="1">
      <c r="C902" s="191"/>
    </row>
    <row r="903" ht="15.75" customHeight="1">
      <c r="C903" s="191"/>
    </row>
    <row r="904" ht="15.75" customHeight="1">
      <c r="C904" s="191"/>
    </row>
    <row r="905" ht="15.75" customHeight="1">
      <c r="C905" s="191"/>
    </row>
    <row r="906" ht="15.75" customHeight="1">
      <c r="C906" s="191"/>
    </row>
    <row r="907" ht="15.75" customHeight="1">
      <c r="C907" s="191"/>
    </row>
    <row r="908" ht="15.75" customHeight="1">
      <c r="C908" s="191"/>
    </row>
    <row r="909" ht="15.75" customHeight="1">
      <c r="C909" s="191"/>
    </row>
    <row r="910" ht="15.75" customHeight="1">
      <c r="C910" s="191"/>
    </row>
    <row r="911" ht="15.75" customHeight="1">
      <c r="C911" s="191"/>
    </row>
    <row r="912" ht="15.75" customHeight="1">
      <c r="C912" s="191"/>
    </row>
    <row r="913" ht="15.75" customHeight="1">
      <c r="C913" s="191"/>
    </row>
    <row r="914" ht="15.75" customHeight="1">
      <c r="C914" s="191"/>
    </row>
    <row r="915" ht="15.75" customHeight="1">
      <c r="C915" s="191"/>
    </row>
    <row r="916" ht="15.75" customHeight="1">
      <c r="C916" s="191"/>
    </row>
    <row r="917" ht="15.75" customHeight="1">
      <c r="C917" s="191"/>
    </row>
    <row r="918" ht="15.75" customHeight="1">
      <c r="C918" s="191"/>
    </row>
    <row r="919" ht="15.75" customHeight="1">
      <c r="C919" s="191"/>
    </row>
    <row r="920" ht="15.75" customHeight="1">
      <c r="C920" s="191"/>
    </row>
    <row r="921" ht="15.75" customHeight="1">
      <c r="C921" s="191"/>
    </row>
    <row r="922" ht="15.75" customHeight="1">
      <c r="C922" s="191"/>
    </row>
    <row r="923" ht="15.75" customHeight="1">
      <c r="C923" s="191"/>
    </row>
    <row r="924" ht="15.75" customHeight="1">
      <c r="C924" s="191"/>
    </row>
    <row r="925" ht="15.75" customHeight="1">
      <c r="C925" s="191"/>
    </row>
    <row r="926" ht="15.75" customHeight="1">
      <c r="C926" s="191"/>
    </row>
    <row r="927" ht="15.75" customHeight="1">
      <c r="C927" s="191"/>
    </row>
    <row r="928" ht="15.75" customHeight="1">
      <c r="C928" s="191"/>
    </row>
    <row r="929" ht="15.75" customHeight="1">
      <c r="C929" s="191"/>
    </row>
    <row r="930" ht="15.75" customHeight="1">
      <c r="C930" s="191"/>
    </row>
    <row r="931" ht="15.75" customHeight="1">
      <c r="C931" s="191"/>
    </row>
    <row r="932" ht="15.75" customHeight="1">
      <c r="C932" s="191"/>
    </row>
    <row r="933" ht="15.75" customHeight="1">
      <c r="C933" s="191"/>
    </row>
    <row r="934" ht="15.75" customHeight="1">
      <c r="C934" s="191"/>
    </row>
    <row r="935" ht="15.75" customHeight="1">
      <c r="C935" s="191"/>
    </row>
    <row r="936" ht="15.75" customHeight="1">
      <c r="C936" s="191"/>
    </row>
    <row r="937" ht="15.75" customHeight="1">
      <c r="C937" s="191"/>
    </row>
    <row r="938" ht="15.75" customHeight="1">
      <c r="C938" s="191"/>
    </row>
    <row r="939" ht="15.75" customHeight="1">
      <c r="C939" s="191"/>
    </row>
    <row r="940" ht="15.75" customHeight="1">
      <c r="C940" s="191"/>
    </row>
    <row r="941" ht="15.75" customHeight="1">
      <c r="C941" s="191"/>
    </row>
    <row r="942" ht="15.75" customHeight="1">
      <c r="C942" s="191"/>
    </row>
    <row r="943" ht="15.75" customHeight="1">
      <c r="C943" s="191"/>
    </row>
    <row r="944" ht="15.75" customHeight="1">
      <c r="C944" s="191"/>
    </row>
    <row r="945" ht="15.75" customHeight="1">
      <c r="C945" s="191"/>
    </row>
    <row r="946" ht="15.75" customHeight="1">
      <c r="C946" s="191"/>
    </row>
    <row r="947" ht="15.75" customHeight="1">
      <c r="C947" s="191"/>
    </row>
    <row r="948" ht="15.75" customHeight="1">
      <c r="C948" s="191"/>
    </row>
    <row r="949" ht="15.75" customHeight="1">
      <c r="C949" s="191"/>
    </row>
    <row r="950" ht="15.75" customHeight="1">
      <c r="C950" s="191"/>
    </row>
    <row r="951" ht="15.75" customHeight="1">
      <c r="C951" s="191"/>
    </row>
    <row r="952" ht="15.75" customHeight="1">
      <c r="C952" s="191"/>
    </row>
    <row r="953" ht="15.75" customHeight="1">
      <c r="C953" s="191"/>
    </row>
    <row r="954" ht="15.75" customHeight="1">
      <c r="C954" s="191"/>
    </row>
    <row r="955" ht="15.75" customHeight="1">
      <c r="C955" s="191"/>
    </row>
    <row r="956" ht="15.75" customHeight="1">
      <c r="C956" s="191"/>
    </row>
    <row r="957" ht="15.75" customHeight="1">
      <c r="C957" s="191"/>
    </row>
    <row r="958" ht="15.75" customHeight="1">
      <c r="C958" s="191"/>
    </row>
    <row r="959" ht="15.75" customHeight="1">
      <c r="C959" s="191"/>
    </row>
    <row r="960" ht="15.75" customHeight="1">
      <c r="C960" s="191"/>
    </row>
    <row r="961" ht="15.75" customHeight="1">
      <c r="C961" s="191"/>
    </row>
    <row r="962" ht="15.75" customHeight="1">
      <c r="C962" s="191"/>
    </row>
    <row r="963" ht="15.75" customHeight="1">
      <c r="C963" s="191"/>
    </row>
    <row r="964" ht="15.75" customHeight="1">
      <c r="C964" s="191"/>
    </row>
    <row r="965" ht="15.75" customHeight="1">
      <c r="C965" s="191"/>
    </row>
    <row r="966" ht="15.75" customHeight="1">
      <c r="C966" s="191"/>
    </row>
    <row r="967" ht="15.75" customHeight="1">
      <c r="C967" s="191"/>
    </row>
    <row r="968" ht="15.75" customHeight="1">
      <c r="C968" s="191"/>
    </row>
    <row r="969" ht="15.75" customHeight="1">
      <c r="C969" s="191"/>
    </row>
    <row r="970" ht="15.75" customHeight="1">
      <c r="C970" s="191"/>
    </row>
    <row r="971" ht="15.75" customHeight="1">
      <c r="C971" s="191"/>
    </row>
    <row r="972" ht="15.75" customHeight="1">
      <c r="C972" s="191"/>
    </row>
    <row r="973" ht="15.75" customHeight="1">
      <c r="C973" s="191"/>
    </row>
    <row r="974" ht="15.75" customHeight="1">
      <c r="C974" s="191"/>
    </row>
    <row r="975" ht="15.75" customHeight="1">
      <c r="C975" s="191"/>
    </row>
    <row r="976" ht="15.75" customHeight="1">
      <c r="C976" s="191"/>
    </row>
    <row r="977" ht="15.75" customHeight="1">
      <c r="C977" s="191"/>
    </row>
    <row r="978" ht="15.75" customHeight="1">
      <c r="C978" s="191"/>
    </row>
    <row r="979" ht="15.75" customHeight="1">
      <c r="C979" s="191"/>
    </row>
    <row r="980" ht="15.75" customHeight="1">
      <c r="C980" s="191"/>
    </row>
    <row r="981" ht="15.75" customHeight="1">
      <c r="C981" s="191"/>
    </row>
    <row r="982" ht="15.75" customHeight="1">
      <c r="C982" s="191"/>
    </row>
    <row r="983" ht="15.75" customHeight="1">
      <c r="C983" s="191"/>
    </row>
    <row r="984" ht="15.75" customHeight="1">
      <c r="C984" s="191"/>
    </row>
    <row r="985" ht="15.75" customHeight="1">
      <c r="C985" s="191"/>
    </row>
    <row r="986" ht="15.75" customHeight="1">
      <c r="C986" s="191"/>
    </row>
    <row r="987" ht="15.75" customHeight="1">
      <c r="C987" s="191"/>
    </row>
    <row r="988" ht="15.75" customHeight="1">
      <c r="C988" s="191"/>
    </row>
    <row r="989" ht="15.75" customHeight="1">
      <c r="C989" s="191"/>
    </row>
    <row r="990" ht="15.75" customHeight="1">
      <c r="C990" s="191"/>
    </row>
    <row r="991" ht="15.75" customHeight="1">
      <c r="C991" s="191"/>
    </row>
    <row r="992" ht="15.75" customHeight="1">
      <c r="C992" s="191"/>
    </row>
    <row r="993" ht="15.75" customHeight="1">
      <c r="C993" s="191"/>
    </row>
    <row r="994" ht="15.75" customHeight="1">
      <c r="C994" s="191"/>
    </row>
    <row r="995" ht="15.75" customHeight="1">
      <c r="C995" s="191"/>
    </row>
    <row r="996" ht="15.75" customHeight="1">
      <c r="C996" s="191"/>
    </row>
    <row r="997" ht="15.75" customHeight="1">
      <c r="C997" s="191"/>
    </row>
    <row r="998" ht="15.75" customHeight="1">
      <c r="C998" s="191"/>
    </row>
    <row r="999" ht="15.75" customHeight="1">
      <c r="C999" s="191"/>
    </row>
    <row r="1000" ht="15.75" customHeight="1">
      <c r="C1000" s="191"/>
    </row>
    <row r="1001" ht="15.75" customHeight="1">
      <c r="C1001" s="191"/>
    </row>
  </sheetData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22.13"/>
    <col customWidth="1" min="2" max="2" width="25.75"/>
    <col customWidth="1" hidden="1" min="3" max="3" width="12.63"/>
    <col customWidth="1" min="4" max="7" width="12.63"/>
  </cols>
  <sheetData>
    <row r="1" ht="15.75" customHeight="1">
      <c r="A1" s="68"/>
      <c r="B1" s="68"/>
      <c r="C1" s="69"/>
      <c r="D1" s="68">
        <v>2026.0</v>
      </c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</row>
    <row r="2" ht="15.75" customHeight="1">
      <c r="A2" s="70" t="s">
        <v>95</v>
      </c>
      <c r="B2" s="71"/>
      <c r="C2" s="72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</row>
    <row r="3" ht="15.75" customHeight="1">
      <c r="A3" s="73" t="s">
        <v>74</v>
      </c>
      <c r="B3" s="73" t="s">
        <v>75</v>
      </c>
      <c r="C3" s="72"/>
      <c r="D3" s="74" t="s">
        <v>76</v>
      </c>
      <c r="E3" s="75" t="s">
        <v>77</v>
      </c>
      <c r="F3" s="75" t="s">
        <v>78</v>
      </c>
      <c r="G3" s="75" t="s">
        <v>79</v>
      </c>
      <c r="H3" s="75" t="s">
        <v>80</v>
      </c>
      <c r="I3" s="75" t="s">
        <v>81</v>
      </c>
      <c r="J3" s="75" t="s">
        <v>82</v>
      </c>
      <c r="K3" s="75" t="s">
        <v>83</v>
      </c>
      <c r="L3" s="75" t="s">
        <v>84</v>
      </c>
      <c r="M3" s="75" t="s">
        <v>85</v>
      </c>
      <c r="N3" s="75" t="s">
        <v>86</v>
      </c>
      <c r="O3" s="75" t="s">
        <v>87</v>
      </c>
      <c r="P3" s="75" t="s">
        <v>88</v>
      </c>
      <c r="Q3" s="71"/>
    </row>
    <row r="4" ht="15.75" customHeight="1">
      <c r="A4" s="68"/>
      <c r="B4" s="68"/>
      <c r="C4" s="76"/>
      <c r="D4" s="68" t="s">
        <v>27</v>
      </c>
      <c r="E4" s="68">
        <v>1.0</v>
      </c>
      <c r="F4" s="68">
        <v>2.0</v>
      </c>
      <c r="G4" s="68">
        <v>3.0</v>
      </c>
      <c r="H4" s="68">
        <v>4.0</v>
      </c>
      <c r="I4" s="68">
        <v>5.0</v>
      </c>
      <c r="J4" s="68">
        <v>6.0</v>
      </c>
      <c r="K4" s="68">
        <v>7.0</v>
      </c>
      <c r="L4" s="68">
        <v>8.0</v>
      </c>
      <c r="M4" s="68">
        <v>9.0</v>
      </c>
      <c r="N4" s="68">
        <v>10.0</v>
      </c>
      <c r="O4" s="68">
        <v>11.0</v>
      </c>
      <c r="P4" s="68">
        <v>12.0</v>
      </c>
      <c r="Q4" s="68"/>
    </row>
    <row r="5" ht="15.75" customHeight="1">
      <c r="A5" s="77"/>
      <c r="B5" s="78" t="s">
        <v>89</v>
      </c>
      <c r="C5" s="79"/>
      <c r="D5" s="80">
        <f t="shared" ref="D5:D12" si="1">SUM(E5:P5)</f>
        <v>435.86</v>
      </c>
      <c r="E5" s="81">
        <f>sumifs(Dados!$N:$N,Dados!$B:$B,B5,Dados!$J:$J,$D$1,Dados!$I:$I,$E$4)</f>
        <v>0</v>
      </c>
      <c r="F5" s="81">
        <f>sumifs(Dados!$N:$N,Dados!$B:$B,B5,Dados!$J:$J,$D$1,Dados!$I:$I,$F$4)</f>
        <v>0</v>
      </c>
      <c r="G5" s="81">
        <f>sumifs(Dados!$N:$N,Dados!$B:$B,B5,Dados!$J:$J,$D$1,Dados!$I:$I,$G$4)</f>
        <v>0</v>
      </c>
      <c r="H5" s="81">
        <f>sumifs(Dados!$N:$N,Dados!$B:$B,B5,Dados!$J:$J,$D$1,Dados!$I:$I,$H$4)</f>
        <v>0</v>
      </c>
      <c r="I5" s="81">
        <f>sumifs(Dados!$N:$N,Dados!$B:$B,B5,Dados!$J:$J,$D$1,Dados!$I:$I,$I$4)</f>
        <v>0</v>
      </c>
      <c r="J5" s="81">
        <f>sumifs(Dados!$N:$N,Dados!$B:$B,B5,Dados!$J:$J,$D$1,Dados!$I:$I,$J$4)</f>
        <v>435.86</v>
      </c>
      <c r="K5" s="81">
        <f>sumifs(Dados!$N:$N,Dados!$B:$B,B5,Dados!$J:$J,$D$1,Dados!$I:$I,$K$4)</f>
        <v>0</v>
      </c>
      <c r="L5" s="81">
        <f>sumifs(Dados!$N:$N,Dados!$B:$B,B5,Dados!$J:$J,$D$1,Dados!$I:$I,$L$4)</f>
        <v>0</v>
      </c>
      <c r="M5" s="81">
        <f>sumifs(Dados!$N:$N,Dados!$B:$B,B5,Dados!$J:$J,$D$1,Dados!$I:$I,$M$4)</f>
        <v>0</v>
      </c>
      <c r="N5" s="81">
        <f>sumifs(Dados!$N:$N,Dados!$B:$B,B5,Dados!$J:$J,$D$1,Dados!$I:$I,$N$4)</f>
        <v>0</v>
      </c>
      <c r="O5" s="81">
        <f>sumifs(Dados!$N:$N,Dados!$B:$B,B5,Dados!$J:$J,$D$1,Dados!$I:$I,$O$4)</f>
        <v>0</v>
      </c>
      <c r="P5" s="81">
        <f>sumifs(Dados!$N:$N,Dados!$B:$B,B5,Dados!$J:$J,$D$1,Dados!$I:$I,$P$4)</f>
        <v>0</v>
      </c>
      <c r="Q5" s="81"/>
    </row>
    <row r="6" ht="15.75" customHeight="1">
      <c r="A6" s="77"/>
      <c r="B6" s="78" t="s">
        <v>90</v>
      </c>
      <c r="C6" s="79"/>
      <c r="D6" s="80">
        <f t="shared" si="1"/>
        <v>0</v>
      </c>
      <c r="E6" s="81">
        <f>sumifs(Dados!$N:$N,Dados!$B:$B,B6,Dados!$J:$J,$D$1,Dados!$I:$I,$E$4)</f>
        <v>0</v>
      </c>
      <c r="F6" s="81">
        <f>sumifs(Dados!$N:$N,Dados!$B:$B,B6,Dados!$J:$J,$D$1,Dados!$I:$I,$F$4)</f>
        <v>0</v>
      </c>
      <c r="G6" s="81">
        <f>sumifs(Dados!$N:$N,Dados!$B:$B,B6,Dados!$J:$J,$D$1,Dados!$I:$I,$G$4)</f>
        <v>0</v>
      </c>
      <c r="H6" s="81">
        <f>sumifs(Dados!$N:$N,Dados!$B:$B,B6,Dados!$J:$J,$D$1,Dados!$I:$I,$H$4)</f>
        <v>0</v>
      </c>
      <c r="I6" s="81">
        <f>sumifs(Dados!$N:$N,Dados!$B:$B,B6,Dados!$J:$J,$D$1,Dados!$I:$I,$I$4)</f>
        <v>0</v>
      </c>
      <c r="J6" s="81">
        <f>sumifs(Dados!$N:$N,Dados!$B:$B,B6,Dados!$J:$J,$D$1,Dados!$I:$I,$J$4)</f>
        <v>0</v>
      </c>
      <c r="K6" s="81">
        <f>sumifs(Dados!$N:$N,Dados!$B:$B,B6,Dados!$J:$J,$D$1,Dados!$I:$I,$K$4)</f>
        <v>0</v>
      </c>
      <c r="L6" s="81">
        <f>sumifs(Dados!$N:$N,Dados!$B:$B,B6,Dados!$J:$J,$D$1,Dados!$I:$I,$L$4)</f>
        <v>0</v>
      </c>
      <c r="M6" s="81">
        <f>sumifs(Dados!$N:$N,Dados!$B:$B,B6,Dados!$J:$J,$D$1,Dados!$I:$I,$M$4)</f>
        <v>0</v>
      </c>
      <c r="N6" s="81">
        <f>sumifs(Dados!$N:$N,Dados!$B:$B,B6,Dados!$J:$J,$D$1,Dados!$I:$I,$N$4)</f>
        <v>0</v>
      </c>
      <c r="O6" s="81">
        <f>sumifs(Dados!$N:$N,Dados!$B:$B,B6,Dados!$J:$J,$D$1,Dados!$I:$I,$O$4)</f>
        <v>0</v>
      </c>
      <c r="P6" s="81">
        <f>sumifs(Dados!$N:$N,Dados!$B:$B,B6,Dados!$J:$J,$D$1,Dados!$I:$I,$P$4)</f>
        <v>0</v>
      </c>
      <c r="Q6" s="81"/>
    </row>
    <row r="7" ht="15.75" customHeight="1">
      <c r="A7" s="77"/>
      <c r="B7" s="78" t="s">
        <v>91</v>
      </c>
      <c r="C7" s="79"/>
      <c r="D7" s="80">
        <f t="shared" si="1"/>
        <v>285.85</v>
      </c>
      <c r="E7" s="81">
        <f>sumifs(Dados!$N:$N,Dados!$B:$B,B7,Dados!$J:$J,$D$1,Dados!$I:$I,$E$4)</f>
        <v>0</v>
      </c>
      <c r="F7" s="81">
        <f>sumifs(Dados!$N:$N,Dados!$B:$B,B7,Dados!$J:$J,$D$1,Dados!$I:$I,$F$4)</f>
        <v>0</v>
      </c>
      <c r="G7" s="81">
        <f>sumifs(Dados!$N:$N,Dados!$B:$B,B7,Dados!$J:$J,$D$1,Dados!$I:$I,$G$4)</f>
        <v>0</v>
      </c>
      <c r="H7" s="81">
        <f>sumifs(Dados!$N:$N,Dados!$B:$B,B7,Dados!$J:$J,$D$1,Dados!$I:$I,$H$4)</f>
        <v>0</v>
      </c>
      <c r="I7" s="81">
        <f>sumifs(Dados!$N:$N,Dados!$B:$B,B7,Dados!$J:$J,$D$1,Dados!$I:$I,$I$4)</f>
        <v>0</v>
      </c>
      <c r="J7" s="81">
        <f>sumifs(Dados!$N:$N,Dados!$B:$B,B7,Dados!$J:$J,$D$1,Dados!$I:$I,$J$4)</f>
        <v>285.85</v>
      </c>
      <c r="K7" s="81">
        <f>sumifs(Dados!$N:$N,Dados!$B:$B,B7,Dados!$J:$J,$D$1,Dados!$I:$I,$K$4)</f>
        <v>0</v>
      </c>
      <c r="L7" s="81">
        <f>sumifs(Dados!$N:$N,Dados!$B:$B,B7,Dados!$J:$J,$D$1,Dados!$I:$I,$L$4)</f>
        <v>0</v>
      </c>
      <c r="M7" s="81">
        <f>sumifs(Dados!$N:$N,Dados!$B:$B,B7,Dados!$J:$J,$D$1,Dados!$I:$I,$M$4)</f>
        <v>0</v>
      </c>
      <c r="N7" s="81">
        <f>sumifs(Dados!$N:$N,Dados!$B:$B,B7,Dados!$J:$J,$D$1,Dados!$I:$I,$N$4)</f>
        <v>0</v>
      </c>
      <c r="O7" s="81">
        <f>sumifs(Dados!$N:$N,Dados!$B:$B,B7,Dados!$J:$J,$D$1,Dados!$I:$I,$O$4)</f>
        <v>0</v>
      </c>
      <c r="P7" s="81">
        <f>sumifs(Dados!$N:$N,Dados!$B:$B,B7,Dados!$J:$J,$D$1,Dados!$I:$I,$P$4)</f>
        <v>0</v>
      </c>
      <c r="Q7" s="81"/>
    </row>
    <row r="8" ht="15.75" customHeight="1">
      <c r="A8" s="77"/>
      <c r="B8" s="78" t="s">
        <v>92</v>
      </c>
      <c r="C8" s="79"/>
      <c r="D8" s="80">
        <f t="shared" si="1"/>
        <v>0</v>
      </c>
      <c r="E8" s="81">
        <f>sumifs(Dados!$N:$N,Dados!$B:$B,B8,Dados!$J:$J,$D$1,Dados!$I:$I,$E$4)</f>
        <v>0</v>
      </c>
      <c r="F8" s="81">
        <f>sumifs(Dados!$N:$N,Dados!$B:$B,B8,Dados!$J:$J,$D$1,Dados!$I:$I,$F$4)</f>
        <v>0</v>
      </c>
      <c r="G8" s="81">
        <f>sumifs(Dados!$N:$N,Dados!$B:$B,B8,Dados!$J:$J,$D$1,Dados!$I:$I,$G$4)</f>
        <v>0</v>
      </c>
      <c r="H8" s="81">
        <f>sumifs(Dados!$N:$N,Dados!$B:$B,B8,Dados!$J:$J,$D$1,Dados!$I:$I,$H$4)</f>
        <v>0</v>
      </c>
      <c r="I8" s="81">
        <f>sumifs(Dados!$N:$N,Dados!$B:$B,B8,Dados!$J:$J,$D$1,Dados!$I:$I,$I$4)</f>
        <v>0</v>
      </c>
      <c r="J8" s="81">
        <f>sumifs(Dados!$N:$N,Dados!$B:$B,B8,Dados!$J:$J,$D$1,Dados!$I:$I,$J$4)</f>
        <v>0</v>
      </c>
      <c r="K8" s="81">
        <f>sumifs(Dados!$N:$N,Dados!$B:$B,B8,Dados!$J:$J,$D$1,Dados!$I:$I,$K$4)</f>
        <v>0</v>
      </c>
      <c r="L8" s="81">
        <f>sumifs(Dados!$N:$N,Dados!$B:$B,B8,Dados!$J:$J,$D$1,Dados!$I:$I,$L$4)</f>
        <v>0</v>
      </c>
      <c r="M8" s="81">
        <f>sumifs(Dados!$N:$N,Dados!$B:$B,B8,Dados!$J:$J,$D$1,Dados!$I:$I,$M$4)</f>
        <v>0</v>
      </c>
      <c r="N8" s="81">
        <f>sumifs(Dados!$N:$N,Dados!$B:$B,B8,Dados!$J:$J,$D$1,Dados!$I:$I,$N$4)</f>
        <v>0</v>
      </c>
      <c r="O8" s="81">
        <f>sumifs(Dados!$N:$N,Dados!$B:$B,B8,Dados!$J:$J,$D$1,Dados!$I:$I,$O$4)</f>
        <v>0</v>
      </c>
      <c r="P8" s="81">
        <f>sumifs(Dados!$N:$N,Dados!$B:$B,B8,Dados!$J:$J,$D$1,Dados!$I:$I,$P$4)</f>
        <v>0</v>
      </c>
      <c r="Q8" s="81"/>
    </row>
    <row r="9" ht="15.75" customHeight="1">
      <c r="A9" s="77"/>
      <c r="B9" s="78" t="s">
        <v>93</v>
      </c>
      <c r="C9" s="79"/>
      <c r="D9" s="80">
        <f t="shared" si="1"/>
        <v>0</v>
      </c>
      <c r="E9" s="81">
        <f>sumifs(Dados!$N:$N,Dados!$B:$B,B9,Dados!$J:$J,$D$1,Dados!$I:$I,$E$4)</f>
        <v>0</v>
      </c>
      <c r="F9" s="81">
        <f>sumifs(Dados!$N:$N,Dados!$B:$B,B9,Dados!$J:$J,$D$1,Dados!$I:$I,$F$4)</f>
        <v>0</v>
      </c>
      <c r="G9" s="81">
        <f>sumifs(Dados!$N:$N,Dados!$B:$B,B9,Dados!$J:$J,$D$1,Dados!$I:$I,$G$4)</f>
        <v>0</v>
      </c>
      <c r="H9" s="81">
        <f>sumifs(Dados!$N:$N,Dados!$B:$B,B9,Dados!$J:$J,$D$1,Dados!$I:$I,$H$4)</f>
        <v>0</v>
      </c>
      <c r="I9" s="81">
        <f>sumifs(Dados!$N:$N,Dados!$B:$B,B9,Dados!$J:$J,$D$1,Dados!$I:$I,$I$4)</f>
        <v>0</v>
      </c>
      <c r="J9" s="81">
        <f>sumifs(Dados!$N:$N,Dados!$B:$B,B9,Dados!$J:$J,$D$1,Dados!$I:$I,$J$4)</f>
        <v>0</v>
      </c>
      <c r="K9" s="81">
        <f>sumifs(Dados!$N:$N,Dados!$B:$B,B9,Dados!$J:$J,$D$1,Dados!$I:$I,$K$4)</f>
        <v>0</v>
      </c>
      <c r="L9" s="81">
        <f>sumifs(Dados!$N:$N,Dados!$B:$B,B9,Dados!$J:$J,$D$1,Dados!$I:$I,$L$4)</f>
        <v>0</v>
      </c>
      <c r="M9" s="81">
        <f>sumifs(Dados!$N:$N,Dados!$B:$B,B9,Dados!$J:$J,$D$1,Dados!$I:$I,$M$4)</f>
        <v>0</v>
      </c>
      <c r="N9" s="81">
        <f>sumifs(Dados!$N:$N,Dados!$B:$B,B9,Dados!$J:$J,$D$1,Dados!$I:$I,$N$4)</f>
        <v>0</v>
      </c>
      <c r="O9" s="81">
        <f>sumifs(Dados!$N:$N,Dados!$B:$B,B9,Dados!$J:$J,$D$1,Dados!$I:$I,$O$4)</f>
        <v>0</v>
      </c>
      <c r="P9" s="81">
        <f>sumifs(Dados!$N:$N,Dados!$B:$B,B9,Dados!$J:$J,$D$1,Dados!$I:$I,$P$4)</f>
        <v>0</v>
      </c>
      <c r="Q9" s="81"/>
    </row>
    <row r="10" ht="15.75" customHeight="1">
      <c r="A10" s="82"/>
      <c r="B10" s="83" t="s">
        <v>94</v>
      </c>
      <c r="C10" s="79"/>
      <c r="D10" s="80">
        <f t="shared" si="1"/>
        <v>0</v>
      </c>
      <c r="E10" s="81">
        <f>sumifs(Dados!$N:$N,Dados!$B:$B,B10,Dados!$J:$J,$D$1,Dados!$I:$I,$E$4)</f>
        <v>0</v>
      </c>
      <c r="F10" s="81">
        <f>sumifs(Dados!$N:$N,Dados!$B:$B,B10,Dados!$J:$J,$D$1,Dados!$I:$I,$F$4)</f>
        <v>0</v>
      </c>
      <c r="G10" s="81">
        <f>sumifs(Dados!$N:$N,Dados!$B:$B,B10,Dados!$J:$J,$D$1,Dados!$I:$I,$G$4)</f>
        <v>0</v>
      </c>
      <c r="H10" s="81">
        <f>sumifs(Dados!$N:$N,Dados!$B:$B,B10,Dados!$J:$J,$D$1,Dados!$I:$I,$H$4)</f>
        <v>0</v>
      </c>
      <c r="I10" s="81">
        <f>sumifs(Dados!$N:$N,Dados!$B:$B,B10,Dados!$J:$J,$D$1,Dados!$I:$I,$I$4)</f>
        <v>0</v>
      </c>
      <c r="J10" s="81">
        <f>sumifs(Dados!$N:$N,Dados!$B:$B,B10,Dados!$J:$J,$D$1,Dados!$I:$I,$J$4)</f>
        <v>0</v>
      </c>
      <c r="K10" s="81">
        <f>sumifs(Dados!$N:$N,Dados!$B:$B,B10,Dados!$J:$J,$D$1,Dados!$I:$I,$K$4)</f>
        <v>0</v>
      </c>
      <c r="L10" s="81">
        <f>sumifs(Dados!$N:$N,Dados!$B:$B,B10,Dados!$J:$J,$D$1,Dados!$I:$I,$L$4)</f>
        <v>0</v>
      </c>
      <c r="M10" s="81">
        <f>sumifs(Dados!$N:$N,Dados!$B:$B,B10,Dados!$J:$J,$D$1,Dados!$I:$I,$M$4)</f>
        <v>0</v>
      </c>
      <c r="N10" s="81">
        <f>sumifs(Dados!$N:$N,Dados!$B:$B,B10,Dados!$J:$J,$D$1,Dados!$I:$I,$N$4)</f>
        <v>0</v>
      </c>
      <c r="O10" s="81">
        <f>sumifs(Dados!$N:$N,Dados!$B:$B,B10,Dados!$J:$J,$D$1,Dados!$I:$I,$O$4)</f>
        <v>0</v>
      </c>
      <c r="P10" s="81">
        <f>sumifs(Dados!$N:$N,Dados!$B:$B,B10,Dados!$J:$J,$D$1,Dados!$I:$I,$P$4)</f>
        <v>0</v>
      </c>
      <c r="Q10" s="81"/>
    </row>
    <row r="11" ht="15.75" customHeight="1">
      <c r="A11" s="87"/>
      <c r="B11" s="83" t="s">
        <v>97</v>
      </c>
      <c r="C11" s="79"/>
      <c r="D11" s="80">
        <f t="shared" si="1"/>
        <v>0</v>
      </c>
      <c r="E11" s="81">
        <f>sumifs(Dados!$N:$N,Dados!$B:$B,B11,Dados!$J:$J,$D$1,Dados!$I:$I,$E$4)</f>
        <v>0</v>
      </c>
      <c r="F11" s="81">
        <f>sumifs(Dados!$N:$N,Dados!$B:$B,B11,Dados!$J:$J,$D$1,Dados!$I:$I,$F$4)</f>
        <v>0</v>
      </c>
      <c r="G11" s="81">
        <f>sumifs(Dados!$N:$N,Dados!$B:$B,B11,Dados!$J:$J,$D$1,Dados!$I:$I,$G$4)</f>
        <v>0</v>
      </c>
      <c r="H11" s="81">
        <f>sumifs(Dados!$N:$N,Dados!$B:$B,B11,Dados!$J:$J,$D$1,Dados!$I:$I,$H$4)</f>
        <v>0</v>
      </c>
      <c r="I11" s="81">
        <f>sumifs(Dados!$N:$N,Dados!$B:$B,B11,Dados!$J:$J,$D$1,Dados!$I:$I,$I$4)</f>
        <v>0</v>
      </c>
      <c r="J11" s="81">
        <f>sumifs(Dados!$N:$N,Dados!$B:$B,B11,Dados!$J:$J,$D$1,Dados!$I:$I,$J$4)</f>
        <v>0</v>
      </c>
      <c r="K11" s="81">
        <f>sumifs(Dados!$N:$N,Dados!$B:$B,B11,Dados!$J:$J,$D$1,Dados!$I:$I,$K$4)</f>
        <v>0</v>
      </c>
      <c r="L11" s="81">
        <f>sumifs(Dados!$N:$N,Dados!$B:$B,B11,Dados!$J:$J,$D$1,Dados!$I:$I,$L$4)</f>
        <v>0</v>
      </c>
      <c r="M11" s="81">
        <f>sumifs(Dados!$N:$N,Dados!$B:$B,B11,Dados!$J:$J,$D$1,Dados!$I:$I,$M$4)</f>
        <v>0</v>
      </c>
      <c r="N11" s="81">
        <f>sumifs(Dados!$N:$N,Dados!$B:$B,B11,Dados!$J:$J,$D$1,Dados!$I:$I,$N$4)</f>
        <v>0</v>
      </c>
      <c r="O11" s="81">
        <f>sumifs(Dados!$N:$N,Dados!$B:$B,B11,Dados!$J:$J,$D$1,Dados!$I:$I,$O$4)</f>
        <v>0</v>
      </c>
      <c r="P11" s="81">
        <f>sumifs(Dados!$N:$N,Dados!$B:$B,B11,Dados!$J:$J,$D$1,Dados!$I:$I,$P$4)</f>
        <v>0</v>
      </c>
      <c r="Q11" s="81"/>
    </row>
    <row r="12" ht="15.75" customHeight="1">
      <c r="A12" s="77"/>
      <c r="B12" s="78" t="s">
        <v>99</v>
      </c>
      <c r="C12" s="79"/>
      <c r="D12" s="80">
        <f t="shared" si="1"/>
        <v>0</v>
      </c>
      <c r="E12" s="81">
        <f>sumifs(Dados!$N:$N,Dados!$B:$B,B12,Dados!$J:$J,$D$1,Dados!$I:$I,$E$4)</f>
        <v>0</v>
      </c>
      <c r="F12" s="81">
        <f>sumifs(Dados!$N:$N,Dados!$B:$B,B12,Dados!$J:$J,$D$1,Dados!$I:$I,$F$4)</f>
        <v>0</v>
      </c>
      <c r="G12" s="81">
        <f>sumifs(Dados!$N:$N,Dados!$B:$B,B12,Dados!$J:$J,$D$1,Dados!$I:$I,$G$4)</f>
        <v>0</v>
      </c>
      <c r="H12" s="81">
        <f>sumifs(Dados!$N:$N,Dados!$B:$B,B12,Dados!$J:$J,$D$1,Dados!$I:$I,$H$4)</f>
        <v>0</v>
      </c>
      <c r="I12" s="81">
        <f>sumifs(Dados!$N:$N,Dados!$B:$B,B12,Dados!$J:$J,$D$1,Dados!$I:$I,$I$4)</f>
        <v>0</v>
      </c>
      <c r="J12" s="81">
        <f>sumifs(Dados!$N:$N,Dados!$B:$B,B12,Dados!$J:$J,$D$1,Dados!$I:$I,$J$4)</f>
        <v>0</v>
      </c>
      <c r="K12" s="81">
        <f>sumifs(Dados!$N:$N,Dados!$B:$B,B12,Dados!$J:$J,$D$1,Dados!$I:$I,$K$4)</f>
        <v>0</v>
      </c>
      <c r="L12" s="81">
        <f>sumifs(Dados!$N:$N,Dados!$B:$B,B12,Dados!$J:$J,$D$1,Dados!$I:$I,$L$4)</f>
        <v>0</v>
      </c>
      <c r="M12" s="81">
        <f>sumifs(Dados!$N:$N,Dados!$B:$B,B12,Dados!$J:$J,$D$1,Dados!$I:$I,$M$4)</f>
        <v>0</v>
      </c>
      <c r="N12" s="81">
        <f>sumifs(Dados!$N:$N,Dados!$B:$B,B12,Dados!$J:$J,$D$1,Dados!$I:$I,$N$4)</f>
        <v>0</v>
      </c>
      <c r="O12" s="81">
        <f>sumifs(Dados!$N:$N,Dados!$B:$B,B12,Dados!$J:$J,$D$1,Dados!$I:$I,$O$4)</f>
        <v>0</v>
      </c>
      <c r="P12" s="81">
        <f>sumifs(Dados!$N:$N,Dados!$B:$B,B12,Dados!$J:$J,$D$1,Dados!$I:$I,$P$4)</f>
        <v>0</v>
      </c>
      <c r="Q12" s="81"/>
    </row>
    <row r="13" ht="15.75" customHeight="1">
      <c r="A13" s="99" t="s">
        <v>100</v>
      </c>
      <c r="B13" s="100">
        <f>sumifs(Dados!$N:$N,Dados!$A:$A,A13,Dados!$H:$H,$D$1)</f>
        <v>721.71</v>
      </c>
      <c r="C13" s="101">
        <f>B13-D13</f>
        <v>0</v>
      </c>
      <c r="D13" s="100">
        <f t="shared" ref="D13:P13" si="2">SUM(D5:D12)</f>
        <v>721.71</v>
      </c>
      <c r="E13" s="100">
        <f t="shared" si="2"/>
        <v>0</v>
      </c>
      <c r="F13" s="100">
        <f t="shared" si="2"/>
        <v>0</v>
      </c>
      <c r="G13" s="100">
        <f t="shared" si="2"/>
        <v>0</v>
      </c>
      <c r="H13" s="100">
        <f t="shared" si="2"/>
        <v>0</v>
      </c>
      <c r="I13" s="100">
        <f t="shared" si="2"/>
        <v>0</v>
      </c>
      <c r="J13" s="100">
        <f t="shared" si="2"/>
        <v>721.71</v>
      </c>
      <c r="K13" s="100">
        <f t="shared" si="2"/>
        <v>0</v>
      </c>
      <c r="L13" s="100">
        <f t="shared" si="2"/>
        <v>0</v>
      </c>
      <c r="M13" s="100">
        <f t="shared" si="2"/>
        <v>0</v>
      </c>
      <c r="N13" s="100">
        <f t="shared" si="2"/>
        <v>0</v>
      </c>
      <c r="O13" s="100">
        <f t="shared" si="2"/>
        <v>0</v>
      </c>
      <c r="P13" s="100">
        <f t="shared" si="2"/>
        <v>0</v>
      </c>
      <c r="Q13" s="100"/>
    </row>
    <row r="14" ht="15.75" customHeight="1">
      <c r="A14" s="77"/>
      <c r="B14" s="78" t="s">
        <v>101</v>
      </c>
      <c r="C14" s="79"/>
      <c r="D14" s="80">
        <f t="shared" ref="D14:D17" si="3">SUM(E14:P14)</f>
        <v>0</v>
      </c>
      <c r="E14" s="81">
        <f>sumifs(Dados!$N:$N,Dados!$B:$B,B14,Dados!$J:$J,$D$1,Dados!$I:$I,$E$4)</f>
        <v>0</v>
      </c>
      <c r="F14" s="81">
        <f>sumifs(Dados!$N:$N,Dados!$B:$B,B14,Dados!$J:$J,$D$1,Dados!$I:$I,$F$4)</f>
        <v>0</v>
      </c>
      <c r="G14" s="81">
        <f>sumifs(Dados!$N:$N,Dados!$B:$B,B14,Dados!$J:$J,$D$1,Dados!$I:$I,$G$4)</f>
        <v>0</v>
      </c>
      <c r="H14" s="81">
        <f>sumifs(Dados!$N:$N,Dados!$B:$B,B14,Dados!$J:$J,$D$1,Dados!$I:$I,$H$4)</f>
        <v>0</v>
      </c>
      <c r="I14" s="81">
        <f>sumifs(Dados!$N:$N,Dados!$B:$B,B14,Dados!$J:$J,$D$1,Dados!$I:$I,$I$4)</f>
        <v>0</v>
      </c>
      <c r="J14" s="81">
        <f>sumifs(Dados!$N:$N,Dados!$B:$B,B14,Dados!$J:$J,$D$1,Dados!$I:$I,$J$4)</f>
        <v>0</v>
      </c>
      <c r="K14" s="81">
        <f>sumifs(Dados!$N:$N,Dados!$B:$B,B14,Dados!$J:$J,$D$1,Dados!$I:$I,$K$4)</f>
        <v>0</v>
      </c>
      <c r="L14" s="81">
        <f>sumifs(Dados!$N:$N,Dados!$B:$B,B14,Dados!$J:$J,$D$1,Dados!$I:$I,$L$4)</f>
        <v>0</v>
      </c>
      <c r="M14" s="81">
        <f>sumifs(Dados!$N:$N,Dados!$B:$B,B14,Dados!$J:$J,$D$1,Dados!$I:$I,$M$4)</f>
        <v>0</v>
      </c>
      <c r="N14" s="81">
        <f>sumifs(Dados!$N:$N,Dados!$B:$B,B14,Dados!$J:$J,$D$1,Dados!$I:$I,$N$4)</f>
        <v>0</v>
      </c>
      <c r="O14" s="81">
        <f>sumifs(Dados!$N:$N,Dados!$B:$B,B14,Dados!$J:$J,$D$1,Dados!$I:$I,$O$4)</f>
        <v>0</v>
      </c>
      <c r="P14" s="81">
        <f>sumifs(Dados!$N:$N,Dados!$B:$B,B14,Dados!$J:$J,$D$1,Dados!$I:$I,$P$4)</f>
        <v>0</v>
      </c>
      <c r="Q14" s="81"/>
    </row>
    <row r="15" ht="15.75" customHeight="1">
      <c r="A15" s="77"/>
      <c r="B15" s="78" t="s">
        <v>102</v>
      </c>
      <c r="C15" s="79"/>
      <c r="D15" s="80">
        <f t="shared" si="3"/>
        <v>0</v>
      </c>
      <c r="E15" s="81">
        <f>sumifs(Dados!$N:$N,Dados!$B:$B,B15,Dados!$J:$J,$D$1,Dados!$I:$I,$E$4)</f>
        <v>0</v>
      </c>
      <c r="F15" s="81">
        <f>sumifs(Dados!$N:$N,Dados!$B:$B,B15,Dados!$J:$J,$D$1,Dados!$I:$I,$F$4)</f>
        <v>0</v>
      </c>
      <c r="G15" s="81">
        <f>sumifs(Dados!$N:$N,Dados!$B:$B,B15,Dados!$J:$J,$D$1,Dados!$I:$I,$G$4)</f>
        <v>0</v>
      </c>
      <c r="H15" s="81">
        <f>sumifs(Dados!$N:$N,Dados!$B:$B,B15,Dados!$J:$J,$D$1,Dados!$I:$I,$H$4)</f>
        <v>0</v>
      </c>
      <c r="I15" s="81">
        <f>sumifs(Dados!$N:$N,Dados!$B:$B,B15,Dados!$J:$J,$D$1,Dados!$I:$I,$I$4)</f>
        <v>0</v>
      </c>
      <c r="J15" s="81">
        <f>sumifs(Dados!$N:$N,Dados!$B:$B,B15,Dados!$J:$J,$D$1,Dados!$I:$I,$J$4)</f>
        <v>0</v>
      </c>
      <c r="K15" s="81">
        <f>sumifs(Dados!$N:$N,Dados!$B:$B,B15,Dados!$J:$J,$D$1,Dados!$I:$I,$K$4)</f>
        <v>0</v>
      </c>
      <c r="L15" s="81">
        <f>sumifs(Dados!$N:$N,Dados!$B:$B,B15,Dados!$J:$J,$D$1,Dados!$I:$I,$L$4)</f>
        <v>0</v>
      </c>
      <c r="M15" s="81">
        <f>sumifs(Dados!$N:$N,Dados!$B:$B,B15,Dados!$J:$J,$D$1,Dados!$I:$I,$M$4)</f>
        <v>0</v>
      </c>
      <c r="N15" s="81">
        <f>sumifs(Dados!$N:$N,Dados!$B:$B,B15,Dados!$J:$J,$D$1,Dados!$I:$I,$N$4)</f>
        <v>0</v>
      </c>
      <c r="O15" s="81">
        <f>sumifs(Dados!$N:$N,Dados!$B:$B,B15,Dados!$J:$J,$D$1,Dados!$I:$I,$O$4)</f>
        <v>0</v>
      </c>
      <c r="P15" s="81">
        <f>sumifs(Dados!$N:$N,Dados!$B:$B,B15,Dados!$J:$J,$D$1,Dados!$I:$I,$P$4)</f>
        <v>0</v>
      </c>
      <c r="Q15" s="81"/>
    </row>
    <row r="16" ht="15.75" customHeight="1">
      <c r="A16" s="77"/>
      <c r="B16" s="78" t="s">
        <v>103</v>
      </c>
      <c r="C16" s="79"/>
      <c r="D16" s="80">
        <f t="shared" si="3"/>
        <v>0</v>
      </c>
      <c r="E16" s="81">
        <f>sumifs(Dados!$N:$N,Dados!$B:$B,B16,Dados!$J:$J,$D$1,Dados!$I:$I,$E$4)</f>
        <v>0</v>
      </c>
      <c r="F16" s="81">
        <f>sumifs(Dados!$N:$N,Dados!$B:$B,B16,Dados!$J:$J,$D$1,Dados!$I:$I,$F$4)</f>
        <v>0</v>
      </c>
      <c r="G16" s="81">
        <f>sumifs(Dados!$N:$N,Dados!$B:$B,B16,Dados!$J:$J,$D$1,Dados!$I:$I,$G$4)</f>
        <v>0</v>
      </c>
      <c r="H16" s="81">
        <f>sumifs(Dados!$N:$N,Dados!$B:$B,B16,Dados!$J:$J,$D$1,Dados!$I:$I,$H$4)</f>
        <v>0</v>
      </c>
      <c r="I16" s="81">
        <f>sumifs(Dados!$N:$N,Dados!$B:$B,B16,Dados!$J:$J,$D$1,Dados!$I:$I,$I$4)</f>
        <v>0</v>
      </c>
      <c r="J16" s="81">
        <f>sumifs(Dados!$N:$N,Dados!$B:$B,B16,Dados!$J:$J,$D$1,Dados!$I:$I,$J$4)</f>
        <v>0</v>
      </c>
      <c r="K16" s="81">
        <f>sumifs(Dados!$N:$N,Dados!$B:$B,B16,Dados!$J:$J,$D$1,Dados!$I:$I,$K$4)</f>
        <v>0</v>
      </c>
      <c r="L16" s="81">
        <f>sumifs(Dados!$N:$N,Dados!$B:$B,B16,Dados!$J:$J,$D$1,Dados!$I:$I,$L$4)</f>
        <v>0</v>
      </c>
      <c r="M16" s="81">
        <f>sumifs(Dados!$N:$N,Dados!$B:$B,B16,Dados!$J:$J,$D$1,Dados!$I:$I,$M$4)</f>
        <v>0</v>
      </c>
      <c r="N16" s="81">
        <f>sumifs(Dados!$N:$N,Dados!$B:$B,B16,Dados!$J:$J,$D$1,Dados!$I:$I,$N$4)</f>
        <v>0</v>
      </c>
      <c r="O16" s="81">
        <f>sumifs(Dados!$N:$N,Dados!$B:$B,B16,Dados!$J:$J,$D$1,Dados!$I:$I,$O$4)</f>
        <v>0</v>
      </c>
      <c r="P16" s="81">
        <f>sumifs(Dados!$N:$N,Dados!$B:$B,B16,Dados!$J:$J,$D$1,Dados!$I:$I,$P$4)</f>
        <v>0</v>
      </c>
      <c r="Q16" s="81"/>
    </row>
    <row r="17" ht="15.75" customHeight="1">
      <c r="A17" s="77"/>
      <c r="B17" s="78" t="s">
        <v>104</v>
      </c>
      <c r="C17" s="79"/>
      <c r="D17" s="80">
        <f t="shared" si="3"/>
        <v>0</v>
      </c>
      <c r="E17" s="81">
        <f>sumifs(Dados!$N:$N,Dados!$B:$B,B17,Dados!$J:$J,$D$1,Dados!$I:$I,$E$4)</f>
        <v>0</v>
      </c>
      <c r="F17" s="81">
        <f>sumifs(Dados!$N:$N,Dados!$B:$B,B17,Dados!$J:$J,$D$1,Dados!$I:$I,$F$4)</f>
        <v>0</v>
      </c>
      <c r="G17" s="81">
        <f>sumifs(Dados!$N:$N,Dados!$B:$B,B17,Dados!$J:$J,$D$1,Dados!$I:$I,$G$4)</f>
        <v>0</v>
      </c>
      <c r="H17" s="81">
        <f>sumifs(Dados!$N:$N,Dados!$B:$B,B17,Dados!$J:$J,$D$1,Dados!$I:$I,$H$4)</f>
        <v>0</v>
      </c>
      <c r="I17" s="81">
        <f>sumifs(Dados!$N:$N,Dados!$B:$B,B17,Dados!$J:$J,$D$1,Dados!$I:$I,$I$4)</f>
        <v>0</v>
      </c>
      <c r="J17" s="81">
        <f>sumifs(Dados!$N:$N,Dados!$B:$B,B17,Dados!$J:$J,$D$1,Dados!$I:$I,$J$4)</f>
        <v>0</v>
      </c>
      <c r="K17" s="81">
        <f>sumifs(Dados!$N:$N,Dados!$B:$B,B17,Dados!$J:$J,$D$1,Dados!$I:$I,$K$4)</f>
        <v>0</v>
      </c>
      <c r="L17" s="81">
        <f>sumifs(Dados!$N:$N,Dados!$B:$B,B17,Dados!$J:$J,$D$1,Dados!$I:$I,$L$4)</f>
        <v>0</v>
      </c>
      <c r="M17" s="81">
        <f>sumifs(Dados!$N:$N,Dados!$B:$B,B17,Dados!$J:$J,$D$1,Dados!$I:$I,$M$4)</f>
        <v>0</v>
      </c>
      <c r="N17" s="81">
        <f>sumifs(Dados!$N:$N,Dados!$B:$B,B17,Dados!$J:$J,$D$1,Dados!$I:$I,$N$4)</f>
        <v>0</v>
      </c>
      <c r="O17" s="81">
        <f>sumifs(Dados!$N:$N,Dados!$B:$B,B17,Dados!$J:$J,$D$1,Dados!$I:$I,$O$4)</f>
        <v>0</v>
      </c>
      <c r="P17" s="81">
        <f>sumifs(Dados!$N:$N,Dados!$B:$B,B17,Dados!$J:$J,$D$1,Dados!$I:$I,$P$4)</f>
        <v>0</v>
      </c>
      <c r="Q17" s="81"/>
    </row>
    <row r="18" ht="15.75" customHeight="1">
      <c r="A18" s="99" t="s">
        <v>105</v>
      </c>
      <c r="B18" s="100">
        <f>sumifs(Dados!$N:$N,Dados!$A:$A,A18,Dados!$H:$H,$D$1)</f>
        <v>0</v>
      </c>
      <c r="C18" s="101">
        <f>B18-D18</f>
        <v>0</v>
      </c>
      <c r="D18" s="100">
        <f t="shared" ref="D18:P18" si="4">SUM(D14:D17)</f>
        <v>0</v>
      </c>
      <c r="E18" s="100">
        <f t="shared" si="4"/>
        <v>0</v>
      </c>
      <c r="F18" s="100">
        <f t="shared" si="4"/>
        <v>0</v>
      </c>
      <c r="G18" s="100">
        <f t="shared" si="4"/>
        <v>0</v>
      </c>
      <c r="H18" s="100">
        <f t="shared" si="4"/>
        <v>0</v>
      </c>
      <c r="I18" s="100">
        <f t="shared" si="4"/>
        <v>0</v>
      </c>
      <c r="J18" s="100">
        <f t="shared" si="4"/>
        <v>0</v>
      </c>
      <c r="K18" s="100">
        <f t="shared" si="4"/>
        <v>0</v>
      </c>
      <c r="L18" s="100">
        <f t="shared" si="4"/>
        <v>0</v>
      </c>
      <c r="M18" s="100">
        <f t="shared" si="4"/>
        <v>0</v>
      </c>
      <c r="N18" s="100">
        <f t="shared" si="4"/>
        <v>0</v>
      </c>
      <c r="O18" s="100">
        <f t="shared" si="4"/>
        <v>0</v>
      </c>
      <c r="P18" s="100">
        <f t="shared" si="4"/>
        <v>0</v>
      </c>
      <c r="Q18" s="100"/>
    </row>
    <row r="19" ht="15.75" hidden="1" customHeight="1">
      <c r="A19" s="102"/>
      <c r="B19" s="102"/>
      <c r="C19" s="79"/>
      <c r="D19" s="80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</row>
    <row r="20" ht="15.75" hidden="1" customHeight="1">
      <c r="A20" s="102"/>
      <c r="B20" s="103"/>
      <c r="C20" s="79"/>
      <c r="D20" s="80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</row>
    <row r="21" ht="15.75" hidden="1" customHeight="1">
      <c r="A21" s="102"/>
      <c r="B21" s="103"/>
      <c r="C21" s="79"/>
      <c r="D21" s="80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</row>
    <row r="22" ht="15.75" hidden="1" customHeight="1">
      <c r="A22" s="102"/>
      <c r="B22" s="103"/>
      <c r="C22" s="79"/>
      <c r="D22" s="80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</row>
    <row r="23" ht="15.75" hidden="1" customHeight="1">
      <c r="A23" s="102"/>
      <c r="B23" s="102"/>
      <c r="C23" s="79"/>
      <c r="D23" s="80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</row>
    <row r="24" ht="15.75" hidden="1" customHeight="1">
      <c r="A24" s="99"/>
      <c r="B24" s="100"/>
      <c r="C24" s="101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</row>
    <row r="25" ht="15.75" customHeight="1">
      <c r="A25" s="104"/>
      <c r="B25" s="83" t="s">
        <v>106</v>
      </c>
      <c r="C25" s="79"/>
      <c r="D25" s="80">
        <f t="shared" ref="D25:D28" si="5">SUM(E25:P25)</f>
        <v>0</v>
      </c>
      <c r="E25" s="81">
        <f>sumifs(Dados!$N:$N,Dados!$B:$B,B25,Dados!$J:$J,$D$1,Dados!$I:$I,$E$4)</f>
        <v>0</v>
      </c>
      <c r="F25" s="81">
        <f>sumifs(Dados!$N:$N,Dados!$B:$B,B25,Dados!$J:$J,$D$1,Dados!$I:$I,$F$4)</f>
        <v>0</v>
      </c>
      <c r="G25" s="81">
        <f>sumifs(Dados!$N:$N,Dados!$B:$B,B25,Dados!$J:$J,$D$1,Dados!$I:$I,$G$4)</f>
        <v>0</v>
      </c>
      <c r="H25" s="81">
        <f>sumifs(Dados!$N:$N,Dados!$B:$B,B25,Dados!$J:$J,$D$1,Dados!$I:$I,$H$4)</f>
        <v>0</v>
      </c>
      <c r="I25" s="81">
        <f>sumifs(Dados!$N:$N,Dados!$B:$B,B25,Dados!$J:$J,$D$1,Dados!$I:$I,$I$4)</f>
        <v>0</v>
      </c>
      <c r="J25" s="81">
        <f>sumifs(Dados!$N:$N,Dados!$B:$B,B25,Dados!$J:$J,$D$1,Dados!$I:$I,$J$4)</f>
        <v>0</v>
      </c>
      <c r="K25" s="81">
        <f>sumifs(Dados!$N:$N,Dados!$B:$B,B25,Dados!$J:$J,$D$1,Dados!$I:$I,$K$4)</f>
        <v>0</v>
      </c>
      <c r="L25" s="81">
        <f>sumifs(Dados!$N:$N,Dados!$B:$B,B25,Dados!$J:$J,$D$1,Dados!$I:$I,$L$4)</f>
        <v>0</v>
      </c>
      <c r="M25" s="81">
        <f>sumifs(Dados!$N:$N,Dados!$B:$B,B25,Dados!$J:$J,$D$1,Dados!$I:$I,$M$4)</f>
        <v>0</v>
      </c>
      <c r="N25" s="81">
        <f>sumifs(Dados!$N:$N,Dados!$B:$B,B25,Dados!$J:$J,$D$1,Dados!$I:$I,$N$4)</f>
        <v>0</v>
      </c>
      <c r="O25" s="81">
        <f>sumifs(Dados!$N:$N,Dados!$B:$B,B25,Dados!$J:$J,$D$1,Dados!$I:$I,$O$4)</f>
        <v>0</v>
      </c>
      <c r="P25" s="81">
        <f>sumifs(Dados!$N:$N,Dados!$B:$B,B25,Dados!$J:$J,$D$1,Dados!$I:$I,$P$4)</f>
        <v>0</v>
      </c>
      <c r="Q25" s="81"/>
    </row>
    <row r="26" ht="15.75" customHeight="1">
      <c r="A26" s="104"/>
      <c r="B26" s="83" t="s">
        <v>107</v>
      </c>
      <c r="C26" s="79"/>
      <c r="D26" s="80">
        <f t="shared" si="5"/>
        <v>0</v>
      </c>
      <c r="E26" s="81">
        <f>sumifs(Dados!$N:$N,Dados!$B:$B,B26,Dados!$J:$J,$D$1,Dados!$I:$I,$E$4)</f>
        <v>0</v>
      </c>
      <c r="F26" s="81">
        <f>sumifs(Dados!$N:$N,Dados!$B:$B,B26,Dados!$J:$J,$D$1,Dados!$I:$I,$F$4)</f>
        <v>0</v>
      </c>
      <c r="G26" s="81">
        <f>sumifs(Dados!$N:$N,Dados!$B:$B,B26,Dados!$J:$J,$D$1,Dados!$I:$I,$G$4)</f>
        <v>0</v>
      </c>
      <c r="H26" s="81">
        <f>sumifs(Dados!$N:$N,Dados!$B:$B,B26,Dados!$J:$J,$D$1,Dados!$I:$I,$H$4)</f>
        <v>0</v>
      </c>
      <c r="I26" s="81">
        <f>sumifs(Dados!$N:$N,Dados!$B:$B,B26,Dados!$J:$J,$D$1,Dados!$I:$I,$I$4)</f>
        <v>0</v>
      </c>
      <c r="J26" s="81">
        <f>sumifs(Dados!$N:$N,Dados!$B:$B,B26,Dados!$J:$J,$D$1,Dados!$I:$I,$J$4)</f>
        <v>0</v>
      </c>
      <c r="K26" s="81">
        <f>sumifs(Dados!$N:$N,Dados!$B:$B,B26,Dados!$J:$J,$D$1,Dados!$I:$I,$K$4)</f>
        <v>0</v>
      </c>
      <c r="L26" s="81">
        <f>sumifs(Dados!$N:$N,Dados!$B:$B,B26,Dados!$J:$J,$D$1,Dados!$I:$I,$L$4)</f>
        <v>0</v>
      </c>
      <c r="M26" s="81">
        <f>sumifs(Dados!$N:$N,Dados!$B:$B,B26,Dados!$J:$J,$D$1,Dados!$I:$I,$M$4)</f>
        <v>0</v>
      </c>
      <c r="N26" s="81">
        <f>sumifs(Dados!$N:$N,Dados!$B:$B,B26,Dados!$J:$J,$D$1,Dados!$I:$I,$N$4)</f>
        <v>0</v>
      </c>
      <c r="O26" s="81">
        <f>sumifs(Dados!$N:$N,Dados!$B:$B,B26,Dados!$J:$J,$D$1,Dados!$I:$I,$O$4)</f>
        <v>0</v>
      </c>
      <c r="P26" s="81">
        <f>sumifs(Dados!$N:$N,Dados!$B:$B,B26,Dados!$J:$J,$D$1,Dados!$I:$I,$P$4)</f>
        <v>0</v>
      </c>
      <c r="Q26" s="81"/>
    </row>
    <row r="27" ht="15.75" customHeight="1">
      <c r="A27" s="82"/>
      <c r="B27" s="83" t="s">
        <v>108</v>
      </c>
      <c r="C27" s="79"/>
      <c r="D27" s="80">
        <f t="shared" si="5"/>
        <v>0</v>
      </c>
      <c r="E27" s="81">
        <f>sumifs(Dados!$N:$N,Dados!$B:$B,$B$27,Dados!$J:$J,$D$1,Dados!$I:$I,E4)</f>
        <v>0</v>
      </c>
      <c r="F27" s="81">
        <f>sumifs(Dados!$N:$N,Dados!$B:$B,$B$27,Dados!$J:$J,$D$1,Dados!$I:$I,F4)</f>
        <v>0</v>
      </c>
      <c r="G27" s="81">
        <f>sumifs(Dados!$N:$N,Dados!$B:$B,$B$27,Dados!$J:$J,$D$1,Dados!$I:$I,G4)</f>
        <v>0</v>
      </c>
      <c r="H27" s="81">
        <f>sumifs(Dados!$N:$N,Dados!$B:$B,$B$27,Dados!$J:$J,$D$1,Dados!$I:$I,H4)</f>
        <v>0</v>
      </c>
      <c r="I27" s="81">
        <f>sumifs(Dados!$N:$N,Dados!$B:$B,$B$27,Dados!$J:$J,$D$1,Dados!$I:$I,I4)</f>
        <v>0</v>
      </c>
      <c r="J27" s="81">
        <f>sumifs(Dados!$N:$N,Dados!$B:$B,$B$27,Dados!$J:$J,$D$1,Dados!$I:$I,J4)</f>
        <v>0</v>
      </c>
      <c r="K27" s="81">
        <f>sumifs(Dados!$N:$N,Dados!$B:$B,$B$27,Dados!$J:$J,$D$1,Dados!$I:$I,K4)</f>
        <v>0</v>
      </c>
      <c r="L27" s="81">
        <f>sumifs(Dados!$N:$N,Dados!$B:$B,$B$27,Dados!$J:$J,$D$1,Dados!$I:$I,L4)</f>
        <v>0</v>
      </c>
      <c r="M27" s="81">
        <f>sumifs(Dados!$N:$N,Dados!$B:$B,$B$27,Dados!$J:$J,$D$1,Dados!$I:$I,M4)</f>
        <v>0</v>
      </c>
      <c r="N27" s="81">
        <f>sumifs(Dados!$N:$N,Dados!$B:$B,$B$27,Dados!$J:$J,$D$1,Dados!$I:$I,N4)</f>
        <v>0</v>
      </c>
      <c r="O27" s="81">
        <f>sumifs(Dados!$N:$N,Dados!$B:$B,$B$27,Dados!$J:$J,$D$1,Dados!$I:$I,O4)</f>
        <v>0</v>
      </c>
      <c r="P27" s="81">
        <f>sumifs(Dados!$N:$N,Dados!$B:$B,$B$27,Dados!$J:$J,$D$1,Dados!$I:$I,P4)</f>
        <v>0</v>
      </c>
      <c r="Q27" s="81"/>
    </row>
    <row r="28" ht="15.75" customHeight="1">
      <c r="A28" s="87"/>
      <c r="B28" s="83" t="s">
        <v>110</v>
      </c>
      <c r="C28" s="79"/>
      <c r="D28" s="80">
        <f t="shared" si="5"/>
        <v>0</v>
      </c>
      <c r="E28" s="81">
        <f>sumifs(Dados!$N:$N,Dados!$B:$B,$B$28,Dados!$J:$J,$D$1,Dados!$I:$I,E4)</f>
        <v>0</v>
      </c>
      <c r="F28" s="81">
        <f>sumifs(Dados!$N:$N,Dados!$B:$B,$B$28,Dados!$J:$J,$D$1,Dados!$I:$I,F4)</f>
        <v>0</v>
      </c>
      <c r="G28" s="81">
        <f>sumifs(Dados!$N:$N,Dados!$B:$B,$B$28,Dados!$J:$J,$D$1,Dados!$I:$I,G4)</f>
        <v>0</v>
      </c>
      <c r="H28" s="81">
        <f>sumifs(Dados!$N:$N,Dados!$B:$B,$B$28,Dados!$J:$J,$D$1,Dados!$I:$I,H4)</f>
        <v>0</v>
      </c>
      <c r="I28" s="81">
        <f>sumifs(Dados!$N:$N,Dados!$B:$B,$B$28,Dados!$J:$J,$D$1,Dados!$I:$I,I4)</f>
        <v>0</v>
      </c>
      <c r="J28" s="81">
        <f>sumifs(Dados!$N:$N,Dados!$B:$B,$B$28,Dados!$J:$J,$D$1,Dados!$I:$I,J4)</f>
        <v>0</v>
      </c>
      <c r="K28" s="81">
        <f>sumifs(Dados!$N:$N,Dados!$B:$B,$B$28,Dados!$J:$J,$D$1,Dados!$I:$I,K4)</f>
        <v>0</v>
      </c>
      <c r="L28" s="81">
        <f>sumifs(Dados!$N:$N,Dados!$B:$B,$B$28,Dados!$J:$J,$D$1,Dados!$I:$I,L4)</f>
        <v>0</v>
      </c>
      <c r="M28" s="81">
        <f>sumifs(Dados!$N:$N,Dados!$B:$B,$B$28,Dados!$J:$J,$D$1,Dados!$I:$I,M4)</f>
        <v>0</v>
      </c>
      <c r="N28" s="81">
        <f>sumifs(Dados!$N:$N,Dados!$B:$B,$B$28,Dados!$J:$J,$D$1,Dados!$I:$I,N4)</f>
        <v>0</v>
      </c>
      <c r="O28" s="81">
        <f>sumifs(Dados!$N:$N,Dados!$B:$B,$B$28,Dados!$J:$J,$D$1,Dados!$I:$I,O4)</f>
        <v>0</v>
      </c>
      <c r="P28" s="81">
        <f>sumifs(Dados!$N:$N,Dados!$B:$B,$B$28,Dados!$J:$J,$D$1,Dados!$I:$I,P4)</f>
        <v>0</v>
      </c>
      <c r="Q28" s="81"/>
    </row>
    <row r="29" ht="15.75" customHeight="1">
      <c r="A29" s="109" t="s">
        <v>112</v>
      </c>
      <c r="B29" s="100">
        <f>sumifs(Dados!$N:$N,Dados!$A:$A,A29,Dados!$H:$H,$D$1)</f>
        <v>0</v>
      </c>
      <c r="C29" s="101">
        <f>B29-D29</f>
        <v>0</v>
      </c>
      <c r="D29" s="100">
        <f t="shared" ref="D29:P29" si="6">SUM(D25:D28)</f>
        <v>0</v>
      </c>
      <c r="E29" s="100">
        <f t="shared" si="6"/>
        <v>0</v>
      </c>
      <c r="F29" s="100">
        <f t="shared" si="6"/>
        <v>0</v>
      </c>
      <c r="G29" s="100">
        <f t="shared" si="6"/>
        <v>0</v>
      </c>
      <c r="H29" s="100">
        <f t="shared" si="6"/>
        <v>0</v>
      </c>
      <c r="I29" s="100">
        <f t="shared" si="6"/>
        <v>0</v>
      </c>
      <c r="J29" s="100">
        <f t="shared" si="6"/>
        <v>0</v>
      </c>
      <c r="K29" s="100">
        <f t="shared" si="6"/>
        <v>0</v>
      </c>
      <c r="L29" s="100">
        <f t="shared" si="6"/>
        <v>0</v>
      </c>
      <c r="M29" s="100">
        <f t="shared" si="6"/>
        <v>0</v>
      </c>
      <c r="N29" s="100">
        <f t="shared" si="6"/>
        <v>0</v>
      </c>
      <c r="O29" s="100">
        <f t="shared" si="6"/>
        <v>0</v>
      </c>
      <c r="P29" s="100">
        <f t="shared" si="6"/>
        <v>0</v>
      </c>
      <c r="Q29" s="100"/>
    </row>
    <row r="30" ht="15.75" customHeight="1">
      <c r="A30" s="77"/>
      <c r="B30" s="78" t="s">
        <v>113</v>
      </c>
      <c r="C30" s="79"/>
      <c r="D30" s="80">
        <f t="shared" ref="D30:D33" si="7">SUM(E30:P30)</f>
        <v>0</v>
      </c>
      <c r="E30" s="81">
        <f>sumifs(Dados!$N:$N,Dados!$B:$B,B30,Dados!$J:$J,$D$1,Dados!$I:$I,$E$4)</f>
        <v>0</v>
      </c>
      <c r="F30" s="81">
        <f>sumifs(Dados!$N:$N,Dados!$B:$B,B30,Dados!$J:$J,$D$1,Dados!$I:$I,$F$4)</f>
        <v>0</v>
      </c>
      <c r="G30" s="81">
        <f>sumifs(Dados!$N:$N,Dados!$B:$B,B30,Dados!$J:$J,$D$1,Dados!$I:$I,$G$4)</f>
        <v>0</v>
      </c>
      <c r="H30" s="81">
        <f>sumifs(Dados!$N:$N,Dados!$B:$B,B30,Dados!$J:$J,$D$1,Dados!$I:$I,$H$4)</f>
        <v>0</v>
      </c>
      <c r="I30" s="81">
        <f>sumifs(Dados!$N:$N,Dados!$B:$B,B30,Dados!$J:$J,$D$1,Dados!$I:$I,$I$4)</f>
        <v>0</v>
      </c>
      <c r="J30" s="81">
        <f>sumifs(Dados!$N:$N,Dados!$B:$B,B30,Dados!$J:$J,$D$1,Dados!$I:$I,$J$4)</f>
        <v>0</v>
      </c>
      <c r="K30" s="81">
        <f>sumifs(Dados!$N:$N,Dados!$B:$B,B30,Dados!$J:$J,$D$1,Dados!$I:$I,$K$4)</f>
        <v>0</v>
      </c>
      <c r="L30" s="81">
        <f>sumifs(Dados!$N:$N,Dados!$B:$B,B30,Dados!$J:$J,$D$1,Dados!$I:$I,$L$4)</f>
        <v>0</v>
      </c>
      <c r="M30" s="81">
        <f>sumifs(Dados!$N:$N,Dados!$B:$B,B30,Dados!$J:$J,$D$1,Dados!$I:$I,$M$4)</f>
        <v>0</v>
      </c>
      <c r="N30" s="81">
        <f>sumifs(Dados!$N:$N,Dados!$B:$B,B30,Dados!$J:$J,$D$1,Dados!$I:$I,$N$4)</f>
        <v>0</v>
      </c>
      <c r="O30" s="81">
        <f>sumifs(Dados!$N:$N,Dados!$B:$B,B30,Dados!$J:$J,$D$1,Dados!$I:$I,$O$4)</f>
        <v>0</v>
      </c>
      <c r="P30" s="81">
        <f>sumifs(Dados!$N:$N,Dados!$B:$B,B30,Dados!$J:$J,$D$1,Dados!$I:$I,$P$4)</f>
        <v>0</v>
      </c>
      <c r="Q30" s="81"/>
    </row>
    <row r="31" ht="15.75" customHeight="1">
      <c r="A31" s="87"/>
      <c r="B31" s="83" t="s">
        <v>35</v>
      </c>
      <c r="C31" s="79"/>
      <c r="D31" s="80">
        <f t="shared" si="7"/>
        <v>39.45</v>
      </c>
      <c r="E31" s="81">
        <f>sumifs(Dados!$N:$N,Dados!$B:$B,$B$31,Dados!$J:$J,$D$1,Dados!$I:$I,E4)</f>
        <v>5.19</v>
      </c>
      <c r="F31" s="81">
        <f>sumifs(Dados!$N:$N,Dados!$B:$B,$B$31,Dados!$J:$J,$D$1,Dados!$I:$I,F4)</f>
        <v>8.31</v>
      </c>
      <c r="G31" s="81">
        <f>sumifs(Dados!$N:$N,Dados!$B:$B,$B$31,Dados!$J:$J,$D$1,Dados!$I:$I,G4)</f>
        <v>5.19</v>
      </c>
      <c r="H31" s="81">
        <f>sumifs(Dados!$N:$N,Dados!$B:$B,$B$31,Dados!$J:$J,$D$1,Dados!$I:$I,H4)</f>
        <v>5.19</v>
      </c>
      <c r="I31" s="81">
        <f>sumifs(Dados!$N:$N,Dados!$B:$B,$B$31,Dados!$J:$J,$D$1,Dados!$I:$I,I4)</f>
        <v>5.19</v>
      </c>
      <c r="J31" s="81">
        <f>sumifs(Dados!$N:$N,Dados!$B:$B,$B$31,Dados!$J:$J,$D$1,Dados!$I:$I,J4)</f>
        <v>5.19</v>
      </c>
      <c r="K31" s="81">
        <f>sumifs(Dados!$N:$N,Dados!$B:$B,$B$31,Dados!$J:$J,$D$1,Dados!$I:$I,K4)</f>
        <v>5.19</v>
      </c>
      <c r="L31" s="81">
        <f>sumifs(Dados!$N:$N,Dados!$B:$B,$B$31,Dados!$J:$J,$D$1,Dados!$I:$I,L4)</f>
        <v>0</v>
      </c>
      <c r="M31" s="81">
        <f>sumifs(Dados!$N:$N,Dados!$B:$B,$B$31,Dados!$J:$J,$D$1,Dados!$I:$I,M4)</f>
        <v>0</v>
      </c>
      <c r="N31" s="81">
        <f>sumifs(Dados!$N:$N,Dados!$B:$B,$B$31,Dados!$J:$J,$D$1,Dados!$I:$I,N4)</f>
        <v>0</v>
      </c>
      <c r="O31" s="81">
        <f>sumifs(Dados!$N:$N,Dados!$B:$B,$B$31,Dados!$J:$J,$D$1,Dados!$I:$I,O4)</f>
        <v>0</v>
      </c>
      <c r="P31" s="81">
        <f>sumifs(Dados!$N:$N,Dados!$B:$B,$B$31,Dados!$J:$J,$D$1,Dados!$I:$I,P4)</f>
        <v>0</v>
      </c>
      <c r="Q31" s="81"/>
    </row>
    <row r="32" ht="15.75" customHeight="1">
      <c r="A32" s="77"/>
      <c r="B32" s="78" t="s">
        <v>117</v>
      </c>
      <c r="C32" s="79"/>
      <c r="D32" s="80">
        <f t="shared" si="7"/>
        <v>0</v>
      </c>
      <c r="E32" s="81">
        <f>sumifs(Dados!$N:$N,Dados!$B:$B,B32,Dados!$J:$J,$D$1,Dados!$I:$I,$E$4)</f>
        <v>0</v>
      </c>
      <c r="F32" s="81">
        <f>sumifs(Dados!$N:$N,Dados!$B:$B,B32,Dados!$J:$J,$D$1,Dados!$I:$I,$F$4)</f>
        <v>0</v>
      </c>
      <c r="G32" s="81">
        <f>sumifs(Dados!$N:$N,Dados!$B:$B,B32,Dados!$J:$J,$D$1,Dados!$I:$I,$G$4)</f>
        <v>0</v>
      </c>
      <c r="H32" s="81">
        <f>sumifs(Dados!$N:$N,Dados!$B:$B,B32,Dados!$J:$J,$D$1,Dados!$I:$I,$H$4)</f>
        <v>0</v>
      </c>
      <c r="I32" s="81">
        <f>sumifs(Dados!$N:$N,Dados!$B:$B,B32,Dados!$J:$J,$D$1,Dados!$I:$I,$I$4)</f>
        <v>0</v>
      </c>
      <c r="J32" s="81">
        <f>sumifs(Dados!$N:$N,Dados!$B:$B,B32,Dados!$J:$J,$D$1,Dados!$I:$I,$J$4)</f>
        <v>0</v>
      </c>
      <c r="K32" s="81">
        <f>sumifs(Dados!$N:$N,Dados!$B:$B,B32,Dados!$J:$J,$D$1,Dados!$I:$I,$K$4)</f>
        <v>0</v>
      </c>
      <c r="L32" s="81">
        <f>sumifs(Dados!$N:$N,Dados!$B:$B,B32,Dados!$J:$J,$D$1,Dados!$I:$I,$L$4)</f>
        <v>0</v>
      </c>
      <c r="M32" s="81">
        <f>sumifs(Dados!$N:$N,Dados!$B:$B,B32,Dados!$J:$J,$D$1,Dados!$I:$I,$M$4)</f>
        <v>0</v>
      </c>
      <c r="N32" s="81">
        <f>sumifs(Dados!$N:$N,Dados!$B:$B,B32,Dados!$J:$J,$D$1,Dados!$I:$I,$N$4)</f>
        <v>0</v>
      </c>
      <c r="O32" s="81">
        <f>sumifs(Dados!$N:$N,Dados!$B:$B,B32,Dados!$J:$J,$D$1,Dados!$I:$I,$O$4)</f>
        <v>0</v>
      </c>
      <c r="P32" s="81">
        <f>sumifs(Dados!$N:$N,Dados!$B:$B,B32,Dados!$J:$J,$D$1,Dados!$I:$I,$P$4)</f>
        <v>0</v>
      </c>
      <c r="Q32" s="81"/>
    </row>
    <row r="33" ht="15.75" customHeight="1">
      <c r="A33" s="77"/>
      <c r="B33" s="78" t="s">
        <v>119</v>
      </c>
      <c r="C33" s="79"/>
      <c r="D33" s="80">
        <f t="shared" si="7"/>
        <v>21.01</v>
      </c>
      <c r="E33" s="81">
        <f>sumifs(Dados!$N:$N,Dados!$B:$B,B33,Dados!$J:$J,$D$1,Dados!$I:$I,$E$4)</f>
        <v>0</v>
      </c>
      <c r="F33" s="81">
        <f>sumifs(Dados!$N:$N,Dados!$B:$B,B33,Dados!$J:$J,$D$1,Dados!$I:$I,$F$4)</f>
        <v>0</v>
      </c>
      <c r="G33" s="81">
        <f>sumifs(Dados!$N:$N,Dados!$B:$B,B33,Dados!$J:$J,$D$1,Dados!$I:$I,$G$4)</f>
        <v>0</v>
      </c>
      <c r="H33" s="81">
        <f>sumifs(Dados!$N:$N,Dados!$B:$B,B33,Dados!$J:$J,$D$1,Dados!$I:$I,$H$4)</f>
        <v>0</v>
      </c>
      <c r="I33" s="81">
        <f>sumifs(Dados!$N:$N,Dados!$B:$B,B33,Dados!$J:$J,$D$1,Dados!$I:$I,$I$4)</f>
        <v>0</v>
      </c>
      <c r="J33" s="81">
        <f>sumifs(Dados!$N:$N,Dados!$B:$B,B33,Dados!$J:$J,$D$1,Dados!$I:$I,$J$4)</f>
        <v>21.01</v>
      </c>
      <c r="K33" s="81">
        <f>sumifs(Dados!$N:$N,Dados!$B:$B,B33,Dados!$J:$J,$D$1,Dados!$I:$I,$K$4)</f>
        <v>0</v>
      </c>
      <c r="L33" s="81">
        <f>sumifs(Dados!$N:$N,Dados!$B:$B,B33,Dados!$J:$J,$D$1,Dados!$I:$I,$L$4)</f>
        <v>0</v>
      </c>
      <c r="M33" s="81">
        <f>sumifs(Dados!$N:$N,Dados!$B:$B,B33,Dados!$J:$J,$D$1,Dados!$I:$I,$M$4)</f>
        <v>0</v>
      </c>
      <c r="N33" s="81">
        <f>sumifs(Dados!$N:$N,Dados!$B:$B,B33,Dados!$J:$J,$D$1,Dados!$I:$I,$N$4)</f>
        <v>0</v>
      </c>
      <c r="O33" s="81">
        <f>sumifs(Dados!$N:$N,Dados!$B:$B,B33,Dados!$J:$J,$D$1,Dados!$I:$I,$O$4)</f>
        <v>0</v>
      </c>
      <c r="P33" s="81">
        <f>sumifs(Dados!$N:$N,Dados!$B:$B,B33,Dados!$J:$J,$D$1,Dados!$I:$I,$P$4)</f>
        <v>0</v>
      </c>
      <c r="Q33" s="81"/>
    </row>
    <row r="34" ht="15.75" customHeight="1">
      <c r="A34" s="99" t="s">
        <v>121</v>
      </c>
      <c r="B34" s="100">
        <f>sumifs(Dados!$N:$N,Dados!$A:$A,A34,Dados!$H:$H,$D$1)</f>
        <v>60.46</v>
      </c>
      <c r="C34" s="101">
        <f>B34-D34</f>
        <v>0</v>
      </c>
      <c r="D34" s="100">
        <f t="shared" ref="D34:P34" si="8">SUM(D30:D33)</f>
        <v>60.46</v>
      </c>
      <c r="E34" s="100">
        <f t="shared" si="8"/>
        <v>5.19</v>
      </c>
      <c r="F34" s="100">
        <f t="shared" si="8"/>
        <v>8.31</v>
      </c>
      <c r="G34" s="100">
        <f t="shared" si="8"/>
        <v>5.19</v>
      </c>
      <c r="H34" s="100">
        <f t="shared" si="8"/>
        <v>5.19</v>
      </c>
      <c r="I34" s="100">
        <f t="shared" si="8"/>
        <v>5.19</v>
      </c>
      <c r="J34" s="100">
        <f t="shared" si="8"/>
        <v>26.2</v>
      </c>
      <c r="K34" s="100">
        <f t="shared" si="8"/>
        <v>5.19</v>
      </c>
      <c r="L34" s="100">
        <f t="shared" si="8"/>
        <v>0</v>
      </c>
      <c r="M34" s="100">
        <f t="shared" si="8"/>
        <v>0</v>
      </c>
      <c r="N34" s="100">
        <f t="shared" si="8"/>
        <v>0</v>
      </c>
      <c r="O34" s="100">
        <f t="shared" si="8"/>
        <v>0</v>
      </c>
      <c r="P34" s="100">
        <f t="shared" si="8"/>
        <v>0</v>
      </c>
      <c r="Q34" s="100"/>
    </row>
    <row r="35" ht="15.75" customHeight="1">
      <c r="A35" s="102"/>
      <c r="B35" s="78" t="s">
        <v>122</v>
      </c>
      <c r="C35" s="79"/>
      <c r="D35" s="80">
        <f t="shared" ref="D35:D54" si="9">SUM(E35:P35)</f>
        <v>6.26</v>
      </c>
      <c r="E35" s="81">
        <f>sumifs(Dados!$N:$N,Dados!$B:$B,B35,Dados!$J:$J,$D$1,Dados!$I:$I,$E$4)</f>
        <v>0</v>
      </c>
      <c r="F35" s="81">
        <f>sumifs(Dados!$N:$N,Dados!$B:$B,B35,Dados!$J:$J,$D$1,Dados!$I:$I,$F$4)</f>
        <v>0</v>
      </c>
      <c r="G35" s="81">
        <f>sumifs(Dados!$N:$N,Dados!$B:$B,B35,Dados!$J:$J,$D$1,Dados!$I:$I,$G$4)</f>
        <v>0</v>
      </c>
      <c r="H35" s="81">
        <f>sumifs(Dados!$N:$N,Dados!$B:$B,B35,Dados!$J:$J,$D$1,Dados!$I:$I,$H$4)</f>
        <v>0</v>
      </c>
      <c r="I35" s="81">
        <f>sumifs(Dados!$N:$N,Dados!$B:$B,B35,Dados!$J:$J,$D$1,Dados!$I:$I,$I$4)</f>
        <v>0</v>
      </c>
      <c r="J35" s="81">
        <f>sumifs(Dados!$N:$N,Dados!$B:$B,B35,Dados!$J:$J,$D$1,Dados!$I:$I,$J$4)</f>
        <v>5.1</v>
      </c>
      <c r="K35" s="81">
        <f>sumifs(Dados!$N:$N,Dados!$B:$B,B35,Dados!$J:$J,$D$1,Dados!$I:$I,$K$4)</f>
        <v>1.16</v>
      </c>
      <c r="L35" s="81">
        <f>sumifs(Dados!$N:$N,Dados!$B:$B,B35,Dados!$J:$J,$D$1,Dados!$I:$I,$L$4)</f>
        <v>0</v>
      </c>
      <c r="M35" s="81">
        <f>sumifs(Dados!$N:$N,Dados!$B:$B,B35,Dados!$J:$J,$D$1,Dados!$I:$I,$M$4)</f>
        <v>0</v>
      </c>
      <c r="N35" s="81">
        <f>sumifs(Dados!$N:$N,Dados!$B:$B,B35,Dados!$J:$J,$D$1,Dados!$I:$I,$N$4)</f>
        <v>0</v>
      </c>
      <c r="O35" s="81">
        <f>sumifs(Dados!$N:$N,Dados!$B:$B,B35,Dados!$J:$J,$D$1,Dados!$I:$I,$O$4)</f>
        <v>0</v>
      </c>
      <c r="P35" s="81">
        <f>sumifs(Dados!$N:$N,Dados!$B:$B,B35,Dados!$J:$J,$D$1,Dados!$I:$I,$P$4)</f>
        <v>0</v>
      </c>
      <c r="Q35" s="81"/>
    </row>
    <row r="36" ht="15.75" customHeight="1">
      <c r="A36" s="77"/>
      <c r="B36" s="78" t="s">
        <v>124</v>
      </c>
      <c r="C36" s="79"/>
      <c r="D36" s="80">
        <f t="shared" si="9"/>
        <v>86.98</v>
      </c>
      <c r="E36" s="81">
        <f>sumifs(Dados!$N:$N,Dados!$B:$B,B36,Dados!$J:$J,$D$1,Dados!$I:$I,$E$4)</f>
        <v>0</v>
      </c>
      <c r="F36" s="81">
        <f>sumifs(Dados!$N:$N,Dados!$B:$B,B36,Dados!$J:$J,$D$1,Dados!$I:$I,$F$4)</f>
        <v>0</v>
      </c>
      <c r="G36" s="81">
        <f>sumifs(Dados!$N:$N,Dados!$B:$B,B36,Dados!$J:$J,$D$1,Dados!$I:$I,$G$4)</f>
        <v>0</v>
      </c>
      <c r="H36" s="81">
        <f>sumifs(Dados!$N:$N,Dados!$B:$B,B36,Dados!$J:$J,$D$1,Dados!$I:$I,$H$4)</f>
        <v>25.08</v>
      </c>
      <c r="I36" s="81">
        <f>sumifs(Dados!$N:$N,Dados!$B:$B,B36,Dados!$J:$J,$D$1,Dados!$I:$I,$I$4)</f>
        <v>10.45</v>
      </c>
      <c r="J36" s="81">
        <f>sumifs(Dados!$N:$N,Dados!$B:$B,B36,Dados!$J:$J,$D$1,Dados!$I:$I,$J$4)</f>
        <v>29.4</v>
      </c>
      <c r="K36" s="81">
        <f>sumifs(Dados!$N:$N,Dados!$B:$B,B36,Dados!$J:$J,$D$1,Dados!$I:$I,$K$4)</f>
        <v>22.05</v>
      </c>
      <c r="L36" s="81">
        <f>sumifs(Dados!$N:$N,Dados!$B:$B,B36,Dados!$J:$J,$D$1,Dados!$I:$I,$L$4)</f>
        <v>0</v>
      </c>
      <c r="M36" s="81">
        <f>sumifs(Dados!$N:$N,Dados!$B:$B,B36,Dados!$J:$J,$D$1,Dados!$I:$I,$M$4)</f>
        <v>0</v>
      </c>
      <c r="N36" s="81">
        <f>sumifs(Dados!$N:$N,Dados!$B:$B,B36,Dados!$J:$J,$D$1,Dados!$I:$I,$N$4)</f>
        <v>0</v>
      </c>
      <c r="O36" s="81">
        <f>sumifs(Dados!$N:$N,Dados!$B:$B,B36,Dados!$J:$J,$D$1,Dados!$I:$I,$O$4)</f>
        <v>0</v>
      </c>
      <c r="P36" s="81">
        <f>sumifs(Dados!$N:$N,Dados!$B:$B,B36,Dados!$J:$J,$D$1,Dados!$I:$I,$P$4)</f>
        <v>0</v>
      </c>
      <c r="Q36" s="81"/>
    </row>
    <row r="37" ht="15.75" customHeight="1">
      <c r="A37" s="77"/>
      <c r="B37" s="78" t="s">
        <v>125</v>
      </c>
      <c r="C37" s="79"/>
      <c r="D37" s="80">
        <f t="shared" si="9"/>
        <v>4.29</v>
      </c>
      <c r="E37" s="81">
        <f>sumifs(Dados!$N:$N,Dados!$B:$B,B37,Dados!$J:$J,$D$1,Dados!$I:$I,$E$4)</f>
        <v>0</v>
      </c>
      <c r="F37" s="81">
        <f>sumifs(Dados!$N:$N,Dados!$B:$B,B37,Dados!$J:$J,$D$1,Dados!$I:$I,$F$4)</f>
        <v>0</v>
      </c>
      <c r="G37" s="81">
        <f>sumifs(Dados!$N:$N,Dados!$B:$B,B37,Dados!$J:$J,$D$1,Dados!$I:$I,$G$4)</f>
        <v>0</v>
      </c>
      <c r="H37" s="81">
        <f>sumifs(Dados!$N:$N,Dados!$B:$B,B37,Dados!$J:$J,$D$1,Dados!$I:$I,$H$4)</f>
        <v>4.29</v>
      </c>
      <c r="I37" s="81">
        <f>sumifs(Dados!$N:$N,Dados!$B:$B,B37,Dados!$J:$J,$D$1,Dados!$I:$I,$I$4)</f>
        <v>0</v>
      </c>
      <c r="J37" s="81">
        <f>sumifs(Dados!$N:$N,Dados!$B:$B,B37,Dados!$J:$J,$D$1,Dados!$I:$I,$J$4)</f>
        <v>0</v>
      </c>
      <c r="K37" s="81">
        <f>sumifs(Dados!$N:$N,Dados!$B:$B,B37,Dados!$J:$J,$D$1,Dados!$I:$I,$K$4)</f>
        <v>0</v>
      </c>
      <c r="L37" s="81">
        <f>sumifs(Dados!$N:$N,Dados!$B:$B,B37,Dados!$J:$J,$D$1,Dados!$I:$I,$L$4)</f>
        <v>0</v>
      </c>
      <c r="M37" s="81">
        <f>sumifs(Dados!$N:$N,Dados!$B:$B,B37,Dados!$J:$J,$D$1,Dados!$I:$I,$M$4)</f>
        <v>0</v>
      </c>
      <c r="N37" s="81">
        <f>sumifs(Dados!$N:$N,Dados!$B:$B,B37,Dados!$J:$J,$D$1,Dados!$I:$I,$N$4)</f>
        <v>0</v>
      </c>
      <c r="O37" s="81">
        <f>sumifs(Dados!$N:$N,Dados!$B:$B,B37,Dados!$J:$J,$D$1,Dados!$I:$I,$O$4)</f>
        <v>0</v>
      </c>
      <c r="P37" s="81">
        <f>sumifs(Dados!$N:$N,Dados!$B:$B,B37,Dados!$J:$J,$D$1,Dados!$I:$I,$P$4)</f>
        <v>0</v>
      </c>
      <c r="Q37" s="81"/>
    </row>
    <row r="38" ht="15.75" customHeight="1">
      <c r="A38" s="77"/>
      <c r="B38" s="78" t="s">
        <v>126</v>
      </c>
      <c r="C38" s="79"/>
      <c r="D38" s="80">
        <f t="shared" si="9"/>
        <v>2.49</v>
      </c>
      <c r="E38" s="81">
        <f>sumifs(Dados!$N:$N,Dados!$B:$B,B38,Dados!$J:$J,$D$1,Dados!$I:$I,$E$4)</f>
        <v>0</v>
      </c>
      <c r="F38" s="81">
        <f>sumifs(Dados!$N:$N,Dados!$B:$B,B38,Dados!$J:$J,$D$1,Dados!$I:$I,$F$4)</f>
        <v>0</v>
      </c>
      <c r="G38" s="81">
        <f>sumifs(Dados!$N:$N,Dados!$B:$B,B38,Dados!$J:$J,$D$1,Dados!$I:$I,$G$4)</f>
        <v>0</v>
      </c>
      <c r="H38" s="81">
        <f>sumifs(Dados!$N:$N,Dados!$B:$B,B38,Dados!$J:$J,$D$1,Dados!$I:$I,$H$4)</f>
        <v>2.49</v>
      </c>
      <c r="I38" s="81">
        <f>sumifs(Dados!$N:$N,Dados!$B:$B,B38,Dados!$J:$J,$D$1,Dados!$I:$I,$I$4)</f>
        <v>0</v>
      </c>
      <c r="J38" s="81">
        <f>sumifs(Dados!$N:$N,Dados!$B:$B,B38,Dados!$J:$J,$D$1,Dados!$I:$I,$J$4)</f>
        <v>0</v>
      </c>
      <c r="K38" s="81">
        <f>sumifs(Dados!$N:$N,Dados!$B:$B,B38,Dados!$J:$J,$D$1,Dados!$I:$I,$K$4)</f>
        <v>0</v>
      </c>
      <c r="L38" s="81">
        <f>sumifs(Dados!$N:$N,Dados!$B:$B,B38,Dados!$J:$J,$D$1,Dados!$I:$I,$L$4)</f>
        <v>0</v>
      </c>
      <c r="M38" s="81">
        <f>sumifs(Dados!$N:$N,Dados!$B:$B,B38,Dados!$J:$J,$D$1,Dados!$I:$I,$M$4)</f>
        <v>0</v>
      </c>
      <c r="N38" s="81">
        <f>sumifs(Dados!$N:$N,Dados!$B:$B,B38,Dados!$J:$J,$D$1,Dados!$I:$I,$N$4)</f>
        <v>0</v>
      </c>
      <c r="O38" s="81">
        <f>sumifs(Dados!$N:$N,Dados!$B:$B,B38,Dados!$J:$J,$D$1,Dados!$I:$I,$O$4)</f>
        <v>0</v>
      </c>
      <c r="P38" s="81">
        <f>sumifs(Dados!$N:$N,Dados!$B:$B,B38,Dados!$J:$J,$D$1,Dados!$I:$I,$P$4)</f>
        <v>0</v>
      </c>
      <c r="Q38" s="81"/>
    </row>
    <row r="39" ht="15.75" customHeight="1">
      <c r="A39" s="77"/>
      <c r="B39" s="78" t="s">
        <v>129</v>
      </c>
      <c r="C39" s="79"/>
      <c r="D39" s="80">
        <f t="shared" si="9"/>
        <v>333.81</v>
      </c>
      <c r="E39" s="81">
        <f>sumifs(Dados!$N:$N,Dados!$B:$B,B39,Dados!$J:$J,$D$1,Dados!$I:$I,$E$4)</f>
        <v>0</v>
      </c>
      <c r="F39" s="81">
        <f>sumifs(Dados!$N:$N,Dados!$B:$B,B39,Dados!$J:$J,$D$1,Dados!$I:$I,$F$4)</f>
        <v>0</v>
      </c>
      <c r="G39" s="81">
        <f>sumifs(Dados!$N:$N,Dados!$B:$B,B39,Dados!$J:$J,$D$1,Dados!$I:$I,$G$4)</f>
        <v>0</v>
      </c>
      <c r="H39" s="81">
        <f>sumifs(Dados!$N:$N,Dados!$B:$B,B39,Dados!$J:$J,$D$1,Dados!$I:$I,$H$4)</f>
        <v>59</v>
      </c>
      <c r="I39" s="81">
        <f>sumifs(Dados!$N:$N,Dados!$B:$B,B39,Dados!$J:$J,$D$1,Dados!$I:$I,$I$4)</f>
        <v>59.1</v>
      </c>
      <c r="J39" s="81">
        <f>sumifs(Dados!$N:$N,Dados!$B:$B,B39,Dados!$J:$J,$D$1,Dados!$I:$I,$J$4)</f>
        <v>94.6</v>
      </c>
      <c r="K39" s="81">
        <f>sumifs(Dados!$N:$N,Dados!$B:$B,B39,Dados!$J:$J,$D$1,Dados!$I:$I,$K$4)</f>
        <v>121.11</v>
      </c>
      <c r="L39" s="81">
        <f>sumifs(Dados!$N:$N,Dados!$B:$B,B39,Dados!$J:$J,$D$1,Dados!$I:$I,$L$4)</f>
        <v>0</v>
      </c>
      <c r="M39" s="81">
        <f>sumifs(Dados!$N:$N,Dados!$B:$B,B39,Dados!$J:$J,$D$1,Dados!$I:$I,$M$4)</f>
        <v>0</v>
      </c>
      <c r="N39" s="81">
        <f>sumifs(Dados!$N:$N,Dados!$B:$B,B39,Dados!$J:$J,$D$1,Dados!$I:$I,$N$4)</f>
        <v>0</v>
      </c>
      <c r="O39" s="81">
        <f>sumifs(Dados!$N:$N,Dados!$B:$B,B39,Dados!$J:$J,$D$1,Dados!$I:$I,$O$4)</f>
        <v>0</v>
      </c>
      <c r="P39" s="81">
        <f>sumifs(Dados!$N:$N,Dados!$B:$B,B39,Dados!$J:$J,$D$1,Dados!$I:$I,$P$4)</f>
        <v>0</v>
      </c>
      <c r="Q39" s="81"/>
    </row>
    <row r="40" ht="15.75" customHeight="1">
      <c r="A40" s="102"/>
      <c r="B40" s="78" t="s">
        <v>130</v>
      </c>
      <c r="C40" s="79"/>
      <c r="D40" s="80">
        <f t="shared" si="9"/>
        <v>0</v>
      </c>
      <c r="E40" s="81">
        <f>sumifs(Dados!$N:$N,Dados!$B:$B,B40,Dados!$J:$J,$D$1,Dados!$I:$I,$E$4)</f>
        <v>0</v>
      </c>
      <c r="F40" s="81">
        <f>sumifs(Dados!$N:$N,Dados!$B:$B,B40,Dados!$J:$J,$D$1,Dados!$I:$I,$F$4)</f>
        <v>0</v>
      </c>
      <c r="G40" s="81">
        <f>sumifs(Dados!$N:$N,Dados!$B:$B,B40,Dados!$J:$J,$D$1,Dados!$I:$I,$G$4)</f>
        <v>0</v>
      </c>
      <c r="H40" s="81">
        <f>sumifs(Dados!$N:$N,Dados!$B:$B,B40,Dados!$J:$J,$D$1,Dados!$I:$I,$H$4)</f>
        <v>0</v>
      </c>
      <c r="I40" s="81">
        <f>sumifs(Dados!$N:$N,Dados!$B:$B,B40,Dados!$J:$J,$D$1,Dados!$I:$I,$I$4)</f>
        <v>0</v>
      </c>
      <c r="J40" s="81">
        <f>sumifs(Dados!$N:$N,Dados!$B:$B,B40,Dados!$J:$J,$D$1,Dados!$I:$I,$J$4)</f>
        <v>0</v>
      </c>
      <c r="K40" s="81">
        <f>sumifs(Dados!$N:$N,Dados!$B:$B,B40,Dados!$J:$J,$D$1,Dados!$I:$I,$K$4)</f>
        <v>0</v>
      </c>
      <c r="L40" s="81">
        <f>sumifs(Dados!$N:$N,Dados!$B:$B,B40,Dados!$J:$J,$D$1,Dados!$I:$I,$L$4)</f>
        <v>0</v>
      </c>
      <c r="M40" s="81">
        <f>sumifs(Dados!$N:$N,Dados!$B:$B,B40,Dados!$J:$J,$D$1,Dados!$I:$I,$M$4)</f>
        <v>0</v>
      </c>
      <c r="N40" s="81">
        <f>sumifs(Dados!$N:$N,Dados!$B:$B,B40,Dados!$J:$J,$D$1,Dados!$I:$I,$N$4)</f>
        <v>0</v>
      </c>
      <c r="O40" s="81">
        <f>sumifs(Dados!$N:$N,Dados!$B:$B,B40,Dados!$J:$J,$D$1,Dados!$I:$I,$O$4)</f>
        <v>0</v>
      </c>
      <c r="P40" s="81">
        <f>sumifs(Dados!$N:$N,Dados!$B:$B,B40,Dados!$J:$J,$D$1,Dados!$I:$I,$P$4)</f>
        <v>0</v>
      </c>
      <c r="Q40" s="81"/>
    </row>
    <row r="41" ht="15.75" customHeight="1">
      <c r="A41" s="77"/>
      <c r="B41" s="78" t="s">
        <v>132</v>
      </c>
      <c r="C41" s="79"/>
      <c r="D41" s="80">
        <f t="shared" si="9"/>
        <v>17.94</v>
      </c>
      <c r="E41" s="81">
        <f>sumifs(Dados!$N:$N,Dados!$B:$B,B41,Dados!$J:$J,$D$1,Dados!$I:$I,$E$4)</f>
        <v>0</v>
      </c>
      <c r="F41" s="81">
        <f>sumifs(Dados!$N:$N,Dados!$B:$B,B41,Dados!$J:$J,$D$1,Dados!$I:$I,$F$4)</f>
        <v>0</v>
      </c>
      <c r="G41" s="81">
        <f>sumifs(Dados!$N:$N,Dados!$B:$B,B41,Dados!$J:$J,$D$1,Dados!$I:$I,$G$4)</f>
        <v>0</v>
      </c>
      <c r="H41" s="81">
        <f>sumifs(Dados!$N:$N,Dados!$B:$B,B41,Dados!$J:$J,$D$1,Dados!$I:$I,$H$4)</f>
        <v>8.97</v>
      </c>
      <c r="I41" s="81">
        <f>sumifs(Dados!$N:$N,Dados!$B:$B,B41,Dados!$J:$J,$D$1,Dados!$I:$I,$I$4)</f>
        <v>0</v>
      </c>
      <c r="J41" s="81">
        <f>sumifs(Dados!$N:$N,Dados!$B:$B,B41,Dados!$J:$J,$D$1,Dados!$I:$I,$J$4)</f>
        <v>8.97</v>
      </c>
      <c r="K41" s="81">
        <f>sumifs(Dados!$N:$N,Dados!$B:$B,B41,Dados!$J:$J,$D$1,Dados!$I:$I,$K$4)</f>
        <v>0</v>
      </c>
      <c r="L41" s="81">
        <f>sumifs(Dados!$N:$N,Dados!$B:$B,B41,Dados!$J:$J,$D$1,Dados!$I:$I,$L$4)</f>
        <v>0</v>
      </c>
      <c r="M41" s="81">
        <f>sumifs(Dados!$N:$N,Dados!$B:$B,B41,Dados!$J:$J,$D$1,Dados!$I:$I,$M$4)</f>
        <v>0</v>
      </c>
      <c r="N41" s="81">
        <f>sumifs(Dados!$N:$N,Dados!$B:$B,B41,Dados!$J:$J,$D$1,Dados!$I:$I,$N$4)</f>
        <v>0</v>
      </c>
      <c r="O41" s="81">
        <f>sumifs(Dados!$N:$N,Dados!$B:$B,B41,Dados!$J:$J,$D$1,Dados!$I:$I,$O$4)</f>
        <v>0</v>
      </c>
      <c r="P41" s="81">
        <f>sumifs(Dados!$N:$N,Dados!$B:$B,B41,Dados!$J:$J,$D$1,Dados!$I:$I,$P$4)</f>
        <v>0</v>
      </c>
      <c r="Q41" s="81"/>
    </row>
    <row r="42" ht="15.75" customHeight="1">
      <c r="A42" s="77"/>
      <c r="B42" s="78" t="s">
        <v>134</v>
      </c>
      <c r="C42" s="79"/>
      <c r="D42" s="80">
        <f t="shared" si="9"/>
        <v>239.27</v>
      </c>
      <c r="E42" s="81">
        <f>sumifs(Dados!$N:$N,Dados!$B:$B,B42,Dados!$J:$J,$D$1,Dados!$I:$I,$E$4)</f>
        <v>0</v>
      </c>
      <c r="F42" s="81">
        <f>sumifs(Dados!$N:$N,Dados!$B:$B,B42,Dados!$J:$J,$D$1,Dados!$I:$I,$F$4)</f>
        <v>0</v>
      </c>
      <c r="G42" s="81">
        <f>sumifs(Dados!$N:$N,Dados!$B:$B,B42,Dados!$J:$J,$D$1,Dados!$I:$I,$G$4)</f>
        <v>0</v>
      </c>
      <c r="H42" s="81">
        <f>sumifs(Dados!$N:$N,Dados!$B:$B,B42,Dados!$J:$J,$D$1,Dados!$I:$I,$H$4)</f>
        <v>39.8</v>
      </c>
      <c r="I42" s="81">
        <f>sumifs(Dados!$N:$N,Dados!$B:$B,B42,Dados!$J:$J,$D$1,Dados!$I:$I,$I$4)</f>
        <v>59.7</v>
      </c>
      <c r="J42" s="81">
        <f>sumifs(Dados!$N:$N,Dados!$B:$B,B42,Dados!$J:$J,$D$1,Dados!$I:$I,$J$4)</f>
        <v>40.27</v>
      </c>
      <c r="K42" s="81">
        <f>sumifs(Dados!$N:$N,Dados!$B:$B,B42,Dados!$J:$J,$D$1,Dados!$I:$I,$K$4)</f>
        <v>99.5</v>
      </c>
      <c r="L42" s="81">
        <f>sumifs(Dados!$N:$N,Dados!$B:$B,B42,Dados!$J:$J,$D$1,Dados!$I:$I,$L$4)</f>
        <v>0</v>
      </c>
      <c r="M42" s="81">
        <f>sumifs(Dados!$N:$N,Dados!$B:$B,B42,Dados!$J:$J,$D$1,Dados!$I:$I,$M$4)</f>
        <v>0</v>
      </c>
      <c r="N42" s="81">
        <f>sumifs(Dados!$N:$N,Dados!$B:$B,B42,Dados!$J:$J,$D$1,Dados!$I:$I,$N$4)</f>
        <v>0</v>
      </c>
      <c r="O42" s="81">
        <f>sumifs(Dados!$N:$N,Dados!$B:$B,B42,Dados!$J:$J,$D$1,Dados!$I:$I,$O$4)</f>
        <v>0</v>
      </c>
      <c r="P42" s="81">
        <f>sumifs(Dados!$N:$N,Dados!$B:$B,B42,Dados!$J:$J,$D$1,Dados!$I:$I,$P$4)</f>
        <v>0</v>
      </c>
      <c r="Q42" s="81"/>
    </row>
    <row r="43" ht="15.75" customHeight="1">
      <c r="A43" s="102"/>
      <c r="B43" s="78" t="s">
        <v>136</v>
      </c>
      <c r="C43" s="79"/>
      <c r="D43" s="80">
        <f t="shared" si="9"/>
        <v>5.45</v>
      </c>
      <c r="E43" s="81">
        <f>sumifs(Dados!$N:$N,Dados!$B:$B,B43,Dados!$J:$J,$D$1,Dados!$I:$I,$E$4)</f>
        <v>0</v>
      </c>
      <c r="F43" s="81">
        <f>sumifs(Dados!$N:$N,Dados!$B:$B,B43,Dados!$J:$J,$D$1,Dados!$I:$I,$F$4)</f>
        <v>0</v>
      </c>
      <c r="G43" s="81">
        <f>sumifs(Dados!$N:$N,Dados!$B:$B,B43,Dados!$J:$J,$D$1,Dados!$I:$I,$G$4)</f>
        <v>0</v>
      </c>
      <c r="H43" s="81">
        <f>sumifs(Dados!$N:$N,Dados!$B:$B,B43,Dados!$J:$J,$D$1,Dados!$I:$I,$H$4)</f>
        <v>0</v>
      </c>
      <c r="I43" s="81">
        <f>sumifs(Dados!$N:$N,Dados!$B:$B,B43,Dados!$J:$J,$D$1,Dados!$I:$I,$I$4)</f>
        <v>5.45</v>
      </c>
      <c r="J43" s="81">
        <f>sumifs(Dados!$N:$N,Dados!$B:$B,B43,Dados!$J:$J,$D$1,Dados!$I:$I,$J$4)</f>
        <v>0</v>
      </c>
      <c r="K43" s="81">
        <f>sumifs(Dados!$N:$N,Dados!$B:$B,B43,Dados!$J:$J,$D$1,Dados!$I:$I,$K$4)</f>
        <v>0</v>
      </c>
      <c r="L43" s="81">
        <f>sumifs(Dados!$N:$N,Dados!$B:$B,B43,Dados!$J:$J,$D$1,Dados!$I:$I,$L$4)</f>
        <v>0</v>
      </c>
      <c r="M43" s="81">
        <f>sumifs(Dados!$N:$N,Dados!$B:$B,B43,Dados!$J:$J,$D$1,Dados!$I:$I,$M$4)</f>
        <v>0</v>
      </c>
      <c r="N43" s="81">
        <f>sumifs(Dados!$N:$N,Dados!$B:$B,B43,Dados!$J:$J,$D$1,Dados!$I:$I,$N$4)</f>
        <v>0</v>
      </c>
      <c r="O43" s="81">
        <f>sumifs(Dados!$N:$N,Dados!$B:$B,B43,Dados!$J:$J,$D$1,Dados!$I:$I,$O$4)</f>
        <v>0</v>
      </c>
      <c r="P43" s="81">
        <f>sumifs(Dados!$N:$N,Dados!$B:$B,B43,Dados!$J:$J,$D$1,Dados!$I:$I,$P$4)</f>
        <v>0</v>
      </c>
      <c r="Q43" s="81"/>
    </row>
    <row r="44" ht="15.75" customHeight="1">
      <c r="A44" s="102"/>
      <c r="B44" s="78" t="s">
        <v>138</v>
      </c>
      <c r="C44" s="79"/>
      <c r="D44" s="80">
        <f t="shared" si="9"/>
        <v>164</v>
      </c>
      <c r="E44" s="81">
        <f>sumifs(Dados!$N:$N,Dados!$B:$B,B44,Dados!$J:$J,$D$1,Dados!$I:$I,$E$4)</f>
        <v>0</v>
      </c>
      <c r="F44" s="81">
        <f>sumifs(Dados!$N:$N,Dados!$B:$B,B44,Dados!$J:$J,$D$1,Dados!$I:$I,$F$4)</f>
        <v>0</v>
      </c>
      <c r="G44" s="81">
        <f>sumifs(Dados!$N:$N,Dados!$B:$B,B44,Dados!$J:$J,$D$1,Dados!$I:$I,$G$4)</f>
        <v>0</v>
      </c>
      <c r="H44" s="81">
        <f>sumifs(Dados!$N:$N,Dados!$B:$B,B44,Dados!$J:$J,$D$1,Dados!$I:$I,$H$4)</f>
        <v>0</v>
      </c>
      <c r="I44" s="81">
        <f>sumifs(Dados!$N:$N,Dados!$B:$B,B44,Dados!$J:$J,$D$1,Dados!$I:$I,$I$4)</f>
        <v>84</v>
      </c>
      <c r="J44" s="81">
        <f>sumifs(Dados!$N:$N,Dados!$B:$B,B44,Dados!$J:$J,$D$1,Dados!$I:$I,$J$4)</f>
        <v>40</v>
      </c>
      <c r="K44" s="81">
        <f>sumifs(Dados!$N:$N,Dados!$B:$B,B44,Dados!$J:$J,$D$1,Dados!$I:$I,$K$4)</f>
        <v>40</v>
      </c>
      <c r="L44" s="81">
        <f>sumifs(Dados!$N:$N,Dados!$B:$B,B44,Dados!$J:$J,$D$1,Dados!$I:$I,$L$4)</f>
        <v>0</v>
      </c>
      <c r="M44" s="81">
        <f>sumifs(Dados!$N:$N,Dados!$B:$B,B44,Dados!$J:$J,$D$1,Dados!$I:$I,$M$4)</f>
        <v>0</v>
      </c>
      <c r="N44" s="81">
        <f>sumifs(Dados!$N:$N,Dados!$B:$B,B44,Dados!$J:$J,$D$1,Dados!$I:$I,$N$4)</f>
        <v>0</v>
      </c>
      <c r="O44" s="81">
        <f>sumifs(Dados!$N:$N,Dados!$B:$B,B44,Dados!$J:$J,$D$1,Dados!$I:$I,$O$4)</f>
        <v>0</v>
      </c>
      <c r="P44" s="81">
        <f>sumifs(Dados!$N:$N,Dados!$B:$B,B44,Dados!$J:$J,$D$1,Dados!$I:$I,$P$4)</f>
        <v>0</v>
      </c>
      <c r="Q44" s="81"/>
    </row>
    <row r="45" ht="15.75" customHeight="1">
      <c r="A45" s="102"/>
      <c r="B45" s="78" t="s">
        <v>140</v>
      </c>
      <c r="C45" s="79"/>
      <c r="D45" s="80">
        <f t="shared" si="9"/>
        <v>224.37</v>
      </c>
      <c r="E45" s="81">
        <f>sumifs(Dados!$N:$N,Dados!$B:$B,B45,Dados!$J:$J,$D$1,Dados!$I:$I,$E$4)</f>
        <v>0</v>
      </c>
      <c r="F45" s="81">
        <f>sumifs(Dados!$N:$N,Dados!$B:$B,B45,Dados!$J:$J,$D$1,Dados!$I:$I,$F$4)</f>
        <v>0</v>
      </c>
      <c r="G45" s="81">
        <f>sumifs(Dados!$N:$N,Dados!$B:$B,B45,Dados!$J:$J,$D$1,Dados!$I:$I,$G$4)</f>
        <v>0</v>
      </c>
      <c r="H45" s="81">
        <f>sumifs(Dados!$N:$N,Dados!$B:$B,B45,Dados!$J:$J,$D$1,Dados!$I:$I,$H$4)</f>
        <v>87.36</v>
      </c>
      <c r="I45" s="81">
        <f>sumifs(Dados!$N:$N,Dados!$B:$B,B45,Dados!$J:$J,$D$1,Dados!$I:$I,$I$4)</f>
        <v>0</v>
      </c>
      <c r="J45" s="81">
        <f>sumifs(Dados!$N:$N,Dados!$B:$B,B45,Dados!$J:$J,$D$1,Dados!$I:$I,$J$4)</f>
        <v>77.41</v>
      </c>
      <c r="K45" s="81">
        <f>sumifs(Dados!$N:$N,Dados!$B:$B,B45,Dados!$J:$J,$D$1,Dados!$I:$I,$K$4)</f>
        <v>59.6</v>
      </c>
      <c r="L45" s="81">
        <f>sumifs(Dados!$N:$N,Dados!$B:$B,B45,Dados!$J:$J,$D$1,Dados!$I:$I,$L$4)</f>
        <v>0</v>
      </c>
      <c r="M45" s="81">
        <f>sumifs(Dados!$N:$N,Dados!$B:$B,B45,Dados!$J:$J,$D$1,Dados!$I:$I,$M$4)</f>
        <v>0</v>
      </c>
      <c r="N45" s="81">
        <f>sumifs(Dados!$N:$N,Dados!$B:$B,B45,Dados!$J:$J,$D$1,Dados!$I:$I,$N$4)</f>
        <v>0</v>
      </c>
      <c r="O45" s="81">
        <f>sumifs(Dados!$N:$N,Dados!$B:$B,B45,Dados!$J:$J,$D$1,Dados!$I:$I,$O$4)</f>
        <v>0</v>
      </c>
      <c r="P45" s="81">
        <f>sumifs(Dados!$N:$N,Dados!$B:$B,B45,Dados!$J:$J,$D$1,Dados!$I:$I,$P$4)</f>
        <v>0</v>
      </c>
      <c r="Q45" s="81"/>
    </row>
    <row r="46" ht="15.75" customHeight="1">
      <c r="A46" s="102"/>
      <c r="B46" s="78" t="s">
        <v>141</v>
      </c>
      <c r="C46" s="79"/>
      <c r="D46" s="80">
        <f t="shared" si="9"/>
        <v>271.8</v>
      </c>
      <c r="E46" s="81">
        <f>sumifs(Dados!$N:$N,Dados!$B:$B,B46,Dados!$J:$J,$D$1,Dados!$I:$I,$E$4)</f>
        <v>0</v>
      </c>
      <c r="F46" s="81">
        <f>sumifs(Dados!$N:$N,Dados!$B:$B,B46,Dados!$J:$J,$D$1,Dados!$I:$I,$F$4)</f>
        <v>0</v>
      </c>
      <c r="G46" s="81">
        <f>sumifs(Dados!$N:$N,Dados!$B:$B,B46,Dados!$J:$J,$D$1,Dados!$I:$I,$G$4)</f>
        <v>0</v>
      </c>
      <c r="H46" s="81">
        <f>sumifs(Dados!$N:$N,Dados!$B:$B,B46,Dados!$J:$J,$D$1,Dados!$I:$I,$H$4)</f>
        <v>70.56</v>
      </c>
      <c r="I46" s="81">
        <f>sumifs(Dados!$N:$N,Dados!$B:$B,B46,Dados!$J:$J,$D$1,Dados!$I:$I,$I$4)</f>
        <v>51.6</v>
      </c>
      <c r="J46" s="81">
        <f>sumifs(Dados!$N:$N,Dados!$B:$B,B46,Dados!$J:$J,$D$1,Dados!$I:$I,$J$4)</f>
        <v>77.4</v>
      </c>
      <c r="K46" s="81">
        <f>sumifs(Dados!$N:$N,Dados!$B:$B,B46,Dados!$J:$J,$D$1,Dados!$I:$I,$K$4)</f>
        <v>72.24</v>
      </c>
      <c r="L46" s="81">
        <f>sumifs(Dados!$N:$N,Dados!$B:$B,B46,Dados!$J:$J,$D$1,Dados!$I:$I,$L$4)</f>
        <v>0</v>
      </c>
      <c r="M46" s="81">
        <f>sumifs(Dados!$N:$N,Dados!$B:$B,B46,Dados!$J:$J,$D$1,Dados!$I:$I,$M$4)</f>
        <v>0</v>
      </c>
      <c r="N46" s="81">
        <f>sumifs(Dados!$N:$N,Dados!$B:$B,B46,Dados!$J:$J,$D$1,Dados!$I:$I,$N$4)</f>
        <v>0</v>
      </c>
      <c r="O46" s="81">
        <f>sumifs(Dados!$N:$N,Dados!$B:$B,B46,Dados!$J:$J,$D$1,Dados!$I:$I,$O$4)</f>
        <v>0</v>
      </c>
      <c r="P46" s="81">
        <f>sumifs(Dados!$N:$N,Dados!$B:$B,B46,Dados!$J:$J,$D$1,Dados!$I:$I,$P$4)</f>
        <v>0</v>
      </c>
      <c r="Q46" s="81"/>
    </row>
    <row r="47" ht="15.75" customHeight="1">
      <c r="A47" s="102"/>
      <c r="B47" s="78" t="s">
        <v>143</v>
      </c>
      <c r="C47" s="79"/>
      <c r="D47" s="80">
        <f t="shared" si="9"/>
        <v>139.6</v>
      </c>
      <c r="E47" s="81">
        <f>sumifs(Dados!$N:$N,Dados!$B:$B,B47,Dados!$J:$J,$D$1,Dados!$I:$I,$E$4)</f>
        <v>0</v>
      </c>
      <c r="F47" s="81">
        <f>sumifs(Dados!$N:$N,Dados!$B:$B,B47,Dados!$J:$J,$D$1,Dados!$I:$I,$F$4)</f>
        <v>0</v>
      </c>
      <c r="G47" s="81">
        <f>sumifs(Dados!$N:$N,Dados!$B:$B,B47,Dados!$J:$J,$D$1,Dados!$I:$I,$G$4)</f>
        <v>0</v>
      </c>
      <c r="H47" s="81">
        <f>sumifs(Dados!$N:$N,Dados!$B:$B,B47,Dados!$J:$J,$D$1,Dados!$I:$I,$H$4)</f>
        <v>34.9</v>
      </c>
      <c r="I47" s="81">
        <f>sumifs(Dados!$N:$N,Dados!$B:$B,B47,Dados!$J:$J,$D$1,Dados!$I:$I,$I$4)</f>
        <v>69.8</v>
      </c>
      <c r="J47" s="81">
        <f>sumifs(Dados!$N:$N,Dados!$B:$B,B47,Dados!$J:$J,$D$1,Dados!$I:$I,$J$4)</f>
        <v>0</v>
      </c>
      <c r="K47" s="81">
        <f>sumifs(Dados!$N:$N,Dados!$B:$B,B47,Dados!$J:$J,$D$1,Dados!$I:$I,$K$4)</f>
        <v>34.9</v>
      </c>
      <c r="L47" s="81">
        <f>sumifs(Dados!$N:$N,Dados!$B:$B,B47,Dados!$J:$J,$D$1,Dados!$I:$I,$L$4)</f>
        <v>0</v>
      </c>
      <c r="M47" s="81">
        <f>sumifs(Dados!$N:$N,Dados!$B:$B,B47,Dados!$J:$J,$D$1,Dados!$I:$I,$M$4)</f>
        <v>0</v>
      </c>
      <c r="N47" s="81">
        <f>sumifs(Dados!$N:$N,Dados!$B:$B,B47,Dados!$J:$J,$D$1,Dados!$I:$I,$N$4)</f>
        <v>0</v>
      </c>
      <c r="O47" s="81">
        <f>sumifs(Dados!$N:$N,Dados!$B:$B,B47,Dados!$J:$J,$D$1,Dados!$I:$I,$O$4)</f>
        <v>0</v>
      </c>
      <c r="P47" s="81">
        <f>sumifs(Dados!$N:$N,Dados!$B:$B,B47,Dados!$J:$J,$D$1,Dados!$I:$I,$P$4)</f>
        <v>0</v>
      </c>
      <c r="Q47" s="81"/>
    </row>
    <row r="48" ht="15.75" customHeight="1">
      <c r="A48" s="77"/>
      <c r="B48" s="78" t="s">
        <v>144</v>
      </c>
      <c r="C48" s="79"/>
      <c r="D48" s="80">
        <f t="shared" si="9"/>
        <v>30.84</v>
      </c>
      <c r="E48" s="81">
        <f>sumifs(Dados!$N:$N,Dados!$B:$B,B48,Dados!$J:$J,$D$1,Dados!$I:$I,$E$4)</f>
        <v>0</v>
      </c>
      <c r="F48" s="81">
        <f>sumifs(Dados!$N:$N,Dados!$B:$B,B48,Dados!$J:$J,$D$1,Dados!$I:$I,$F$4)</f>
        <v>0</v>
      </c>
      <c r="G48" s="81">
        <f>sumifs(Dados!$N:$N,Dados!$B:$B,B48,Dados!$J:$J,$D$1,Dados!$I:$I,$G$4)</f>
        <v>0</v>
      </c>
      <c r="H48" s="81">
        <f>sumifs(Dados!$N:$N,Dados!$B:$B,B48,Dados!$J:$J,$D$1,Dados!$I:$I,$H$4)</f>
        <v>14.97</v>
      </c>
      <c r="I48" s="81">
        <f>sumifs(Dados!$N:$N,Dados!$B:$B,B48,Dados!$J:$J,$D$1,Dados!$I:$I,$I$4)</f>
        <v>0</v>
      </c>
      <c r="J48" s="81">
        <f>sumifs(Dados!$N:$N,Dados!$B:$B,B48,Dados!$J:$J,$D$1,Dados!$I:$I,$J$4)</f>
        <v>0</v>
      </c>
      <c r="K48" s="81">
        <f>sumifs(Dados!$N:$N,Dados!$B:$B,B48,Dados!$J:$J,$D$1,Dados!$I:$I,$K$4)</f>
        <v>15.87</v>
      </c>
      <c r="L48" s="81">
        <f>sumifs(Dados!$N:$N,Dados!$B:$B,B48,Dados!$J:$J,$D$1,Dados!$I:$I,$L$4)</f>
        <v>0</v>
      </c>
      <c r="M48" s="81">
        <f>sumifs(Dados!$N:$N,Dados!$B:$B,B48,Dados!$J:$J,$D$1,Dados!$I:$I,$M$4)</f>
        <v>0</v>
      </c>
      <c r="N48" s="81">
        <f>sumifs(Dados!$N:$N,Dados!$B:$B,B48,Dados!$J:$J,$D$1,Dados!$I:$I,$N$4)</f>
        <v>0</v>
      </c>
      <c r="O48" s="81">
        <f>sumifs(Dados!$N:$N,Dados!$B:$B,B48,Dados!$J:$J,$D$1,Dados!$I:$I,$O$4)</f>
        <v>0</v>
      </c>
      <c r="P48" s="81">
        <f>sumifs(Dados!$N:$N,Dados!$B:$B,B48,Dados!$J:$J,$D$1,Dados!$I:$I,$P$4)</f>
        <v>0</v>
      </c>
      <c r="Q48" s="81"/>
    </row>
    <row r="49" ht="15.75" customHeight="1">
      <c r="A49" s="102"/>
      <c r="B49" s="78" t="s">
        <v>145</v>
      </c>
      <c r="C49" s="79"/>
      <c r="D49" s="80">
        <f t="shared" si="9"/>
        <v>48.4</v>
      </c>
      <c r="E49" s="81">
        <f>sumifs(Dados!$N:$N,Dados!$B:$B,B49,Dados!$J:$J,$D$1,Dados!$I:$I,$E$4)</f>
        <v>0</v>
      </c>
      <c r="F49" s="81">
        <f>sumifs(Dados!$N:$N,Dados!$B:$B,B49,Dados!$J:$J,$D$1,Dados!$I:$I,$F$4)</f>
        <v>0</v>
      </c>
      <c r="G49" s="81">
        <f>sumifs(Dados!$N:$N,Dados!$B:$B,B49,Dados!$J:$J,$D$1,Dados!$I:$I,$G$4)</f>
        <v>0</v>
      </c>
      <c r="H49" s="81">
        <f>sumifs(Dados!$N:$N,Dados!$B:$B,B49,Dados!$J:$J,$D$1,Dados!$I:$I,$H$4)</f>
        <v>0</v>
      </c>
      <c r="I49" s="81">
        <f>sumifs(Dados!$N:$N,Dados!$B:$B,B49,Dados!$J:$J,$D$1,Dados!$I:$I,$I$4)</f>
        <v>24.48</v>
      </c>
      <c r="J49" s="81">
        <f>sumifs(Dados!$N:$N,Dados!$B:$B,B49,Dados!$J:$J,$D$1,Dados!$I:$I,$J$4)</f>
        <v>11.96</v>
      </c>
      <c r="K49" s="81">
        <f>sumifs(Dados!$N:$N,Dados!$B:$B,B49,Dados!$J:$J,$D$1,Dados!$I:$I,$K$4)</f>
        <v>11.96</v>
      </c>
      <c r="L49" s="81">
        <f>sumifs(Dados!$N:$N,Dados!$B:$B,B49,Dados!$J:$J,$D$1,Dados!$I:$I,$L$4)</f>
        <v>0</v>
      </c>
      <c r="M49" s="81">
        <f>sumifs(Dados!$N:$N,Dados!$B:$B,B49,Dados!$J:$J,$D$1,Dados!$I:$I,$M$4)</f>
        <v>0</v>
      </c>
      <c r="N49" s="81">
        <f>sumifs(Dados!$N:$N,Dados!$B:$B,B49,Dados!$J:$J,$D$1,Dados!$I:$I,$N$4)</f>
        <v>0</v>
      </c>
      <c r="O49" s="81">
        <f>sumifs(Dados!$N:$N,Dados!$B:$B,B49,Dados!$J:$J,$D$1,Dados!$I:$I,$O$4)</f>
        <v>0</v>
      </c>
      <c r="P49" s="81">
        <f>sumifs(Dados!$N:$N,Dados!$B:$B,B49,Dados!$J:$J,$D$1,Dados!$I:$I,$P$4)</f>
        <v>0</v>
      </c>
      <c r="Q49" s="81"/>
    </row>
    <row r="50" ht="15.75" customHeight="1">
      <c r="A50" s="102"/>
      <c r="B50" s="78" t="s">
        <v>146</v>
      </c>
      <c r="C50" s="79"/>
      <c r="D50" s="80">
        <f t="shared" si="9"/>
        <v>0</v>
      </c>
      <c r="E50" s="81">
        <f>sumifs(Dados!$N:$N,Dados!$B:$B,B50,Dados!$J:$J,$D$1,Dados!$I:$I,$E$4)</f>
        <v>0</v>
      </c>
      <c r="F50" s="81">
        <f>sumifs(Dados!$N:$N,Dados!$B:$B,B50,Dados!$J:$J,$D$1,Dados!$I:$I,$F$4)</f>
        <v>0</v>
      </c>
      <c r="G50" s="81">
        <f>sumifs(Dados!$N:$N,Dados!$B:$B,B50,Dados!$J:$J,$D$1,Dados!$I:$I,$G$4)</f>
        <v>0</v>
      </c>
      <c r="H50" s="81">
        <f>sumifs(Dados!$N:$N,Dados!$B:$B,B50,Dados!$J:$J,$D$1,Dados!$I:$I,$H$4)</f>
        <v>0</v>
      </c>
      <c r="I50" s="81">
        <f>sumifs(Dados!$N:$N,Dados!$B:$B,B50,Dados!$J:$J,$D$1,Dados!$I:$I,$I$4)</f>
        <v>0</v>
      </c>
      <c r="J50" s="81">
        <f>sumifs(Dados!$N:$N,Dados!$B:$B,B50,Dados!$J:$J,$D$1,Dados!$I:$I,$J$4)</f>
        <v>0</v>
      </c>
      <c r="K50" s="81">
        <f>sumifs(Dados!$N:$N,Dados!$B:$B,B50,Dados!$J:$J,$D$1,Dados!$I:$I,$K$4)</f>
        <v>0</v>
      </c>
      <c r="L50" s="81">
        <f>sumifs(Dados!$N:$N,Dados!$B:$B,B50,Dados!$J:$J,$D$1,Dados!$I:$I,$L$4)</f>
        <v>0</v>
      </c>
      <c r="M50" s="81">
        <f>sumifs(Dados!$N:$N,Dados!$B:$B,B50,Dados!$J:$J,$D$1,Dados!$I:$I,$M$4)</f>
        <v>0</v>
      </c>
      <c r="N50" s="81">
        <f>sumifs(Dados!$N:$N,Dados!$B:$B,B50,Dados!$J:$J,$D$1,Dados!$I:$I,$N$4)</f>
        <v>0</v>
      </c>
      <c r="O50" s="81">
        <f>sumifs(Dados!$N:$N,Dados!$B:$B,B50,Dados!$J:$J,$D$1,Dados!$I:$I,$O$4)</f>
        <v>0</v>
      </c>
      <c r="P50" s="81">
        <f>sumifs(Dados!$N:$N,Dados!$B:$B,B50,Dados!$J:$J,$D$1,Dados!$I:$I,$P$4)</f>
        <v>0</v>
      </c>
      <c r="Q50" s="81"/>
    </row>
    <row r="51" ht="15.75" customHeight="1">
      <c r="A51" s="102"/>
      <c r="B51" s="78" t="s">
        <v>147</v>
      </c>
      <c r="C51" s="79"/>
      <c r="D51" s="80">
        <f t="shared" si="9"/>
        <v>0</v>
      </c>
      <c r="E51" s="81">
        <f>sumifs(Dados!$N:$N,Dados!$B:$B,$B$51,Dados!$J:$J,$D$1,Dados!$I:$I,E4)</f>
        <v>0</v>
      </c>
      <c r="F51" s="81">
        <f>sumifs(Dados!$N:$N,Dados!$B:$B,$B$51,Dados!$J:$J,$D$1,Dados!$I:$I,F4)</f>
        <v>0</v>
      </c>
      <c r="G51" s="81">
        <f>sumifs(Dados!$N:$N,Dados!$B:$B,$B$51,Dados!$J:$J,$D$1,Dados!$I:$I,G4)</f>
        <v>0</v>
      </c>
      <c r="H51" s="81">
        <f>sumifs(Dados!$N:$N,Dados!$B:$B,$B$51,Dados!$J:$J,$D$1,Dados!$I:$I,H4)</f>
        <v>0</v>
      </c>
      <c r="I51" s="81">
        <f>sumifs(Dados!$N:$N,Dados!$B:$B,$B$51,Dados!$J:$J,$D$1,Dados!$I:$I,I4)</f>
        <v>0</v>
      </c>
      <c r="J51" s="81">
        <f>sumifs(Dados!$N:$N,Dados!$B:$B,$B$51,Dados!$J:$J,$D$1,Dados!$I:$I,J4)</f>
        <v>0</v>
      </c>
      <c r="K51" s="81">
        <f>sumifs(Dados!$N:$N,Dados!$B:$B,$B$51,Dados!$J:$J,$D$1,Dados!$I:$I,K4)</f>
        <v>0</v>
      </c>
      <c r="L51" s="81">
        <f>sumifs(Dados!$N:$N,Dados!$B:$B,$B$51,Dados!$J:$J,$D$1,Dados!$I:$I,L4)</f>
        <v>0</v>
      </c>
      <c r="M51" s="81">
        <f>sumifs(Dados!$N:$N,Dados!$B:$B,$B$51,Dados!$J:$J,$D$1,Dados!$I:$I,M4)</f>
        <v>0</v>
      </c>
      <c r="N51" s="81">
        <f>sumifs(Dados!$N:$N,Dados!$B:$B,$B$51,Dados!$J:$J,$D$1,Dados!$I:$I,N4)</f>
        <v>0</v>
      </c>
      <c r="O51" s="81">
        <f>sumifs(Dados!$N:$N,Dados!$B:$B,$B$51,Dados!$J:$J,$D$1,Dados!$I:$I,O4)</f>
        <v>0</v>
      </c>
      <c r="P51" s="81">
        <f>sumifs(Dados!$N:$N,Dados!$B:$B,$B$51,Dados!$J:$J,$D$1,Dados!$I:$I,P4)</f>
        <v>0</v>
      </c>
      <c r="Q51" s="81"/>
    </row>
    <row r="52" ht="15.75" customHeight="1">
      <c r="A52" s="102"/>
      <c r="B52" s="78" t="s">
        <v>148</v>
      </c>
      <c r="C52" s="79"/>
      <c r="D52" s="80">
        <f t="shared" si="9"/>
        <v>14.9</v>
      </c>
      <c r="E52" s="81">
        <f>sumifs(Dados!$N:$N,Dados!$B:$B,B52,Dados!$J:$J,$D$1,Dados!$I:$I,$E$4)</f>
        <v>0</v>
      </c>
      <c r="F52" s="81">
        <f>sumifs(Dados!$N:$N,Dados!$B:$B,B52,Dados!$J:$J,$D$1,Dados!$I:$I,$F$4)</f>
        <v>0</v>
      </c>
      <c r="G52" s="81">
        <f>sumifs(Dados!$N:$N,Dados!$B:$B,B52,Dados!$J:$J,$D$1,Dados!$I:$I,$G$4)</f>
        <v>0</v>
      </c>
      <c r="H52" s="81">
        <f>sumifs(Dados!$N:$N,Dados!$B:$B,B52,Dados!$J:$J,$D$1,Dados!$I:$I,$H$4)</f>
        <v>0</v>
      </c>
      <c r="I52" s="81">
        <f>sumifs(Dados!$N:$N,Dados!$B:$B,B52,Dados!$J:$J,$D$1,Dados!$I:$I,$I$4)</f>
        <v>0</v>
      </c>
      <c r="J52" s="81">
        <f>sumifs(Dados!$N:$N,Dados!$B:$B,B52,Dados!$J:$J,$D$1,Dados!$I:$I,$J$4)</f>
        <v>14.9</v>
      </c>
      <c r="K52" s="81">
        <f>sumifs(Dados!$N:$N,Dados!$B:$B,B52,Dados!$J:$J,$D$1,Dados!$I:$I,$K$4)</f>
        <v>0</v>
      </c>
      <c r="L52" s="81">
        <f>sumifs(Dados!$N:$N,Dados!$B:$B,B52,Dados!$J:$J,$D$1,Dados!$I:$I,$L$4)</f>
        <v>0</v>
      </c>
      <c r="M52" s="81">
        <f>sumifs(Dados!$N:$N,Dados!$B:$B,B52,Dados!$J:$J,$D$1,Dados!$I:$I,$M$4)</f>
        <v>0</v>
      </c>
      <c r="N52" s="81">
        <f>sumifs(Dados!$N:$N,Dados!$B:$B,B52,Dados!$J:$J,$D$1,Dados!$I:$I,$N$4)</f>
        <v>0</v>
      </c>
      <c r="O52" s="81">
        <f>sumifs(Dados!$N:$N,Dados!$B:$B,B52,Dados!$J:$J,$D$1,Dados!$I:$I,$O$4)</f>
        <v>0</v>
      </c>
      <c r="P52" s="81">
        <f>sumifs(Dados!$N:$N,Dados!$B:$B,B52,Dados!$J:$J,$D$1,Dados!$I:$I,$P$4)</f>
        <v>0</v>
      </c>
      <c r="Q52" s="81"/>
    </row>
    <row r="53" ht="15.75" customHeight="1">
      <c r="A53" s="102"/>
      <c r="B53" s="78" t="s">
        <v>149</v>
      </c>
      <c r="C53" s="79"/>
      <c r="D53" s="80">
        <f t="shared" si="9"/>
        <v>11.85</v>
      </c>
      <c r="E53" s="81">
        <f>sumifs(Dados!$N:$N,Dados!$B:$B,B53,Dados!$J:$J,$D$1,Dados!$I:$I,$E$4)</f>
        <v>0</v>
      </c>
      <c r="F53" s="81">
        <f>sumifs(Dados!$N:$N,Dados!$B:$B,B53,Dados!$J:$J,$D$1,Dados!$I:$I,$F$4)</f>
        <v>0</v>
      </c>
      <c r="G53" s="81">
        <f>sumifs(Dados!$N:$N,Dados!$B:$B,B53,Dados!$J:$J,$D$1,Dados!$I:$I,$G$4)</f>
        <v>0</v>
      </c>
      <c r="H53" s="81">
        <f>sumifs(Dados!$N:$N,Dados!$B:$B,B53,Dados!$J:$J,$D$1,Dados!$I:$I,$H$4)</f>
        <v>11.85</v>
      </c>
      <c r="I53" s="81">
        <f>sumifs(Dados!$N:$N,Dados!$B:$B,B53,Dados!$J:$J,$D$1,Dados!$I:$I,$I$4)</f>
        <v>0</v>
      </c>
      <c r="J53" s="81">
        <f>sumifs(Dados!$N:$N,Dados!$B:$B,B53,Dados!$J:$J,$D$1,Dados!$I:$I,$J$4)</f>
        <v>0</v>
      </c>
      <c r="K53" s="81">
        <f>sumifs(Dados!$N:$N,Dados!$B:$B,B53,Dados!$J:$J,$D$1,Dados!$I:$I,$K$4)</f>
        <v>0</v>
      </c>
      <c r="L53" s="81">
        <f>sumifs(Dados!$N:$N,Dados!$B:$B,B53,Dados!$J:$J,$D$1,Dados!$I:$I,$L$4)</f>
        <v>0</v>
      </c>
      <c r="M53" s="81">
        <f>sumifs(Dados!$N:$N,Dados!$B:$B,B53,Dados!$J:$J,$D$1,Dados!$I:$I,$M$4)</f>
        <v>0</v>
      </c>
      <c r="N53" s="81">
        <f>sumifs(Dados!$N:$N,Dados!$B:$B,B53,Dados!$J:$J,$D$1,Dados!$I:$I,$N$4)</f>
        <v>0</v>
      </c>
      <c r="O53" s="81">
        <f>sumifs(Dados!$N:$N,Dados!$B:$B,B53,Dados!$J:$J,$D$1,Dados!$I:$I,$O$4)</f>
        <v>0</v>
      </c>
      <c r="P53" s="81">
        <f>sumifs(Dados!$N:$N,Dados!$B:$B,B53,Dados!$J:$J,$D$1,Dados!$I:$I,$P$4)</f>
        <v>0</v>
      </c>
      <c r="Q53" s="81"/>
    </row>
    <row r="54" ht="15.75" customHeight="1">
      <c r="A54" s="102"/>
      <c r="B54" s="78" t="s">
        <v>150</v>
      </c>
      <c r="C54" s="79"/>
      <c r="D54" s="80">
        <f t="shared" si="9"/>
        <v>53.04</v>
      </c>
      <c r="E54" s="81">
        <f>sumifs(Dados!$N:$N,Dados!$B:$B,B54,Dados!$J:$J,$D$1,Dados!$I:$I,$E$4)</f>
        <v>0</v>
      </c>
      <c r="F54" s="81">
        <f>sumifs(Dados!$N:$N,Dados!$B:$B,B54,Dados!$J:$J,$D$1,Dados!$I:$I,$F$4)</f>
        <v>0</v>
      </c>
      <c r="G54" s="81">
        <f>sumifs(Dados!$N:$N,Dados!$B:$B,B54,Dados!$J:$J,$D$1,Dados!$I:$I,$G$4)</f>
        <v>0</v>
      </c>
      <c r="H54" s="81">
        <f>sumifs(Dados!$N:$N,Dados!$B:$B,B54,Dados!$J:$J,$D$1,Dados!$I:$I,$H$4)</f>
        <v>0</v>
      </c>
      <c r="I54" s="81">
        <f>sumifs(Dados!$N:$N,Dados!$B:$B,B54,Dados!$J:$J,$D$1,Dados!$I:$I,$I$4)</f>
        <v>0</v>
      </c>
      <c r="J54" s="81">
        <f>sumifs(Dados!$N:$N,Dados!$B:$B,B54,Dados!$J:$J,$D$1,Dados!$I:$I,$J$4)</f>
        <v>32.2</v>
      </c>
      <c r="K54" s="81">
        <f>sumifs(Dados!$N:$N,Dados!$B:$B,B54,Dados!$J:$J,$D$1,Dados!$I:$I,$K$4)</f>
        <v>20.84</v>
      </c>
      <c r="L54" s="81">
        <f>sumifs(Dados!$N:$N,Dados!$B:$B,B54,Dados!$J:$J,$D$1,Dados!$I:$I,$L$4)</f>
        <v>0</v>
      </c>
      <c r="M54" s="81">
        <f>sumifs(Dados!$N:$N,Dados!$B:$B,B54,Dados!$J:$J,$D$1,Dados!$I:$I,$M$4)</f>
        <v>0</v>
      </c>
      <c r="N54" s="81">
        <f>sumifs(Dados!$N:$N,Dados!$B:$B,B54,Dados!$J:$J,$D$1,Dados!$I:$I,$N$4)</f>
        <v>0</v>
      </c>
      <c r="O54" s="81">
        <f>sumifs(Dados!$N:$N,Dados!$B:$B,B54,Dados!$J:$J,$D$1,Dados!$I:$I,$O$4)</f>
        <v>0</v>
      </c>
      <c r="P54" s="81">
        <f>sumifs(Dados!$N:$N,Dados!$B:$B,B54,Dados!$J:$J,$D$1,Dados!$I:$I,$P$4)</f>
        <v>0</v>
      </c>
      <c r="Q54" s="81"/>
    </row>
    <row r="55" ht="15.75" customHeight="1">
      <c r="A55" s="99" t="s">
        <v>151</v>
      </c>
      <c r="B55" s="100">
        <f>sumifs(Dados!$N:$N,Dados!$A:$A,A55,Dados!$H:$H,$D$1)</f>
        <v>1655.29</v>
      </c>
      <c r="C55" s="101">
        <f>B55-D55</f>
        <v>0</v>
      </c>
      <c r="D55" s="100">
        <f t="shared" ref="D55:P55" si="10">SUM(D35:D54)</f>
        <v>1655.29</v>
      </c>
      <c r="E55" s="100">
        <f t="shared" si="10"/>
        <v>0</v>
      </c>
      <c r="F55" s="100">
        <f t="shared" si="10"/>
        <v>0</v>
      </c>
      <c r="G55" s="100">
        <f t="shared" si="10"/>
        <v>0</v>
      </c>
      <c r="H55" s="100">
        <f t="shared" si="10"/>
        <v>359.27</v>
      </c>
      <c r="I55" s="100">
        <f t="shared" si="10"/>
        <v>364.58</v>
      </c>
      <c r="J55" s="100">
        <f t="shared" si="10"/>
        <v>432.21</v>
      </c>
      <c r="K55" s="100">
        <f t="shared" si="10"/>
        <v>499.23</v>
      </c>
      <c r="L55" s="100">
        <f t="shared" si="10"/>
        <v>0</v>
      </c>
      <c r="M55" s="100">
        <f t="shared" si="10"/>
        <v>0</v>
      </c>
      <c r="N55" s="100">
        <f t="shared" si="10"/>
        <v>0</v>
      </c>
      <c r="O55" s="100">
        <f t="shared" si="10"/>
        <v>0</v>
      </c>
      <c r="P55" s="100">
        <f t="shared" si="10"/>
        <v>0</v>
      </c>
      <c r="Q55" s="100"/>
    </row>
    <row r="56" ht="15.75" customHeight="1">
      <c r="A56" s="77"/>
      <c r="B56" s="78" t="s">
        <v>152</v>
      </c>
      <c r="C56" s="79"/>
      <c r="D56" s="80">
        <f t="shared" ref="D56:D67" si="11">SUM(E56:P56)</f>
        <v>3.96</v>
      </c>
      <c r="E56" s="81">
        <f>sumifs(Dados!$N:$N,Dados!$B:$B,B56,Dados!$J:$J,$D$1,Dados!$I:$I,$E$4)</f>
        <v>0</v>
      </c>
      <c r="F56" s="81">
        <f>sumifs(Dados!$N:$N,Dados!$B:$B,B56,Dados!$J:$J,$D$1,Dados!$I:$I,$F$4)</f>
        <v>0</v>
      </c>
      <c r="G56" s="81">
        <f>sumifs(Dados!$N:$N,Dados!$B:$B,B56,Dados!$J:$J,$D$1,Dados!$I:$I,$G$4)</f>
        <v>0</v>
      </c>
      <c r="H56" s="81">
        <f>sumifs(Dados!$N:$N,Dados!$B:$B,B56,Dados!$J:$J,$D$1,Dados!$I:$I,$H$4)</f>
        <v>0</v>
      </c>
      <c r="I56" s="81">
        <f>sumifs(Dados!$N:$N,Dados!$B:$B,B56,Dados!$J:$J,$D$1,Dados!$I:$I,$I$4)</f>
        <v>0</v>
      </c>
      <c r="J56" s="81">
        <f>sumifs(Dados!$N:$N,Dados!$B:$B,B56,Dados!$J:$J,$D$1,Dados!$I:$I,$J$4)</f>
        <v>3.96</v>
      </c>
      <c r="K56" s="81">
        <f>sumifs(Dados!$N:$N,Dados!$B:$B,B56,Dados!$J:$J,$D$1,Dados!$I:$I,$K$4)</f>
        <v>0</v>
      </c>
      <c r="L56" s="81">
        <f>sumifs(Dados!$N:$N,Dados!$B:$B,B56,Dados!$J:$J,$D$1,Dados!$I:$I,$L$4)</f>
        <v>0</v>
      </c>
      <c r="M56" s="81">
        <f>sumifs(Dados!$N:$N,Dados!$B:$B,B56,Dados!$J:$J,$D$1,Dados!$I:$I,$M$4)</f>
        <v>0</v>
      </c>
      <c r="N56" s="81">
        <f>sumifs(Dados!$N:$N,Dados!$B:$B,B56,Dados!$J:$J,$D$1,Dados!$I:$I,$N$4)</f>
        <v>0</v>
      </c>
      <c r="O56" s="81">
        <f>sumifs(Dados!$N:$N,Dados!$B:$B,B56,Dados!$J:$J,$D$1,Dados!$I:$I,$O$4)</f>
        <v>0</v>
      </c>
      <c r="P56" s="81">
        <f>sumifs(Dados!$N:$N,Dados!$B:$B,B56,Dados!$J:$J,$D$1,Dados!$I:$I,$P$4)</f>
        <v>0</v>
      </c>
      <c r="Q56" s="81"/>
    </row>
    <row r="57" ht="15.75" customHeight="1">
      <c r="A57" s="77"/>
      <c r="B57" s="78" t="s">
        <v>153</v>
      </c>
      <c r="C57" s="79"/>
      <c r="D57" s="80">
        <f t="shared" si="11"/>
        <v>0</v>
      </c>
      <c r="E57" s="81">
        <f>sumifs(Dados!$N:$N,Dados!$B:$B,B57,Dados!$J:$J,$D$1,Dados!$I:$I,$E$4)</f>
        <v>0</v>
      </c>
      <c r="F57" s="81">
        <f>sumifs(Dados!$N:$N,Dados!$B:$B,B57,Dados!$J:$J,$D$1,Dados!$I:$I,$F$4)</f>
        <v>0</v>
      </c>
      <c r="G57" s="81">
        <f>sumifs(Dados!$N:$N,Dados!$B:$B,B57,Dados!$J:$J,$D$1,Dados!$I:$I,$G$4)</f>
        <v>0</v>
      </c>
      <c r="H57" s="81">
        <f>sumifs(Dados!$N:$N,Dados!$B:$B,B57,Dados!$J:$J,$D$1,Dados!$I:$I,$H$4)</f>
        <v>0</v>
      </c>
      <c r="I57" s="81">
        <f>sumifs(Dados!$N:$N,Dados!$B:$B,B57,Dados!$J:$J,$D$1,Dados!$I:$I,$I$4)</f>
        <v>0</v>
      </c>
      <c r="J57" s="81">
        <f>sumifs(Dados!$N:$N,Dados!$B:$B,B57,Dados!$J:$J,$D$1,Dados!$I:$I,$J$4)</f>
        <v>0</v>
      </c>
      <c r="K57" s="81">
        <f>sumifs(Dados!$N:$N,Dados!$B:$B,B57,Dados!$J:$J,$D$1,Dados!$I:$I,$K$4)</f>
        <v>0</v>
      </c>
      <c r="L57" s="81">
        <f>sumifs(Dados!$N:$N,Dados!$B:$B,B57,Dados!$J:$J,$D$1,Dados!$I:$I,$L$4)</f>
        <v>0</v>
      </c>
      <c r="M57" s="81">
        <f>sumifs(Dados!$N:$N,Dados!$B:$B,B57,Dados!$J:$J,$D$1,Dados!$I:$I,$M$4)</f>
        <v>0</v>
      </c>
      <c r="N57" s="81">
        <f>sumifs(Dados!$N:$N,Dados!$B:$B,B57,Dados!$J:$J,$D$1,Dados!$I:$I,$N$4)</f>
        <v>0</v>
      </c>
      <c r="O57" s="81">
        <f>sumifs(Dados!$N:$N,Dados!$B:$B,B57,Dados!$J:$J,$D$1,Dados!$I:$I,$O$4)</f>
        <v>0</v>
      </c>
      <c r="P57" s="81">
        <f>sumifs(Dados!$N:$N,Dados!$B:$B,B57,Dados!$J:$J,$D$1,Dados!$I:$I,$P$4)</f>
        <v>0</v>
      </c>
      <c r="Q57" s="81"/>
    </row>
    <row r="58" ht="15.75" customHeight="1">
      <c r="A58" s="77"/>
      <c r="B58" s="78" t="s">
        <v>155</v>
      </c>
      <c r="C58" s="79"/>
      <c r="D58" s="80">
        <f t="shared" si="11"/>
        <v>70.34</v>
      </c>
      <c r="E58" s="81">
        <f>sumifs(Dados!$N:$N,Dados!$B:$B,B58,Dados!$J:$J,$D$1,Dados!$I:$I,$E$4)</f>
        <v>0</v>
      </c>
      <c r="F58" s="81">
        <f>sumifs(Dados!$N:$N,Dados!$B:$B,B58,Dados!$J:$J,$D$1,Dados!$I:$I,$F$4)</f>
        <v>0</v>
      </c>
      <c r="G58" s="81">
        <f>sumifs(Dados!$N:$N,Dados!$B:$B,B58,Dados!$J:$J,$D$1,Dados!$I:$I,$G$4)</f>
        <v>0</v>
      </c>
      <c r="H58" s="81">
        <f>sumifs(Dados!$N:$N,Dados!$B:$B,B58,Dados!$J:$J,$D$1,Dados!$I:$I,$H$4)</f>
        <v>41.87</v>
      </c>
      <c r="I58" s="81">
        <f>sumifs(Dados!$N:$N,Dados!$B:$B,B58,Dados!$J:$J,$D$1,Dados!$I:$I,$I$4)</f>
        <v>0</v>
      </c>
      <c r="J58" s="81">
        <f>sumifs(Dados!$N:$N,Dados!$B:$B,B58,Dados!$J:$J,$D$1,Dados!$I:$I,$J$4)</f>
        <v>0</v>
      </c>
      <c r="K58" s="81">
        <f>sumifs(Dados!$N:$N,Dados!$B:$B,B58,Dados!$J:$J,$D$1,Dados!$I:$I,$K$4)</f>
        <v>28.47</v>
      </c>
      <c r="L58" s="81">
        <f>sumifs(Dados!$N:$N,Dados!$B:$B,B58,Dados!$J:$J,$D$1,Dados!$I:$I,$L$4)</f>
        <v>0</v>
      </c>
      <c r="M58" s="81">
        <f>sumifs(Dados!$N:$N,Dados!$B:$B,B58,Dados!$J:$J,$D$1,Dados!$I:$I,$M$4)</f>
        <v>0</v>
      </c>
      <c r="N58" s="81">
        <f>sumifs(Dados!$N:$N,Dados!$B:$B,B58,Dados!$J:$J,$D$1,Dados!$I:$I,$N$4)</f>
        <v>0</v>
      </c>
      <c r="O58" s="81">
        <f>sumifs(Dados!$N:$N,Dados!$B:$B,B58,Dados!$J:$J,$D$1,Dados!$I:$I,$O$4)</f>
        <v>0</v>
      </c>
      <c r="P58" s="81">
        <f>sumifs(Dados!$N:$N,Dados!$B:$B,B58,Dados!$J:$J,$D$1,Dados!$I:$I,$P$4)</f>
        <v>0</v>
      </c>
      <c r="Q58" s="81"/>
    </row>
    <row r="59" ht="15.75" customHeight="1">
      <c r="A59" s="77"/>
      <c r="B59" s="78" t="s">
        <v>156</v>
      </c>
      <c r="C59" s="79"/>
      <c r="D59" s="80">
        <f t="shared" si="11"/>
        <v>168.23</v>
      </c>
      <c r="E59" s="81">
        <f>sumifs(Dados!$N:$N,Dados!$B:$B,B59,Dados!$J:$J,$D$1,Dados!$I:$I,$E$4)</f>
        <v>0</v>
      </c>
      <c r="F59" s="81">
        <f>sumifs(Dados!$N:$N,Dados!$B:$B,B59,Dados!$J:$J,$D$1,Dados!$I:$I,$F$4)</f>
        <v>0</v>
      </c>
      <c r="G59" s="81">
        <f>sumifs(Dados!$N:$N,Dados!$B:$B,B59,Dados!$J:$J,$D$1,Dados!$I:$I,$G$4)</f>
        <v>0</v>
      </c>
      <c r="H59" s="81">
        <f>sumifs(Dados!$N:$N,Dados!$B:$B,B59,Dados!$J:$J,$D$1,Dados!$I:$I,$H$4)</f>
        <v>131.44</v>
      </c>
      <c r="I59" s="81">
        <f>sumifs(Dados!$N:$N,Dados!$B:$B,B59,Dados!$J:$J,$D$1,Dados!$I:$I,$I$4)</f>
        <v>16.77</v>
      </c>
      <c r="J59" s="81">
        <f>sumifs(Dados!$N:$N,Dados!$B:$B,B59,Dados!$J:$J,$D$1,Dados!$I:$I,$J$4)</f>
        <v>11.95</v>
      </c>
      <c r="K59" s="81">
        <f>sumifs(Dados!$N:$N,Dados!$B:$B,B59,Dados!$J:$J,$D$1,Dados!$I:$I,$K$4)</f>
        <v>8.07</v>
      </c>
      <c r="L59" s="81">
        <f>sumifs(Dados!$N:$N,Dados!$B:$B,B59,Dados!$J:$J,$D$1,Dados!$I:$I,$L$4)</f>
        <v>0</v>
      </c>
      <c r="M59" s="81">
        <f>sumifs(Dados!$N:$N,Dados!$B:$B,B59,Dados!$J:$J,$D$1,Dados!$I:$I,$M$4)</f>
        <v>0</v>
      </c>
      <c r="N59" s="81">
        <f>sumifs(Dados!$N:$N,Dados!$B:$B,B59,Dados!$J:$J,$D$1,Dados!$I:$I,$N$4)</f>
        <v>0</v>
      </c>
      <c r="O59" s="81">
        <f>sumifs(Dados!$N:$N,Dados!$B:$B,B59,Dados!$J:$J,$D$1,Dados!$I:$I,$O$4)</f>
        <v>0</v>
      </c>
      <c r="P59" s="81">
        <f>sumifs(Dados!$N:$N,Dados!$B:$B,B59,Dados!$J:$J,$D$1,Dados!$I:$I,$P$4)</f>
        <v>0</v>
      </c>
      <c r="Q59" s="81"/>
    </row>
    <row r="60" ht="15.75" customHeight="1">
      <c r="A60" s="140"/>
      <c r="B60" s="78" t="s">
        <v>157</v>
      </c>
      <c r="C60" s="79"/>
      <c r="D60" s="80">
        <f t="shared" si="11"/>
        <v>20.4</v>
      </c>
      <c r="E60" s="81">
        <f>sumifs(Dados!$N:$N,Dados!$B:$B,B60,Dados!$J:$J,$D$1,Dados!$I:$I,$E$4)</f>
        <v>0</v>
      </c>
      <c r="F60" s="81">
        <f>sumifs(Dados!$N:$N,Dados!$B:$B,B60,Dados!$J:$J,$D$1,Dados!$I:$I,$F$4)</f>
        <v>0</v>
      </c>
      <c r="G60" s="81">
        <f>sumifs(Dados!$N:$N,Dados!$B:$B,B60,Dados!$J:$J,$D$1,Dados!$I:$I,$G$4)</f>
        <v>0</v>
      </c>
      <c r="H60" s="81">
        <f>sumifs(Dados!$N:$N,Dados!$B:$B,B60,Dados!$J:$J,$D$1,Dados!$I:$I,$H$4)</f>
        <v>10.2</v>
      </c>
      <c r="I60" s="81">
        <f>sumifs(Dados!$N:$N,Dados!$B:$B,B60,Dados!$J:$J,$D$1,Dados!$I:$I,$I$4)</f>
        <v>0</v>
      </c>
      <c r="J60" s="81">
        <f>sumifs(Dados!$N:$N,Dados!$B:$B,B60,Dados!$J:$J,$D$1,Dados!$I:$I,$J$4)</f>
        <v>0</v>
      </c>
      <c r="K60" s="81">
        <f>sumifs(Dados!$N:$N,Dados!$B:$B,B60,Dados!$J:$J,$D$1,Dados!$I:$I,$K$4)</f>
        <v>10.2</v>
      </c>
      <c r="L60" s="81">
        <f>sumifs(Dados!$N:$N,Dados!$B:$B,B60,Dados!$J:$J,$D$1,Dados!$I:$I,$L$4)</f>
        <v>0</v>
      </c>
      <c r="M60" s="81">
        <f>sumifs(Dados!$N:$N,Dados!$B:$B,B60,Dados!$J:$J,$D$1,Dados!$I:$I,$M$4)</f>
        <v>0</v>
      </c>
      <c r="N60" s="81">
        <f>sumifs(Dados!$N:$N,Dados!$B:$B,B60,Dados!$J:$J,$D$1,Dados!$I:$I,$N$4)</f>
        <v>0</v>
      </c>
      <c r="O60" s="81">
        <f>sumifs(Dados!$N:$N,Dados!$B:$B,B60,Dados!$J:$J,$D$1,Dados!$I:$I,$O$4)</f>
        <v>0</v>
      </c>
      <c r="P60" s="81">
        <f>sumifs(Dados!$N:$N,Dados!$B:$B,B60,Dados!$J:$J,$D$1,Dados!$I:$I,$P$4)</f>
        <v>0</v>
      </c>
      <c r="Q60" s="81"/>
    </row>
    <row r="61" ht="15.75" customHeight="1">
      <c r="A61" s="77"/>
      <c r="B61" s="78" t="s">
        <v>158</v>
      </c>
      <c r="C61" s="79"/>
      <c r="D61" s="80">
        <f t="shared" si="11"/>
        <v>6.5</v>
      </c>
      <c r="E61" s="81">
        <f>sumifs(Dados!$N:$N,Dados!$B:$B,B61,Dados!$J:$J,$D$1,Dados!$I:$I,$E$4)</f>
        <v>0</v>
      </c>
      <c r="F61" s="81">
        <f>sumifs(Dados!$N:$N,Dados!$B:$B,B61,Dados!$J:$J,$D$1,Dados!$I:$I,$F$4)</f>
        <v>0</v>
      </c>
      <c r="G61" s="81">
        <f>sumifs(Dados!$N:$N,Dados!$B:$B,B61,Dados!$J:$J,$D$1,Dados!$I:$I,$G$4)</f>
        <v>0</v>
      </c>
      <c r="H61" s="81">
        <f>sumifs(Dados!$N:$N,Dados!$B:$B,B61,Dados!$J:$J,$D$1,Dados!$I:$I,$H$4)</f>
        <v>6.5</v>
      </c>
      <c r="I61" s="81">
        <f>sumifs(Dados!$N:$N,Dados!$B:$B,B61,Dados!$J:$J,$D$1,Dados!$I:$I,$I$4)</f>
        <v>0</v>
      </c>
      <c r="J61" s="81">
        <f>sumifs(Dados!$N:$N,Dados!$B:$B,B61,Dados!$J:$J,$D$1,Dados!$I:$I,$J$4)</f>
        <v>0</v>
      </c>
      <c r="K61" s="81">
        <f>sumifs(Dados!$N:$N,Dados!$B:$B,B61,Dados!$J:$J,$D$1,Dados!$I:$I,$K$4)</f>
        <v>0</v>
      </c>
      <c r="L61" s="81">
        <f>sumifs(Dados!$N:$N,Dados!$B:$B,B61,Dados!$J:$J,$D$1,Dados!$I:$I,$L$4)</f>
        <v>0</v>
      </c>
      <c r="M61" s="81">
        <f>sumifs(Dados!$N:$N,Dados!$B:$B,B61,Dados!$J:$J,$D$1,Dados!$I:$I,$M$4)</f>
        <v>0</v>
      </c>
      <c r="N61" s="81">
        <f>sumifs(Dados!$N:$N,Dados!$B:$B,B61,Dados!$J:$J,$D$1,Dados!$I:$I,$N$4)</f>
        <v>0</v>
      </c>
      <c r="O61" s="81">
        <f>sumifs(Dados!$N:$N,Dados!$B:$B,B61,Dados!$J:$J,$D$1,Dados!$I:$I,$O$4)</f>
        <v>0</v>
      </c>
      <c r="P61" s="81">
        <f>sumifs(Dados!$N:$N,Dados!$B:$B,B61,Dados!$J:$J,$D$1,Dados!$I:$I,$P$4)</f>
        <v>0</v>
      </c>
      <c r="Q61" s="81"/>
    </row>
    <row r="62" ht="15.75" customHeight="1">
      <c r="A62" s="77"/>
      <c r="B62" s="78" t="s">
        <v>159</v>
      </c>
      <c r="C62" s="79"/>
      <c r="D62" s="80">
        <f t="shared" si="11"/>
        <v>0</v>
      </c>
      <c r="E62" s="81">
        <f>sumifs(Dados!$N:$N,Dados!$B:$B,B62,Dados!$J:$J,$D$1,Dados!$I:$I,$E$4)</f>
        <v>0</v>
      </c>
      <c r="F62" s="81">
        <f>sumifs(Dados!$N:$N,Dados!$B:$B,B62,Dados!$J:$J,$D$1,Dados!$I:$I,$F$4)</f>
        <v>0</v>
      </c>
      <c r="G62" s="81">
        <f>sumifs(Dados!$N:$N,Dados!$B:$B,B62,Dados!$J:$J,$D$1,Dados!$I:$I,$G$4)</f>
        <v>0</v>
      </c>
      <c r="H62" s="81">
        <f>sumifs(Dados!$N:$N,Dados!$B:$B,B62,Dados!$J:$J,$D$1,Dados!$I:$I,$H$4)</f>
        <v>0</v>
      </c>
      <c r="I62" s="81">
        <f>sumifs(Dados!$N:$N,Dados!$B:$B,B62,Dados!$J:$J,$D$1,Dados!$I:$I,$I$4)</f>
        <v>0</v>
      </c>
      <c r="J62" s="81">
        <f>sumifs(Dados!$N:$N,Dados!$B:$B,B62,Dados!$J:$J,$D$1,Dados!$I:$I,$J$4)</f>
        <v>0</v>
      </c>
      <c r="K62" s="81">
        <f>sumifs(Dados!$N:$N,Dados!$B:$B,B62,Dados!$J:$J,$D$1,Dados!$I:$I,$K$4)</f>
        <v>0</v>
      </c>
      <c r="L62" s="81">
        <f>sumifs(Dados!$N:$N,Dados!$B:$B,B62,Dados!$J:$J,$D$1,Dados!$I:$I,$L$4)</f>
        <v>0</v>
      </c>
      <c r="M62" s="81">
        <f>sumifs(Dados!$N:$N,Dados!$B:$B,B62,Dados!$J:$J,$D$1,Dados!$I:$I,$M$4)</f>
        <v>0</v>
      </c>
      <c r="N62" s="81">
        <f>sumifs(Dados!$N:$N,Dados!$B:$B,B62,Dados!$J:$J,$D$1,Dados!$I:$I,$N$4)</f>
        <v>0</v>
      </c>
      <c r="O62" s="81">
        <f>sumifs(Dados!$N:$N,Dados!$B:$B,B62,Dados!$J:$J,$D$1,Dados!$I:$I,$O$4)</f>
        <v>0</v>
      </c>
      <c r="P62" s="81">
        <f>sumifs(Dados!$N:$N,Dados!$B:$B,B62,Dados!$J:$J,$D$1,Dados!$I:$I,$P$4)</f>
        <v>0</v>
      </c>
      <c r="Q62" s="81"/>
    </row>
    <row r="63" ht="15.75" customHeight="1">
      <c r="A63" s="140"/>
      <c r="B63" s="78" t="s">
        <v>160</v>
      </c>
      <c r="C63" s="79"/>
      <c r="D63" s="80">
        <f t="shared" si="11"/>
        <v>38.01</v>
      </c>
      <c r="E63" s="81">
        <f>sumifs(Dados!$N:$N,Dados!$B:$B,B63,Dados!$J:$J,$D$1,Dados!$I:$I,$E$4)</f>
        <v>0</v>
      </c>
      <c r="F63" s="81">
        <f>sumifs(Dados!$N:$N,Dados!$B:$B,B63,Dados!$J:$J,$D$1,Dados!$I:$I,$F$4)</f>
        <v>0</v>
      </c>
      <c r="G63" s="81">
        <f>sumifs(Dados!$N:$N,Dados!$B:$B,B63,Dados!$J:$J,$D$1,Dados!$I:$I,$G$4)</f>
        <v>0</v>
      </c>
      <c r="H63" s="81">
        <f>sumifs(Dados!$N:$N,Dados!$B:$B,B63,Dados!$J:$J,$D$1,Dados!$I:$I,$H$4)</f>
        <v>19.61</v>
      </c>
      <c r="I63" s="81">
        <f>sumifs(Dados!$N:$N,Dados!$B:$B,B63,Dados!$J:$J,$D$1,Dados!$I:$I,$I$4)</f>
        <v>0</v>
      </c>
      <c r="J63" s="81">
        <f>sumifs(Dados!$N:$N,Dados!$B:$B,B63,Dados!$J:$J,$D$1,Dados!$I:$I,$J$4)</f>
        <v>0</v>
      </c>
      <c r="K63" s="81">
        <f>sumifs(Dados!$N:$N,Dados!$B:$B,B63,Dados!$J:$J,$D$1,Dados!$I:$I,$K$4)</f>
        <v>18.4</v>
      </c>
      <c r="L63" s="81">
        <f>sumifs(Dados!$N:$N,Dados!$B:$B,B63,Dados!$J:$J,$D$1,Dados!$I:$I,$L$4)</f>
        <v>0</v>
      </c>
      <c r="M63" s="81">
        <f>sumifs(Dados!$N:$N,Dados!$B:$B,B63,Dados!$J:$J,$D$1,Dados!$I:$I,$M$4)</f>
        <v>0</v>
      </c>
      <c r="N63" s="81">
        <f>sumifs(Dados!$N:$N,Dados!$B:$B,B63,Dados!$J:$J,$D$1,Dados!$I:$I,$N$4)</f>
        <v>0</v>
      </c>
      <c r="O63" s="81">
        <f>sumifs(Dados!$N:$N,Dados!$B:$B,B63,Dados!$J:$J,$D$1,Dados!$I:$I,$O$4)</f>
        <v>0</v>
      </c>
      <c r="P63" s="81">
        <f>sumifs(Dados!$N:$N,Dados!$B:$B,B63,Dados!$J:$J,$D$1,Dados!$I:$I,$P$4)</f>
        <v>0</v>
      </c>
      <c r="Q63" s="81"/>
    </row>
    <row r="64" ht="15.75" customHeight="1">
      <c r="A64" s="140"/>
      <c r="B64" s="78" t="s">
        <v>161</v>
      </c>
      <c r="C64" s="79"/>
      <c r="D64" s="80">
        <f t="shared" si="11"/>
        <v>41.17</v>
      </c>
      <c r="E64" s="81">
        <f>sumifs(Dados!$N:$N,Dados!$B:$B,B64,Dados!$J:$J,$D$1,Dados!$I:$I,$E$4)</f>
        <v>0</v>
      </c>
      <c r="F64" s="81">
        <f>sumifs(Dados!$N:$N,Dados!$B:$B,B64,Dados!$J:$J,$D$1,Dados!$I:$I,$F$4)</f>
        <v>0</v>
      </c>
      <c r="G64" s="81">
        <f>sumifs(Dados!$N:$N,Dados!$B:$B,B64,Dados!$J:$J,$D$1,Dados!$I:$I,$G$4)</f>
        <v>0</v>
      </c>
      <c r="H64" s="81">
        <f>sumifs(Dados!$N:$N,Dados!$B:$B,B64,Dados!$J:$J,$D$1,Dados!$I:$I,$H$4)</f>
        <v>14.32</v>
      </c>
      <c r="I64" s="81">
        <f>sumifs(Dados!$N:$N,Dados!$B:$B,B64,Dados!$J:$J,$D$1,Dados!$I:$I,$I$4)</f>
        <v>0</v>
      </c>
      <c r="J64" s="81">
        <f>sumifs(Dados!$N:$N,Dados!$B:$B,B64,Dados!$J:$J,$D$1,Dados!$I:$I,$J$4)</f>
        <v>8.95</v>
      </c>
      <c r="K64" s="81">
        <f>sumifs(Dados!$N:$N,Dados!$B:$B,B64,Dados!$J:$J,$D$1,Dados!$I:$I,$K$4)</f>
        <v>17.9</v>
      </c>
      <c r="L64" s="81">
        <f>sumifs(Dados!$N:$N,Dados!$B:$B,B64,Dados!$J:$J,$D$1,Dados!$I:$I,$L$4)</f>
        <v>0</v>
      </c>
      <c r="M64" s="81">
        <f>sumifs(Dados!$N:$N,Dados!$B:$B,B64,Dados!$J:$J,$D$1,Dados!$I:$I,$M$4)</f>
        <v>0</v>
      </c>
      <c r="N64" s="81">
        <f>sumifs(Dados!$N:$N,Dados!$B:$B,B64,Dados!$J:$J,$D$1,Dados!$I:$I,$N$4)</f>
        <v>0</v>
      </c>
      <c r="O64" s="81">
        <f>sumifs(Dados!$N:$N,Dados!$B:$B,B64,Dados!$J:$J,$D$1,Dados!$I:$I,$O$4)</f>
        <v>0</v>
      </c>
      <c r="P64" s="81">
        <f>sumifs(Dados!$N:$N,Dados!$B:$B,B64,Dados!$J:$J,$D$1,Dados!$I:$I,$P$4)</f>
        <v>0</v>
      </c>
      <c r="Q64" s="81"/>
    </row>
    <row r="65" ht="15.75" customHeight="1">
      <c r="A65" s="140"/>
      <c r="B65" s="78" t="s">
        <v>162</v>
      </c>
      <c r="C65" s="79"/>
      <c r="D65" s="80">
        <f t="shared" si="11"/>
        <v>0</v>
      </c>
      <c r="E65" s="81">
        <f>sumifs(Dados!$N:$N,Dados!$B:$B,B65,Dados!$J:$J,$D$1,Dados!$I:$I,$E$4)</f>
        <v>0</v>
      </c>
      <c r="F65" s="81">
        <f>sumifs(Dados!$N:$N,Dados!$B:$B,B65,Dados!$J:$J,$D$1,Dados!$I:$I,$F$4)</f>
        <v>0</v>
      </c>
      <c r="G65" s="81">
        <f>sumifs(Dados!$N:$N,Dados!$B:$B,B65,Dados!$J:$J,$D$1,Dados!$I:$I,$G$4)</f>
        <v>0</v>
      </c>
      <c r="H65" s="81">
        <f>sumifs(Dados!$N:$N,Dados!$B:$B,B65,Dados!$J:$J,$D$1,Dados!$I:$I,$H$4)</f>
        <v>0</v>
      </c>
      <c r="I65" s="81">
        <f>sumifs(Dados!$N:$N,Dados!$B:$B,B65,Dados!$J:$J,$D$1,Dados!$I:$I,$I$4)</f>
        <v>0</v>
      </c>
      <c r="J65" s="81">
        <f>sumifs(Dados!$N:$N,Dados!$B:$B,B65,Dados!$J:$J,$D$1,Dados!$I:$I,$J$4)</f>
        <v>0</v>
      </c>
      <c r="K65" s="81">
        <f>sumifs(Dados!$N:$N,Dados!$B:$B,B65,Dados!$J:$J,$D$1,Dados!$I:$I,$K$4)</f>
        <v>0</v>
      </c>
      <c r="L65" s="81">
        <f>sumifs(Dados!$N:$N,Dados!$B:$B,B65,Dados!$J:$J,$D$1,Dados!$I:$I,$L$4)</f>
        <v>0</v>
      </c>
      <c r="M65" s="81">
        <f>sumifs(Dados!$N:$N,Dados!$B:$B,B65,Dados!$J:$J,$D$1,Dados!$I:$I,$M$4)</f>
        <v>0</v>
      </c>
      <c r="N65" s="81">
        <f>sumifs(Dados!$N:$N,Dados!$B:$B,B65,Dados!$J:$J,$D$1,Dados!$I:$I,$N$4)</f>
        <v>0</v>
      </c>
      <c r="O65" s="81">
        <f>sumifs(Dados!$N:$N,Dados!$B:$B,B65,Dados!$J:$J,$D$1,Dados!$I:$I,$O$4)</f>
        <v>0</v>
      </c>
      <c r="P65" s="81">
        <f>sumifs(Dados!$N:$N,Dados!$B:$B,B65,Dados!$J:$J,$D$1,Dados!$I:$I,$P$4)</f>
        <v>0</v>
      </c>
      <c r="Q65" s="81"/>
    </row>
    <row r="66" ht="15.75" customHeight="1">
      <c r="A66" s="77"/>
      <c r="B66" s="78" t="s">
        <v>163</v>
      </c>
      <c r="C66" s="79"/>
      <c r="D66" s="80">
        <f t="shared" si="11"/>
        <v>29.04</v>
      </c>
      <c r="E66" s="81">
        <f>sumifs(Dados!$N:$N,Dados!$B:$B,B66,Dados!$J:$J,$D$1,Dados!$I:$I,$E$4)</f>
        <v>0</v>
      </c>
      <c r="F66" s="81">
        <f>sumifs(Dados!$N:$N,Dados!$B:$B,B66,Dados!$J:$J,$D$1,Dados!$I:$I,$F$4)</f>
        <v>0</v>
      </c>
      <c r="G66" s="81">
        <f>sumifs(Dados!$N:$N,Dados!$B:$B,B66,Dados!$J:$J,$D$1,Dados!$I:$I,$G$4)</f>
        <v>0</v>
      </c>
      <c r="H66" s="81">
        <f>sumifs(Dados!$N:$N,Dados!$B:$B,B66,Dados!$J:$J,$D$1,Dados!$I:$I,$H$4)</f>
        <v>0</v>
      </c>
      <c r="I66" s="81">
        <f>sumifs(Dados!$N:$N,Dados!$B:$B,B66,Dados!$J:$J,$D$1,Dados!$I:$I,$I$4)</f>
        <v>0</v>
      </c>
      <c r="J66" s="81">
        <f>sumifs(Dados!$N:$N,Dados!$B:$B,B66,Dados!$J:$J,$D$1,Dados!$I:$I,$J$4)</f>
        <v>29.04</v>
      </c>
      <c r="K66" s="81">
        <f>sumifs(Dados!$N:$N,Dados!$B:$B,B66,Dados!$J:$J,$D$1,Dados!$I:$I,$K$4)</f>
        <v>0</v>
      </c>
      <c r="L66" s="81">
        <f>sumifs(Dados!$N:$N,Dados!$B:$B,B66,Dados!$J:$J,$D$1,Dados!$I:$I,$L$4)</f>
        <v>0</v>
      </c>
      <c r="M66" s="81">
        <f>sumifs(Dados!$N:$N,Dados!$B:$B,B66,Dados!$J:$J,$D$1,Dados!$I:$I,$M$4)</f>
        <v>0</v>
      </c>
      <c r="N66" s="81">
        <f>sumifs(Dados!$N:$N,Dados!$B:$B,B66,Dados!$J:$J,$D$1,Dados!$I:$I,$N$4)</f>
        <v>0</v>
      </c>
      <c r="O66" s="81">
        <f>sumifs(Dados!$N:$N,Dados!$B:$B,B66,Dados!$J:$J,$D$1,Dados!$I:$I,$O$4)</f>
        <v>0</v>
      </c>
      <c r="P66" s="81">
        <f>sumifs(Dados!$N:$N,Dados!$B:$B,B66,Dados!$J:$J,$D$1,Dados!$I:$I,$P$4)</f>
        <v>0</v>
      </c>
      <c r="Q66" s="81"/>
    </row>
    <row r="67" ht="15.75" customHeight="1">
      <c r="A67" s="77"/>
      <c r="B67" s="78" t="s">
        <v>164</v>
      </c>
      <c r="C67" s="79"/>
      <c r="D67" s="80">
        <f t="shared" si="11"/>
        <v>0</v>
      </c>
      <c r="E67" s="81">
        <f>sumifs(Dados!$N:$N,Dados!$B:$B,B67,Dados!$J:$J,$D$1,Dados!$I:$I,$E$4)</f>
        <v>0</v>
      </c>
      <c r="F67" s="81">
        <f>sumifs(Dados!$N:$N,Dados!$B:$B,B67,Dados!$J:$J,$D$1,Dados!$I:$I,$F$4)</f>
        <v>0</v>
      </c>
      <c r="G67" s="81">
        <f>sumifs(Dados!$N:$N,Dados!$B:$B,B67,Dados!$J:$J,$D$1,Dados!$I:$I,$G$4)</f>
        <v>0</v>
      </c>
      <c r="H67" s="81">
        <f>sumifs(Dados!$N:$N,Dados!$B:$B,B67,Dados!$J:$J,$D$1,Dados!$I:$I,$H$4)</f>
        <v>0</v>
      </c>
      <c r="I67" s="81">
        <f>sumifs(Dados!$N:$N,Dados!$B:$B,B67,Dados!$J:$J,$D$1,Dados!$I:$I,$I$4)</f>
        <v>0</v>
      </c>
      <c r="J67" s="81">
        <f>sumifs(Dados!$N:$N,Dados!$B:$B,B67,Dados!$J:$J,$D$1,Dados!$I:$I,$J$4)</f>
        <v>0</v>
      </c>
      <c r="K67" s="81">
        <f>sumifs(Dados!$N:$N,Dados!$B:$B,B67,Dados!$J:$J,$D$1,Dados!$I:$I,$K$4)</f>
        <v>0</v>
      </c>
      <c r="L67" s="81">
        <f>sumifs(Dados!$N:$N,Dados!$B:$B,B67,Dados!$J:$J,$D$1,Dados!$I:$I,$L$4)</f>
        <v>0</v>
      </c>
      <c r="M67" s="81">
        <f>sumifs(Dados!$N:$N,Dados!$B:$B,B67,Dados!$J:$J,$D$1,Dados!$I:$I,$M$4)</f>
        <v>0</v>
      </c>
      <c r="N67" s="81">
        <f>sumifs(Dados!$N:$N,Dados!$B:$B,B67,Dados!$J:$J,$D$1,Dados!$I:$I,$N$4)</f>
        <v>0</v>
      </c>
      <c r="O67" s="81">
        <f>sumifs(Dados!$N:$N,Dados!$B:$B,B67,Dados!$J:$J,$D$1,Dados!$I:$I,$O$4)</f>
        <v>0</v>
      </c>
      <c r="P67" s="81">
        <f>sumifs(Dados!$N:$N,Dados!$B:$B,B67,Dados!$J:$J,$D$1,Dados!$I:$I,$P$4)</f>
        <v>0</v>
      </c>
      <c r="Q67" s="81"/>
    </row>
    <row r="68" ht="15.75" customHeight="1">
      <c r="A68" s="99" t="s">
        <v>165</v>
      </c>
      <c r="B68" s="100">
        <f>sumifs(Dados!$N:$N,Dados!$A:$A,A68,Dados!$J:$J,$D$1)</f>
        <v>377.65</v>
      </c>
      <c r="C68" s="101">
        <f>B68-D68</f>
        <v>0</v>
      </c>
      <c r="D68" s="100">
        <f t="shared" ref="D68:P68" si="12">SUM(D56:D67)</f>
        <v>377.65</v>
      </c>
      <c r="E68" s="100">
        <f t="shared" si="12"/>
        <v>0</v>
      </c>
      <c r="F68" s="100">
        <f t="shared" si="12"/>
        <v>0</v>
      </c>
      <c r="G68" s="100">
        <f t="shared" si="12"/>
        <v>0</v>
      </c>
      <c r="H68" s="100">
        <f t="shared" si="12"/>
        <v>223.94</v>
      </c>
      <c r="I68" s="100">
        <f t="shared" si="12"/>
        <v>16.77</v>
      </c>
      <c r="J68" s="100">
        <f t="shared" si="12"/>
        <v>53.9</v>
      </c>
      <c r="K68" s="100">
        <f t="shared" si="12"/>
        <v>83.04</v>
      </c>
      <c r="L68" s="100">
        <f t="shared" si="12"/>
        <v>0</v>
      </c>
      <c r="M68" s="100">
        <f t="shared" si="12"/>
        <v>0</v>
      </c>
      <c r="N68" s="100">
        <f t="shared" si="12"/>
        <v>0</v>
      </c>
      <c r="O68" s="100">
        <f t="shared" si="12"/>
        <v>0</v>
      </c>
      <c r="P68" s="100">
        <f t="shared" si="12"/>
        <v>0</v>
      </c>
      <c r="Q68" s="100"/>
    </row>
    <row r="69" ht="15.75" customHeight="1">
      <c r="A69" s="77"/>
      <c r="B69" s="77" t="s">
        <v>166</v>
      </c>
      <c r="C69" s="79"/>
      <c r="D69" s="80">
        <f t="shared" ref="D69:D75" si="13">SUM(E69:P69)</f>
        <v>334.45</v>
      </c>
      <c r="E69" s="81">
        <f>sumifs(Dados!$N:$N,Dados!$B:$B,B69,Dados!$J:$J,$D$1,Dados!$I:$I,$E$4)</f>
        <v>0</v>
      </c>
      <c r="F69" s="81">
        <f>sumifs(Dados!$N:$N,Dados!$B:$B,B69,Dados!$J:$J,$D$1,Dados!$I:$I,$F$4)</f>
        <v>0</v>
      </c>
      <c r="G69" s="81">
        <f>sumifs(Dados!$N:$N,Dados!$B:$B,B69,Dados!$J:$J,$D$1,Dados!$I:$I,$G$4)</f>
        <v>0</v>
      </c>
      <c r="H69" s="81">
        <f>sumifs(Dados!$N:$N,Dados!$B:$B,B69,Dados!$J:$J,$D$1,Dados!$I:$I,$H$4)</f>
        <v>0</v>
      </c>
      <c r="I69" s="81">
        <f>sumifs(Dados!$N:$N,Dados!$B:$B,B69,Dados!$J:$J,$D$1,Dados!$I:$I,$I$4)</f>
        <v>334.45</v>
      </c>
      <c r="J69" s="81">
        <f>sumifs(Dados!$N:$N,Dados!$B:$B,B69,Dados!$J:$J,$D$1,Dados!$I:$I,$J$4)</f>
        <v>0</v>
      </c>
      <c r="K69" s="81">
        <f>sumifs(Dados!$N:$N,Dados!$B:$B,B69,Dados!$J:$J,$D$1,Dados!$I:$I,$K$4)</f>
        <v>0</v>
      </c>
      <c r="L69" s="81">
        <f>sumifs(Dados!$N:$N,Dados!$B:$B,B69,Dados!$J:$J,$D$1,Dados!$I:$I,$L$4)</f>
        <v>0</v>
      </c>
      <c r="M69" s="81">
        <f>sumifs(Dados!$N:$N,Dados!$B:$B,B69,Dados!$J:$J,$D$1,Dados!$I:$I,$M$4)</f>
        <v>0</v>
      </c>
      <c r="N69" s="81">
        <f>sumifs(Dados!$N:$N,Dados!$B:$B,B69,Dados!$J:$J,$D$1,Dados!$I:$I,$N$4)</f>
        <v>0</v>
      </c>
      <c r="O69" s="81">
        <f>sumifs(Dados!$N:$N,Dados!$B:$B,B69,Dados!$J:$J,$D$1,Dados!$I:$I,$O$4)</f>
        <v>0</v>
      </c>
      <c r="P69" s="81">
        <f>sumifs(Dados!$N:$N,Dados!$B:$B,B69,Dados!$J:$J,$D$1,Dados!$I:$I,$P$4)</f>
        <v>0</v>
      </c>
      <c r="Q69" s="81"/>
    </row>
    <row r="70" ht="15.75" customHeight="1">
      <c r="A70" s="77"/>
      <c r="B70" s="77" t="s">
        <v>167</v>
      </c>
      <c r="C70" s="79"/>
      <c r="D70" s="80">
        <f t="shared" si="13"/>
        <v>0</v>
      </c>
      <c r="E70" s="81">
        <f>sumifs(Dados!$N:$N,Dados!$B:$B,B70,Dados!$J:$J,$D$1,Dados!$I:$I,$E$4)</f>
        <v>0</v>
      </c>
      <c r="F70" s="81">
        <f>sumifs(Dados!$N:$N,Dados!$B:$B,B70,Dados!$J:$J,$D$1,Dados!$I:$I,$F$4)</f>
        <v>0</v>
      </c>
      <c r="G70" s="81">
        <f>sumifs(Dados!$N:$N,Dados!$B:$B,B70,Dados!$J:$J,$D$1,Dados!$I:$I,$G$4)</f>
        <v>0</v>
      </c>
      <c r="H70" s="81">
        <f>sumifs(Dados!$N:$N,Dados!$B:$B,B70,Dados!$J:$J,$D$1,Dados!$I:$I,$H$4)</f>
        <v>0</v>
      </c>
      <c r="I70" s="81">
        <f>sumifs(Dados!$N:$N,Dados!$B:$B,B70,Dados!$J:$J,$D$1,Dados!$I:$I,$I$4)</f>
        <v>0</v>
      </c>
      <c r="J70" s="81">
        <f>sumifs(Dados!$N:$N,Dados!$B:$B,B70,Dados!$J:$J,$D$1,Dados!$I:$I,$J$4)</f>
        <v>0</v>
      </c>
      <c r="K70" s="81">
        <f>sumifs(Dados!$N:$N,Dados!$B:$B,B70,Dados!$J:$J,$D$1,Dados!$I:$I,$K$4)</f>
        <v>0</v>
      </c>
      <c r="L70" s="81">
        <f>sumifs(Dados!$N:$N,Dados!$B:$B,B70,Dados!$J:$J,$D$1,Dados!$I:$I,$L$4)</f>
        <v>0</v>
      </c>
      <c r="M70" s="81">
        <f>sumifs(Dados!$N:$N,Dados!$B:$B,B70,Dados!$J:$J,$D$1,Dados!$I:$I,$M$4)</f>
        <v>0</v>
      </c>
      <c r="N70" s="81">
        <f>sumifs(Dados!$N:$N,Dados!$B:$B,B70,Dados!$J:$J,$D$1,Dados!$I:$I,$N$4)</f>
        <v>0</v>
      </c>
      <c r="O70" s="81">
        <f>sumifs(Dados!$N:$N,Dados!$B:$B,B70,Dados!$J:$J,$D$1,Dados!$I:$I,$O$4)</f>
        <v>0</v>
      </c>
      <c r="P70" s="81">
        <f>sumifs(Dados!$N:$N,Dados!$B:$B,B70,Dados!$J:$J,$D$1,Dados!$I:$I,$P$4)</f>
        <v>0</v>
      </c>
      <c r="Q70" s="81"/>
    </row>
    <row r="71" ht="15.75" customHeight="1">
      <c r="A71" s="77"/>
      <c r="B71" s="77" t="s">
        <v>168</v>
      </c>
      <c r="C71" s="79"/>
      <c r="D71" s="80">
        <f t="shared" si="13"/>
        <v>0</v>
      </c>
      <c r="E71" s="81">
        <f>sumifs(Dados!$N:$N,Dados!$B:$B,$B$71,Dados!$J:$J,$D$1,Dados!$I:$I,E4)</f>
        <v>0</v>
      </c>
      <c r="F71" s="81">
        <f>sumifs(Dados!$N:$N,Dados!$B:$B,$B$71,Dados!$J:$J,$D$1,Dados!$I:$I,F4)</f>
        <v>0</v>
      </c>
      <c r="G71" s="81">
        <f>sumifs(Dados!$N:$N,Dados!$B:$B,$B$71,Dados!$J:$J,$D$1,Dados!$I:$I,G4)</f>
        <v>0</v>
      </c>
      <c r="H71" s="81">
        <f>sumifs(Dados!$N:$N,Dados!$B:$B,$B$71,Dados!$J:$J,$D$1,Dados!$I:$I,H4)</f>
        <v>0</v>
      </c>
      <c r="I71" s="81">
        <f>sumifs(Dados!$N:$N,Dados!$B:$B,$B$71,Dados!$J:$J,$D$1,Dados!$I:$I,I4)</f>
        <v>0</v>
      </c>
      <c r="J71" s="81">
        <f>sumifs(Dados!$N:$N,Dados!$B:$B,$B$71,Dados!$J:$J,$D$1,Dados!$I:$I,J4)</f>
        <v>0</v>
      </c>
      <c r="K71" s="81">
        <f>sumifs(Dados!$N:$N,Dados!$B:$B,$B$71,Dados!$J:$J,$D$1,Dados!$I:$I,K4)</f>
        <v>0</v>
      </c>
      <c r="L71" s="81">
        <f>sumifs(Dados!$N:$N,Dados!$B:$B,$B$71,Dados!$J:$J,$D$1,Dados!$I:$I,L4)</f>
        <v>0</v>
      </c>
      <c r="M71" s="81">
        <f>sumifs(Dados!$N:$N,Dados!$B:$B,$B$71,Dados!$J:$J,$D$1,Dados!$I:$I,M4)</f>
        <v>0</v>
      </c>
      <c r="N71" s="81">
        <f>sumifs(Dados!$N:$N,Dados!$B:$B,$B$71,Dados!$J:$J,$D$1,Dados!$I:$I,N4)</f>
        <v>0</v>
      </c>
      <c r="O71" s="81">
        <f>sumifs(Dados!$N:$N,Dados!$B:$B,$B$71,Dados!$J:$J,$D$1,Dados!$I:$I,O4)</f>
        <v>0</v>
      </c>
      <c r="P71" s="81">
        <f>sumifs(Dados!$N:$N,Dados!$B:$B,$B$71,Dados!$J:$J,$D$1,Dados!$I:$I,P4)</f>
        <v>0</v>
      </c>
      <c r="Q71" s="81"/>
    </row>
    <row r="72" ht="15.75" customHeight="1">
      <c r="A72" s="102"/>
      <c r="B72" s="102" t="s">
        <v>169</v>
      </c>
      <c r="C72" s="79"/>
      <c r="D72" s="80">
        <f t="shared" si="13"/>
        <v>1467.98</v>
      </c>
      <c r="E72" s="81">
        <f>sumifs(Dados!$N:$N,Dados!$B:$B,B72,Dados!$J:$J,$D$1,Dados!$I:$I,$E$4)</f>
        <v>0</v>
      </c>
      <c r="F72" s="81">
        <f>sumifs(Dados!$N:$N,Dados!$B:$B,B72,Dados!$J:$J,$D$1,Dados!$I:$I,$F$4)</f>
        <v>0</v>
      </c>
      <c r="G72" s="81">
        <f>sumifs(Dados!$N:$N,Dados!$B:$B,B72,Dados!$J:$J,$D$1,Dados!$I:$I,$G$4)</f>
        <v>0</v>
      </c>
      <c r="H72" s="81">
        <f>sumifs(Dados!$N:$N,Dados!$B:$B,B72,Dados!$J:$J,$D$1,Dados!$I:$I,$H$4)</f>
        <v>0</v>
      </c>
      <c r="I72" s="81">
        <f>sumifs(Dados!$N:$N,Dados!$B:$B,B72,Dados!$J:$J,$D$1,Dados!$I:$I,$I$4)</f>
        <v>0</v>
      </c>
      <c r="J72" s="81">
        <f>sumifs(Dados!$N:$N,Dados!$B:$B,B72,Dados!$J:$J,$D$1,Dados!$I:$I,$J$4)</f>
        <v>1467.98</v>
      </c>
      <c r="K72" s="81">
        <f>sumifs(Dados!$N:$N,Dados!$B:$B,B72,Dados!$J:$J,$D$1,Dados!$I:$I,$K$4)</f>
        <v>0</v>
      </c>
      <c r="L72" s="81">
        <f>sumifs(Dados!$N:$N,Dados!$B:$B,B72,Dados!$J:$J,$D$1,Dados!$I:$I,$L$4)</f>
        <v>0</v>
      </c>
      <c r="M72" s="81">
        <f>sumifs(Dados!$N:$N,Dados!$B:$B,B72,Dados!$J:$J,$D$1,Dados!$I:$I,$M$4)</f>
        <v>0</v>
      </c>
      <c r="N72" s="81">
        <f>sumifs(Dados!$N:$N,Dados!$B:$B,B72,Dados!$J:$J,$D$1,Dados!$I:$I,$N$4)</f>
        <v>0</v>
      </c>
      <c r="O72" s="81">
        <f>sumifs(Dados!$N:$N,Dados!$B:$B,B72,Dados!$J:$J,$D$1,Dados!$I:$I,$O$4)</f>
        <v>0</v>
      </c>
      <c r="P72" s="81">
        <f>sumifs(Dados!$N:$N,Dados!$B:$B,B72,Dados!$J:$J,$D$1,Dados!$I:$I,$P$4)</f>
        <v>0</v>
      </c>
      <c r="Q72" s="81"/>
    </row>
    <row r="73" ht="15.75" customHeight="1">
      <c r="A73" s="77"/>
      <c r="B73" s="77" t="s">
        <v>45</v>
      </c>
      <c r="C73" s="79"/>
      <c r="D73" s="80">
        <f t="shared" si="13"/>
        <v>224.05</v>
      </c>
      <c r="E73" s="81">
        <f>sumifs(Dados!$N:$N,Dados!$B:$B,B73,Dados!$J:$J,$D$1,Dados!$I:$I,$E$4)</f>
        <v>224.05</v>
      </c>
      <c r="F73" s="81">
        <f>sumifs(Dados!$N:$N,Dados!$B:$B,B73,Dados!$J:$J,$D$1,Dados!$I:$I,$F$4)</f>
        <v>0</v>
      </c>
      <c r="G73" s="81">
        <f>sumifs(Dados!$N:$N,Dados!$B:$B,B73,Dados!$J:$J,$D$1,Dados!$I:$I,$G$4)</f>
        <v>0</v>
      </c>
      <c r="H73" s="81">
        <f>sumifs(Dados!$N:$N,Dados!$B:$B,B73,Dados!$J:$J,$D$1,Dados!$I:$I,$H$4)</f>
        <v>0</v>
      </c>
      <c r="I73" s="81">
        <f>sumifs(Dados!$N:$N,Dados!$B:$B,B73,Dados!$J:$J,$D$1,Dados!$I:$I,$I$4)</f>
        <v>0</v>
      </c>
      <c r="J73" s="81">
        <f>sumifs(Dados!$N:$N,Dados!$B:$B,B73,Dados!$J:$J,$D$1,Dados!$I:$I,$J$4)</f>
        <v>0</v>
      </c>
      <c r="K73" s="81">
        <f>sumifs(Dados!$N:$N,Dados!$B:$B,B73,Dados!$J:$J,$D$1,Dados!$I:$I,$K$4)</f>
        <v>0</v>
      </c>
      <c r="L73" s="81">
        <f>sumifs(Dados!$N:$N,Dados!$B:$B,B73,Dados!$J:$J,$D$1,Dados!$I:$I,$L$4)</f>
        <v>0</v>
      </c>
      <c r="M73" s="81">
        <f>sumifs(Dados!$N:$N,Dados!$B:$B,B73,Dados!$J:$J,$D$1,Dados!$I:$I,$M$4)</f>
        <v>0</v>
      </c>
      <c r="N73" s="81">
        <f>sumifs(Dados!$N:$N,Dados!$B:$B,B73,Dados!$J:$J,$D$1,Dados!$I:$I,$N$4)</f>
        <v>0</v>
      </c>
      <c r="O73" s="81">
        <f>sumifs(Dados!$N:$N,Dados!$B:$B,B73,Dados!$J:$J,$D$1,Dados!$I:$I,$O$4)</f>
        <v>0</v>
      </c>
      <c r="P73" s="81">
        <f>sumifs(Dados!$N:$N,Dados!$B:$B,B73,Dados!$J:$J,$D$1,Dados!$I:$I,$P$4)</f>
        <v>0</v>
      </c>
      <c r="Q73" s="81"/>
    </row>
    <row r="74" ht="15.75" customHeight="1">
      <c r="A74" s="82"/>
      <c r="B74" s="82" t="s">
        <v>170</v>
      </c>
      <c r="C74" s="79"/>
      <c r="D74" s="80">
        <f t="shared" si="13"/>
        <v>112</v>
      </c>
      <c r="E74" s="81">
        <f>sumifs(Dados!$N:$N,Dados!$B:$B,B74,Dados!$J:$J,$D$1,Dados!$I:$I,$E$4)</f>
        <v>0</v>
      </c>
      <c r="F74" s="81">
        <f>sumifs(Dados!$N:$N,Dados!$B:$B,B74,Dados!$J:$J,$D$1,Dados!$I:$I,$F$4)</f>
        <v>0</v>
      </c>
      <c r="G74" s="81">
        <f>sumifs(Dados!$N:$N,Dados!$B:$B,B74,Dados!$J:$J,$D$1,Dados!$I:$I,$G$4)</f>
        <v>0</v>
      </c>
      <c r="H74" s="81">
        <f>sumifs(Dados!$N:$N,Dados!$B:$B,B74,Dados!$J:$J,$D$1,Dados!$I:$I,$H$4)</f>
        <v>0</v>
      </c>
      <c r="I74" s="81">
        <f>sumifs(Dados!$N:$N,Dados!$B:$B,B74,Dados!$J:$J,$D$1,Dados!$I:$I,$I$4)</f>
        <v>112</v>
      </c>
      <c r="J74" s="81">
        <f>sumifs(Dados!$N:$N,Dados!$B:$B,B74,Dados!$J:$J,$D$1,Dados!$I:$I,$J$4)</f>
        <v>0</v>
      </c>
      <c r="K74" s="81">
        <f>sumifs(Dados!$N:$N,Dados!$B:$B,B74,Dados!$J:$J,$D$1,Dados!$I:$I,$K$4)</f>
        <v>0</v>
      </c>
      <c r="L74" s="81">
        <f>sumifs(Dados!$N:$N,Dados!$B:$B,B74,Dados!$J:$J,$D$1,Dados!$I:$I,$L$4)</f>
        <v>0</v>
      </c>
      <c r="M74" s="81">
        <f>sumifs(Dados!$N:$N,Dados!$B:$B,B74,Dados!$J:$J,$D$1,Dados!$I:$I,$M$4)</f>
        <v>0</v>
      </c>
      <c r="N74" s="81">
        <f>sumifs(Dados!$N:$N,Dados!$B:$B,B74,Dados!$J:$J,$D$1,Dados!$I:$I,$N$4)</f>
        <v>0</v>
      </c>
      <c r="O74" s="81">
        <f>sumifs(Dados!$N:$N,Dados!$B:$B,B74,Dados!$J:$J,$D$1,Dados!$I:$I,$O$4)</f>
        <v>0</v>
      </c>
      <c r="P74" s="81">
        <f>sumifs(Dados!$N:$N,Dados!$B:$B,B74,Dados!$J:$J,$D$1,Dados!$I:$I,$P$4)</f>
        <v>0</v>
      </c>
      <c r="Q74" s="81"/>
    </row>
    <row r="75" ht="15.75" customHeight="1">
      <c r="A75" s="77"/>
      <c r="B75" s="77" t="s">
        <v>44</v>
      </c>
      <c r="C75" s="79"/>
      <c r="D75" s="80">
        <f t="shared" si="13"/>
        <v>812.4</v>
      </c>
      <c r="E75" s="81">
        <f>sumifs(Dados!$N:$N,Dados!$B:$B,B75,Dados!$J:$J,$D$1,Dados!$I:$I,$E$4)</f>
        <v>188.1</v>
      </c>
      <c r="F75" s="81">
        <f>sumifs(Dados!$N:$N,Dados!$B:$B,B75,Dados!$J:$J,$D$1,Dados!$I:$I,$F$4)</f>
        <v>188.1</v>
      </c>
      <c r="G75" s="81">
        <f>sumifs(Dados!$N:$N,Dados!$B:$B,B75,Dados!$J:$J,$D$1,Dados!$I:$I,$G$4)</f>
        <v>188.1</v>
      </c>
      <c r="H75" s="81">
        <f>sumifs(Dados!$N:$N,Dados!$B:$B,B75,Dados!$J:$J,$D$1,Dados!$I:$I,$H$4)</f>
        <v>188.1</v>
      </c>
      <c r="I75" s="81">
        <f>sumifs(Dados!$N:$N,Dados!$B:$B,B75,Dados!$J:$J,$D$1,Dados!$I:$I,$I$4)</f>
        <v>20</v>
      </c>
      <c r="J75" s="81">
        <f>sumifs(Dados!$N:$N,Dados!$B:$B,B75,Dados!$J:$J,$D$1,Dados!$I:$I,$J$4)</f>
        <v>40</v>
      </c>
      <c r="K75" s="81">
        <f>sumifs(Dados!$N:$N,Dados!$B:$B,B75,Dados!$J:$J,$D$1,Dados!$I:$I,$K$4)</f>
        <v>0</v>
      </c>
      <c r="L75" s="81">
        <f>sumifs(Dados!$N:$N,Dados!$B:$B,B75,Dados!$J:$J,$D$1,Dados!$I:$I,$L$4)</f>
        <v>0</v>
      </c>
      <c r="M75" s="81">
        <f>sumifs(Dados!$N:$N,Dados!$B:$B,B75,Dados!$J:$J,$D$1,Dados!$I:$I,$M$4)</f>
        <v>0</v>
      </c>
      <c r="N75" s="81">
        <f>sumifs(Dados!$N:$N,Dados!$B:$B,B75,Dados!$J:$J,$D$1,Dados!$I:$I,$N$4)</f>
        <v>0</v>
      </c>
      <c r="O75" s="81">
        <f>sumifs(Dados!$N:$N,Dados!$B:$B,B75,Dados!$J:$J,$D$1,Dados!$I:$I,$O$4)</f>
        <v>0</v>
      </c>
      <c r="P75" s="81">
        <f>sumifs(Dados!$N:$N,Dados!$B:$B,B75,Dados!$J:$J,$D$1,Dados!$I:$I,$P$4)</f>
        <v>0</v>
      </c>
      <c r="Q75" s="81"/>
    </row>
    <row r="76" ht="15.75" customHeight="1">
      <c r="A76" s="99" t="s">
        <v>171</v>
      </c>
      <c r="B76" s="100">
        <f>sumifs(Dados!$N:$N,Dados!$A:$A,A76,Dados!$H:$H,$D$1)</f>
        <v>2950.88</v>
      </c>
      <c r="C76" s="101">
        <f>B76-D76</f>
        <v>0</v>
      </c>
      <c r="D76" s="100">
        <f t="shared" ref="D76:P76" si="14">SUM(D69:D75)</f>
        <v>2950.88</v>
      </c>
      <c r="E76" s="100">
        <f t="shared" si="14"/>
        <v>412.15</v>
      </c>
      <c r="F76" s="100">
        <f t="shared" si="14"/>
        <v>188.1</v>
      </c>
      <c r="G76" s="100">
        <f t="shared" si="14"/>
        <v>188.1</v>
      </c>
      <c r="H76" s="100">
        <f t="shared" si="14"/>
        <v>188.1</v>
      </c>
      <c r="I76" s="100">
        <f t="shared" si="14"/>
        <v>466.45</v>
      </c>
      <c r="J76" s="100">
        <f t="shared" si="14"/>
        <v>1507.98</v>
      </c>
      <c r="K76" s="100">
        <f t="shared" si="14"/>
        <v>0</v>
      </c>
      <c r="L76" s="100">
        <f t="shared" si="14"/>
        <v>0</v>
      </c>
      <c r="M76" s="100">
        <f t="shared" si="14"/>
        <v>0</v>
      </c>
      <c r="N76" s="100">
        <f t="shared" si="14"/>
        <v>0</v>
      </c>
      <c r="O76" s="100">
        <f t="shared" si="14"/>
        <v>0</v>
      </c>
      <c r="P76" s="100">
        <f t="shared" si="14"/>
        <v>0</v>
      </c>
      <c r="Q76" s="100"/>
    </row>
    <row r="77" ht="15.75" customHeight="1">
      <c r="A77" s="77"/>
      <c r="B77" s="77" t="s">
        <v>172</v>
      </c>
      <c r="C77" s="79"/>
      <c r="D77" s="80">
        <f t="shared" ref="D77:D82" si="15">SUM(E77:P77)</f>
        <v>0</v>
      </c>
      <c r="E77" s="81">
        <f>sumifs(Dados!$N:$N,Dados!$B:$B,B77,Dados!$J:$J,$D$1,Dados!$I:$I,$E$4)</f>
        <v>0</v>
      </c>
      <c r="F77" s="81">
        <f>sumifs(Dados!$N:$N,Dados!$B:$B,B77,Dados!$J:$J,$D$1,Dados!$I:$I,$F$4)</f>
        <v>0</v>
      </c>
      <c r="G77" s="81">
        <f>sumifs(Dados!$N:$N,Dados!$B:$B,B77,Dados!$J:$J,$D$1,Dados!$I:$I,$G$4)</f>
        <v>0</v>
      </c>
      <c r="H77" s="81">
        <f>sumifs(Dados!$N:$N,Dados!$B:$B,B77,Dados!$J:$J,$D$1,Dados!$I:$I,$H$4)</f>
        <v>0</v>
      </c>
      <c r="I77" s="81">
        <f>sumifs(Dados!$N:$N,Dados!$B:$B,B77,Dados!$J:$J,$D$1,Dados!$I:$I,$I$4)</f>
        <v>0</v>
      </c>
      <c r="J77" s="81">
        <f>sumifs(Dados!$N:$N,Dados!$B:$B,B77,Dados!$J:$J,$D$1,Dados!$I:$I,$J$4)</f>
        <v>0</v>
      </c>
      <c r="K77" s="81">
        <f>sumifs(Dados!$N:$N,Dados!$B:$B,B77,Dados!$J:$J,$D$1,Dados!$I:$I,$K$4)</f>
        <v>0</v>
      </c>
      <c r="L77" s="81">
        <f>sumifs(Dados!$N:$N,Dados!$B:$B,B77,Dados!$J:$J,$D$1,Dados!$I:$I,$L$4)</f>
        <v>0</v>
      </c>
      <c r="M77" s="81">
        <f>sumifs(Dados!$N:$N,Dados!$B:$B,B77,Dados!$J:$J,$D$1,Dados!$I:$I,$M$4)</f>
        <v>0</v>
      </c>
      <c r="N77" s="81">
        <f>sumifs(Dados!$N:$N,Dados!$B:$B,B77,Dados!$J:$J,$D$1,Dados!$I:$I,$N$4)</f>
        <v>0</v>
      </c>
      <c r="O77" s="81">
        <f>sumifs(Dados!$N:$N,Dados!$B:$B,B77,Dados!$J:$J,$D$1,Dados!$I:$I,$O$4)</f>
        <v>0</v>
      </c>
      <c r="P77" s="81">
        <f>sumifs(Dados!$N:$N,Dados!$B:$B,B77,Dados!$J:$J,$D$1,Dados!$I:$I,$P$4)</f>
        <v>0</v>
      </c>
      <c r="Q77" s="81"/>
    </row>
    <row r="78" ht="15.75" customHeight="1">
      <c r="A78" s="77"/>
      <c r="B78" s="77" t="s">
        <v>173</v>
      </c>
      <c r="C78" s="79"/>
      <c r="D78" s="80">
        <f t="shared" si="15"/>
        <v>0</v>
      </c>
      <c r="E78" s="81">
        <f>sumifs(Dados!$N:$N,Dados!$B:$B,B78,Dados!$J:$J,$D$1,Dados!$I:$I,$E$4)</f>
        <v>0</v>
      </c>
      <c r="F78" s="81">
        <f>sumifs(Dados!$N:$N,Dados!$B:$B,B78,Dados!$J:$J,$D$1,Dados!$I:$I,$F$4)</f>
        <v>0</v>
      </c>
      <c r="G78" s="81">
        <f>sumifs(Dados!$N:$N,Dados!$B:$B,B78,Dados!$J:$J,$D$1,Dados!$I:$I,$G$4)</f>
        <v>0</v>
      </c>
      <c r="H78" s="81">
        <f>sumifs(Dados!$N:$N,Dados!$B:$B,B78,Dados!$J:$J,$D$1,Dados!$I:$I,$H$4)</f>
        <v>0</v>
      </c>
      <c r="I78" s="81">
        <f>sumifs(Dados!$N:$N,Dados!$B:$B,B78,Dados!$J:$J,$D$1,Dados!$I:$I,$I$4)</f>
        <v>0</v>
      </c>
      <c r="J78" s="81">
        <f>sumifs(Dados!$N:$N,Dados!$B:$B,B78,Dados!$J:$J,$D$1,Dados!$I:$I,$J$4)</f>
        <v>0</v>
      </c>
      <c r="K78" s="81">
        <f>sumifs(Dados!$N:$N,Dados!$B:$B,B78,Dados!$J:$J,$D$1,Dados!$I:$I,$K$4)</f>
        <v>0</v>
      </c>
      <c r="L78" s="81">
        <f>sumifs(Dados!$N:$N,Dados!$B:$B,B78,Dados!$J:$J,$D$1,Dados!$I:$I,$L$4)</f>
        <v>0</v>
      </c>
      <c r="M78" s="81">
        <f>sumifs(Dados!$N:$N,Dados!$B:$B,B78,Dados!$J:$J,$D$1,Dados!$I:$I,$M$4)</f>
        <v>0</v>
      </c>
      <c r="N78" s="81">
        <f>sumifs(Dados!$N:$N,Dados!$B:$B,B78,Dados!$J:$J,$D$1,Dados!$I:$I,$N$4)</f>
        <v>0</v>
      </c>
      <c r="O78" s="81">
        <f>sumifs(Dados!$N:$N,Dados!$B:$B,B78,Dados!$J:$J,$D$1,Dados!$I:$I,$O$4)</f>
        <v>0</v>
      </c>
      <c r="P78" s="81">
        <f>sumifs(Dados!$N:$N,Dados!$B:$B,B78,Dados!$J:$J,$D$1,Dados!$I:$I,$P$4)</f>
        <v>0</v>
      </c>
      <c r="Q78" s="81"/>
    </row>
    <row r="79" ht="15.75" customHeight="1">
      <c r="A79" s="77"/>
      <c r="B79" s="77" t="s">
        <v>174</v>
      </c>
      <c r="C79" s="79"/>
      <c r="D79" s="80">
        <f t="shared" si="15"/>
        <v>0</v>
      </c>
      <c r="E79" s="81">
        <f>sumifs(Dados!$N:$N,Dados!$B:$B,B79,Dados!$J:$J,$D$1,Dados!$I:$I,$E$4)</f>
        <v>0</v>
      </c>
      <c r="F79" s="81">
        <f>sumifs(Dados!$N:$N,Dados!$B:$B,B79,Dados!$J:$J,$D$1,Dados!$I:$I,$F$4)</f>
        <v>0</v>
      </c>
      <c r="G79" s="81">
        <f>sumifs(Dados!$N:$N,Dados!$B:$B,B79,Dados!$J:$J,$D$1,Dados!$I:$I,$G$4)</f>
        <v>0</v>
      </c>
      <c r="H79" s="81">
        <f>sumifs(Dados!$N:$N,Dados!$B:$B,B79,Dados!$J:$J,$D$1,Dados!$I:$I,$H$4)</f>
        <v>0</v>
      </c>
      <c r="I79" s="81">
        <f>sumifs(Dados!$N:$N,Dados!$B:$B,B79,Dados!$J:$J,$D$1,Dados!$I:$I,$I$4)</f>
        <v>0</v>
      </c>
      <c r="J79" s="81">
        <f>sumifs(Dados!$N:$N,Dados!$B:$B,B79,Dados!$J:$J,$D$1,Dados!$I:$I,$J$4)</f>
        <v>0</v>
      </c>
      <c r="K79" s="81">
        <f>sumifs(Dados!$N:$N,Dados!$B:$B,B79,Dados!$J:$J,$D$1,Dados!$I:$I,$K$4)</f>
        <v>0</v>
      </c>
      <c r="L79" s="81">
        <f>sumifs(Dados!$N:$N,Dados!$B:$B,B79,Dados!$J:$J,$D$1,Dados!$I:$I,$L$4)</f>
        <v>0</v>
      </c>
      <c r="M79" s="81">
        <f>sumifs(Dados!$N:$N,Dados!$B:$B,B79,Dados!$J:$J,$D$1,Dados!$I:$I,$M$4)</f>
        <v>0</v>
      </c>
      <c r="N79" s="81">
        <f>sumifs(Dados!$N:$N,Dados!$B:$B,B79,Dados!$J:$J,$D$1,Dados!$I:$I,$N$4)</f>
        <v>0</v>
      </c>
      <c r="O79" s="81">
        <f>sumifs(Dados!$N:$N,Dados!$B:$B,B79,Dados!$J:$J,$D$1,Dados!$I:$I,$O$4)</f>
        <v>0</v>
      </c>
      <c r="P79" s="81">
        <f>sumifs(Dados!$N:$N,Dados!$B:$B,B79,Dados!$J:$J,$D$1,Dados!$I:$I,$P$4)</f>
        <v>0</v>
      </c>
      <c r="Q79" s="81"/>
    </row>
    <row r="80" ht="15.75" customHeight="1">
      <c r="A80" s="77"/>
      <c r="B80" s="77" t="s">
        <v>175</v>
      </c>
      <c r="C80" s="79"/>
      <c r="D80" s="80">
        <f t="shared" si="15"/>
        <v>0</v>
      </c>
      <c r="E80" s="81">
        <f>sumifs(Dados!$N:$N,Dados!$B:$B,B80,Dados!$J:$J,$D$1,Dados!$I:$I,$E$4)</f>
        <v>0</v>
      </c>
      <c r="F80" s="81">
        <f>sumifs(Dados!$N:$N,Dados!$B:$B,B80,Dados!$J:$J,$D$1,Dados!$I:$I,$F$4)</f>
        <v>0</v>
      </c>
      <c r="G80" s="81">
        <f>sumifs(Dados!$N:$N,Dados!$B:$B,B80,Dados!$J:$J,$D$1,Dados!$I:$I,$G$4)</f>
        <v>0</v>
      </c>
      <c r="H80" s="81">
        <f>sumifs(Dados!$N:$N,Dados!$B:$B,B80,Dados!$J:$J,$D$1,Dados!$I:$I,$H$4)</f>
        <v>0</v>
      </c>
      <c r="I80" s="81">
        <f>sumifs(Dados!$N:$N,Dados!$B:$B,B80,Dados!$J:$J,$D$1,Dados!$I:$I,$I$4)</f>
        <v>0</v>
      </c>
      <c r="J80" s="81">
        <f>sumifs(Dados!$N:$N,Dados!$B:$B,B80,Dados!$J:$J,$D$1,Dados!$I:$I,$J$4)</f>
        <v>0</v>
      </c>
      <c r="K80" s="81">
        <f>sumifs(Dados!$N:$N,Dados!$B:$B,B80,Dados!$J:$J,$D$1,Dados!$I:$I,$K$4)</f>
        <v>0</v>
      </c>
      <c r="L80" s="81">
        <f>sumifs(Dados!$N:$N,Dados!$B:$B,B80,Dados!$J:$J,$D$1,Dados!$I:$I,$L$4)</f>
        <v>0</v>
      </c>
      <c r="M80" s="81">
        <f>sumifs(Dados!$N:$N,Dados!$B:$B,B80,Dados!$J:$J,$D$1,Dados!$I:$I,$M$4)</f>
        <v>0</v>
      </c>
      <c r="N80" s="81">
        <f>sumifs(Dados!$N:$N,Dados!$B:$B,B80,Dados!$J:$J,$D$1,Dados!$I:$I,$N$4)</f>
        <v>0</v>
      </c>
      <c r="O80" s="81">
        <f>sumifs(Dados!$N:$N,Dados!$B:$B,B80,Dados!$J:$J,$D$1,Dados!$I:$I,$O$4)</f>
        <v>0</v>
      </c>
      <c r="P80" s="81">
        <f>sumifs(Dados!$N:$N,Dados!$B:$B,B80,Dados!$J:$J,$D$1,Dados!$I:$I,$P$4)</f>
        <v>0</v>
      </c>
      <c r="Q80" s="81"/>
    </row>
    <row r="81" ht="15.75" customHeight="1">
      <c r="A81" s="77"/>
      <c r="B81" s="77" t="s">
        <v>37</v>
      </c>
      <c r="C81" s="79"/>
      <c r="D81" s="80">
        <f t="shared" si="15"/>
        <v>1153.1</v>
      </c>
      <c r="E81" s="81">
        <f>sumifs(Dados!$N:$N,Dados!$B:$B,B81,Dados!$J:$J,$D$1,Dados!$I:$I,$E$4)</f>
        <v>88.59</v>
      </c>
      <c r="F81" s="81">
        <f>sumifs(Dados!$N:$N,Dados!$B:$B,B81,Dados!$J:$J,$D$1,Dados!$I:$I,$F$4)</f>
        <v>88.59</v>
      </c>
      <c r="G81" s="81">
        <f>sumifs(Dados!$N:$N,Dados!$B:$B,B81,Dados!$J:$J,$D$1,Dados!$I:$I,$G$4)</f>
        <v>345.56</v>
      </c>
      <c r="H81" s="81">
        <f>sumifs(Dados!$N:$N,Dados!$B:$B,B81,Dados!$J:$J,$D$1,Dados!$I:$I,$H$4)</f>
        <v>88.59</v>
      </c>
      <c r="I81" s="81">
        <f>sumifs(Dados!$N:$N,Dados!$B:$B,B81,Dados!$J:$J,$D$1,Dados!$I:$I,$I$4)</f>
        <v>88.59</v>
      </c>
      <c r="J81" s="81">
        <f>sumifs(Dados!$N:$N,Dados!$B:$B,B81,Dados!$J:$J,$D$1,Dados!$I:$I,$J$4)</f>
        <v>42.18</v>
      </c>
      <c r="K81" s="81">
        <f>sumifs(Dados!$N:$N,Dados!$B:$B,B81,Dados!$J:$J,$D$1,Dados!$I:$I,$K$4)</f>
        <v>411</v>
      </c>
      <c r="L81" s="81">
        <f>sumifs(Dados!$N:$N,Dados!$B:$B,B81,Dados!$J:$J,$D$1,Dados!$I:$I,$L$4)</f>
        <v>0</v>
      </c>
      <c r="M81" s="81">
        <f>sumifs(Dados!$N:$N,Dados!$B:$B,B81,Dados!$J:$J,$D$1,Dados!$I:$I,$M$4)</f>
        <v>0</v>
      </c>
      <c r="N81" s="81">
        <f>sumifs(Dados!$N:$N,Dados!$B:$B,B81,Dados!$J:$J,$D$1,Dados!$I:$I,$N$4)</f>
        <v>0</v>
      </c>
      <c r="O81" s="81">
        <f>sumifs(Dados!$N:$N,Dados!$B:$B,B81,Dados!$J:$J,$D$1,Dados!$I:$I,$O$4)</f>
        <v>0</v>
      </c>
      <c r="P81" s="81">
        <f>sumifs(Dados!$N:$N,Dados!$B:$B,B81,Dados!$J:$J,$D$1,Dados!$I:$I,$P$4)</f>
        <v>0</v>
      </c>
      <c r="Q81" s="81"/>
    </row>
    <row r="82" ht="15.75" customHeight="1">
      <c r="A82" s="77"/>
      <c r="B82" s="77" t="s">
        <v>41</v>
      </c>
      <c r="C82" s="79"/>
      <c r="D82" s="80">
        <f t="shared" si="15"/>
        <v>780</v>
      </c>
      <c r="E82" s="81">
        <f>sumifs(Dados!$N:$N,Dados!$B:$B,B82,Dados!$J:$J,$D$1,Dados!$I:$I,$E$4)</f>
        <v>369</v>
      </c>
      <c r="F82" s="81">
        <f>sumifs(Dados!$N:$N,Dados!$B:$B,B82,Dados!$J:$J,$D$1,Dados!$I:$I,$F$4)</f>
        <v>0</v>
      </c>
      <c r="G82" s="81">
        <f>sumifs(Dados!$N:$N,Dados!$B:$B,B82,Dados!$J:$J,$D$1,Dados!$I:$I,$G$4)</f>
        <v>0</v>
      </c>
      <c r="H82" s="81">
        <f>sumifs(Dados!$N:$N,Dados!$B:$B,B82,Dados!$J:$J,$D$1,Dados!$I:$I,$H$4)</f>
        <v>411</v>
      </c>
      <c r="I82" s="81">
        <f>sumifs(Dados!$N:$N,Dados!$B:$B,B82,Dados!$J:$J,$D$1,Dados!$I:$I,$I$4)</f>
        <v>0</v>
      </c>
      <c r="J82" s="81">
        <f>sumifs(Dados!$N:$N,Dados!$B:$B,B82,Dados!$J:$J,$D$1,Dados!$I:$I,$J$4)</f>
        <v>0</v>
      </c>
      <c r="K82" s="81">
        <f>sumifs(Dados!$N:$N,Dados!$B:$B,B82,Dados!$J:$J,$D$1,Dados!$I:$I,$K$4)</f>
        <v>0</v>
      </c>
      <c r="L82" s="81">
        <f>sumifs(Dados!$N:$N,Dados!$B:$B,B82,Dados!$J:$J,$D$1,Dados!$I:$I,$L$4)</f>
        <v>0</v>
      </c>
      <c r="M82" s="81">
        <f>sumifs(Dados!$N:$N,Dados!$B:$B,B82,Dados!$J:$J,$D$1,Dados!$I:$I,$M$4)</f>
        <v>0</v>
      </c>
      <c r="N82" s="81">
        <f>sumifs(Dados!$N:$N,Dados!$B:$B,B82,Dados!$J:$J,$D$1,Dados!$I:$I,$N$4)</f>
        <v>0</v>
      </c>
      <c r="O82" s="81">
        <f>sumifs(Dados!$N:$N,Dados!$B:$B,B82,Dados!$J:$J,$D$1,Dados!$I:$I,$O$4)</f>
        <v>0</v>
      </c>
      <c r="P82" s="81">
        <f>sumifs(Dados!$N:$N,Dados!$B:$B,B82,Dados!$J:$J,$D$1,Dados!$I:$I,$P$4)</f>
        <v>0</v>
      </c>
      <c r="Q82" s="81"/>
    </row>
    <row r="83" ht="15.75" customHeight="1">
      <c r="A83" s="99" t="s">
        <v>176</v>
      </c>
      <c r="B83" s="100">
        <f>sumifs(Dados!$N:$N,Dados!$A:$A,A83,Dados!$H:$H,$D$1)</f>
        <v>1933.1</v>
      </c>
      <c r="C83" s="101">
        <f>B83-D83</f>
        <v>0</v>
      </c>
      <c r="D83" s="100">
        <f t="shared" ref="D83:P83" si="16">SUM(D77:D82)</f>
        <v>1933.1</v>
      </c>
      <c r="E83" s="100">
        <f t="shared" si="16"/>
        <v>457.59</v>
      </c>
      <c r="F83" s="100">
        <f t="shared" si="16"/>
        <v>88.59</v>
      </c>
      <c r="G83" s="100">
        <f t="shared" si="16"/>
        <v>345.56</v>
      </c>
      <c r="H83" s="100">
        <f t="shared" si="16"/>
        <v>499.59</v>
      </c>
      <c r="I83" s="100">
        <f t="shared" si="16"/>
        <v>88.59</v>
      </c>
      <c r="J83" s="100">
        <f t="shared" si="16"/>
        <v>42.18</v>
      </c>
      <c r="K83" s="100">
        <f t="shared" si="16"/>
        <v>411</v>
      </c>
      <c r="L83" s="100">
        <f t="shared" si="16"/>
        <v>0</v>
      </c>
      <c r="M83" s="100">
        <f t="shared" si="16"/>
        <v>0</v>
      </c>
      <c r="N83" s="100">
        <f t="shared" si="16"/>
        <v>0</v>
      </c>
      <c r="O83" s="100">
        <f t="shared" si="16"/>
        <v>0</v>
      </c>
      <c r="P83" s="100">
        <f t="shared" si="16"/>
        <v>0</v>
      </c>
      <c r="Q83" s="100"/>
    </row>
    <row r="84" ht="15.75" customHeight="1">
      <c r="A84" s="77"/>
      <c r="B84" s="77" t="s">
        <v>177</v>
      </c>
      <c r="C84" s="79"/>
      <c r="D84" s="80">
        <f t="shared" ref="D84:D85" si="17">SUM(E84:P84)</f>
        <v>0</v>
      </c>
      <c r="E84" s="81">
        <f>sumifs(Dados!$N:$N,Dados!$B:$B,B84,Dados!$J:$J,$D$1,Dados!$I:$I,$E$4)</f>
        <v>0</v>
      </c>
      <c r="F84" s="81">
        <f>sumifs(Dados!$N:$N,Dados!$B:$B,B84,Dados!$J:$J,$D$1,Dados!$I:$I,$F$4)</f>
        <v>0</v>
      </c>
      <c r="G84" s="81">
        <f>sumifs(Dados!$N:$N,Dados!$B:$B,B84,Dados!$J:$J,$D$1,Dados!$I:$I,$G$4)</f>
        <v>0</v>
      </c>
      <c r="H84" s="81">
        <f>sumifs(Dados!$N:$N,Dados!$B:$B,B84,Dados!$J:$J,$D$1,Dados!$I:$I,$H$4)</f>
        <v>0</v>
      </c>
      <c r="I84" s="81">
        <f>sumifs(Dados!$N:$N,Dados!$B:$B,B84,Dados!$J:$J,$D$1,Dados!$I:$I,$I$4)</f>
        <v>0</v>
      </c>
      <c r="J84" s="81">
        <f>sumifs(Dados!$N:$N,Dados!$B:$B,B84,Dados!$J:$J,$D$1,Dados!$I:$I,$J$4)</f>
        <v>0</v>
      </c>
      <c r="K84" s="81">
        <f>sumifs(Dados!$N:$N,Dados!$B:$B,B84,Dados!$J:$J,$D$1,Dados!$I:$I,$K$4)</f>
        <v>0</v>
      </c>
      <c r="L84" s="81">
        <f>sumifs(Dados!$N:$N,Dados!$B:$B,B84,Dados!$J:$J,$D$1,Dados!$I:$I,$L$4)</f>
        <v>0</v>
      </c>
      <c r="M84" s="81">
        <f>sumifs(Dados!$N:$N,Dados!$B:$B,B84,Dados!$J:$J,$D$1,Dados!$I:$I,$M$4)</f>
        <v>0</v>
      </c>
      <c r="N84" s="81">
        <f>sumifs(Dados!$N:$N,Dados!$B:$B,B84,Dados!$J:$J,$D$1,Dados!$I:$I,$N$4)</f>
        <v>0</v>
      </c>
      <c r="O84" s="81">
        <f>sumifs(Dados!$N:$N,Dados!$B:$B,B84,Dados!$J:$J,$D$1,Dados!$I:$I,$O$4)</f>
        <v>0</v>
      </c>
      <c r="P84" s="81">
        <f>sumifs(Dados!$N:$N,Dados!$B:$B,B84,Dados!$J:$J,$D$1,Dados!$I:$I,$P$4)</f>
        <v>0</v>
      </c>
      <c r="Q84" s="81"/>
    </row>
    <row r="85" ht="15.75" customHeight="1">
      <c r="A85" s="141"/>
      <c r="B85" s="141" t="s">
        <v>179</v>
      </c>
      <c r="C85" s="79"/>
      <c r="D85" s="80">
        <f t="shared" si="17"/>
        <v>0</v>
      </c>
      <c r="E85" s="81">
        <f>sumifs(Dados!$N:$N,Dados!$B:$B,B85,Dados!$J:$J,$D$1,Dados!$I:$I,$E$4)</f>
        <v>0</v>
      </c>
      <c r="F85" s="81">
        <f>sumifs(Dados!$N:$N,Dados!$B:$B,B85,Dados!$J:$J,$D$1,Dados!$I:$I,$F$4)</f>
        <v>0</v>
      </c>
      <c r="G85" s="81">
        <f>sumifs(Dados!$N:$N,Dados!$B:$B,B85,Dados!$J:$J,$D$1,Dados!$I:$I,$G$4)</f>
        <v>0</v>
      </c>
      <c r="H85" s="81">
        <f>sumifs(Dados!$N:$N,Dados!$B:$B,B85,Dados!$J:$J,$D$1,Dados!$I:$I,$H$4)</f>
        <v>0</v>
      </c>
      <c r="I85" s="81">
        <f>sumifs(Dados!$N:$N,Dados!$B:$B,B85,Dados!$J:$J,$D$1,Dados!$I:$I,$I$4)</f>
        <v>0</v>
      </c>
      <c r="J85" s="81">
        <f>sumifs(Dados!$N:$N,Dados!$B:$B,B85,Dados!$J:$J,$D$1,Dados!$I:$I,$J$4)</f>
        <v>0</v>
      </c>
      <c r="K85" s="81">
        <f>sumifs(Dados!$N:$N,Dados!$B:$B,B85,Dados!$J:$J,$D$1,Dados!$I:$I,$K$4)</f>
        <v>0</v>
      </c>
      <c r="L85" s="81">
        <f>sumifs(Dados!$N:$N,Dados!$B:$B,B85,Dados!$J:$J,$D$1,Dados!$I:$I,$L$4)</f>
        <v>0</v>
      </c>
      <c r="M85" s="81">
        <f>sumifs(Dados!$N:$N,Dados!$B:$B,B85,Dados!$J:$J,$D$1,Dados!$I:$I,$M$4)</f>
        <v>0</v>
      </c>
      <c r="N85" s="81">
        <f>sumifs(Dados!$N:$N,Dados!$B:$B,B85,Dados!$J:$J,$D$1,Dados!$I:$I,$N$4)</f>
        <v>0</v>
      </c>
      <c r="O85" s="81">
        <f>sumifs(Dados!$N:$N,Dados!$B:$B,B85,Dados!$J:$J,$D$1,Dados!$I:$I,$O$4)</f>
        <v>0</v>
      </c>
      <c r="P85" s="81">
        <f>sumifs(Dados!$N:$N,Dados!$B:$B,B85,Dados!$J:$J,$D$1,Dados!$I:$I,$P$4)</f>
        <v>0</v>
      </c>
      <c r="Q85" s="81"/>
    </row>
    <row r="86" ht="15.75" customHeight="1">
      <c r="A86" s="99" t="s">
        <v>180</v>
      </c>
      <c r="B86" s="100">
        <f>sumifs(Dados!$N:$N,Dados!$A:$A,A86,Dados!$H:$H,$D$1)</f>
        <v>0</v>
      </c>
      <c r="C86" s="101">
        <f>B86-D86</f>
        <v>0</v>
      </c>
      <c r="D86" s="100">
        <f t="shared" ref="D86:P86" si="18">SUM(D84:D85)</f>
        <v>0</v>
      </c>
      <c r="E86" s="100">
        <f t="shared" si="18"/>
        <v>0</v>
      </c>
      <c r="F86" s="100">
        <f t="shared" si="18"/>
        <v>0</v>
      </c>
      <c r="G86" s="100">
        <f t="shared" si="18"/>
        <v>0</v>
      </c>
      <c r="H86" s="100">
        <f t="shared" si="18"/>
        <v>0</v>
      </c>
      <c r="I86" s="100">
        <f t="shared" si="18"/>
        <v>0</v>
      </c>
      <c r="J86" s="100">
        <f t="shared" si="18"/>
        <v>0</v>
      </c>
      <c r="K86" s="100">
        <f t="shared" si="18"/>
        <v>0</v>
      </c>
      <c r="L86" s="100">
        <f t="shared" si="18"/>
        <v>0</v>
      </c>
      <c r="M86" s="100">
        <f t="shared" si="18"/>
        <v>0</v>
      </c>
      <c r="N86" s="100">
        <f t="shared" si="18"/>
        <v>0</v>
      </c>
      <c r="O86" s="100">
        <f t="shared" si="18"/>
        <v>0</v>
      </c>
      <c r="P86" s="100">
        <f t="shared" si="18"/>
        <v>0</v>
      </c>
      <c r="Q86" s="100"/>
    </row>
    <row r="87" ht="15.75" customHeight="1">
      <c r="A87" s="77"/>
      <c r="B87" s="87" t="s">
        <v>181</v>
      </c>
      <c r="C87" s="79"/>
      <c r="D87" s="80">
        <f>SUM(E87:P87)</f>
        <v>118.73</v>
      </c>
      <c r="E87" s="81">
        <f>sumifs(Dados!$N:$N,Dados!$B:$B,$B$87,Dados!$J:$J,$D$1,Dados!$I:$I,E4)</f>
        <v>0</v>
      </c>
      <c r="F87" s="81">
        <f>sumifs(Dados!$N:$N,Dados!$B:$B,$B$87,Dados!$J:$J,$D$1,Dados!$I:$I,F4)</f>
        <v>0</v>
      </c>
      <c r="G87" s="81">
        <f>sumifs(Dados!$N:$N,Dados!$B:$B,$B$87,Dados!$J:$J,$D$1,Dados!$I:$I,G4)</f>
        <v>56</v>
      </c>
      <c r="H87" s="81">
        <f>sumifs(Dados!$N:$N,Dados!$B:$B,$B$87,Dados!$J:$J,$D$1,Dados!$I:$I,H4)</f>
        <v>62.73</v>
      </c>
      <c r="I87" s="81">
        <f>sumifs(Dados!$N:$N,Dados!$B:$B,$B$87,Dados!$J:$J,$D$1,Dados!$I:$I,I4)</f>
        <v>0</v>
      </c>
      <c r="J87" s="81">
        <f>sumifs(Dados!$N:$N,Dados!$B:$B,$B$87,Dados!$J:$J,$D$1,Dados!$I:$I,J4)</f>
        <v>0</v>
      </c>
      <c r="K87" s="81">
        <f>sumifs(Dados!$N:$N,Dados!$B:$B,$B$87,Dados!$J:$J,$D$1,Dados!$I:$I,K4)</f>
        <v>0</v>
      </c>
      <c r="L87" s="81">
        <f>sumifs(Dados!$N:$N,Dados!$B:$B,$B$87,Dados!$J:$J,$D$1,Dados!$I:$I,L4)</f>
        <v>0</v>
      </c>
      <c r="M87" s="81">
        <f>sumifs(Dados!$N:$N,Dados!$B:$B,$B$87,Dados!$J:$J,$D$1,Dados!$I:$I,M4)</f>
        <v>0</v>
      </c>
      <c r="N87" s="81">
        <f>sumifs(Dados!$N:$N,Dados!$B:$B,$B$87,Dados!$J:$J,$D$1,Dados!$I:$I,N4)</f>
        <v>0</v>
      </c>
      <c r="O87" s="81">
        <f>sumifs(Dados!$N:$N,Dados!$B:$B,$B$87,Dados!$J:$J,$D$1,Dados!$I:$I,O4)</f>
        <v>0</v>
      </c>
      <c r="P87" s="81">
        <f>sumifs(Dados!$N:$N,Dados!$B:$B,$B$87,Dados!$J:$J,$D$1,Dados!$I:$I,P4)</f>
        <v>0</v>
      </c>
      <c r="Q87" s="81"/>
    </row>
    <row r="88" ht="15.75" customHeight="1">
      <c r="A88" s="99" t="s">
        <v>182</v>
      </c>
      <c r="B88" s="100">
        <f>sumifs(Dados!$N:$N,Dados!$A:$A,A88,Dados!$H:$H,$D$1)</f>
        <v>118.73</v>
      </c>
      <c r="C88" s="101">
        <f>B88-D88</f>
        <v>0</v>
      </c>
      <c r="D88" s="100">
        <f t="shared" ref="D88:P88" si="19">SUM(D87)</f>
        <v>118.73</v>
      </c>
      <c r="E88" s="100">
        <f t="shared" si="19"/>
        <v>0</v>
      </c>
      <c r="F88" s="100">
        <f t="shared" si="19"/>
        <v>0</v>
      </c>
      <c r="G88" s="100">
        <f t="shared" si="19"/>
        <v>56</v>
      </c>
      <c r="H88" s="100">
        <f t="shared" si="19"/>
        <v>62.73</v>
      </c>
      <c r="I88" s="100">
        <f t="shared" si="19"/>
        <v>0</v>
      </c>
      <c r="J88" s="100">
        <f t="shared" si="19"/>
        <v>0</v>
      </c>
      <c r="K88" s="100">
        <f t="shared" si="19"/>
        <v>0</v>
      </c>
      <c r="L88" s="100">
        <f t="shared" si="19"/>
        <v>0</v>
      </c>
      <c r="M88" s="100">
        <f t="shared" si="19"/>
        <v>0</v>
      </c>
      <c r="N88" s="100">
        <f t="shared" si="19"/>
        <v>0</v>
      </c>
      <c r="O88" s="100">
        <f t="shared" si="19"/>
        <v>0</v>
      </c>
      <c r="P88" s="100">
        <f t="shared" si="19"/>
        <v>0</v>
      </c>
      <c r="Q88" s="100"/>
    </row>
    <row r="89" ht="15.75" customHeight="1">
      <c r="A89" s="77"/>
      <c r="B89" s="78" t="s">
        <v>40</v>
      </c>
      <c r="C89" s="79"/>
      <c r="D89" s="80">
        <f t="shared" ref="D89:D96" si="20">SUM(E89:P89)</f>
        <v>1055.45</v>
      </c>
      <c r="E89" s="81">
        <f>sumifs(Dados!$N:$N,Dados!$B:$B,B89,Dados!$J:$J,$D$1,Dados!$I:$I,$E$4)</f>
        <v>88.87</v>
      </c>
      <c r="F89" s="81">
        <f>sumifs(Dados!$N:$N,Dados!$B:$B,B89,Dados!$J:$J,$D$1,Dados!$I:$I,$F$4)</f>
        <v>93.33</v>
      </c>
      <c r="G89" s="81">
        <f>sumifs(Dados!$N:$N,Dados!$B:$B,B89,Dados!$J:$J,$D$1,Dados!$I:$I,$G$4)</f>
        <v>97.04</v>
      </c>
      <c r="H89" s="81">
        <f>sumifs(Dados!$N:$N,Dados!$B:$B,B89,Dados!$J:$J,$D$1,Dados!$I:$I,$H$4)</f>
        <v>125.08</v>
      </c>
      <c r="I89" s="81">
        <f>sumifs(Dados!$N:$N,Dados!$B:$B,B89,Dados!$J:$J,$D$1,Dados!$I:$I,$I$4)</f>
        <v>90.38</v>
      </c>
      <c r="J89" s="81">
        <f>sumifs(Dados!$N:$N,Dados!$B:$B,B89,Dados!$J:$J,$D$1,Dados!$I:$I,$J$4)</f>
        <v>560.75</v>
      </c>
      <c r="K89" s="81">
        <f>sumifs(Dados!$N:$N,Dados!$B:$B,B89,Dados!$J:$J,$D$1,Dados!$I:$I,$K$4)</f>
        <v>0</v>
      </c>
      <c r="L89" s="81">
        <f>sumifs(Dados!$N:$N,Dados!$B:$B,B89,Dados!$J:$J,$D$1,Dados!$I:$I,$L$4)</f>
        <v>0</v>
      </c>
      <c r="M89" s="81">
        <f>sumifs(Dados!$N:$N,Dados!$B:$B,B89,Dados!$J:$J,$D$1,Dados!$I:$I,$M$4)</f>
        <v>0</v>
      </c>
      <c r="N89" s="81">
        <f>sumifs(Dados!$N:$N,Dados!$B:$B,B89,Dados!$J:$J,$D$1,Dados!$I:$I,$N$4)</f>
        <v>0</v>
      </c>
      <c r="O89" s="81">
        <f>sumifs(Dados!$N:$N,Dados!$B:$B,B89,Dados!$J:$J,$D$1,Dados!$I:$I,$O$4)</f>
        <v>0</v>
      </c>
      <c r="P89" s="81">
        <f>sumifs(Dados!$N:$N,Dados!$B:$B,B89,Dados!$J:$J,$D$1,Dados!$I:$I,$P$4)</f>
        <v>0</v>
      </c>
      <c r="Q89" s="81"/>
    </row>
    <row r="90" ht="15.75" customHeight="1">
      <c r="A90" s="102"/>
      <c r="B90" s="78" t="s">
        <v>58</v>
      </c>
      <c r="C90" s="79"/>
      <c r="D90" s="80">
        <f t="shared" si="20"/>
        <v>1910</v>
      </c>
      <c r="E90" s="81">
        <f>sumifs(Dados!$N:$N,Dados!$B:$B,B90,Dados!$J:$J,$D$1,Dados!$I:$I,$E$4)</f>
        <v>0</v>
      </c>
      <c r="F90" s="81">
        <f>sumifs(Dados!$N:$N,Dados!$B:$B,B90,Dados!$J:$J,$D$1,Dados!$I:$I,$F$4)</f>
        <v>0</v>
      </c>
      <c r="G90" s="81">
        <f>sumifs(Dados!$N:$N,Dados!$B:$B,B90,Dados!$J:$J,$D$1,Dados!$I:$I,$G$4)</f>
        <v>0</v>
      </c>
      <c r="H90" s="81">
        <f>sumifs(Dados!$N:$N,Dados!$B:$B,B90,Dados!$J:$J,$D$1,Dados!$I:$I,$H$4)</f>
        <v>0</v>
      </c>
      <c r="I90" s="81">
        <f>sumifs(Dados!$N:$N,Dados!$B:$B,B90,Dados!$J:$J,$D$1,Dados!$I:$I,$I$4)</f>
        <v>578</v>
      </c>
      <c r="J90" s="81">
        <f>sumifs(Dados!$N:$N,Dados!$B:$B,B90,Dados!$J:$J,$D$1,Dados!$I:$I,$J$4)</f>
        <v>1332</v>
      </c>
      <c r="K90" s="81">
        <f>sumifs(Dados!$N:$N,Dados!$B:$B,B90,Dados!$J:$J,$D$1,Dados!$I:$I,$K$4)</f>
        <v>0</v>
      </c>
      <c r="L90" s="81">
        <f>sumifs(Dados!$N:$N,Dados!$B:$B,B90,Dados!$J:$J,$D$1,Dados!$I:$I,$L$4)</f>
        <v>0</v>
      </c>
      <c r="M90" s="81">
        <f>sumifs(Dados!$N:$N,Dados!$B:$B,B90,Dados!$J:$J,$D$1,Dados!$I:$I,$M$4)</f>
        <v>0</v>
      </c>
      <c r="N90" s="81">
        <f>sumifs(Dados!$N:$N,Dados!$B:$B,B90,Dados!$J:$J,$D$1,Dados!$I:$I,$N$4)</f>
        <v>0</v>
      </c>
      <c r="O90" s="81">
        <f>sumifs(Dados!$N:$N,Dados!$B:$B,B90,Dados!$J:$J,$D$1,Dados!$I:$I,$O$4)</f>
        <v>0</v>
      </c>
      <c r="P90" s="81">
        <f>sumifs(Dados!$N:$N,Dados!$B:$B,B90,Dados!$J:$J,$D$1,Dados!$I:$I,$P$4)</f>
        <v>0</v>
      </c>
      <c r="Q90" s="81"/>
    </row>
    <row r="91" ht="15.75" customHeight="1">
      <c r="A91" s="102"/>
      <c r="B91" s="78" t="s">
        <v>48</v>
      </c>
      <c r="C91" s="79"/>
      <c r="D91" s="80">
        <f t="shared" si="20"/>
        <v>436.5</v>
      </c>
      <c r="E91" s="81">
        <f>sumifs(Dados!$N:$N,Dados!$B:$B,B91,Dados!$J:$J,$D$1,Dados!$I:$I,$E$4)</f>
        <v>0</v>
      </c>
      <c r="F91" s="81">
        <f>sumifs(Dados!$N:$N,Dados!$B:$B,B91,Dados!$J:$J,$D$1,Dados!$I:$I,$F$4)</f>
        <v>0</v>
      </c>
      <c r="G91" s="81">
        <f>sumifs(Dados!$N:$N,Dados!$B:$B,B91,Dados!$J:$J,$D$1,Dados!$I:$I,$G$4)</f>
        <v>0</v>
      </c>
      <c r="H91" s="81">
        <f>sumifs(Dados!$N:$N,Dados!$B:$B,B91,Dados!$J:$J,$D$1,Dados!$I:$I,$H$4)</f>
        <v>87.3</v>
      </c>
      <c r="I91" s="81">
        <f>sumifs(Dados!$N:$N,Dados!$B:$B,B91,Dados!$J:$J,$D$1,Dados!$I:$I,$I$4)</f>
        <v>87.3</v>
      </c>
      <c r="J91" s="81">
        <f>sumifs(Dados!$N:$N,Dados!$B:$B,B91,Dados!$J:$J,$D$1,Dados!$I:$I,$J$4)</f>
        <v>174.6</v>
      </c>
      <c r="K91" s="81">
        <f>sumifs(Dados!$N:$N,Dados!$B:$B,B91,Dados!$J:$J,$D$1,Dados!$I:$I,$K$4)</f>
        <v>87.3</v>
      </c>
      <c r="L91" s="81">
        <f>sumifs(Dados!$N:$N,Dados!$B:$B,B91,Dados!$J:$J,$D$1,Dados!$I:$I,$L$4)</f>
        <v>0</v>
      </c>
      <c r="M91" s="81">
        <f>sumifs(Dados!$N:$N,Dados!$B:$B,B91,Dados!$J:$J,$D$1,Dados!$I:$I,$M$4)</f>
        <v>0</v>
      </c>
      <c r="N91" s="81">
        <f>sumifs(Dados!$N:$N,Dados!$B:$B,B91,Dados!$J:$J,$D$1,Dados!$I:$I,$N$4)</f>
        <v>0</v>
      </c>
      <c r="O91" s="81">
        <f>sumifs(Dados!$N:$N,Dados!$B:$B,B91,Dados!$J:$J,$D$1,Dados!$I:$I,$O$4)</f>
        <v>0</v>
      </c>
      <c r="P91" s="81">
        <f>sumifs(Dados!$N:$N,Dados!$B:$B,B91,Dados!$J:$J,$D$1,Dados!$I:$I,$P$4)</f>
        <v>0</v>
      </c>
      <c r="Q91" s="81"/>
    </row>
    <row r="92" ht="15.75" customHeight="1">
      <c r="A92" s="77"/>
      <c r="B92" s="78" t="s">
        <v>26</v>
      </c>
      <c r="C92" s="79"/>
      <c r="D92" s="80">
        <f t="shared" si="20"/>
        <v>1643</v>
      </c>
      <c r="E92" s="81">
        <f>sumifs(Dados!$N:$N,Dados!$B:$B,B92,Dados!$J:$J,$D$1,Dados!$I:$I,$E$4)</f>
        <v>115</v>
      </c>
      <c r="F92" s="81">
        <f>sumifs(Dados!$N:$N,Dados!$B:$B,B92,Dados!$J:$J,$D$1,Dados!$I:$I,$F$4)</f>
        <v>115</v>
      </c>
      <c r="G92" s="81">
        <f>sumifs(Dados!$N:$N,Dados!$B:$B,B92,Dados!$J:$J,$D$1,Dados!$I:$I,$G$4)</f>
        <v>115</v>
      </c>
      <c r="H92" s="81">
        <f>sumifs(Dados!$N:$N,Dados!$B:$B,B92,Dados!$J:$J,$D$1,Dados!$I:$I,$H$4)</f>
        <v>115</v>
      </c>
      <c r="I92" s="81">
        <f>sumifs(Dados!$N:$N,Dados!$B:$B,B92,Dados!$J:$J,$D$1,Dados!$I:$I,$I$4)</f>
        <v>115</v>
      </c>
      <c r="J92" s="81">
        <f>sumifs(Dados!$N:$N,Dados!$B:$B,B92,Dados!$J:$J,$D$1,Dados!$I:$I,$J$4)</f>
        <v>115</v>
      </c>
      <c r="K92" s="81">
        <f>sumifs(Dados!$N:$N,Dados!$B:$B,B92,Dados!$J:$J,$D$1,Dados!$I:$I,$K$4)</f>
        <v>953</v>
      </c>
      <c r="L92" s="81">
        <f>sumifs(Dados!$N:$N,Dados!$B:$B,B92,Dados!$J:$J,$D$1,Dados!$I:$I,$L$4)</f>
        <v>0</v>
      </c>
      <c r="M92" s="81">
        <f>sumifs(Dados!$N:$N,Dados!$B:$B,B92,Dados!$J:$J,$D$1,Dados!$I:$I,$M$4)</f>
        <v>0</v>
      </c>
      <c r="N92" s="81">
        <f>sumifs(Dados!$N:$N,Dados!$B:$B,B92,Dados!$J:$J,$D$1,Dados!$I:$I,$N$4)</f>
        <v>0</v>
      </c>
      <c r="O92" s="81">
        <f>sumifs(Dados!$N:$N,Dados!$B:$B,B92,Dados!$J:$J,$D$1,Dados!$I:$I,$O$4)</f>
        <v>0</v>
      </c>
      <c r="P92" s="81">
        <f>sumifs(Dados!$N:$N,Dados!$B:$B,B92,Dados!$J:$J,$D$1,Dados!$I:$I,$P$4)</f>
        <v>0</v>
      </c>
      <c r="Q92" s="81"/>
    </row>
    <row r="93" ht="15.75" customHeight="1">
      <c r="A93" s="77"/>
      <c r="B93" s="78" t="s">
        <v>39</v>
      </c>
      <c r="C93" s="79"/>
      <c r="D93" s="80">
        <f t="shared" si="20"/>
        <v>1339.59</v>
      </c>
      <c r="E93" s="81">
        <f>sumifs(Dados!$N:$N,Dados!$B:$B,B93,Dados!$J:$J,$D$1,Dados!$I:$I,$E$4)</f>
        <v>158.61</v>
      </c>
      <c r="F93" s="81">
        <f>sumifs(Dados!$N:$N,Dados!$B:$B,B93,Dados!$J:$J,$D$1,Dados!$I:$I,$F$4)</f>
        <v>219.01</v>
      </c>
      <c r="G93" s="81">
        <f>sumifs(Dados!$N:$N,Dados!$B:$B,B93,Dados!$J:$J,$D$1,Dados!$I:$I,$G$4)</f>
        <v>149.88</v>
      </c>
      <c r="H93" s="81">
        <f>sumifs(Dados!$N:$N,Dados!$B:$B,B93,Dados!$J:$J,$D$1,Dados!$I:$I,$H$4)</f>
        <v>132.28</v>
      </c>
      <c r="I93" s="81">
        <f>sumifs(Dados!$N:$N,Dados!$B:$B,B93,Dados!$J:$J,$D$1,Dados!$I:$I,$I$4)</f>
        <v>257.51</v>
      </c>
      <c r="J93" s="81">
        <f>sumifs(Dados!$N:$N,Dados!$B:$B,B93,Dados!$J:$J,$D$1,Dados!$I:$I,$J$4)</f>
        <v>422.3</v>
      </c>
      <c r="K93" s="81">
        <f>sumifs(Dados!$N:$N,Dados!$B:$B,B93,Dados!$J:$J,$D$1,Dados!$I:$I,$K$4)</f>
        <v>0</v>
      </c>
      <c r="L93" s="81">
        <f>sumifs(Dados!$N:$N,Dados!$B:$B,B93,Dados!$J:$J,$D$1,Dados!$I:$I,$L$4)</f>
        <v>0</v>
      </c>
      <c r="M93" s="81">
        <f>sumifs(Dados!$N:$N,Dados!$B:$B,B93,Dados!$J:$J,$D$1,Dados!$I:$I,$M$4)</f>
        <v>0</v>
      </c>
      <c r="N93" s="81">
        <f>sumifs(Dados!$N:$N,Dados!$B:$B,B93,Dados!$J:$J,$D$1,Dados!$I:$I,$N$4)</f>
        <v>0</v>
      </c>
      <c r="O93" s="81">
        <f>sumifs(Dados!$N:$N,Dados!$B:$B,B93,Dados!$J:$J,$D$1,Dados!$I:$I,$O$4)</f>
        <v>0</v>
      </c>
      <c r="P93" s="81">
        <f>sumifs(Dados!$N:$N,Dados!$B:$B,B93,Dados!$J:$J,$D$1,Dados!$I:$I,$P$4)</f>
        <v>0</v>
      </c>
      <c r="Q93" s="81"/>
    </row>
    <row r="94" ht="15.75" customHeight="1">
      <c r="A94" s="102"/>
      <c r="B94" s="78" t="s">
        <v>183</v>
      </c>
      <c r="C94" s="79"/>
      <c r="D94" s="80">
        <f t="shared" si="20"/>
        <v>0</v>
      </c>
      <c r="E94" s="81">
        <f>sumifs(Dados!$N:$N,Dados!$B:$B,B94,Dados!$J:$J,$D$1,Dados!$I:$I,$E$4)</f>
        <v>0</v>
      </c>
      <c r="F94" s="81">
        <f>sumifs(Dados!$N:$N,Dados!$B:$B,B94,Dados!$J:$J,$D$1,Dados!$I:$I,$F$4)</f>
        <v>0</v>
      </c>
      <c r="G94" s="81">
        <f>sumifs(Dados!$N:$N,Dados!$B:$B,B94,Dados!$J:$J,$D$1,Dados!$I:$I,$G$4)</f>
        <v>0</v>
      </c>
      <c r="H94" s="81">
        <f>sumifs(Dados!$N:$N,Dados!$B:$B,B94,Dados!$J:$J,$D$1,Dados!$I:$I,$H$4)</f>
        <v>0</v>
      </c>
      <c r="I94" s="81">
        <f>sumifs(Dados!$N:$N,Dados!$B:$B,B94,Dados!$J:$J,$D$1,Dados!$I:$I,$I$4)</f>
        <v>0</v>
      </c>
      <c r="J94" s="81">
        <f>sumifs(Dados!$N:$N,Dados!$B:$B,B94,Dados!$J:$J,$D$1,Dados!$I:$I,$J$4)</f>
        <v>0</v>
      </c>
      <c r="K94" s="81">
        <f>sumifs(Dados!$N:$N,Dados!$B:$B,B94,Dados!$J:$J,$D$1,Dados!$I:$I,$K$4)</f>
        <v>0</v>
      </c>
      <c r="L94" s="81">
        <f>sumifs(Dados!$N:$N,Dados!$B:$B,B94,Dados!$J:$J,$D$1,Dados!$I:$I,$L$4)</f>
        <v>0</v>
      </c>
      <c r="M94" s="81">
        <f>sumifs(Dados!$N:$N,Dados!$B:$B,B94,Dados!$J:$J,$D$1,Dados!$I:$I,$M$4)</f>
        <v>0</v>
      </c>
      <c r="N94" s="81">
        <f>sumifs(Dados!$N:$N,Dados!$B:$B,B94,Dados!$J:$J,$D$1,Dados!$I:$I,$N$4)</f>
        <v>0</v>
      </c>
      <c r="O94" s="81">
        <f>sumifs(Dados!$N:$N,Dados!$B:$B,B94,Dados!$J:$J,$D$1,Dados!$I:$I,$O$4)</f>
        <v>0</v>
      </c>
      <c r="P94" s="81">
        <f>sumifs(Dados!$N:$N,Dados!$B:$B,B94,Dados!$J:$J,$D$1,Dados!$I:$I,$P$4)</f>
        <v>0</v>
      </c>
      <c r="Q94" s="81"/>
    </row>
    <row r="95" ht="15.75" customHeight="1">
      <c r="A95" s="102"/>
      <c r="B95" s="78" t="s">
        <v>32</v>
      </c>
      <c r="C95" s="79"/>
      <c r="D95" s="80">
        <f t="shared" si="20"/>
        <v>404.76</v>
      </c>
      <c r="E95" s="81">
        <f>sumifs(Dados!$N:$N,Dados!$B:$B,B95,Dados!$J:$J,$D$1,Dados!$I:$I,$E$4)</f>
        <v>66.44</v>
      </c>
      <c r="F95" s="81">
        <f>sumifs(Dados!$N:$N,Dados!$B:$B,B95,Dados!$J:$J,$D$1,Dados!$I:$I,$F$4)</f>
        <v>67.84</v>
      </c>
      <c r="G95" s="81">
        <f>sumifs(Dados!$N:$N,Dados!$B:$B,B95,Dados!$J:$J,$D$1,Dados!$I:$I,$G$4)</f>
        <v>67.6</v>
      </c>
      <c r="H95" s="81">
        <f>sumifs(Dados!$N:$N,Dados!$B:$B,B95,Dados!$J:$J,$D$1,Dados!$I:$I,$H$4)</f>
        <v>62.86</v>
      </c>
      <c r="I95" s="81">
        <f>sumifs(Dados!$N:$N,Dados!$B:$B,B95,Dados!$J:$J,$D$1,Dados!$I:$I,$I$4)</f>
        <v>64.45</v>
      </c>
      <c r="J95" s="81">
        <f>sumifs(Dados!$N:$N,Dados!$B:$B,B95,Dados!$J:$J,$D$1,Dados!$I:$I,$J$4)</f>
        <v>75.57</v>
      </c>
      <c r="K95" s="81">
        <f>sumifs(Dados!$N:$N,Dados!$B:$B,B95,Dados!$J:$J,$D$1,Dados!$I:$I,$K$4)</f>
        <v>0</v>
      </c>
      <c r="L95" s="81">
        <f>sumifs(Dados!$N:$N,Dados!$B:$B,B95,Dados!$J:$J,$D$1,Dados!$I:$I,$L$4)</f>
        <v>0</v>
      </c>
      <c r="M95" s="81">
        <f>sumifs(Dados!$N:$N,Dados!$B:$B,B95,Dados!$J:$J,$D$1,Dados!$I:$I,$M$4)</f>
        <v>0</v>
      </c>
      <c r="N95" s="81">
        <f>sumifs(Dados!$N:$N,Dados!$B:$B,B95,Dados!$J:$J,$D$1,Dados!$I:$I,$N$4)</f>
        <v>0</v>
      </c>
      <c r="O95" s="81">
        <f>sumifs(Dados!$N:$N,Dados!$B:$B,B95,Dados!$J:$J,$D$1,Dados!$I:$I,$O$4)</f>
        <v>0</v>
      </c>
      <c r="P95" s="81">
        <f>sumifs(Dados!$N:$N,Dados!$B:$B,B95,Dados!$J:$J,$D$1,Dados!$I:$I,$P$4)</f>
        <v>0</v>
      </c>
      <c r="Q95" s="81"/>
    </row>
    <row r="96" ht="15.75" customHeight="1">
      <c r="A96" s="102"/>
      <c r="B96" s="78" t="s">
        <v>184</v>
      </c>
      <c r="C96" s="79"/>
      <c r="D96" s="80">
        <f t="shared" si="20"/>
        <v>0</v>
      </c>
      <c r="E96" s="81">
        <f>sumifs(Dados!$N:$N,Dados!$B:$B,B96,Dados!$J:$J,$D$1,Dados!$I:$I,$E$4)</f>
        <v>0</v>
      </c>
      <c r="F96" s="81">
        <f>sumifs(Dados!$N:$N,Dados!$B:$B,B96,Dados!$J:$J,$D$1,Dados!$I:$I,$F$4)</f>
        <v>0</v>
      </c>
      <c r="G96" s="81">
        <f>sumifs(Dados!$N:$N,Dados!$B:$B,B96,Dados!$J:$J,$D$1,Dados!$I:$I,$G$4)</f>
        <v>0</v>
      </c>
      <c r="H96" s="81">
        <f>sumifs(Dados!$N:$N,Dados!$B:$B,B96,Dados!$J:$J,$D$1,Dados!$I:$I,$H$4)</f>
        <v>0</v>
      </c>
      <c r="I96" s="81">
        <f>sumifs(Dados!$N:$N,Dados!$B:$B,B96,Dados!$J:$J,$D$1,Dados!$I:$I,$I$4)</f>
        <v>0</v>
      </c>
      <c r="J96" s="81">
        <f>sumifs(Dados!$N:$N,Dados!$B:$B,B96,Dados!$J:$J,$D$1,Dados!$I:$I,$J$4)</f>
        <v>0</v>
      </c>
      <c r="K96" s="81">
        <f>sumifs(Dados!$N:$N,Dados!$B:$B,B96,Dados!$J:$J,$D$1,Dados!$I:$I,$K$4)</f>
        <v>0</v>
      </c>
      <c r="L96" s="81">
        <f>sumifs(Dados!$N:$N,Dados!$B:$B,B96,Dados!$J:$J,$D$1,Dados!$I:$I,$L$4)</f>
        <v>0</v>
      </c>
      <c r="M96" s="81">
        <f>sumifs(Dados!$N:$N,Dados!$B:$B,B96,Dados!$J:$J,$D$1,Dados!$I:$I,$M$4)</f>
        <v>0</v>
      </c>
      <c r="N96" s="81">
        <f>sumifs(Dados!$N:$N,Dados!$B:$B,B96,Dados!$J:$J,$D$1,Dados!$I:$I,$N$4)</f>
        <v>0</v>
      </c>
      <c r="O96" s="81">
        <f>sumifs(Dados!$N:$N,Dados!$B:$B,B96,Dados!$J:$J,$D$1,Dados!$I:$I,$O$4)</f>
        <v>0</v>
      </c>
      <c r="P96" s="81">
        <f>sumifs(Dados!$N:$N,Dados!$B:$B,B96,Dados!$J:$J,$D$1,Dados!$I:$I,$P$4)</f>
        <v>0</v>
      </c>
      <c r="Q96" s="81"/>
    </row>
    <row r="97" ht="15.75" customHeight="1">
      <c r="A97" s="109" t="s">
        <v>185</v>
      </c>
      <c r="B97" s="100">
        <f>sumifs(Dados!$N:$N,Dados!$A:$A,A97,Dados!$H:$H,$D$1)</f>
        <v>7088.45</v>
      </c>
      <c r="C97" s="101">
        <f>B97-D97</f>
        <v>299.15</v>
      </c>
      <c r="D97" s="100">
        <f t="shared" ref="D97:P97" si="21">SUM(D89:D96)</f>
        <v>6789.3</v>
      </c>
      <c r="E97" s="100">
        <f t="shared" si="21"/>
        <v>428.92</v>
      </c>
      <c r="F97" s="100">
        <f t="shared" si="21"/>
        <v>495.18</v>
      </c>
      <c r="G97" s="100">
        <f t="shared" si="21"/>
        <v>429.52</v>
      </c>
      <c r="H97" s="100">
        <f t="shared" si="21"/>
        <v>522.52</v>
      </c>
      <c r="I97" s="100">
        <f t="shared" si="21"/>
        <v>1192.64</v>
      </c>
      <c r="J97" s="100">
        <f t="shared" si="21"/>
        <v>2680.22</v>
      </c>
      <c r="K97" s="100">
        <f t="shared" si="21"/>
        <v>1040.3</v>
      </c>
      <c r="L97" s="100">
        <f t="shared" si="21"/>
        <v>0</v>
      </c>
      <c r="M97" s="100">
        <f t="shared" si="21"/>
        <v>0</v>
      </c>
      <c r="N97" s="100">
        <f t="shared" si="21"/>
        <v>0</v>
      </c>
      <c r="O97" s="100">
        <f t="shared" si="21"/>
        <v>0</v>
      </c>
      <c r="P97" s="100">
        <f t="shared" si="21"/>
        <v>0</v>
      </c>
      <c r="Q97" s="100"/>
    </row>
    <row r="98" ht="15.75" customHeight="1">
      <c r="A98" s="102"/>
      <c r="B98" s="78" t="s">
        <v>186</v>
      </c>
      <c r="C98" s="79"/>
      <c r="D98" s="80">
        <f t="shared" ref="D98:D107" si="22">SUM(E98:P98)</f>
        <v>28.92</v>
      </c>
      <c r="E98" s="81">
        <f>sumifs(Dados!$N:$N,Dados!$B:$B,B98,Dados!$J:$J,$D$1,Dados!$I:$I,$E$4)</f>
        <v>0</v>
      </c>
      <c r="F98" s="81">
        <f>sumifs(Dados!$N:$N,Dados!$B:$B,B98,Dados!$J:$J,$D$1,Dados!$I:$I,$F$4)</f>
        <v>0</v>
      </c>
      <c r="G98" s="81">
        <f>sumifs(Dados!$N:$N,Dados!$B:$B,B98,Dados!$J:$J,$D$1,Dados!$I:$I,$G$4)</f>
        <v>0</v>
      </c>
      <c r="H98" s="81">
        <f>sumifs(Dados!$N:$N,Dados!$B:$B,B98,Dados!$J:$J,$D$1,Dados!$I:$I,$H$4)</f>
        <v>0</v>
      </c>
      <c r="I98" s="81">
        <f>sumifs(Dados!$N:$N,Dados!$B:$B,B98,Dados!$J:$J,$D$1,Dados!$I:$I,$I$4)</f>
        <v>28.92</v>
      </c>
      <c r="J98" s="81">
        <f>sumifs(Dados!$N:$N,Dados!$B:$B,B98,Dados!$J:$J,$D$1,Dados!$I:$I,$J$4)</f>
        <v>0</v>
      </c>
      <c r="K98" s="81">
        <f>sumifs(Dados!$N:$N,Dados!$B:$B,B98,Dados!$J:$J,$D$1,Dados!$I:$I,$K$4)</f>
        <v>0</v>
      </c>
      <c r="L98" s="81">
        <f>sumifs(Dados!$N:$N,Dados!$B:$B,B98,Dados!$J:$J,$D$1,Dados!$I:$I,$L$4)</f>
        <v>0</v>
      </c>
      <c r="M98" s="81">
        <f>sumifs(Dados!$N:$N,Dados!$B:$B,B98,Dados!$J:$J,$D$1,Dados!$I:$I,$M$4)</f>
        <v>0</v>
      </c>
      <c r="N98" s="81">
        <f>sumifs(Dados!$N:$N,Dados!$B:$B,B98,Dados!$J:$J,$D$1,Dados!$I:$I,$N$4)</f>
        <v>0</v>
      </c>
      <c r="O98" s="81">
        <f>sumifs(Dados!$N:$N,Dados!$B:$B,B98,Dados!$J:$J,$D$1,Dados!$I:$I,$O$4)</f>
        <v>0</v>
      </c>
      <c r="P98" s="81">
        <f>sumifs(Dados!$N:$N,Dados!$B:$B,B98,Dados!$J:$J,$D$1,Dados!$I:$I,$P$4)</f>
        <v>0</v>
      </c>
      <c r="Q98" s="81"/>
    </row>
    <row r="99" ht="15.75" customHeight="1">
      <c r="A99" s="102"/>
      <c r="B99" s="78" t="s">
        <v>187</v>
      </c>
      <c r="C99" s="79"/>
      <c r="D99" s="80">
        <f t="shared" si="22"/>
        <v>0</v>
      </c>
      <c r="E99" s="81">
        <f>sumifs(Dados!$N:$N,Dados!$B:$B,B99,Dados!$J:$J,$D$1,Dados!$I:$I,$E$4)</f>
        <v>0</v>
      </c>
      <c r="F99" s="81">
        <f>sumifs(Dados!$N:$N,Dados!$B:$B,B99,Dados!$J:$J,$D$1,Dados!$I:$I,$F$4)</f>
        <v>0</v>
      </c>
      <c r="G99" s="81">
        <f>sumifs(Dados!$N:$N,Dados!$B:$B,B99,Dados!$J:$J,$D$1,Dados!$I:$I,$G$4)</f>
        <v>0</v>
      </c>
      <c r="H99" s="81">
        <f>sumifs(Dados!$N:$N,Dados!$B:$B,B99,Dados!$J:$J,$D$1,Dados!$I:$I,$H$4)</f>
        <v>0</v>
      </c>
      <c r="I99" s="81">
        <f>sumifs(Dados!$N:$N,Dados!$B:$B,B99,Dados!$J:$J,$D$1,Dados!$I:$I,$I$4)</f>
        <v>0</v>
      </c>
      <c r="J99" s="81">
        <f>sumifs(Dados!$N:$N,Dados!$B:$B,B99,Dados!$J:$J,$D$1,Dados!$I:$I,$J$4)</f>
        <v>0</v>
      </c>
      <c r="K99" s="81">
        <f>sumifs(Dados!$N:$N,Dados!$B:$B,B99,Dados!$J:$J,$D$1,Dados!$I:$I,$K$4)</f>
        <v>0</v>
      </c>
      <c r="L99" s="81">
        <f>sumifs(Dados!$N:$N,Dados!$B:$B,B99,Dados!$J:$J,$D$1,Dados!$I:$I,$L$4)</f>
        <v>0</v>
      </c>
      <c r="M99" s="81">
        <f>sumifs(Dados!$N:$N,Dados!$B:$B,B99,Dados!$J:$J,$D$1,Dados!$I:$I,$M$4)</f>
        <v>0</v>
      </c>
      <c r="N99" s="81">
        <f>sumifs(Dados!$N:$N,Dados!$B:$B,B99,Dados!$J:$J,$D$1,Dados!$I:$I,$N$4)</f>
        <v>0</v>
      </c>
      <c r="O99" s="81">
        <f>sumifs(Dados!$N:$N,Dados!$B:$B,B99,Dados!$J:$J,$D$1,Dados!$I:$I,$O$4)</f>
        <v>0</v>
      </c>
      <c r="P99" s="81">
        <f>sumifs(Dados!$N:$N,Dados!$B:$B,B99,Dados!$J:$J,$D$1,Dados!$I:$I,$P$4)</f>
        <v>0</v>
      </c>
      <c r="Q99" s="81"/>
    </row>
    <row r="100" ht="15.75" customHeight="1">
      <c r="A100" s="77"/>
      <c r="B100" s="78" t="s">
        <v>188</v>
      </c>
      <c r="C100" s="79"/>
      <c r="D100" s="80">
        <f t="shared" si="22"/>
        <v>78</v>
      </c>
      <c r="E100" s="81">
        <f>sumifs(Dados!$N:$N,Dados!$B:$B,B100,Dados!$J:$J,$D$1,Dados!$I:$I,$E$4)</f>
        <v>0</v>
      </c>
      <c r="F100" s="81">
        <f>sumifs(Dados!$N:$N,Dados!$B:$B,B100,Dados!$J:$J,$D$1,Dados!$I:$I,$F$4)</f>
        <v>0</v>
      </c>
      <c r="G100" s="81">
        <f>sumifs(Dados!$N:$N,Dados!$B:$B,B100,Dados!$J:$J,$D$1,Dados!$I:$I,$G$4)</f>
        <v>0</v>
      </c>
      <c r="H100" s="81">
        <f>sumifs(Dados!$N:$N,Dados!$B:$B,B100,Dados!$J:$J,$D$1,Dados!$I:$I,$H$4)</f>
        <v>0</v>
      </c>
      <c r="I100" s="81">
        <f>sumifs(Dados!$N:$N,Dados!$B:$B,B100,Dados!$J:$J,$D$1,Dados!$I:$I,$I$4)</f>
        <v>46.8</v>
      </c>
      <c r="J100" s="81">
        <f>sumifs(Dados!$N:$N,Dados!$B:$B,B100,Dados!$J:$J,$D$1,Dados!$I:$I,$J$4)</f>
        <v>31.2</v>
      </c>
      <c r="K100" s="81">
        <f>sumifs(Dados!$N:$N,Dados!$B:$B,B100,Dados!$J:$J,$D$1,Dados!$I:$I,$K$4)</f>
        <v>0</v>
      </c>
      <c r="L100" s="81">
        <f>sumifs(Dados!$N:$N,Dados!$B:$B,B100,Dados!$J:$J,$D$1,Dados!$I:$I,$L$4)</f>
        <v>0</v>
      </c>
      <c r="M100" s="81">
        <f>sumifs(Dados!$N:$N,Dados!$B:$B,B100,Dados!$J:$J,$D$1,Dados!$I:$I,$M$4)</f>
        <v>0</v>
      </c>
      <c r="N100" s="81">
        <f>sumifs(Dados!$N:$N,Dados!$B:$B,B100,Dados!$J:$J,$D$1,Dados!$I:$I,$N$4)</f>
        <v>0</v>
      </c>
      <c r="O100" s="81">
        <f>sumifs(Dados!$N:$N,Dados!$B:$B,B100,Dados!$J:$J,$D$1,Dados!$I:$I,$O$4)</f>
        <v>0</v>
      </c>
      <c r="P100" s="81">
        <f>sumifs(Dados!$N:$N,Dados!$B:$B,B100,Dados!$J:$J,$D$1,Dados!$I:$I,$P$4)</f>
        <v>0</v>
      </c>
      <c r="Q100" s="81"/>
    </row>
    <row r="101" ht="15.75" customHeight="1">
      <c r="A101" s="77"/>
      <c r="B101" s="78" t="s">
        <v>189</v>
      </c>
      <c r="C101" s="79"/>
      <c r="D101" s="80">
        <f t="shared" si="22"/>
        <v>168.32</v>
      </c>
      <c r="E101" s="81">
        <f>sumifs(Dados!$N:$N,Dados!$B:$B,B101,Dados!$J:$J,$D$1,Dados!$I:$I,$E$4)</f>
        <v>0</v>
      </c>
      <c r="F101" s="81">
        <f>sumifs(Dados!$N:$N,Dados!$B:$B,B101,Dados!$J:$J,$D$1,Dados!$I:$I,$F$4)</f>
        <v>0</v>
      </c>
      <c r="G101" s="81">
        <f>sumifs(Dados!$N:$N,Dados!$B:$B,B101,Dados!$J:$J,$D$1,Dados!$I:$I,$G$4)</f>
        <v>0</v>
      </c>
      <c r="H101" s="81">
        <f>sumifs(Dados!$N:$N,Dados!$B:$B,B101,Dados!$J:$J,$D$1,Dados!$I:$I,$H$4)</f>
        <v>0</v>
      </c>
      <c r="I101" s="81">
        <f>sumifs(Dados!$N:$N,Dados!$B:$B,B101,Dados!$J:$J,$D$1,Dados!$I:$I,$I$4)</f>
        <v>56.29</v>
      </c>
      <c r="J101" s="81">
        <f>sumifs(Dados!$N:$N,Dados!$B:$B,B101,Dados!$J:$J,$D$1,Dados!$I:$I,$J$4)</f>
        <v>85.26</v>
      </c>
      <c r="K101" s="81">
        <f>sumifs(Dados!$N:$N,Dados!$B:$B,B101,Dados!$J:$J,$D$1,Dados!$I:$I,$K$4)</f>
        <v>26.77</v>
      </c>
      <c r="L101" s="81">
        <f>sumifs(Dados!$N:$N,Dados!$B:$B,B101,Dados!$J:$J,$D$1,Dados!$I:$I,$L$4)</f>
        <v>0</v>
      </c>
      <c r="M101" s="81">
        <f>sumifs(Dados!$N:$N,Dados!$B:$B,B101,Dados!$J:$J,$D$1,Dados!$I:$I,$M$4)</f>
        <v>0</v>
      </c>
      <c r="N101" s="81">
        <f>sumifs(Dados!$N:$N,Dados!$B:$B,B101,Dados!$J:$J,$D$1,Dados!$I:$I,$N$4)</f>
        <v>0</v>
      </c>
      <c r="O101" s="81">
        <f>sumifs(Dados!$N:$N,Dados!$B:$B,B101,Dados!$J:$J,$D$1,Dados!$I:$I,$O$4)</f>
        <v>0</v>
      </c>
      <c r="P101" s="81">
        <f>sumifs(Dados!$N:$N,Dados!$B:$B,B101,Dados!$J:$J,$D$1,Dados!$I:$I,$P$4)</f>
        <v>0</v>
      </c>
      <c r="Q101" s="81"/>
    </row>
    <row r="102" ht="15.75" customHeight="1">
      <c r="A102" s="102"/>
      <c r="B102" s="78" t="s">
        <v>190</v>
      </c>
      <c r="C102" s="79"/>
      <c r="D102" s="80">
        <f t="shared" si="22"/>
        <v>64.2</v>
      </c>
      <c r="E102" s="81">
        <f>sumifs(Dados!$N:$N,Dados!$B:$B,B102,Dados!$J:$J,$D$1,Dados!$I:$I,$E$4)</f>
        <v>0</v>
      </c>
      <c r="F102" s="81">
        <f>sumifs(Dados!$N:$N,Dados!$B:$B,B102,Dados!$J:$J,$D$1,Dados!$I:$I,$F$4)</f>
        <v>0</v>
      </c>
      <c r="G102" s="81">
        <f>sumifs(Dados!$N:$N,Dados!$B:$B,B102,Dados!$J:$J,$D$1,Dados!$I:$I,$G$4)</f>
        <v>0</v>
      </c>
      <c r="H102" s="81">
        <f>sumifs(Dados!$N:$N,Dados!$B:$B,B102,Dados!$J:$J,$D$1,Dados!$I:$I,$H$4)</f>
        <v>0</v>
      </c>
      <c r="I102" s="81">
        <f>sumifs(Dados!$N:$N,Dados!$B:$B,B102,Dados!$J:$J,$D$1,Dados!$I:$I,$I$4)</f>
        <v>0</v>
      </c>
      <c r="J102" s="81">
        <f>sumifs(Dados!$N:$N,Dados!$B:$B,B102,Dados!$J:$J,$D$1,Dados!$I:$I,$J$4)</f>
        <v>42.8</v>
      </c>
      <c r="K102" s="81">
        <f>sumifs(Dados!$N:$N,Dados!$B:$B,B102,Dados!$J:$J,$D$1,Dados!$I:$I,$K$4)</f>
        <v>21.4</v>
      </c>
      <c r="L102" s="81">
        <f>sumifs(Dados!$N:$N,Dados!$B:$B,B102,Dados!$J:$J,$D$1,Dados!$I:$I,$L$4)</f>
        <v>0</v>
      </c>
      <c r="M102" s="81">
        <f>sumifs(Dados!$N:$N,Dados!$B:$B,B102,Dados!$J:$J,$D$1,Dados!$I:$I,$M$4)</f>
        <v>0</v>
      </c>
      <c r="N102" s="81">
        <f>sumifs(Dados!$N:$N,Dados!$B:$B,B102,Dados!$J:$J,$D$1,Dados!$I:$I,$N$4)</f>
        <v>0</v>
      </c>
      <c r="O102" s="81">
        <f>sumifs(Dados!$N:$N,Dados!$B:$B,B102,Dados!$J:$J,$D$1,Dados!$I:$I,$O$4)</f>
        <v>0</v>
      </c>
      <c r="P102" s="81">
        <f>sumifs(Dados!$N:$N,Dados!$B:$B,B102,Dados!$J:$J,$D$1,Dados!$I:$I,$P$4)</f>
        <v>0</v>
      </c>
      <c r="Q102" s="81"/>
    </row>
    <row r="103" ht="15.75" customHeight="1">
      <c r="A103" s="77"/>
      <c r="B103" s="78" t="s">
        <v>191</v>
      </c>
      <c r="C103" s="79"/>
      <c r="D103" s="80">
        <f t="shared" si="22"/>
        <v>70.9</v>
      </c>
      <c r="E103" s="81">
        <f>sumifs(Dados!$N:$N,Dados!$B:$B,B103,Dados!$J:$J,$D$1,Dados!$I:$I,$E$4)</f>
        <v>0</v>
      </c>
      <c r="F103" s="81">
        <f>sumifs(Dados!$N:$N,Dados!$B:$B,B103,Dados!$J:$J,$D$1,Dados!$I:$I,$F$4)</f>
        <v>0</v>
      </c>
      <c r="G103" s="81">
        <f>sumifs(Dados!$N:$N,Dados!$B:$B,B103,Dados!$J:$J,$D$1,Dados!$I:$I,$G$4)</f>
        <v>0</v>
      </c>
      <c r="H103" s="81">
        <f>sumifs(Dados!$N:$N,Dados!$B:$B,B103,Dados!$J:$J,$D$1,Dados!$I:$I,$H$4)</f>
        <v>0</v>
      </c>
      <c r="I103" s="81">
        <f>sumifs(Dados!$N:$N,Dados!$B:$B,B103,Dados!$J:$J,$D$1,Dados!$I:$I,$I$4)</f>
        <v>35</v>
      </c>
      <c r="J103" s="81">
        <f>sumifs(Dados!$N:$N,Dados!$B:$B,B103,Dados!$J:$J,$D$1,Dados!$I:$I,$J$4)</f>
        <v>35.9</v>
      </c>
      <c r="K103" s="81">
        <f>sumifs(Dados!$N:$N,Dados!$B:$B,B103,Dados!$J:$J,$D$1,Dados!$I:$I,$K$4)</f>
        <v>0</v>
      </c>
      <c r="L103" s="81">
        <f>sumifs(Dados!$N:$N,Dados!$B:$B,B103,Dados!$J:$J,$D$1,Dados!$I:$I,$L$4)</f>
        <v>0</v>
      </c>
      <c r="M103" s="81">
        <f>sumifs(Dados!$N:$N,Dados!$B:$B,B103,Dados!$J:$J,$D$1,Dados!$I:$I,$M$4)</f>
        <v>0</v>
      </c>
      <c r="N103" s="81">
        <f>sumifs(Dados!$N:$N,Dados!$B:$B,B103,Dados!$J:$J,$D$1,Dados!$I:$I,$N$4)</f>
        <v>0</v>
      </c>
      <c r="O103" s="81">
        <f>sumifs(Dados!$N:$N,Dados!$B:$B,B103,Dados!$J:$J,$D$1,Dados!$I:$I,$O$4)</f>
        <v>0</v>
      </c>
      <c r="P103" s="81">
        <f>sumifs(Dados!$N:$N,Dados!$B:$B,B103,Dados!$J:$J,$D$1,Dados!$I:$I,$P$4)</f>
        <v>0</v>
      </c>
      <c r="Q103" s="81"/>
    </row>
    <row r="104" ht="15.75" customHeight="1">
      <c r="A104" s="102"/>
      <c r="B104" s="78" t="s">
        <v>192</v>
      </c>
      <c r="C104" s="79"/>
      <c r="D104" s="80">
        <f t="shared" si="22"/>
        <v>279</v>
      </c>
      <c r="E104" s="81">
        <f>sumifs(Dados!$N:$N,Dados!$B:$B,B104,Dados!$J:$J,$D$1,Dados!$I:$I,$E$4)</f>
        <v>0</v>
      </c>
      <c r="F104" s="81">
        <f>sumifs(Dados!$N:$N,Dados!$B:$B,B104,Dados!$J:$J,$D$1,Dados!$I:$I,$F$4)</f>
        <v>0</v>
      </c>
      <c r="G104" s="81">
        <f>sumifs(Dados!$N:$N,Dados!$B:$B,B104,Dados!$J:$J,$D$1,Dados!$I:$I,$G$4)</f>
        <v>0</v>
      </c>
      <c r="H104" s="81">
        <f>sumifs(Dados!$N:$N,Dados!$B:$B,B104,Dados!$J:$J,$D$1,Dados!$I:$I,$H$4)</f>
        <v>0</v>
      </c>
      <c r="I104" s="81">
        <f>sumifs(Dados!$N:$N,Dados!$B:$B,B104,Dados!$J:$J,$D$1,Dados!$I:$I,$I$4)</f>
        <v>55.8</v>
      </c>
      <c r="J104" s="81">
        <f>sumifs(Dados!$N:$N,Dados!$B:$B,B104,Dados!$J:$J,$D$1,Dados!$I:$I,$J$4)</f>
        <v>148.8</v>
      </c>
      <c r="K104" s="81">
        <f>sumifs(Dados!$N:$N,Dados!$B:$B,B104,Dados!$J:$J,$D$1,Dados!$I:$I,$K$4)</f>
        <v>74.4</v>
      </c>
      <c r="L104" s="81">
        <f>sumifs(Dados!$N:$N,Dados!$B:$B,B104,Dados!$J:$J,$D$1,Dados!$I:$I,$L$4)</f>
        <v>0</v>
      </c>
      <c r="M104" s="81">
        <f>sumifs(Dados!$N:$N,Dados!$B:$B,B104,Dados!$J:$J,$D$1,Dados!$I:$I,$M$4)</f>
        <v>0</v>
      </c>
      <c r="N104" s="81">
        <f>sumifs(Dados!$N:$N,Dados!$B:$B,B104,Dados!$J:$J,$D$1,Dados!$I:$I,$N$4)</f>
        <v>0</v>
      </c>
      <c r="O104" s="81">
        <f>sumifs(Dados!$N:$N,Dados!$B:$B,B104,Dados!$J:$J,$D$1,Dados!$I:$I,$O$4)</f>
        <v>0</v>
      </c>
      <c r="P104" s="81">
        <f>sumifs(Dados!$N:$N,Dados!$B:$B,B104,Dados!$J:$J,$D$1,Dados!$I:$I,$P$4)</f>
        <v>0</v>
      </c>
      <c r="Q104" s="81"/>
    </row>
    <row r="105" ht="15.75" customHeight="1">
      <c r="A105" s="82"/>
      <c r="B105" s="83" t="s">
        <v>193</v>
      </c>
      <c r="C105" s="79"/>
      <c r="D105" s="80">
        <f t="shared" si="22"/>
        <v>168.8</v>
      </c>
      <c r="E105" s="81">
        <f>sumifs(Dados!$N:$N,Dados!$B:$B,B105,Dados!$J:$J,$D$1,Dados!$I:$I,$E$4)</f>
        <v>0</v>
      </c>
      <c r="F105" s="81">
        <f>sumifs(Dados!$N:$N,Dados!$B:$B,B105,Dados!$J:$J,$D$1,Dados!$I:$I,$F$4)</f>
        <v>0</v>
      </c>
      <c r="G105" s="81">
        <f>sumifs(Dados!$N:$N,Dados!$B:$B,B105,Dados!$J:$J,$D$1,Dados!$I:$I,$G$4)</f>
        <v>0</v>
      </c>
      <c r="H105" s="81">
        <f>sumifs(Dados!$N:$N,Dados!$B:$B,B105,Dados!$J:$J,$D$1,Dados!$I:$I,$H$4)</f>
        <v>0</v>
      </c>
      <c r="I105" s="81">
        <f>sumifs(Dados!$N:$N,Dados!$B:$B,B105,Dados!$J:$J,$D$1,Dados!$I:$I,$I$4)</f>
        <v>64.2</v>
      </c>
      <c r="J105" s="81">
        <f>sumifs(Dados!$N:$N,Dados!$B:$B,B105,Dados!$J:$J,$D$1,Dados!$I:$I,$J$4)</f>
        <v>84</v>
      </c>
      <c r="K105" s="81">
        <f>sumifs(Dados!$N:$N,Dados!$B:$B,B105,Dados!$J:$J,$D$1,Dados!$I:$I,$K$4)</f>
        <v>20.6</v>
      </c>
      <c r="L105" s="81">
        <f>sumifs(Dados!$N:$N,Dados!$B:$B,B105,Dados!$J:$J,$D$1,Dados!$I:$I,$L$4)</f>
        <v>0</v>
      </c>
      <c r="M105" s="81">
        <f>sumifs(Dados!$N:$N,Dados!$B:$B,B105,Dados!$J:$J,$D$1,Dados!$I:$I,$M$4)</f>
        <v>0</v>
      </c>
      <c r="N105" s="81">
        <f>sumifs(Dados!$N:$N,Dados!$B:$B,B105,Dados!$J:$J,$D$1,Dados!$I:$I,$N$4)</f>
        <v>0</v>
      </c>
      <c r="O105" s="81">
        <f>sumifs(Dados!$N:$N,Dados!$B:$B,B105,Dados!$J:$J,$D$1,Dados!$I:$I,$O$4)</f>
        <v>0</v>
      </c>
      <c r="P105" s="81">
        <f>sumifs(Dados!$N:$N,Dados!$B:$B,B105,Dados!$J:$J,$D$1,Dados!$I:$I,$P$4)</f>
        <v>0</v>
      </c>
      <c r="Q105" s="81"/>
    </row>
    <row r="106" ht="15.75" customHeight="1">
      <c r="A106" s="102"/>
      <c r="B106" s="78" t="s">
        <v>194</v>
      </c>
      <c r="C106" s="79"/>
      <c r="D106" s="80">
        <f t="shared" si="22"/>
        <v>0</v>
      </c>
      <c r="E106" s="81">
        <f>sumifs(Dados!$N:$N,Dados!$B:$B,$B$106,Dados!$J:$J,$D$1,Dados!$I:$I,E4)</f>
        <v>0</v>
      </c>
      <c r="F106" s="81">
        <f>sumifs(Dados!$N:$N,Dados!$B:$B,$B$106,Dados!$J:$J,$D$1,Dados!$I:$I,F4)</f>
        <v>0</v>
      </c>
      <c r="G106" s="81">
        <f>sumifs(Dados!$N:$N,Dados!$B:$B,$B$106,Dados!$J:$J,$D$1,Dados!$I:$I,G4)</f>
        <v>0</v>
      </c>
      <c r="H106" s="81">
        <f>sumifs(Dados!$N:$N,Dados!$B:$B,$B$106,Dados!$J:$J,$D$1,Dados!$I:$I,H4)</f>
        <v>0</v>
      </c>
      <c r="I106" s="81">
        <f>sumifs(Dados!$N:$N,Dados!$B:$B,$B$106,Dados!$J:$J,$D$1,Dados!$I:$I,I4)</f>
        <v>0</v>
      </c>
      <c r="J106" s="81">
        <f>sumifs(Dados!$N:$N,Dados!$B:$B,$B$106,Dados!$J:$J,$D$1,Dados!$I:$I,J4)</f>
        <v>0</v>
      </c>
      <c r="K106" s="81">
        <f>sumifs(Dados!$N:$N,Dados!$B:$B,$B$106,Dados!$J:$J,$D$1,Dados!$I:$I,K4)</f>
        <v>0</v>
      </c>
      <c r="L106" s="81">
        <f>sumifs(Dados!$N:$N,Dados!$B:$B,$B$106,Dados!$J:$J,$D$1,Dados!$I:$I,L4)</f>
        <v>0</v>
      </c>
      <c r="M106" s="81">
        <f>sumifs(Dados!$N:$N,Dados!$B:$B,$B$106,Dados!$J:$J,$D$1,Dados!$I:$I,M4)</f>
        <v>0</v>
      </c>
      <c r="N106" s="81">
        <f>sumifs(Dados!$N:$N,Dados!$B:$B,$B$106,Dados!$J:$J,$D$1,Dados!$I:$I,N4)</f>
        <v>0</v>
      </c>
      <c r="O106" s="81">
        <f>sumifs(Dados!$N:$N,Dados!$B:$B,$B$106,Dados!$J:$J,$D$1,Dados!$I:$I,O4)</f>
        <v>0</v>
      </c>
      <c r="P106" s="81">
        <f>sumifs(Dados!$N:$N,Dados!$B:$B,$B$106,Dados!$J:$J,$D$1,Dados!$I:$I,P4)</f>
        <v>0</v>
      </c>
      <c r="Q106" s="81"/>
    </row>
    <row r="107" ht="15.75" customHeight="1">
      <c r="A107" s="102"/>
      <c r="B107" s="78" t="s">
        <v>195</v>
      </c>
      <c r="C107" s="79"/>
      <c r="D107" s="80">
        <f t="shared" si="22"/>
        <v>42</v>
      </c>
      <c r="E107" s="81">
        <f>sumifs(Dados!$N:$N,Dados!$B:$B,B107,Dados!$J:$J,$D$1,Dados!$I:$I,$E$4)</f>
        <v>0</v>
      </c>
      <c r="F107" s="81">
        <f>sumifs(Dados!$N:$N,Dados!$B:$B,B107,Dados!$J:$J,$D$1,Dados!$I:$I,$F$4)</f>
        <v>0</v>
      </c>
      <c r="G107" s="81">
        <f>sumifs(Dados!$N:$N,Dados!$B:$B,B107,Dados!$J:$J,$D$1,Dados!$I:$I,$G$4)</f>
        <v>0</v>
      </c>
      <c r="H107" s="81">
        <f>sumifs(Dados!$N:$N,Dados!$B:$B,B107,Dados!$J:$J,$D$1,Dados!$I:$I,$H$4)</f>
        <v>0</v>
      </c>
      <c r="I107" s="81">
        <f>sumifs(Dados!$N:$N,Dados!$B:$B,B107,Dados!$J:$J,$D$1,Dados!$I:$I,$I$4)</f>
        <v>14</v>
      </c>
      <c r="J107" s="81">
        <f>sumifs(Dados!$N:$N,Dados!$B:$B,B107,Dados!$J:$J,$D$1,Dados!$I:$I,$J$4)</f>
        <v>28</v>
      </c>
      <c r="K107" s="81">
        <f>sumifs(Dados!$N:$N,Dados!$B:$B,B107,Dados!$J:$J,$D$1,Dados!$I:$I,$K$4)</f>
        <v>0</v>
      </c>
      <c r="L107" s="81">
        <f>sumifs(Dados!$N:$N,Dados!$B:$B,B107,Dados!$J:$J,$D$1,Dados!$I:$I,$L$4)</f>
        <v>0</v>
      </c>
      <c r="M107" s="81">
        <f>sumifs(Dados!$N:$N,Dados!$B:$B,B107,Dados!$J:$J,$D$1,Dados!$I:$I,$M$4)</f>
        <v>0</v>
      </c>
      <c r="N107" s="81">
        <f>sumifs(Dados!$N:$N,Dados!$B:$B,B107,Dados!$J:$J,$D$1,Dados!$I:$I,$N$4)</f>
        <v>0</v>
      </c>
      <c r="O107" s="81">
        <f>sumifs(Dados!$N:$N,Dados!$B:$B,B107,Dados!$J:$J,$D$1,Dados!$I:$I,$O$4)</f>
        <v>0</v>
      </c>
      <c r="P107" s="81">
        <f>sumifs(Dados!$N:$N,Dados!$B:$B,B107,Dados!$J:$J,$D$1,Dados!$I:$I,$P$4)</f>
        <v>0</v>
      </c>
      <c r="Q107" s="81"/>
    </row>
    <row r="108" ht="15.75" customHeight="1">
      <c r="A108" s="109" t="s">
        <v>196</v>
      </c>
      <c r="B108" s="100">
        <f>sumifs(Dados!$N:$N,Dados!$A:$A,A108,Dados!$H:$H,$D$1)</f>
        <v>900.14</v>
      </c>
      <c r="C108" s="101">
        <f>B108-D108</f>
        <v>0</v>
      </c>
      <c r="D108" s="100">
        <f t="shared" ref="D108:P108" si="23">SUM(D98:D107)</f>
        <v>900.14</v>
      </c>
      <c r="E108" s="100">
        <f t="shared" si="23"/>
        <v>0</v>
      </c>
      <c r="F108" s="100">
        <f t="shared" si="23"/>
        <v>0</v>
      </c>
      <c r="G108" s="100">
        <f t="shared" si="23"/>
        <v>0</v>
      </c>
      <c r="H108" s="100">
        <f t="shared" si="23"/>
        <v>0</v>
      </c>
      <c r="I108" s="100">
        <f t="shared" si="23"/>
        <v>301.01</v>
      </c>
      <c r="J108" s="100">
        <f t="shared" si="23"/>
        <v>455.96</v>
      </c>
      <c r="K108" s="100">
        <f t="shared" si="23"/>
        <v>143.17</v>
      </c>
      <c r="L108" s="100">
        <f t="shared" si="23"/>
        <v>0</v>
      </c>
      <c r="M108" s="100">
        <f t="shared" si="23"/>
        <v>0</v>
      </c>
      <c r="N108" s="100">
        <f t="shared" si="23"/>
        <v>0</v>
      </c>
      <c r="O108" s="100">
        <f t="shared" si="23"/>
        <v>0</v>
      </c>
      <c r="P108" s="100">
        <f t="shared" si="23"/>
        <v>0</v>
      </c>
      <c r="Q108" s="100"/>
    </row>
    <row r="109" ht="15.75" customHeight="1">
      <c r="A109" s="102"/>
      <c r="B109" s="78" t="s">
        <v>197</v>
      </c>
      <c r="C109" s="79"/>
      <c r="D109" s="80">
        <f t="shared" ref="D109:D115" si="24">SUM(E109:P109)</f>
        <v>0</v>
      </c>
      <c r="E109" s="81">
        <f>sumifs(Dados!$N:$N,Dados!$B:$B,B109,Dados!$J:$J,$D$1,Dados!$I:$I,$E$4)</f>
        <v>0</v>
      </c>
      <c r="F109" s="81">
        <f>sumifs(Dados!$N:$N,Dados!$B:$B,B109,Dados!$J:$J,$D$1,Dados!$I:$I,$F$4)</f>
        <v>0</v>
      </c>
      <c r="G109" s="81">
        <f>sumifs(Dados!$N:$N,Dados!$B:$B,B109,Dados!$J:$J,$D$1,Dados!$I:$I,$G$4)</f>
        <v>0</v>
      </c>
      <c r="H109" s="81">
        <f>sumifs(Dados!$N:$N,Dados!$B:$B,B109,Dados!$J:$J,$D$1,Dados!$I:$I,$H$4)</f>
        <v>0</v>
      </c>
      <c r="I109" s="81">
        <f>sumifs(Dados!$N:$N,Dados!$B:$B,B109,Dados!$J:$J,$D$1,Dados!$I:$I,$I$4)</f>
        <v>0</v>
      </c>
      <c r="J109" s="81">
        <f>sumifs(Dados!$N:$N,Dados!$B:$B,B109,Dados!$J:$J,$D$1,Dados!$I:$I,$J$4)</f>
        <v>0</v>
      </c>
      <c r="K109" s="81">
        <f>sumifs(Dados!$N:$N,Dados!$B:$B,B109,Dados!$J:$J,$D$1,Dados!$I:$I,$K$4)</f>
        <v>0</v>
      </c>
      <c r="L109" s="81">
        <f>sumifs(Dados!$N:$N,Dados!$B:$B,B109,Dados!$J:$J,$D$1,Dados!$I:$I,$L$4)</f>
        <v>0</v>
      </c>
      <c r="M109" s="81">
        <f>sumifs(Dados!$N:$N,Dados!$B:$B,B109,Dados!$J:$J,$D$1,Dados!$I:$I,$M$4)</f>
        <v>0</v>
      </c>
      <c r="N109" s="81">
        <f>sumifs(Dados!$N:$N,Dados!$B:$B,B109,Dados!$J:$J,$D$1,Dados!$I:$I,$N$4)</f>
        <v>0</v>
      </c>
      <c r="O109" s="81">
        <f>sumifs(Dados!$N:$N,Dados!$B:$B,B109,Dados!$J:$J,$D$1,Dados!$I:$I,$O$4)</f>
        <v>0</v>
      </c>
      <c r="P109" s="81">
        <f>sumifs(Dados!$N:$N,Dados!$B:$B,B109,Dados!$J:$J,$D$1,Dados!$I:$I,$P$4)</f>
        <v>0</v>
      </c>
      <c r="Q109" s="81"/>
    </row>
    <row r="110" ht="15.75" customHeight="1">
      <c r="A110" s="142"/>
      <c r="B110" s="78" t="s">
        <v>198</v>
      </c>
      <c r="C110" s="79"/>
      <c r="D110" s="80">
        <f t="shared" si="24"/>
        <v>0</v>
      </c>
      <c r="E110" s="81">
        <f>sumifs(Dados!$N:$N,Dados!$B:$B,B110,Dados!$J:$J,$D$1,Dados!$I:$I,$E$4)</f>
        <v>0</v>
      </c>
      <c r="F110" s="81">
        <f>sumifs(Dados!$N:$N,Dados!$B:$B,B110,Dados!$J:$J,$D$1,Dados!$I:$I,$F$4)</f>
        <v>0</v>
      </c>
      <c r="G110" s="81">
        <f>sumifs(Dados!$N:$N,Dados!$B:$B,B110,Dados!$J:$J,$D$1,Dados!$I:$I,$G$4)</f>
        <v>0</v>
      </c>
      <c r="H110" s="81">
        <f>sumifs(Dados!$N:$N,Dados!$B:$B,B110,Dados!$J:$J,$D$1,Dados!$I:$I,$H$4)</f>
        <v>0</v>
      </c>
      <c r="I110" s="81">
        <f>sumifs(Dados!$N:$N,Dados!$B:$B,B110,Dados!$J:$J,$D$1,Dados!$I:$I,$I$4)</f>
        <v>0</v>
      </c>
      <c r="J110" s="81">
        <f>sumifs(Dados!$N:$N,Dados!$B:$B,B110,Dados!$J:$J,$D$1,Dados!$I:$I,$J$4)</f>
        <v>0</v>
      </c>
      <c r="K110" s="81">
        <f>sumifs(Dados!$N:$N,Dados!$B:$B,B110,Dados!$J:$J,$D$1,Dados!$I:$I,$K$4)</f>
        <v>0</v>
      </c>
      <c r="L110" s="81">
        <f>sumifs(Dados!$N:$N,Dados!$B:$B,B110,Dados!$J:$J,$D$1,Dados!$I:$I,$L$4)</f>
        <v>0</v>
      </c>
      <c r="M110" s="81">
        <f>sumifs(Dados!$N:$N,Dados!$B:$B,B110,Dados!$J:$J,$D$1,Dados!$I:$I,$M$4)</f>
        <v>0</v>
      </c>
      <c r="N110" s="81">
        <f>sumifs(Dados!$N:$N,Dados!$B:$B,B110,Dados!$J:$J,$D$1,Dados!$I:$I,$N$4)</f>
        <v>0</v>
      </c>
      <c r="O110" s="81">
        <f>sumifs(Dados!$N:$N,Dados!$B:$B,B110,Dados!$J:$J,$D$1,Dados!$I:$I,$O$4)</f>
        <v>0</v>
      </c>
      <c r="P110" s="81">
        <f>sumifs(Dados!$N:$N,Dados!$B:$B,B110,Dados!$J:$J,$D$1,Dados!$I:$I,$P$4)</f>
        <v>0</v>
      </c>
      <c r="Q110" s="81"/>
    </row>
    <row r="111" ht="15.75" customHeight="1">
      <c r="A111" s="142"/>
      <c r="B111" s="78" t="s">
        <v>199</v>
      </c>
      <c r="C111" s="79"/>
      <c r="D111" s="80">
        <f t="shared" si="24"/>
        <v>119.81</v>
      </c>
      <c r="E111" s="81">
        <f>sumifs(Dados!$N:$N,Dados!$B:$B,B111,Dados!$J:$J,$D$1,Dados!$I:$I,$E$4)</f>
        <v>0</v>
      </c>
      <c r="F111" s="81">
        <f>sumifs(Dados!$N:$N,Dados!$B:$B,B111,Dados!$J:$J,$D$1,Dados!$I:$I,$F$4)</f>
        <v>0</v>
      </c>
      <c r="G111" s="81">
        <f>sumifs(Dados!$N:$N,Dados!$B:$B,B111,Dados!$J:$J,$D$1,Dados!$I:$I,$G$4)</f>
        <v>0</v>
      </c>
      <c r="H111" s="81">
        <f>sumifs(Dados!$N:$N,Dados!$B:$B,B111,Dados!$J:$J,$D$1,Dados!$I:$I,$H$4)</f>
        <v>0</v>
      </c>
      <c r="I111" s="81">
        <f>sumifs(Dados!$N:$N,Dados!$B:$B,B111,Dados!$J:$J,$D$1,Dados!$I:$I,$I$4)</f>
        <v>64.67</v>
      </c>
      <c r="J111" s="81">
        <f>sumifs(Dados!$N:$N,Dados!$B:$B,B111,Dados!$J:$J,$D$1,Dados!$I:$I,$J$4)</f>
        <v>12.99</v>
      </c>
      <c r="K111" s="81">
        <f>sumifs(Dados!$N:$N,Dados!$B:$B,B111,Dados!$J:$J,$D$1,Dados!$I:$I,$K$4)</f>
        <v>42.15</v>
      </c>
      <c r="L111" s="81">
        <f>sumifs(Dados!$N:$N,Dados!$B:$B,B111,Dados!$J:$J,$D$1,Dados!$I:$I,$L$4)</f>
        <v>0</v>
      </c>
      <c r="M111" s="81">
        <f>sumifs(Dados!$N:$N,Dados!$B:$B,B111,Dados!$J:$J,$D$1,Dados!$I:$I,$M$4)</f>
        <v>0</v>
      </c>
      <c r="N111" s="81">
        <f>sumifs(Dados!$N:$N,Dados!$B:$B,B111,Dados!$J:$J,$D$1,Dados!$I:$I,$N$4)</f>
        <v>0</v>
      </c>
      <c r="O111" s="81">
        <f>sumifs(Dados!$N:$N,Dados!$B:$B,B111,Dados!$J:$J,$D$1,Dados!$I:$I,$O$4)</f>
        <v>0</v>
      </c>
      <c r="P111" s="81">
        <f>sumifs(Dados!$N:$N,Dados!$B:$B,B111,Dados!$J:$J,$D$1,Dados!$I:$I,$P$4)</f>
        <v>0</v>
      </c>
      <c r="Q111" s="81"/>
    </row>
    <row r="112" ht="15.75" customHeight="1">
      <c r="A112" s="140"/>
      <c r="B112" s="78" t="s">
        <v>200</v>
      </c>
      <c r="C112" s="79"/>
      <c r="D112" s="80">
        <f t="shared" si="24"/>
        <v>0</v>
      </c>
      <c r="E112" s="81">
        <f>sumifs(Dados!$N:$N,Dados!$B:$B,B112,Dados!$J:$J,$D$1,Dados!$I:$I,$E$4)</f>
        <v>0</v>
      </c>
      <c r="F112" s="81">
        <f>sumifs(Dados!$N:$N,Dados!$B:$B,B112,Dados!$J:$J,$D$1,Dados!$I:$I,$F$4)</f>
        <v>0</v>
      </c>
      <c r="G112" s="81">
        <f>sumifs(Dados!$N:$N,Dados!$B:$B,B112,Dados!$J:$J,$D$1,Dados!$I:$I,$G$4)</f>
        <v>0</v>
      </c>
      <c r="H112" s="81">
        <f>sumifs(Dados!$N:$N,Dados!$B:$B,B112,Dados!$J:$J,$D$1,Dados!$I:$I,$H$4)</f>
        <v>0</v>
      </c>
      <c r="I112" s="81">
        <f>sumifs(Dados!$N:$N,Dados!$B:$B,B112,Dados!$J:$J,$D$1,Dados!$I:$I,$I$4)</f>
        <v>0</v>
      </c>
      <c r="J112" s="81">
        <f>sumifs(Dados!$N:$N,Dados!$B:$B,B112,Dados!$J:$J,$D$1,Dados!$I:$I,$J$4)</f>
        <v>0</v>
      </c>
      <c r="K112" s="81">
        <f>sumifs(Dados!$N:$N,Dados!$B:$B,B112,Dados!$J:$J,$D$1,Dados!$I:$I,$K$4)</f>
        <v>0</v>
      </c>
      <c r="L112" s="81">
        <f>sumifs(Dados!$N:$N,Dados!$B:$B,B112,Dados!$J:$J,$D$1,Dados!$I:$I,$L$4)</f>
        <v>0</v>
      </c>
      <c r="M112" s="81">
        <f>sumifs(Dados!$N:$N,Dados!$B:$B,B112,Dados!$J:$J,$D$1,Dados!$I:$I,$M$4)</f>
        <v>0</v>
      </c>
      <c r="N112" s="81">
        <f>sumifs(Dados!$N:$N,Dados!$B:$B,B112,Dados!$J:$J,$D$1,Dados!$I:$I,$N$4)</f>
        <v>0</v>
      </c>
      <c r="O112" s="81">
        <f>sumifs(Dados!$N:$N,Dados!$B:$B,B112,Dados!$J:$J,$D$1,Dados!$I:$I,$O$4)</f>
        <v>0</v>
      </c>
      <c r="P112" s="81">
        <f>sumifs(Dados!$N:$N,Dados!$B:$B,B112,Dados!$J:$J,$D$1,Dados!$I:$I,$P$4)</f>
        <v>0</v>
      </c>
      <c r="Q112" s="81"/>
    </row>
    <row r="113" ht="15.75" customHeight="1">
      <c r="A113" s="142"/>
      <c r="B113" s="78" t="s">
        <v>201</v>
      </c>
      <c r="C113" s="79"/>
      <c r="D113" s="80">
        <f t="shared" si="24"/>
        <v>0</v>
      </c>
      <c r="E113" s="81">
        <f>sumifs(Dados!$N:$N,Dados!$B:$B,B113,Dados!$J:$J,$D$1,Dados!$I:$I,$E$4)</f>
        <v>0</v>
      </c>
      <c r="F113" s="81">
        <f>sumifs(Dados!$N:$N,Dados!$B:$B,B113,Dados!$J:$J,$D$1,Dados!$I:$I,$F$4)</f>
        <v>0</v>
      </c>
      <c r="G113" s="81">
        <f>sumifs(Dados!$N:$N,Dados!$B:$B,B113,Dados!$J:$J,$D$1,Dados!$I:$I,$G$4)</f>
        <v>0</v>
      </c>
      <c r="H113" s="81">
        <f>sumifs(Dados!$N:$N,Dados!$B:$B,B113,Dados!$J:$J,$D$1,Dados!$I:$I,$H$4)</f>
        <v>0</v>
      </c>
      <c r="I113" s="81">
        <f>sumifs(Dados!$N:$N,Dados!$B:$B,B113,Dados!$J:$J,$D$1,Dados!$I:$I,$I$4)</f>
        <v>0</v>
      </c>
      <c r="J113" s="81">
        <f>sumifs(Dados!$N:$N,Dados!$B:$B,B113,Dados!$J:$J,$D$1,Dados!$I:$I,$J$4)</f>
        <v>0</v>
      </c>
      <c r="K113" s="81">
        <f>sumifs(Dados!$N:$N,Dados!$B:$B,B113,Dados!$J:$J,$D$1,Dados!$I:$I,$K$4)</f>
        <v>0</v>
      </c>
      <c r="L113" s="81">
        <f>sumifs(Dados!$N:$N,Dados!$B:$B,B113,Dados!$J:$J,$D$1,Dados!$I:$I,$L$4)</f>
        <v>0</v>
      </c>
      <c r="M113" s="81">
        <f>sumifs(Dados!$N:$N,Dados!$B:$B,B113,Dados!$J:$J,$D$1,Dados!$I:$I,$M$4)</f>
        <v>0</v>
      </c>
      <c r="N113" s="81">
        <f>sumifs(Dados!$N:$N,Dados!$B:$B,B113,Dados!$J:$J,$D$1,Dados!$I:$I,$N$4)</f>
        <v>0</v>
      </c>
      <c r="O113" s="81">
        <f>sumifs(Dados!$N:$N,Dados!$B:$B,B113,Dados!$J:$J,$D$1,Dados!$I:$I,$O$4)</f>
        <v>0</v>
      </c>
      <c r="P113" s="81">
        <f>sumifs(Dados!$N:$N,Dados!$B:$B,B113,Dados!$J:$J,$D$1,Dados!$I:$I,$P$4)</f>
        <v>0</v>
      </c>
      <c r="Q113" s="81"/>
    </row>
    <row r="114" ht="15.75" customHeight="1">
      <c r="A114" s="77"/>
      <c r="B114" s="78" t="s">
        <v>202</v>
      </c>
      <c r="C114" s="79"/>
      <c r="D114" s="80">
        <f t="shared" si="24"/>
        <v>0</v>
      </c>
      <c r="E114" s="81">
        <f>sumifs(Dados!$N:$N,Dados!$B:$B,B114,Dados!$J:$J,$D$1,Dados!$I:$I,$E$4)</f>
        <v>0</v>
      </c>
      <c r="F114" s="81">
        <f>sumifs(Dados!$N:$N,Dados!$B:$B,B114,Dados!$J:$J,$D$1,Dados!$I:$I,$F$4)</f>
        <v>0</v>
      </c>
      <c r="G114" s="81">
        <f>sumifs(Dados!$N:$N,Dados!$B:$B,B114,Dados!$J:$J,$D$1,Dados!$I:$I,$G$4)</f>
        <v>0</v>
      </c>
      <c r="H114" s="81">
        <f>sumifs(Dados!$N:$N,Dados!$B:$B,B114,Dados!$J:$J,$D$1,Dados!$I:$I,$H$4)</f>
        <v>0</v>
      </c>
      <c r="I114" s="81">
        <f>sumifs(Dados!$N:$N,Dados!$B:$B,B114,Dados!$J:$J,$D$1,Dados!$I:$I,$I$4)</f>
        <v>0</v>
      </c>
      <c r="J114" s="81">
        <f>sumifs(Dados!$N:$N,Dados!$B:$B,B114,Dados!$J:$J,$D$1,Dados!$I:$I,$J$4)</f>
        <v>0</v>
      </c>
      <c r="K114" s="81">
        <f>sumifs(Dados!$N:$N,Dados!$B:$B,B114,Dados!$J:$J,$D$1,Dados!$I:$I,$K$4)</f>
        <v>0</v>
      </c>
      <c r="L114" s="81">
        <f>sumifs(Dados!$N:$N,Dados!$B:$B,B114,Dados!$J:$J,$D$1,Dados!$I:$I,$L$4)</f>
        <v>0</v>
      </c>
      <c r="M114" s="81">
        <f>sumifs(Dados!$N:$N,Dados!$B:$B,B114,Dados!$J:$J,$D$1,Dados!$I:$I,$M$4)</f>
        <v>0</v>
      </c>
      <c r="N114" s="81">
        <f>sumifs(Dados!$N:$N,Dados!$B:$B,B114,Dados!$J:$J,$D$1,Dados!$I:$I,$N$4)</f>
        <v>0</v>
      </c>
      <c r="O114" s="81">
        <f>sumifs(Dados!$N:$N,Dados!$B:$B,B114,Dados!$J:$J,$D$1,Dados!$I:$I,$O$4)</f>
        <v>0</v>
      </c>
      <c r="P114" s="81">
        <f>sumifs(Dados!$N:$N,Dados!$B:$B,B114,Dados!$J:$J,$D$1,Dados!$I:$I,$P$4)</f>
        <v>0</v>
      </c>
      <c r="Q114" s="81"/>
    </row>
    <row r="115" ht="15.75" customHeight="1">
      <c r="A115" s="102"/>
      <c r="B115" s="78" t="s">
        <v>203</v>
      </c>
      <c r="C115" s="79"/>
      <c r="D115" s="80">
        <f t="shared" si="24"/>
        <v>0</v>
      </c>
      <c r="E115" s="81">
        <f>sumifs(Dados!$N:$N,Dados!$B:$B,B115,Dados!$J:$J,$D$1,Dados!$I:$I,$E$4)</f>
        <v>0</v>
      </c>
      <c r="F115" s="81">
        <f>sumifs(Dados!$N:$N,Dados!$B:$B,B115,Dados!$J:$J,$D$1,Dados!$I:$I,$F$4)</f>
        <v>0</v>
      </c>
      <c r="G115" s="81">
        <f>sumifs(Dados!$N:$N,Dados!$B:$B,B115,Dados!$J:$J,$D$1,Dados!$I:$I,$G$4)</f>
        <v>0</v>
      </c>
      <c r="H115" s="81">
        <f>sumifs(Dados!$N:$N,Dados!$B:$B,B115,Dados!$J:$J,$D$1,Dados!$I:$I,$H$4)</f>
        <v>0</v>
      </c>
      <c r="I115" s="81">
        <f>sumifs(Dados!$N:$N,Dados!$B:$B,B115,Dados!$J:$J,$D$1,Dados!$I:$I,$I$4)</f>
        <v>0</v>
      </c>
      <c r="J115" s="81">
        <f>sumifs(Dados!$N:$N,Dados!$B:$B,B115,Dados!$J:$J,$D$1,Dados!$I:$I,$J$4)</f>
        <v>0</v>
      </c>
      <c r="K115" s="81">
        <f>sumifs(Dados!$N:$N,Dados!$B:$B,B115,Dados!$J:$J,$D$1,Dados!$I:$I,$K$4)</f>
        <v>0</v>
      </c>
      <c r="L115" s="81">
        <f>sumifs(Dados!$N:$N,Dados!$B:$B,B115,Dados!$J:$J,$D$1,Dados!$I:$I,$L$4)</f>
        <v>0</v>
      </c>
      <c r="M115" s="81">
        <f>sumifs(Dados!$N:$N,Dados!$B:$B,B115,Dados!$J:$J,$D$1,Dados!$I:$I,$M$4)</f>
        <v>0</v>
      </c>
      <c r="N115" s="81">
        <f>sumifs(Dados!$N:$N,Dados!$B:$B,B115,Dados!$J:$J,$D$1,Dados!$I:$I,$N$4)</f>
        <v>0</v>
      </c>
      <c r="O115" s="81">
        <f>sumifs(Dados!$N:$N,Dados!$B:$B,B115,Dados!$J:$J,$D$1,Dados!$I:$I,$O$4)</f>
        <v>0</v>
      </c>
      <c r="P115" s="81">
        <f>sumifs(Dados!$N:$N,Dados!$B:$B,B115,Dados!$J:$J,$D$1,Dados!$I:$I,$P$4)</f>
        <v>0</v>
      </c>
      <c r="Q115" s="81"/>
    </row>
    <row r="116" ht="15.75" customHeight="1">
      <c r="A116" s="99" t="s">
        <v>204</v>
      </c>
      <c r="B116" s="100">
        <f>sumifs(Dados!$N:$N,Dados!$A:$A,A116,Dados!$J:$J,$D$1)</f>
        <v>119.81</v>
      </c>
      <c r="C116" s="101">
        <f>B116-D116</f>
        <v>0</v>
      </c>
      <c r="D116" s="100">
        <f t="shared" ref="D116:P116" si="25">SUM(D109:D115)</f>
        <v>119.81</v>
      </c>
      <c r="E116" s="100">
        <f t="shared" si="25"/>
        <v>0</v>
      </c>
      <c r="F116" s="100">
        <f t="shared" si="25"/>
        <v>0</v>
      </c>
      <c r="G116" s="100">
        <f t="shared" si="25"/>
        <v>0</v>
      </c>
      <c r="H116" s="100">
        <f t="shared" si="25"/>
        <v>0</v>
      </c>
      <c r="I116" s="100">
        <f t="shared" si="25"/>
        <v>64.67</v>
      </c>
      <c r="J116" s="100">
        <f t="shared" si="25"/>
        <v>12.99</v>
      </c>
      <c r="K116" s="100">
        <f t="shared" si="25"/>
        <v>42.15</v>
      </c>
      <c r="L116" s="100">
        <f t="shared" si="25"/>
        <v>0</v>
      </c>
      <c r="M116" s="100">
        <f t="shared" si="25"/>
        <v>0</v>
      </c>
      <c r="N116" s="100">
        <f t="shared" si="25"/>
        <v>0</v>
      </c>
      <c r="O116" s="100">
        <f t="shared" si="25"/>
        <v>0</v>
      </c>
      <c r="P116" s="100">
        <f t="shared" si="25"/>
        <v>0</v>
      </c>
      <c r="Q116" s="100"/>
    </row>
    <row r="117" ht="15.75" customHeight="1">
      <c r="A117" s="77"/>
      <c r="B117" s="78" t="s">
        <v>205</v>
      </c>
      <c r="C117" s="79"/>
      <c r="D117" s="80">
        <f t="shared" ref="D117:D128" si="26">SUM(E117:P117)</f>
        <v>0</v>
      </c>
      <c r="E117" s="81">
        <f>sumifs(Dados!$N:$N,Dados!$B:$B,B117,Dados!$J:$J,$D$1,Dados!$I:$I,$E$4)</f>
        <v>0</v>
      </c>
      <c r="F117" s="81">
        <f>sumifs(Dados!$N:$N,Dados!$B:$B,B117,Dados!$J:$J,$D$1,Dados!$I:$I,$F$4)</f>
        <v>0</v>
      </c>
      <c r="G117" s="81">
        <f>sumifs(Dados!$N:$N,Dados!$B:$B,B117,Dados!$J:$J,$D$1,Dados!$I:$I,$G$4)</f>
        <v>0</v>
      </c>
      <c r="H117" s="81">
        <f>sumifs(Dados!$N:$N,Dados!$B:$B,B117,Dados!$J:$J,$D$1,Dados!$I:$I,$H$4)</f>
        <v>0</v>
      </c>
      <c r="I117" s="81">
        <f>sumifs(Dados!$N:$N,Dados!$B:$B,B117,Dados!$J:$J,$D$1,Dados!$I:$I,$I$4)</f>
        <v>0</v>
      </c>
      <c r="J117" s="81">
        <f>sumifs(Dados!$N:$N,Dados!$B:$B,B117,Dados!$J:$J,$D$1,Dados!$I:$I,$J$4)</f>
        <v>0</v>
      </c>
      <c r="K117" s="81">
        <f>sumifs(Dados!$N:$N,Dados!$B:$B,B117,Dados!$J:$J,$D$1,Dados!$I:$I,$K$4)</f>
        <v>0</v>
      </c>
      <c r="L117" s="81">
        <f>sumifs(Dados!$N:$N,Dados!$B:$B,B117,Dados!$J:$J,$D$1,Dados!$I:$I,$L$4)</f>
        <v>0</v>
      </c>
      <c r="M117" s="81">
        <f>sumifs(Dados!$N:$N,Dados!$B:$B,B117,Dados!$J:$J,$D$1,Dados!$I:$I,$M$4)</f>
        <v>0</v>
      </c>
      <c r="N117" s="81">
        <f>sumifs(Dados!$N:$N,Dados!$B:$B,B117,Dados!$J:$J,$D$1,Dados!$I:$I,$N$4)</f>
        <v>0</v>
      </c>
      <c r="O117" s="81">
        <f>sumifs(Dados!$N:$N,Dados!$B:$B,B117,Dados!$J:$J,$D$1,Dados!$I:$I,$O$4)</f>
        <v>0</v>
      </c>
      <c r="P117" s="81">
        <f>sumifs(Dados!$N:$N,Dados!$B:$B,B117,Dados!$J:$J,$D$1,Dados!$I:$I,$P$4)</f>
        <v>0</v>
      </c>
      <c r="Q117" s="81"/>
    </row>
    <row r="118" ht="15.75" customHeight="1">
      <c r="A118" s="77"/>
      <c r="B118" s="78" t="s">
        <v>206</v>
      </c>
      <c r="C118" s="79"/>
      <c r="D118" s="80">
        <f t="shared" si="26"/>
        <v>0</v>
      </c>
      <c r="E118" s="81">
        <f>sumifs(Dados!$N:$N,Dados!$B:$B,B118,Dados!$J:$J,$D$1,Dados!$I:$I,$E$4)</f>
        <v>0</v>
      </c>
      <c r="F118" s="81">
        <f>sumifs(Dados!$N:$N,Dados!$B:$B,B118,Dados!$J:$J,$D$1,Dados!$I:$I,$F$4)</f>
        <v>0</v>
      </c>
      <c r="G118" s="81">
        <f>sumifs(Dados!$N:$N,Dados!$B:$B,B118,Dados!$J:$J,$D$1,Dados!$I:$I,$G$4)</f>
        <v>0</v>
      </c>
      <c r="H118" s="81">
        <f>sumifs(Dados!$N:$N,Dados!$B:$B,B118,Dados!$J:$J,$D$1,Dados!$I:$I,$H$4)</f>
        <v>0</v>
      </c>
      <c r="I118" s="81">
        <f>sumifs(Dados!$N:$N,Dados!$B:$B,B118,Dados!$J:$J,$D$1,Dados!$I:$I,$I$4)</f>
        <v>0</v>
      </c>
      <c r="J118" s="81">
        <f>sumifs(Dados!$N:$N,Dados!$B:$B,B118,Dados!$J:$J,$D$1,Dados!$I:$I,$J$4)</f>
        <v>0</v>
      </c>
      <c r="K118" s="81">
        <f>sumifs(Dados!$N:$N,Dados!$B:$B,B118,Dados!$J:$J,$D$1,Dados!$I:$I,$K$4)</f>
        <v>0</v>
      </c>
      <c r="L118" s="81">
        <f>sumifs(Dados!$N:$N,Dados!$B:$B,B118,Dados!$J:$J,$D$1,Dados!$I:$I,$L$4)</f>
        <v>0</v>
      </c>
      <c r="M118" s="81">
        <f>sumifs(Dados!$N:$N,Dados!$B:$B,B118,Dados!$J:$J,$D$1,Dados!$I:$I,$M$4)</f>
        <v>0</v>
      </c>
      <c r="N118" s="81">
        <f>sumifs(Dados!$N:$N,Dados!$B:$B,B118,Dados!$J:$J,$D$1,Dados!$I:$I,$N$4)</f>
        <v>0</v>
      </c>
      <c r="O118" s="81">
        <f>sumifs(Dados!$N:$N,Dados!$B:$B,B118,Dados!$J:$J,$D$1,Dados!$I:$I,$O$4)</f>
        <v>0</v>
      </c>
      <c r="P118" s="81">
        <f>sumifs(Dados!$N:$N,Dados!$B:$B,B118,Dados!$J:$J,$D$1,Dados!$I:$I,$P$4)</f>
        <v>0</v>
      </c>
      <c r="Q118" s="81"/>
    </row>
    <row r="119" ht="15.75" customHeight="1">
      <c r="A119" s="77"/>
      <c r="B119" s="78" t="s">
        <v>207</v>
      </c>
      <c r="C119" s="79"/>
      <c r="D119" s="80">
        <f t="shared" si="26"/>
        <v>0</v>
      </c>
      <c r="E119" s="81">
        <f>sumifs(Dados!$N:$N,Dados!$B:$B,B119,Dados!$J:$J,$D$1,Dados!$I:$I,$E$4)</f>
        <v>0</v>
      </c>
      <c r="F119" s="81">
        <f>sumifs(Dados!$N:$N,Dados!$B:$B,B119,Dados!$J:$J,$D$1,Dados!$I:$I,$F$4)</f>
        <v>0</v>
      </c>
      <c r="G119" s="81">
        <f>sumifs(Dados!$N:$N,Dados!$B:$B,B119,Dados!$J:$J,$D$1,Dados!$I:$I,$G$4)</f>
        <v>0</v>
      </c>
      <c r="H119" s="81">
        <f>sumifs(Dados!$N:$N,Dados!$B:$B,B119,Dados!$J:$J,$D$1,Dados!$I:$I,$H$4)</f>
        <v>0</v>
      </c>
      <c r="I119" s="81">
        <f>sumifs(Dados!$N:$N,Dados!$B:$B,B119,Dados!$J:$J,$D$1,Dados!$I:$I,$I$4)</f>
        <v>0</v>
      </c>
      <c r="J119" s="81">
        <f>sumifs(Dados!$N:$N,Dados!$B:$B,B119,Dados!$J:$J,$D$1,Dados!$I:$I,$J$4)</f>
        <v>0</v>
      </c>
      <c r="K119" s="81">
        <f>sumifs(Dados!$N:$N,Dados!$B:$B,B119,Dados!$J:$J,$D$1,Dados!$I:$I,$K$4)</f>
        <v>0</v>
      </c>
      <c r="L119" s="81">
        <f>sumifs(Dados!$N:$N,Dados!$B:$B,B119,Dados!$J:$J,$D$1,Dados!$I:$I,$L$4)</f>
        <v>0</v>
      </c>
      <c r="M119" s="81">
        <f>sumifs(Dados!$N:$N,Dados!$B:$B,B119,Dados!$J:$J,$D$1,Dados!$I:$I,$M$4)</f>
        <v>0</v>
      </c>
      <c r="N119" s="81">
        <f>sumifs(Dados!$N:$N,Dados!$B:$B,B119,Dados!$J:$J,$D$1,Dados!$I:$I,$N$4)</f>
        <v>0</v>
      </c>
      <c r="O119" s="81">
        <f>sumifs(Dados!$N:$N,Dados!$B:$B,B119,Dados!$J:$J,$D$1,Dados!$I:$I,$O$4)</f>
        <v>0</v>
      </c>
      <c r="P119" s="81">
        <f>sumifs(Dados!$N:$N,Dados!$B:$B,B119,Dados!$J:$J,$D$1,Dados!$I:$I,$P$4)</f>
        <v>0</v>
      </c>
      <c r="Q119" s="81"/>
    </row>
    <row r="120" ht="15.75" customHeight="1">
      <c r="A120" s="82"/>
      <c r="B120" s="83" t="s">
        <v>165</v>
      </c>
      <c r="C120" s="79"/>
      <c r="D120" s="80">
        <f t="shared" si="26"/>
        <v>4821.6</v>
      </c>
      <c r="E120" s="81">
        <f>sumifs(Dados!$N:$N,Dados!$B:$B,$B$120,Dados!$J:$J,$D$1,Dados!$I:$I,E4)</f>
        <v>0</v>
      </c>
      <c r="F120" s="81">
        <f>sumifs(Dados!$N:$N,Dados!$B:$B,$B$120,Dados!$J:$J,$D$1,Dados!$I:$I,F4)</f>
        <v>0</v>
      </c>
      <c r="G120" s="81">
        <f>sumifs(Dados!$N:$N,Dados!$B:$B,$B$120,Dados!$J:$J,$D$1,Dados!$I:$I,G4)</f>
        <v>0</v>
      </c>
      <c r="H120" s="81">
        <f>sumifs(Dados!$N:$N,Dados!$B:$B,$B$120,Dados!$J:$J,$D$1,Dados!$I:$I,H4)</f>
        <v>0</v>
      </c>
      <c r="I120" s="81">
        <f>sumifs(Dados!$N:$N,Dados!$B:$B,$B$120,Dados!$J:$J,$D$1,Dados!$I:$I,I4)</f>
        <v>2410.8</v>
      </c>
      <c r="J120" s="81">
        <f>sumifs(Dados!$N:$N,Dados!$B:$B,$B$120,Dados!$J:$J,$D$1,Dados!$I:$I,J4)</f>
        <v>2410.8</v>
      </c>
      <c r="K120" s="81">
        <f>sumifs(Dados!$N:$N,Dados!$B:$B,$B$120,Dados!$J:$J,$D$1,Dados!$I:$I,K4)</f>
        <v>0</v>
      </c>
      <c r="L120" s="81">
        <f>sumifs(Dados!$N:$N,Dados!$B:$B,$B$120,Dados!$J:$J,$D$1,Dados!$I:$I,L4)</f>
        <v>0</v>
      </c>
      <c r="M120" s="81">
        <f>sumifs(Dados!$N:$N,Dados!$B:$B,$B$120,Dados!$J:$J,$D$1,Dados!$I:$I,M4)</f>
        <v>0</v>
      </c>
      <c r="N120" s="81">
        <f>sumifs(Dados!$N:$N,Dados!$B:$B,$B$120,Dados!$J:$J,$D$1,Dados!$I:$I,N4)</f>
        <v>0</v>
      </c>
      <c r="O120" s="81">
        <f>sumifs(Dados!$N:$N,Dados!$B:$B,$B$120,Dados!$J:$J,$D$1,Dados!$I:$I,O4)</f>
        <v>0</v>
      </c>
      <c r="P120" s="81">
        <f>sumifs(Dados!$N:$N,Dados!$B:$B,$B$120,Dados!$J:$J,$D$1,Dados!$I:$I,P4)</f>
        <v>0</v>
      </c>
      <c r="Q120" s="81"/>
    </row>
    <row r="121" ht="15.75" customHeight="1">
      <c r="A121" s="77"/>
      <c r="B121" s="78" t="s">
        <v>208</v>
      </c>
      <c r="C121" s="79"/>
      <c r="D121" s="80">
        <f t="shared" si="26"/>
        <v>0</v>
      </c>
      <c r="E121" s="81">
        <f>sumifs(Dados!$N:$N,Dados!$B:$B,B121,Dados!$J:$J,$D$1,Dados!$I:$I,$E$4)</f>
        <v>0</v>
      </c>
      <c r="F121" s="81">
        <f>sumifs(Dados!$N:$N,Dados!$B:$B,B121,Dados!$J:$J,$D$1,Dados!$I:$I,$F$4)</f>
        <v>0</v>
      </c>
      <c r="G121" s="81">
        <f>sumifs(Dados!$N:$N,Dados!$B:$B,B121,Dados!$J:$J,$D$1,Dados!$I:$I,$G$4)</f>
        <v>0</v>
      </c>
      <c r="H121" s="81">
        <f>sumifs(Dados!$N:$N,Dados!$B:$B,B121,Dados!$J:$J,$D$1,Dados!$I:$I,$H$4)</f>
        <v>0</v>
      </c>
      <c r="I121" s="81">
        <f>sumifs(Dados!$N:$N,Dados!$B:$B,B121,Dados!$J:$J,$D$1,Dados!$I:$I,$I$4)</f>
        <v>0</v>
      </c>
      <c r="J121" s="81">
        <f>sumifs(Dados!$N:$N,Dados!$B:$B,B121,Dados!$J:$J,$D$1,Dados!$I:$I,$J$4)</f>
        <v>0</v>
      </c>
      <c r="K121" s="81">
        <f>sumifs(Dados!$N:$N,Dados!$B:$B,B121,Dados!$J:$J,$D$1,Dados!$I:$I,$K$4)</f>
        <v>0</v>
      </c>
      <c r="L121" s="81">
        <f>sumifs(Dados!$N:$N,Dados!$B:$B,B121,Dados!$J:$J,$D$1,Dados!$I:$I,$L$4)</f>
        <v>0</v>
      </c>
      <c r="M121" s="81">
        <f>sumifs(Dados!$N:$N,Dados!$B:$B,B121,Dados!$J:$J,$D$1,Dados!$I:$I,$M$4)</f>
        <v>0</v>
      </c>
      <c r="N121" s="81">
        <f>sumifs(Dados!$N:$N,Dados!$B:$B,B121,Dados!$J:$J,$D$1,Dados!$I:$I,$N$4)</f>
        <v>0</v>
      </c>
      <c r="O121" s="81">
        <f>sumifs(Dados!$N:$N,Dados!$B:$B,B121,Dados!$J:$J,$D$1,Dados!$I:$I,$O$4)</f>
        <v>0</v>
      </c>
      <c r="P121" s="81">
        <f>sumifs(Dados!$N:$N,Dados!$B:$B,B121,Dados!$J:$J,$D$1,Dados!$I:$I,$P$4)</f>
        <v>0</v>
      </c>
      <c r="Q121" s="81"/>
    </row>
    <row r="122" ht="15.75" customHeight="1">
      <c r="A122" s="77"/>
      <c r="B122" s="78" t="s">
        <v>209</v>
      </c>
      <c r="C122" s="79"/>
      <c r="D122" s="80">
        <f t="shared" si="26"/>
        <v>950</v>
      </c>
      <c r="E122" s="81">
        <f>sumifs(Dados!$N:$N,Dados!$B:$B,B122,Dados!$J:$J,$D$1,Dados!$I:$I,$E$4)</f>
        <v>700</v>
      </c>
      <c r="F122" s="81">
        <f>sumifs(Dados!$N:$N,Dados!$B:$B,B122,Dados!$J:$J,$D$1,Dados!$I:$I,$F$4)</f>
        <v>0</v>
      </c>
      <c r="G122" s="81">
        <f>sumifs(Dados!$N:$N,Dados!$B:$B,B122,Dados!$J:$J,$D$1,Dados!$I:$I,$G$4)</f>
        <v>0</v>
      </c>
      <c r="H122" s="81">
        <f>sumifs(Dados!$N:$N,Dados!$B:$B,B122,Dados!$J:$J,$D$1,Dados!$I:$I,$H$4)</f>
        <v>0</v>
      </c>
      <c r="I122" s="81">
        <f>sumifs(Dados!$N:$N,Dados!$B:$B,B122,Dados!$J:$J,$D$1,Dados!$I:$I,$I$4)</f>
        <v>250</v>
      </c>
      <c r="J122" s="81">
        <f>sumifs(Dados!$N:$N,Dados!$B:$B,B122,Dados!$J:$J,$D$1,Dados!$I:$I,$J$4)</f>
        <v>0</v>
      </c>
      <c r="K122" s="81">
        <f>sumifs(Dados!$N:$N,Dados!$B:$B,B122,Dados!$J:$J,$D$1,Dados!$I:$I,$K$4)</f>
        <v>0</v>
      </c>
      <c r="L122" s="81">
        <f>sumifs(Dados!$N:$N,Dados!$B:$B,B122,Dados!$J:$J,$D$1,Dados!$I:$I,$L$4)</f>
        <v>0</v>
      </c>
      <c r="M122" s="81">
        <f>sumifs(Dados!$N:$N,Dados!$B:$B,B122,Dados!$J:$J,$D$1,Dados!$I:$I,$M$4)</f>
        <v>0</v>
      </c>
      <c r="N122" s="81">
        <f>sumifs(Dados!$N:$N,Dados!$B:$B,B122,Dados!$J:$J,$D$1,Dados!$I:$I,$N$4)</f>
        <v>0</v>
      </c>
      <c r="O122" s="81">
        <f>sumifs(Dados!$N:$N,Dados!$B:$B,B122,Dados!$J:$J,$D$1,Dados!$I:$I,$O$4)</f>
        <v>0</v>
      </c>
      <c r="P122" s="81">
        <f>sumifs(Dados!$N:$N,Dados!$B:$B,B122,Dados!$J:$J,$D$1,Dados!$I:$I,$P$4)</f>
        <v>0</v>
      </c>
      <c r="Q122" s="81"/>
    </row>
    <row r="123" ht="15.75" customHeight="1">
      <c r="A123" s="77"/>
      <c r="B123" s="78" t="s">
        <v>210</v>
      </c>
      <c r="C123" s="79"/>
      <c r="D123" s="80">
        <f t="shared" si="26"/>
        <v>0</v>
      </c>
      <c r="E123" s="81">
        <f>sumifs(Dados!$N:$N,Dados!$B:$B,$B$123,Dados!$J:$J,$D$1,Dados!$I:$I,E4)</f>
        <v>0</v>
      </c>
      <c r="F123" s="81">
        <f>sumifs(Dados!$N:$N,Dados!$B:$B,$B$123,Dados!$J:$J,$D$1,Dados!$I:$I,F4)</f>
        <v>0</v>
      </c>
      <c r="G123" s="81">
        <f>sumifs(Dados!$N:$N,Dados!$B:$B,$B$123,Dados!$J:$J,$D$1,Dados!$I:$I,G4)</f>
        <v>0</v>
      </c>
      <c r="H123" s="81">
        <f>sumifs(Dados!$N:$N,Dados!$B:$B,$B$123,Dados!$J:$J,$D$1,Dados!$I:$I,H4)</f>
        <v>0</v>
      </c>
      <c r="I123" s="81">
        <f>sumifs(Dados!$N:$N,Dados!$B:$B,$B$123,Dados!$J:$J,$D$1,Dados!$I:$I,I4)</f>
        <v>0</v>
      </c>
      <c r="J123" s="81">
        <f>sumifs(Dados!$N:$N,Dados!$B:$B,$B$123,Dados!$J:$J,$D$1,Dados!$I:$I,J4)</f>
        <v>0</v>
      </c>
      <c r="K123" s="81">
        <f>sumifs(Dados!$N:$N,Dados!$B:$B,$B$123,Dados!$J:$J,$D$1,Dados!$I:$I,K4)</f>
        <v>0</v>
      </c>
      <c r="L123" s="81">
        <f>sumifs(Dados!$N:$N,Dados!$B:$B,$B$123,Dados!$J:$J,$D$1,Dados!$I:$I,L4)</f>
        <v>0</v>
      </c>
      <c r="M123" s="81">
        <f>sumifs(Dados!$N:$N,Dados!$B:$B,$B$123,Dados!$J:$J,$D$1,Dados!$I:$I,M4)</f>
        <v>0</v>
      </c>
      <c r="N123" s="81">
        <f>sumifs(Dados!$N:$N,Dados!$B:$B,$B$123,Dados!$J:$J,$D$1,Dados!$I:$I,N4)</f>
        <v>0</v>
      </c>
      <c r="O123" s="81">
        <f>sumifs(Dados!$N:$N,Dados!$B:$B,$B$123,Dados!$J:$J,$D$1,Dados!$I:$I,O4)</f>
        <v>0</v>
      </c>
      <c r="P123" s="81">
        <f>sumifs(Dados!$N:$N,Dados!$B:$B,$B$123,Dados!$J:$J,$D$1,Dados!$I:$I,P4)</f>
        <v>0</v>
      </c>
      <c r="Q123" s="81"/>
    </row>
    <row r="124" ht="15.75" customHeight="1">
      <c r="A124" s="77"/>
      <c r="B124" s="78" t="s">
        <v>211</v>
      </c>
      <c r="C124" s="79"/>
      <c r="D124" s="80">
        <f t="shared" si="26"/>
        <v>0</v>
      </c>
      <c r="E124" s="81">
        <f>sumifs(Dados!$N:$N,Dados!$B:$B,B124,Dados!$J:$J,$D$1,Dados!$I:$I,$E$4)</f>
        <v>0</v>
      </c>
      <c r="F124" s="81">
        <f>sumifs(Dados!$N:$N,Dados!$B:$B,B124,Dados!$J:$J,$D$1,Dados!$I:$I,$F$4)</f>
        <v>0</v>
      </c>
      <c r="G124" s="81">
        <f>sumifs(Dados!$N:$N,Dados!$B:$B,B124,Dados!$J:$J,$D$1,Dados!$I:$I,$G$4)</f>
        <v>0</v>
      </c>
      <c r="H124" s="81">
        <f>sumifs(Dados!$N:$N,Dados!$B:$B,B124,Dados!$J:$J,$D$1,Dados!$I:$I,$H$4)</f>
        <v>0</v>
      </c>
      <c r="I124" s="81">
        <f>sumifs(Dados!$N:$N,Dados!$B:$B,B124,Dados!$J:$J,$D$1,Dados!$I:$I,$I$4)</f>
        <v>0</v>
      </c>
      <c r="J124" s="81">
        <f>sumifs(Dados!$N:$N,Dados!$B:$B,B124,Dados!$J:$J,$D$1,Dados!$I:$I,$J$4)</f>
        <v>0</v>
      </c>
      <c r="K124" s="81">
        <f>sumifs(Dados!$N:$N,Dados!$B:$B,B124,Dados!$J:$J,$D$1,Dados!$I:$I,$K$4)</f>
        <v>0</v>
      </c>
      <c r="L124" s="81">
        <f>sumifs(Dados!$N:$N,Dados!$B:$B,B124,Dados!$J:$J,$D$1,Dados!$I:$I,$L$4)</f>
        <v>0</v>
      </c>
      <c r="M124" s="81">
        <f>sumifs(Dados!$N:$N,Dados!$B:$B,B124,Dados!$J:$J,$D$1,Dados!$I:$I,$M$4)</f>
        <v>0</v>
      </c>
      <c r="N124" s="81">
        <f>sumifs(Dados!$N:$N,Dados!$B:$B,B124,Dados!$J:$J,$D$1,Dados!$I:$I,$N$4)</f>
        <v>0</v>
      </c>
      <c r="O124" s="81">
        <f>sumifs(Dados!$N:$N,Dados!$B:$B,B124,Dados!$J:$J,$D$1,Dados!$I:$I,$O$4)</f>
        <v>0</v>
      </c>
      <c r="P124" s="81">
        <f>sumifs(Dados!$N:$N,Dados!$B:$B,B124,Dados!$J:$J,$D$1,Dados!$I:$I,$P$4)</f>
        <v>0</v>
      </c>
      <c r="Q124" s="81"/>
    </row>
    <row r="125" ht="15.75" customHeight="1">
      <c r="A125" s="77"/>
      <c r="B125" s="78" t="s">
        <v>212</v>
      </c>
      <c r="C125" s="79"/>
      <c r="D125" s="80">
        <f t="shared" si="26"/>
        <v>0</v>
      </c>
      <c r="E125" s="81">
        <f>sumifs(Dados!$N:$N,Dados!$B:$B,B125,Dados!$J:$J,$D$1,Dados!$I:$I,$E$4)</f>
        <v>0</v>
      </c>
      <c r="F125" s="81">
        <f>sumifs(Dados!$N:$N,Dados!$B:$B,B125,Dados!$J:$J,$D$1,Dados!$I:$I,$F$4)</f>
        <v>0</v>
      </c>
      <c r="G125" s="81">
        <f>sumifs(Dados!$N:$N,Dados!$B:$B,B125,Dados!$J:$J,$D$1,Dados!$I:$I,$G$4)</f>
        <v>0</v>
      </c>
      <c r="H125" s="81">
        <f>sumifs(Dados!$N:$N,Dados!$B:$B,B125,Dados!$J:$J,$D$1,Dados!$I:$I,$H$4)</f>
        <v>0</v>
      </c>
      <c r="I125" s="81">
        <f>sumifs(Dados!$N:$N,Dados!$B:$B,B125,Dados!$J:$J,$D$1,Dados!$I:$I,$I$4)</f>
        <v>0</v>
      </c>
      <c r="J125" s="81">
        <f>sumifs(Dados!$N:$N,Dados!$B:$B,B125,Dados!$J:$J,$D$1,Dados!$I:$I,$J$4)</f>
        <v>0</v>
      </c>
      <c r="K125" s="81">
        <f>sumifs(Dados!$N:$N,Dados!$B:$B,B125,Dados!$J:$J,$D$1,Dados!$I:$I,$K$4)</f>
        <v>0</v>
      </c>
      <c r="L125" s="81">
        <f>sumifs(Dados!$N:$N,Dados!$B:$B,B125,Dados!$J:$J,$D$1,Dados!$I:$I,$L$4)</f>
        <v>0</v>
      </c>
      <c r="M125" s="81">
        <f>sumifs(Dados!$N:$N,Dados!$B:$B,B125,Dados!$J:$J,$D$1,Dados!$I:$I,$M$4)</f>
        <v>0</v>
      </c>
      <c r="N125" s="81">
        <f>sumifs(Dados!$N:$N,Dados!$B:$B,B125,Dados!$J:$J,$D$1,Dados!$I:$I,$N$4)</f>
        <v>0</v>
      </c>
      <c r="O125" s="81">
        <f>sumifs(Dados!$N:$N,Dados!$B:$B,B125,Dados!$J:$J,$D$1,Dados!$I:$I,$O$4)</f>
        <v>0</v>
      </c>
      <c r="P125" s="81">
        <f>sumifs(Dados!$N:$N,Dados!$B:$B,B125,Dados!$J:$J,$D$1,Dados!$I:$I,$P$4)</f>
        <v>0</v>
      </c>
      <c r="Q125" s="81"/>
    </row>
    <row r="126" ht="15.75" customHeight="1">
      <c r="A126" s="87"/>
      <c r="B126" s="83" t="s">
        <v>213</v>
      </c>
      <c r="C126" s="79"/>
      <c r="D126" s="80">
        <f t="shared" si="26"/>
        <v>752.5</v>
      </c>
      <c r="E126" s="81">
        <f>sumifs(Dados!$N:$N,Dados!$B:$B,$B$126,Dados!$J:$J,$D$1,Dados!$I:$I,E4)</f>
        <v>0</v>
      </c>
      <c r="F126" s="81">
        <f>sumifs(Dados!$N:$N,Dados!$B:$B,$B$126,Dados!$J:$J,$D$1,Dados!$I:$I,F4)</f>
        <v>0</v>
      </c>
      <c r="G126" s="81">
        <f>sumifs(Dados!$N:$N,Dados!$B:$B,$B$126,Dados!$J:$J,$D$1,Dados!$I:$I,G4)</f>
        <v>0</v>
      </c>
      <c r="H126" s="81">
        <f>sumifs(Dados!$N:$N,Dados!$B:$B,$B$126,Dados!$J:$J,$D$1,Dados!$I:$I,H4)</f>
        <v>0</v>
      </c>
      <c r="I126" s="81">
        <f>sumifs(Dados!$N:$N,Dados!$B:$B,$B$126,Dados!$J:$J,$D$1,Dados!$I:$I,I4)</f>
        <v>752.5</v>
      </c>
      <c r="J126" s="81">
        <f>sumifs(Dados!$N:$N,Dados!$B:$B,$B$126,Dados!$J:$J,$D$1,Dados!$I:$I,J4)</f>
        <v>0</v>
      </c>
      <c r="K126" s="81">
        <f>sumifs(Dados!$N:$N,Dados!$B:$B,$B$126,Dados!$J:$J,$D$1,Dados!$I:$I,K4)</f>
        <v>0</v>
      </c>
      <c r="L126" s="81">
        <f>sumifs(Dados!$N:$N,Dados!$B:$B,$B$126,Dados!$J:$J,$D$1,Dados!$I:$I,L4)</f>
        <v>0</v>
      </c>
      <c r="M126" s="81">
        <f>sumifs(Dados!$N:$N,Dados!$B:$B,$B$126,Dados!$J:$J,$D$1,Dados!$I:$I,M4)</f>
        <v>0</v>
      </c>
      <c r="N126" s="81">
        <f>sumifs(Dados!$N:$N,Dados!$B:$B,$B$126,Dados!$J:$J,$D$1,Dados!$I:$I,N4)</f>
        <v>0</v>
      </c>
      <c r="O126" s="81">
        <f>sumifs(Dados!$N:$N,Dados!$B:$B,$B$126,Dados!$J:$J,$D$1,Dados!$I:$I,O4)</f>
        <v>0</v>
      </c>
      <c r="P126" s="81">
        <f>sumifs(Dados!$N:$N,Dados!$B:$B,$B$126,Dados!$J:$J,$D$1,Dados!$I:$I,P4)</f>
        <v>0</v>
      </c>
      <c r="Q126" s="81"/>
    </row>
    <row r="127" ht="15.75" customHeight="1">
      <c r="A127" s="77"/>
      <c r="B127" s="78" t="s">
        <v>214</v>
      </c>
      <c r="C127" s="79"/>
      <c r="D127" s="80">
        <f t="shared" si="26"/>
        <v>4775</v>
      </c>
      <c r="E127" s="81">
        <f>sumifs(Dados!$N:$N,Dados!$B:$B,B127,Dados!$J:$J,$D$1,Dados!$I:$I,$E$4)</f>
        <v>0</v>
      </c>
      <c r="F127" s="81">
        <f>sumifs(Dados!$N:$N,Dados!$B:$B,B127,Dados!$J:$J,$D$1,Dados!$I:$I,$F$4)</f>
        <v>0</v>
      </c>
      <c r="G127" s="81">
        <f>sumifs(Dados!$N:$N,Dados!$B:$B,B127,Dados!$J:$J,$D$1,Dados!$I:$I,$G$4)</f>
        <v>0</v>
      </c>
      <c r="H127" s="81">
        <f>sumifs(Dados!$N:$N,Dados!$B:$B,B127,Dados!$J:$J,$D$1,Dados!$I:$I,$H$4)</f>
        <v>0</v>
      </c>
      <c r="I127" s="81">
        <f>sumifs(Dados!$N:$N,Dados!$B:$B,B127,Dados!$J:$J,$D$1,Dados!$I:$I,$I$4)</f>
        <v>1000</v>
      </c>
      <c r="J127" s="81">
        <f>sumifs(Dados!$N:$N,Dados!$B:$B,B127,Dados!$J:$J,$D$1,Dados!$I:$I,$J$4)</f>
        <v>1800</v>
      </c>
      <c r="K127" s="81">
        <f>sumifs(Dados!$N:$N,Dados!$B:$B,B127,Dados!$J:$J,$D$1,Dados!$I:$I,$K$4)</f>
        <v>1975</v>
      </c>
      <c r="L127" s="81">
        <f>sumifs(Dados!$N:$N,Dados!$B:$B,B127,Dados!$J:$J,$D$1,Dados!$I:$I,$L$4)</f>
        <v>0</v>
      </c>
      <c r="M127" s="81">
        <f>sumifs(Dados!$N:$N,Dados!$B:$B,B127,Dados!$J:$J,$D$1,Dados!$I:$I,$M$4)</f>
        <v>0</v>
      </c>
      <c r="N127" s="81">
        <f>sumifs(Dados!$N:$N,Dados!$B:$B,B127,Dados!$J:$J,$D$1,Dados!$I:$I,$N$4)</f>
        <v>0</v>
      </c>
      <c r="O127" s="81">
        <f>sumifs(Dados!$N:$N,Dados!$B:$B,B127,Dados!$J:$J,$D$1,Dados!$I:$I,$O$4)</f>
        <v>0</v>
      </c>
      <c r="P127" s="81">
        <f>sumifs(Dados!$N:$N,Dados!$B:$B,B127,Dados!$J:$J,$D$1,Dados!$I:$I,$P$4)</f>
        <v>0</v>
      </c>
      <c r="Q127" s="81"/>
    </row>
    <row r="128" ht="15.75" customHeight="1">
      <c r="A128" s="77"/>
      <c r="B128" s="78" t="s">
        <v>215</v>
      </c>
      <c r="C128" s="79"/>
      <c r="D128" s="80">
        <f t="shared" si="26"/>
        <v>13720.65</v>
      </c>
      <c r="E128" s="81">
        <f>sumifs(Dados!$N:$N,Dados!$B:$B,B128,Dados!$J:$J,$D$1,Dados!$I:$I,$E$4)</f>
        <v>0</v>
      </c>
      <c r="F128" s="81">
        <f>sumifs(Dados!$N:$N,Dados!$B:$B,B128,Dados!$J:$J,$D$1,Dados!$I:$I,$F$4)</f>
        <v>0</v>
      </c>
      <c r="G128" s="81">
        <f>sumifs(Dados!$N:$N,Dados!$B:$B,B128,Dados!$J:$J,$D$1,Dados!$I:$I,$G$4)</f>
        <v>0</v>
      </c>
      <c r="H128" s="81">
        <f>sumifs(Dados!$N:$N,Dados!$B:$B,B128,Dados!$J:$J,$D$1,Dados!$I:$I,$H$4)</f>
        <v>0</v>
      </c>
      <c r="I128" s="81">
        <f>sumifs(Dados!$N:$N,Dados!$B:$B,B128,Dados!$J:$J,$D$1,Dados!$I:$I,$I$4)</f>
        <v>2770.27</v>
      </c>
      <c r="J128" s="81">
        <f>sumifs(Dados!$N:$N,Dados!$B:$B,B128,Dados!$J:$J,$D$1,Dados!$I:$I,$J$4)</f>
        <v>4259.58</v>
      </c>
      <c r="K128" s="81">
        <f>sumifs(Dados!$N:$N,Dados!$B:$B,B128,Dados!$J:$J,$D$1,Dados!$I:$I,$K$4)</f>
        <v>6690.8</v>
      </c>
      <c r="L128" s="81">
        <f>sumifs(Dados!$N:$N,Dados!$B:$B,B128,Dados!$J:$J,$D$1,Dados!$I:$I,$L$4)</f>
        <v>0</v>
      </c>
      <c r="M128" s="81">
        <f>sumifs(Dados!$N:$N,Dados!$B:$B,B128,Dados!$J:$J,$D$1,Dados!$I:$I,$M$4)</f>
        <v>0</v>
      </c>
      <c r="N128" s="81">
        <f>sumifs(Dados!$N:$N,Dados!$B:$B,B128,Dados!$J:$J,$D$1,Dados!$I:$I,$N$4)</f>
        <v>0</v>
      </c>
      <c r="O128" s="81">
        <f>sumifs(Dados!$N:$N,Dados!$B:$B,B128,Dados!$J:$J,$D$1,Dados!$I:$I,$O$4)</f>
        <v>0</v>
      </c>
      <c r="P128" s="81">
        <f>sumifs(Dados!$N:$N,Dados!$B:$B,B128,Dados!$J:$J,$D$1,Dados!$I:$I,$P$4)</f>
        <v>0</v>
      </c>
      <c r="Q128" s="81"/>
    </row>
    <row r="129" ht="15.75" customHeight="1">
      <c r="A129" s="99" t="s">
        <v>216</v>
      </c>
      <c r="B129" s="100">
        <f>sumifs(Dados!$N:$N,Dados!$A:$A,A129,Dados!$H:$H,$D$1)</f>
        <v>25019.75</v>
      </c>
      <c r="C129" s="101">
        <f>B129-D129</f>
        <v>0</v>
      </c>
      <c r="D129" s="100">
        <f t="shared" ref="D129:P129" si="27">SUM(D117:D128)</f>
        <v>25019.75</v>
      </c>
      <c r="E129" s="100">
        <f t="shared" si="27"/>
        <v>700</v>
      </c>
      <c r="F129" s="100">
        <f t="shared" si="27"/>
        <v>0</v>
      </c>
      <c r="G129" s="100">
        <f t="shared" si="27"/>
        <v>0</v>
      </c>
      <c r="H129" s="100">
        <f t="shared" si="27"/>
        <v>0</v>
      </c>
      <c r="I129" s="100">
        <f t="shared" si="27"/>
        <v>7183.57</v>
      </c>
      <c r="J129" s="100">
        <f t="shared" si="27"/>
        <v>8470.38</v>
      </c>
      <c r="K129" s="100">
        <f t="shared" si="27"/>
        <v>8665.8</v>
      </c>
      <c r="L129" s="100">
        <f t="shared" si="27"/>
        <v>0</v>
      </c>
      <c r="M129" s="100">
        <f t="shared" si="27"/>
        <v>0</v>
      </c>
      <c r="N129" s="100">
        <f t="shared" si="27"/>
        <v>0</v>
      </c>
      <c r="O129" s="100">
        <f t="shared" si="27"/>
        <v>0</v>
      </c>
      <c r="P129" s="100">
        <f t="shared" si="27"/>
        <v>0</v>
      </c>
      <c r="Q129" s="100"/>
    </row>
    <row r="130" ht="15.75" customHeight="1">
      <c r="A130" s="87"/>
      <c r="B130" s="87" t="s">
        <v>217</v>
      </c>
      <c r="C130" s="79"/>
      <c r="D130" s="80">
        <f t="shared" ref="D130:D135" si="28">SUM(E130:P130)</f>
        <v>0</v>
      </c>
      <c r="E130" s="81">
        <f>sumifs(Dados!$N:$N,Dados!$B:$B,B130,Dados!$J:$J,$D$1,Dados!$I:$I,$E$4)</f>
        <v>0</v>
      </c>
      <c r="F130" s="81">
        <f>sumifs(Dados!$N:$N,Dados!$B:$B,B130,Dados!$J:$J,$D$1,Dados!$I:$I,$F$4)</f>
        <v>0</v>
      </c>
      <c r="G130" s="81">
        <f>sumifs(Dados!$N:$N,Dados!$B:$B,B130,Dados!$J:$J,$D$1,Dados!$I:$I,$G$4)</f>
        <v>0</v>
      </c>
      <c r="H130" s="81">
        <f>sumifs(Dados!$N:$N,Dados!$B:$B,B130,Dados!$J:$J,$D$1,Dados!$I:$I,$H$4)</f>
        <v>0</v>
      </c>
      <c r="I130" s="81">
        <f>sumifs(Dados!$N:$N,Dados!$B:$B,B130,Dados!$J:$J,$D$1,Dados!$I:$I,$I$4)</f>
        <v>0</v>
      </c>
      <c r="J130" s="81">
        <f>sumifs(Dados!$N:$N,Dados!$B:$B,B130,Dados!$J:$J,$D$1,Dados!$I:$I,$J$4)</f>
        <v>0</v>
      </c>
      <c r="K130" s="81">
        <f>sumifs(Dados!$N:$N,Dados!$B:$B,B130,Dados!$J:$J,$D$1,Dados!$I:$I,$K$4)</f>
        <v>0</v>
      </c>
      <c r="L130" s="81">
        <f>sumifs(Dados!$N:$N,Dados!$B:$B,B130,Dados!$J:$J,$D$1,Dados!$I:$I,$L$4)</f>
        <v>0</v>
      </c>
      <c r="M130" s="81">
        <f>sumifs(Dados!$N:$N,Dados!$B:$B,B130,Dados!$J:$J,$D$1,Dados!$I:$I,$M$4)</f>
        <v>0</v>
      </c>
      <c r="N130" s="81">
        <f>sumifs(Dados!$N:$N,Dados!$B:$B,B130,Dados!$J:$J,$D$1,Dados!$I:$I,$N$4)</f>
        <v>0</v>
      </c>
      <c r="O130" s="81">
        <f>sumifs(Dados!$N:$N,Dados!$B:$B,B130,Dados!$J:$J,$D$1,Dados!$I:$I,$O$4)</f>
        <v>0</v>
      </c>
      <c r="P130" s="81">
        <f>sumifs(Dados!$N:$N,Dados!$B:$B,B130,Dados!$J:$J,$D$1,Dados!$I:$I,$P$4)</f>
        <v>0</v>
      </c>
      <c r="Q130" s="81"/>
    </row>
    <row r="131" ht="15.75" customHeight="1">
      <c r="A131" s="77"/>
      <c r="B131" s="77" t="s">
        <v>46</v>
      </c>
      <c r="C131" s="79"/>
      <c r="D131" s="80">
        <f t="shared" si="28"/>
        <v>47.66</v>
      </c>
      <c r="E131" s="81">
        <f>sumifs(Dados!$N:$N,Dados!$B:$B,B131,Dados!$J:$J,$D$1,Dados!$I:$I,$E$4)</f>
        <v>0</v>
      </c>
      <c r="F131" s="81">
        <f>sumifs(Dados!$N:$N,Dados!$B:$B,B131,Dados!$J:$J,$D$1,Dados!$I:$I,$F$4)</f>
        <v>0</v>
      </c>
      <c r="G131" s="81">
        <f>sumifs(Dados!$N:$N,Dados!$B:$B,B131,Dados!$J:$J,$D$1,Dados!$I:$I,$G$4)</f>
        <v>34.66</v>
      </c>
      <c r="H131" s="81">
        <f>sumifs(Dados!$N:$N,Dados!$B:$B,B131,Dados!$J:$J,$D$1,Dados!$I:$I,$H$4)</f>
        <v>0</v>
      </c>
      <c r="I131" s="81">
        <f>sumifs(Dados!$N:$N,Dados!$B:$B,B131,Dados!$J:$J,$D$1,Dados!$I:$I,$I$4)</f>
        <v>0</v>
      </c>
      <c r="J131" s="81">
        <f>sumifs(Dados!$N:$N,Dados!$B:$B,B131,Dados!$J:$J,$D$1,Dados!$I:$I,$J$4)</f>
        <v>0</v>
      </c>
      <c r="K131" s="81">
        <f>sumifs(Dados!$N:$N,Dados!$B:$B,B131,Dados!$J:$J,$D$1,Dados!$I:$I,$K$4)</f>
        <v>13</v>
      </c>
      <c r="L131" s="81">
        <f>sumifs(Dados!$N:$N,Dados!$B:$B,B131,Dados!$J:$J,$D$1,Dados!$I:$I,$L$4)</f>
        <v>0</v>
      </c>
      <c r="M131" s="81">
        <f>sumifs(Dados!$N:$N,Dados!$B:$B,B131,Dados!$J:$J,$D$1,Dados!$I:$I,$M$4)</f>
        <v>0</v>
      </c>
      <c r="N131" s="81">
        <f>sumifs(Dados!$N:$N,Dados!$B:$B,B131,Dados!$J:$J,$D$1,Dados!$I:$I,$N$4)</f>
        <v>0</v>
      </c>
      <c r="O131" s="81">
        <f>sumifs(Dados!$N:$N,Dados!$B:$B,B131,Dados!$J:$J,$D$1,Dados!$I:$I,$O$4)</f>
        <v>0</v>
      </c>
      <c r="P131" s="81">
        <f>sumifs(Dados!$N:$N,Dados!$B:$B,B131,Dados!$J:$J,$D$1,Dados!$I:$I,$P$4)</f>
        <v>0</v>
      </c>
      <c r="Q131" s="81"/>
    </row>
    <row r="132" ht="15.75" customHeight="1">
      <c r="A132" s="99" t="s">
        <v>218</v>
      </c>
      <c r="B132" s="100">
        <f>sumifs(Dados!$N:$N,Dados!$A:$A,A132,Dados!$H:$H,$D$1)</f>
        <v>47.66</v>
      </c>
      <c r="C132" s="101">
        <f>B132-D132</f>
        <v>0</v>
      </c>
      <c r="D132" s="100">
        <f t="shared" si="28"/>
        <v>47.66</v>
      </c>
      <c r="E132" s="100">
        <f t="shared" ref="E132:P132" si="29">SUM(E130:E131)</f>
        <v>0</v>
      </c>
      <c r="F132" s="100">
        <f t="shared" si="29"/>
        <v>0</v>
      </c>
      <c r="G132" s="100">
        <f t="shared" si="29"/>
        <v>34.66</v>
      </c>
      <c r="H132" s="100">
        <f t="shared" si="29"/>
        <v>0</v>
      </c>
      <c r="I132" s="100">
        <f t="shared" si="29"/>
        <v>0</v>
      </c>
      <c r="J132" s="100">
        <f t="shared" si="29"/>
        <v>0</v>
      </c>
      <c r="K132" s="100">
        <f t="shared" si="29"/>
        <v>13</v>
      </c>
      <c r="L132" s="100">
        <f t="shared" si="29"/>
        <v>0</v>
      </c>
      <c r="M132" s="100">
        <f t="shared" si="29"/>
        <v>0</v>
      </c>
      <c r="N132" s="100">
        <f t="shared" si="29"/>
        <v>0</v>
      </c>
      <c r="O132" s="100">
        <f t="shared" si="29"/>
        <v>0</v>
      </c>
      <c r="P132" s="100">
        <f t="shared" si="29"/>
        <v>0</v>
      </c>
      <c r="Q132" s="100"/>
    </row>
    <row r="133" ht="15.75" customHeight="1">
      <c r="A133" s="77"/>
      <c r="B133" s="77" t="s">
        <v>219</v>
      </c>
      <c r="C133" s="79"/>
      <c r="D133" s="80">
        <f t="shared" si="28"/>
        <v>8.5</v>
      </c>
      <c r="E133" s="81">
        <f>sumifs(Dados!$N:$N,Dados!$B:$B,B133,Dados!$J:$J,$D$1,Dados!$I:$I,$E$4)</f>
        <v>0</v>
      </c>
      <c r="F133" s="81">
        <f>sumifs(Dados!$N:$N,Dados!$B:$B,B133,Dados!$J:$J,$D$1,Dados!$I:$I,$F$4)</f>
        <v>0</v>
      </c>
      <c r="G133" s="81">
        <f>sumifs(Dados!$N:$N,Dados!$B:$B,B133,Dados!$J:$J,$D$1,Dados!$I:$I,$G$4)</f>
        <v>0</v>
      </c>
      <c r="H133" s="81">
        <f>sumifs(Dados!$N:$N,Dados!$B:$B,B133,Dados!$J:$J,$D$1,Dados!$I:$I,$H$4)</f>
        <v>0</v>
      </c>
      <c r="I133" s="81">
        <f>sumifs(Dados!$N:$N,Dados!$B:$B,B133,Dados!$J:$J,$D$1,Dados!$I:$I,$I$4)</f>
        <v>0</v>
      </c>
      <c r="J133" s="81">
        <f>sumifs(Dados!$N:$N,Dados!$B:$B,B133,Dados!$J:$J,$D$1,Dados!$I:$I,$J$4)</f>
        <v>5</v>
      </c>
      <c r="K133" s="81">
        <f>sumifs(Dados!$N:$N,Dados!$B:$B,B133,Dados!$J:$J,$D$1,Dados!$I:$I,$K$4)</f>
        <v>3.5</v>
      </c>
      <c r="L133" s="81">
        <f>sumifs(Dados!$N:$N,Dados!$B:$B,B133,Dados!$J:$J,$D$1,Dados!$I:$I,$L$4)</f>
        <v>0</v>
      </c>
      <c r="M133" s="81">
        <f>sumifs(Dados!$N:$N,Dados!$B:$B,B133,Dados!$J:$J,$D$1,Dados!$I:$I,$M$4)</f>
        <v>0</v>
      </c>
      <c r="N133" s="81">
        <f>sumifs(Dados!$N:$N,Dados!$B:$B,B133,Dados!$J:$J,$D$1,Dados!$I:$I,$N$4)</f>
        <v>0</v>
      </c>
      <c r="O133" s="81">
        <f>sumifs(Dados!$N:$N,Dados!$B:$B,B133,Dados!$J:$J,$D$1,Dados!$I:$I,$O$4)</f>
        <v>0</v>
      </c>
      <c r="P133" s="81">
        <f>sumifs(Dados!$N:$N,Dados!$B:$B,B133,Dados!$J:$J,$D$1,Dados!$I:$I,$P$4)</f>
        <v>0</v>
      </c>
      <c r="Q133" s="81"/>
    </row>
    <row r="134" ht="15.75" customHeight="1">
      <c r="A134" s="77"/>
      <c r="B134" s="77" t="s">
        <v>220</v>
      </c>
      <c r="C134" s="79"/>
      <c r="D134" s="80">
        <f t="shared" si="28"/>
        <v>103.16</v>
      </c>
      <c r="E134" s="81">
        <f>sumifs(Dados!$N:$N,Dados!$B:$B,B134,Dados!$J:$J,$D$1,Dados!$I:$I,$E$4)</f>
        <v>0</v>
      </c>
      <c r="F134" s="81">
        <f>sumifs(Dados!$N:$N,Dados!$B:$B,B134,Dados!$J:$J,$D$1,Dados!$I:$I,$F$4)</f>
        <v>0</v>
      </c>
      <c r="G134" s="81">
        <f>sumifs(Dados!$N:$N,Dados!$B:$B,B134,Dados!$J:$J,$D$1,Dados!$I:$I,$G$4)</f>
        <v>0</v>
      </c>
      <c r="H134" s="81">
        <f>sumifs(Dados!$N:$N,Dados!$B:$B,B134,Dados!$J:$J,$D$1,Dados!$I:$I,$H$4)</f>
        <v>0</v>
      </c>
      <c r="I134" s="81">
        <f>sumifs(Dados!$N:$N,Dados!$B:$B,B134,Dados!$J:$J,$D$1,Dados!$I:$I,$I$4)</f>
        <v>70</v>
      </c>
      <c r="J134" s="81">
        <f>sumifs(Dados!$N:$N,Dados!$B:$B,B134,Dados!$J:$J,$D$1,Dados!$I:$I,$J$4)</f>
        <v>31.16</v>
      </c>
      <c r="K134" s="81">
        <f>sumifs(Dados!$N:$N,Dados!$B:$B,B134,Dados!$J:$J,$D$1,Dados!$I:$I,$K$4)</f>
        <v>2</v>
      </c>
      <c r="L134" s="81">
        <f>sumifs(Dados!$N:$N,Dados!$B:$B,B134,Dados!$J:$J,$D$1,Dados!$I:$I,$L$4)</f>
        <v>0</v>
      </c>
      <c r="M134" s="81">
        <f>sumifs(Dados!$N:$N,Dados!$B:$B,B134,Dados!$J:$J,$D$1,Dados!$I:$I,$M$4)</f>
        <v>0</v>
      </c>
      <c r="N134" s="81">
        <f>sumifs(Dados!$N:$N,Dados!$B:$B,B134,Dados!$J:$J,$D$1,Dados!$I:$I,$N$4)</f>
        <v>0</v>
      </c>
      <c r="O134" s="81">
        <f>sumifs(Dados!$N:$N,Dados!$B:$B,B134,Dados!$J:$J,$D$1,Dados!$I:$I,$O$4)</f>
        <v>0</v>
      </c>
      <c r="P134" s="81">
        <f>sumifs(Dados!$N:$N,Dados!$B:$B,B134,Dados!$J:$J,$D$1,Dados!$I:$I,$P$4)</f>
        <v>0</v>
      </c>
      <c r="Q134" s="81"/>
    </row>
    <row r="135" ht="15.75" customHeight="1">
      <c r="A135" s="77"/>
      <c r="B135" s="77" t="s">
        <v>221</v>
      </c>
      <c r="C135" s="79"/>
      <c r="D135" s="80">
        <f t="shared" si="28"/>
        <v>24.5</v>
      </c>
      <c r="E135" s="81">
        <f>sumifs(Dados!$N:$N,Dados!$B:$B,B135,Dados!$J:$J,$D$1,Dados!$I:$I,$E$4)</f>
        <v>0</v>
      </c>
      <c r="F135" s="81">
        <f>sumifs(Dados!$N:$N,Dados!$B:$B,B135,Dados!$J:$J,$D$1,Dados!$I:$I,$F$4)</f>
        <v>0</v>
      </c>
      <c r="G135" s="81">
        <f>sumifs(Dados!$N:$N,Dados!$B:$B,B135,Dados!$J:$J,$D$1,Dados!$I:$I,$G$4)</f>
        <v>0</v>
      </c>
      <c r="H135" s="81">
        <f>sumifs(Dados!$N:$N,Dados!$B:$B,B135,Dados!$J:$J,$D$1,Dados!$I:$I,$H$4)</f>
        <v>0</v>
      </c>
      <c r="I135" s="81">
        <f>sumifs(Dados!$N:$N,Dados!$B:$B,B135,Dados!$J:$J,$D$1,Dados!$I:$I,$I$4)</f>
        <v>10</v>
      </c>
      <c r="J135" s="81">
        <f>sumifs(Dados!$N:$N,Dados!$B:$B,B135,Dados!$J:$J,$D$1,Dados!$I:$I,$J$4)</f>
        <v>6</v>
      </c>
      <c r="K135" s="81">
        <f>sumifs(Dados!$N:$N,Dados!$B:$B,B135,Dados!$J:$J,$D$1,Dados!$I:$I,$K$4)</f>
        <v>8.5</v>
      </c>
      <c r="L135" s="81">
        <f>sumifs(Dados!$N:$N,Dados!$B:$B,B135,Dados!$J:$J,$D$1,Dados!$I:$I,$L$4)</f>
        <v>0</v>
      </c>
      <c r="M135" s="81">
        <f>sumifs(Dados!$N:$N,Dados!$B:$B,B135,Dados!$J:$J,$D$1,Dados!$I:$I,$M$4)</f>
        <v>0</v>
      </c>
      <c r="N135" s="81">
        <f>sumifs(Dados!$N:$N,Dados!$B:$B,B135,Dados!$J:$J,$D$1,Dados!$I:$I,$N$4)</f>
        <v>0</v>
      </c>
      <c r="O135" s="81">
        <f>sumifs(Dados!$N:$N,Dados!$B:$B,B135,Dados!$J:$J,$D$1,Dados!$I:$I,$O$4)</f>
        <v>0</v>
      </c>
      <c r="P135" s="81">
        <f>sumifs(Dados!$N:$N,Dados!$B:$B,B135,Dados!$J:$J,$D$1,Dados!$I:$I,$P$4)</f>
        <v>0</v>
      </c>
      <c r="Q135" s="81"/>
    </row>
    <row r="136" ht="15.75" customHeight="1">
      <c r="A136" s="99" t="s">
        <v>222</v>
      </c>
      <c r="B136" s="100">
        <f>sumifs(Dados!$N:$N,Dados!$A:$A,A136,Dados!$H:$H,$D$1)</f>
        <v>136.16</v>
      </c>
      <c r="C136" s="101">
        <f>B136-D136</f>
        <v>0</v>
      </c>
      <c r="D136" s="100">
        <f t="shared" ref="D136:P136" si="30">SUM(D133:D135)</f>
        <v>136.16</v>
      </c>
      <c r="E136" s="100">
        <f t="shared" si="30"/>
        <v>0</v>
      </c>
      <c r="F136" s="100">
        <f t="shared" si="30"/>
        <v>0</v>
      </c>
      <c r="G136" s="100">
        <f t="shared" si="30"/>
        <v>0</v>
      </c>
      <c r="H136" s="100">
        <f t="shared" si="30"/>
        <v>0</v>
      </c>
      <c r="I136" s="100">
        <f t="shared" si="30"/>
        <v>80</v>
      </c>
      <c r="J136" s="100">
        <f t="shared" si="30"/>
        <v>42.16</v>
      </c>
      <c r="K136" s="100">
        <f t="shared" si="30"/>
        <v>14</v>
      </c>
      <c r="L136" s="100">
        <f t="shared" si="30"/>
        <v>0</v>
      </c>
      <c r="M136" s="100">
        <f t="shared" si="30"/>
        <v>0</v>
      </c>
      <c r="N136" s="100">
        <f t="shared" si="30"/>
        <v>0</v>
      </c>
      <c r="O136" s="100">
        <f t="shared" si="30"/>
        <v>0</v>
      </c>
      <c r="P136" s="100">
        <f t="shared" si="30"/>
        <v>0</v>
      </c>
      <c r="Q136" s="100"/>
    </row>
    <row r="137" ht="15.75" customHeight="1">
      <c r="A137" s="143" t="s">
        <v>120</v>
      </c>
      <c r="B137" s="144">
        <f>D13+D18+D24+D29+D34+D55+D68+D76+D83+D86+D88+D97+D108+D116+D129+D136+B132</f>
        <v>40830.64</v>
      </c>
      <c r="C137" s="145"/>
      <c r="D137" s="146"/>
      <c r="E137" s="146">
        <f t="shared" ref="E137:P137" si="31">E13+E18+E24+E29+E34+E55+E68+E76+E83+E86+E88+E97+E108+E116+E129+E132+E136</f>
        <v>2003.85</v>
      </c>
      <c r="F137" s="146">
        <f t="shared" si="31"/>
        <v>780.18</v>
      </c>
      <c r="G137" s="146">
        <f t="shared" si="31"/>
        <v>1059.03</v>
      </c>
      <c r="H137" s="146">
        <f t="shared" si="31"/>
        <v>1861.34</v>
      </c>
      <c r="I137" s="146">
        <f t="shared" si="31"/>
        <v>9763.47</v>
      </c>
      <c r="J137" s="146">
        <f t="shared" si="31"/>
        <v>14445.89</v>
      </c>
      <c r="K137" s="146">
        <f t="shared" si="31"/>
        <v>10916.88</v>
      </c>
      <c r="L137" s="146">
        <f t="shared" si="31"/>
        <v>0</v>
      </c>
      <c r="M137" s="146">
        <f t="shared" si="31"/>
        <v>0</v>
      </c>
      <c r="N137" s="146">
        <f t="shared" si="31"/>
        <v>0</v>
      </c>
      <c r="O137" s="146">
        <f t="shared" si="31"/>
        <v>0</v>
      </c>
      <c r="P137" s="146">
        <f t="shared" si="31"/>
        <v>0</v>
      </c>
      <c r="Q137" s="147">
        <f>R13+R18+R24+R29+R34+R55+R68+R76+R83+R86+R88+R97+R108+R116+R129+R136</f>
        <v>0</v>
      </c>
    </row>
    <row r="139" ht="15.75" customHeight="1">
      <c r="A139" s="102"/>
      <c r="B139" s="102" t="s">
        <v>223</v>
      </c>
      <c r="C139" s="79"/>
      <c r="D139" s="80">
        <f t="shared" ref="D139:D143" si="32">SUM(E139:P139)</f>
        <v>0</v>
      </c>
      <c r="E139" s="81">
        <f>sumifs(Dados!$N:$N,Dados!$B:$B,B139,Dados!$J:$J,$D$1,Dados!$I:$I,$E$4)</f>
        <v>0</v>
      </c>
      <c r="F139" s="81">
        <f>sumifs(Dados!$N:$N,Dados!$B:$B,B139,Dados!$J:$J,$D$1,Dados!$I:$I,$F$4)</f>
        <v>0</v>
      </c>
      <c r="G139" s="81">
        <f>sumifs(Dados!$N:$N,Dados!$B:$B,B139,Dados!$J:$J,$D$1,Dados!$I:$I,$G$4)</f>
        <v>0</v>
      </c>
      <c r="H139" s="81">
        <f>sumifs(Dados!$N:$N,Dados!$B:$B,B139,Dados!$J:$J,$D$1,Dados!$I:$I,$H$4)</f>
        <v>0</v>
      </c>
      <c r="I139" s="81">
        <f>sumifs(Dados!$N:$N,Dados!$B:$B,B139,Dados!$J:$J,$D$1,Dados!$I:$I,$I$4)</f>
        <v>0</v>
      </c>
      <c r="J139" s="81">
        <f>sumifs(Dados!$N:$N,Dados!$B:$B,B139,Dados!$J:$J,$D$1,Dados!$I:$I,$J$4)</f>
        <v>0</v>
      </c>
      <c r="K139" s="81">
        <f>sumifs(Dados!$N:$N,Dados!$B:$B,B139,Dados!$J:$J,$D$1,Dados!$I:$I,$K$4)</f>
        <v>0</v>
      </c>
      <c r="L139" s="81">
        <f>sumifs(Dados!$N:$N,Dados!$B:$B,B139,Dados!$J:$J,$D$1,Dados!$I:$I,$L$4)</f>
        <v>0</v>
      </c>
      <c r="M139" s="81">
        <f>sumifs(Dados!$N:$N,Dados!$B:$B,B139,Dados!$J:$J,$D$1,Dados!$I:$I,$M$4)</f>
        <v>0</v>
      </c>
      <c r="N139" s="81">
        <f>sumifs(Dados!$N:$N,Dados!$B:$B,B139,Dados!$J:$J,$D$1,Dados!$I:$I,$N$4)</f>
        <v>0</v>
      </c>
      <c r="O139" s="81">
        <f>sumifs(Dados!$N:$N,Dados!$B:$B,B139,Dados!$J:$J,$D$1,Dados!$I:$I,$O$4)</f>
        <v>0</v>
      </c>
      <c r="P139" s="81">
        <f>sumifs(Dados!$N:$N,Dados!$B:$B,B139,Dados!$J:$J,$D$1,Dados!$I:$I,$P$4)</f>
        <v>0</v>
      </c>
      <c r="Q139" s="81"/>
    </row>
    <row r="140" ht="15.75" customHeight="1">
      <c r="A140" s="103"/>
      <c r="B140" s="103" t="s">
        <v>224</v>
      </c>
      <c r="C140" s="79"/>
      <c r="D140" s="80">
        <f t="shared" si="32"/>
        <v>0</v>
      </c>
      <c r="E140" s="81">
        <f>sumifs(Dados!$N:$N,Dados!$B:$B,B140,Dados!$J:$J,$D$1,Dados!$I:$I,$E$4)</f>
        <v>0</v>
      </c>
      <c r="F140" s="81">
        <f>sumifs(Dados!$N:$N,Dados!$B:$B,B140,Dados!$J:$J,$D$1,Dados!$I:$I,$F$4)</f>
        <v>0</v>
      </c>
      <c r="G140" s="81">
        <f>sumifs(Dados!$N:$N,Dados!$B:$B,B140,Dados!$J:$J,$D$1,Dados!$I:$I,$G$4)</f>
        <v>0</v>
      </c>
      <c r="H140" s="81">
        <f>sumifs(Dados!$N:$N,Dados!$B:$B,B140,Dados!$J:$J,$D$1,Dados!$I:$I,$H$4)</f>
        <v>0</v>
      </c>
      <c r="I140" s="81">
        <f>sumifs(Dados!$N:$N,Dados!$B:$B,B140,Dados!$J:$J,$D$1,Dados!$I:$I,$I$4)</f>
        <v>0</v>
      </c>
      <c r="J140" s="81">
        <f>sumifs(Dados!$N:$N,Dados!$B:$B,B140,Dados!$J:$J,$D$1,Dados!$I:$I,$J$4)</f>
        <v>0</v>
      </c>
      <c r="K140" s="81">
        <f>sumifs(Dados!$N:$N,Dados!$B:$B,B140,Dados!$J:$J,$D$1,Dados!$I:$I,$K$4)</f>
        <v>0</v>
      </c>
      <c r="L140" s="81">
        <f>sumifs(Dados!$N:$N,Dados!$B:$B,B140,Dados!$J:$J,$D$1,Dados!$I:$I,$L$4)</f>
        <v>0</v>
      </c>
      <c r="M140" s="81">
        <f>sumifs(Dados!$N:$N,Dados!$B:$B,B140,Dados!$J:$J,$D$1,Dados!$I:$I,$M$4)</f>
        <v>0</v>
      </c>
      <c r="N140" s="81">
        <f>sumifs(Dados!$N:$N,Dados!$B:$B,B140,Dados!$J:$J,$D$1,Dados!$I:$I,$N$4)</f>
        <v>0</v>
      </c>
      <c r="O140" s="81">
        <f>sumifs(Dados!$N:$N,Dados!$B:$B,B140,Dados!$J:$J,$D$1,Dados!$I:$I,$O$4)</f>
        <v>0</v>
      </c>
      <c r="P140" s="81">
        <f>sumifs(Dados!$N:$N,Dados!$B:$B,B140,Dados!$J:$J,$D$1,Dados!$I:$I,$P$4)</f>
        <v>0</v>
      </c>
      <c r="Q140" s="81"/>
    </row>
    <row r="141" ht="15.75" customHeight="1">
      <c r="A141" s="103"/>
      <c r="B141" s="103" t="s">
        <v>225</v>
      </c>
      <c r="C141" s="79"/>
      <c r="D141" s="80">
        <f t="shared" si="32"/>
        <v>0</v>
      </c>
      <c r="E141" s="81">
        <f>sumifs(Dados!$N:$N,Dados!$B:$B,B141,Dados!$J:$J,$D$1,Dados!$I:$I,$E$4)</f>
        <v>0</v>
      </c>
      <c r="F141" s="81">
        <f>sumifs(Dados!$N:$N,Dados!$B:$B,B141,Dados!$J:$J,$D$1,Dados!$I:$I,$F$4)</f>
        <v>0</v>
      </c>
      <c r="G141" s="81">
        <f>sumifs(Dados!$N:$N,Dados!$B:$B,B141,Dados!$J:$J,$D$1,Dados!$I:$I,$G$4)</f>
        <v>0</v>
      </c>
      <c r="H141" s="81">
        <f>sumifs(Dados!$N:$N,Dados!$B:$B,B141,Dados!$J:$J,$D$1,Dados!$I:$I,$H$4)</f>
        <v>0</v>
      </c>
      <c r="I141" s="81">
        <f>sumifs(Dados!$N:$N,Dados!$B:$B,B141,Dados!$J:$J,$D$1,Dados!$I:$I,$I$4)</f>
        <v>0</v>
      </c>
      <c r="J141" s="81">
        <f>sumifs(Dados!$N:$N,Dados!$B:$B,B141,Dados!$J:$J,$D$1,Dados!$I:$I,$J$4)</f>
        <v>0</v>
      </c>
      <c r="K141" s="81">
        <f>sumifs(Dados!$N:$N,Dados!$B:$B,B141,Dados!$J:$J,$D$1,Dados!$I:$I,$K$4)</f>
        <v>0</v>
      </c>
      <c r="L141" s="81">
        <f>sumifs(Dados!$N:$N,Dados!$B:$B,B141,Dados!$J:$J,$D$1,Dados!$I:$I,$L$4)</f>
        <v>0</v>
      </c>
      <c r="M141" s="81">
        <f>sumifs(Dados!$N:$N,Dados!$B:$B,B141,Dados!$J:$J,$D$1,Dados!$I:$I,$M$4)</f>
        <v>0</v>
      </c>
      <c r="N141" s="81">
        <f>sumifs(Dados!$N:$N,Dados!$B:$B,B141,Dados!$J:$J,$D$1,Dados!$I:$I,$N$4)</f>
        <v>0</v>
      </c>
      <c r="O141" s="81">
        <f>sumifs(Dados!$N:$N,Dados!$B:$B,B141,Dados!$J:$J,$D$1,Dados!$I:$I,$O$4)</f>
        <v>0</v>
      </c>
      <c r="P141" s="81">
        <f>sumifs(Dados!$N:$N,Dados!$B:$B,B141,Dados!$J:$J,$D$1,Dados!$I:$I,$P$4)</f>
        <v>0</v>
      </c>
      <c r="Q141" s="81"/>
    </row>
    <row r="142" ht="15.75" customHeight="1">
      <c r="A142" s="103"/>
      <c r="B142" s="103" t="s">
        <v>226</v>
      </c>
      <c r="C142" s="79"/>
      <c r="D142" s="80">
        <f t="shared" si="32"/>
        <v>0</v>
      </c>
      <c r="E142" s="81">
        <f>sumifs(Dados!$N:$N,Dados!$B:$B,B142,Dados!$J:$J,$D$1,Dados!$I:$I,$E$4)</f>
        <v>0</v>
      </c>
      <c r="F142" s="81">
        <f>sumifs(Dados!$N:$N,Dados!$B:$B,B142,Dados!$J:$J,$D$1,Dados!$I:$I,$F$4)</f>
        <v>0</v>
      </c>
      <c r="G142" s="81">
        <f>sumifs(Dados!$N:$N,Dados!$B:$B,B142,Dados!$J:$J,$D$1,Dados!$I:$I,$G$4)</f>
        <v>0</v>
      </c>
      <c r="H142" s="81">
        <f>sumifs(Dados!$N:$N,Dados!$B:$B,B142,Dados!$J:$J,$D$1,Dados!$I:$I,$H$4)</f>
        <v>0</v>
      </c>
      <c r="I142" s="81">
        <f>sumifs(Dados!$N:$N,Dados!$B:$B,B142,Dados!$J:$J,$D$1,Dados!$I:$I,$I$4)</f>
        <v>0</v>
      </c>
      <c r="J142" s="81">
        <f>sumifs(Dados!$N:$N,Dados!$B:$B,B142,Dados!$J:$J,$D$1,Dados!$I:$I,$J$4)</f>
        <v>0</v>
      </c>
      <c r="K142" s="81">
        <f>sumifs(Dados!$N:$N,Dados!$B:$B,B142,Dados!$J:$J,$D$1,Dados!$I:$I,$K$4)</f>
        <v>0</v>
      </c>
      <c r="L142" s="81">
        <f>sumifs(Dados!$N:$N,Dados!$B:$B,B142,Dados!$J:$J,$D$1,Dados!$I:$I,$L$4)</f>
        <v>0</v>
      </c>
      <c r="M142" s="81">
        <f>sumifs(Dados!$N:$N,Dados!$B:$B,B142,Dados!$J:$J,$D$1,Dados!$I:$I,$M$4)</f>
        <v>0</v>
      </c>
      <c r="N142" s="81">
        <f>sumifs(Dados!$N:$N,Dados!$B:$B,B142,Dados!$J:$J,$D$1,Dados!$I:$I,$N$4)</f>
        <v>0</v>
      </c>
      <c r="O142" s="81">
        <f>sumifs(Dados!$N:$N,Dados!$B:$B,B142,Dados!$J:$J,$D$1,Dados!$I:$I,$O$4)</f>
        <v>0</v>
      </c>
      <c r="P142" s="81">
        <f>sumifs(Dados!$N:$N,Dados!$B:$B,B142,Dados!$J:$J,$D$1,Dados!$I:$I,$P$4)</f>
        <v>0</v>
      </c>
      <c r="Q142" s="81"/>
    </row>
    <row r="143" ht="15.75" customHeight="1">
      <c r="A143" s="102"/>
      <c r="B143" s="102" t="s">
        <v>227</v>
      </c>
      <c r="C143" s="79"/>
      <c r="D143" s="80">
        <f t="shared" si="32"/>
        <v>0</v>
      </c>
      <c r="E143" s="81">
        <f>sumifs(Dados!$N:$N,Dados!$B:$B,B143,Dados!$J:$J,$D$1,Dados!$I:$I,$E$4)</f>
        <v>0</v>
      </c>
      <c r="F143" s="81">
        <f>sumifs(Dados!$N:$N,Dados!$B:$B,B143,Dados!$J:$J,$D$1,Dados!$I:$I,$F$4)</f>
        <v>0</v>
      </c>
      <c r="G143" s="81">
        <f>sumifs(Dados!$N:$N,Dados!$B:$B,B143,Dados!$J:$J,$D$1,Dados!$I:$I,$G$4)</f>
        <v>0</v>
      </c>
      <c r="H143" s="81">
        <f>sumifs(Dados!$N:$N,Dados!$B:$B,B143,Dados!$J:$J,$D$1,Dados!$I:$I,$H$4)</f>
        <v>0</v>
      </c>
      <c r="I143" s="81">
        <f>sumifs(Dados!$N:$N,Dados!$B:$B,B143,Dados!$J:$J,$D$1,Dados!$I:$I,$I$4)</f>
        <v>0</v>
      </c>
      <c r="J143" s="81">
        <f>sumifs(Dados!$N:$N,Dados!$B:$B,B143,Dados!$J:$J,$D$1,Dados!$I:$I,$J$4)</f>
        <v>0</v>
      </c>
      <c r="K143" s="81">
        <f>sumifs(Dados!$N:$N,Dados!$B:$B,B143,Dados!$J:$J,$D$1,Dados!$I:$I,$K$4)</f>
        <v>0</v>
      </c>
      <c r="L143" s="81">
        <f>sumifs(Dados!$N:$N,Dados!$B:$B,B143,Dados!$J:$J,$D$1,Dados!$I:$I,$L$4)</f>
        <v>0</v>
      </c>
      <c r="M143" s="81">
        <f>sumifs(Dados!$N:$N,Dados!$B:$B,B143,Dados!$J:$J,$D$1,Dados!$I:$I,$M$4)</f>
        <v>0</v>
      </c>
      <c r="N143" s="81">
        <f>sumifs(Dados!$N:$N,Dados!$B:$B,B143,Dados!$J:$J,$D$1,Dados!$I:$I,$N$4)</f>
        <v>0</v>
      </c>
      <c r="O143" s="81">
        <f>sumifs(Dados!$N:$N,Dados!$B:$B,B143,Dados!$J:$J,$D$1,Dados!$I:$I,$O$4)</f>
        <v>0</v>
      </c>
      <c r="P143" s="81">
        <f>sumifs(Dados!$N:$N,Dados!$B:$B,B143,Dados!$J:$J,$D$1,Dados!$I:$I,$P$4)</f>
        <v>0</v>
      </c>
      <c r="Q143" s="81"/>
    </row>
    <row r="144" ht="15.75" customHeight="1">
      <c r="A144" s="99" t="s">
        <v>228</v>
      </c>
      <c r="B144" s="100">
        <f>sumifs(Dados!$N:$N,Dados!$A:$A,A144,Dados!$H:$H,$D$1)</f>
        <v>0</v>
      </c>
      <c r="C144" s="101">
        <f>B144-D144</f>
        <v>0</v>
      </c>
      <c r="D144" s="100">
        <f t="shared" ref="D144:P144" si="33">SUM(D139:D143)</f>
        <v>0</v>
      </c>
      <c r="E144" s="100">
        <f t="shared" si="33"/>
        <v>0</v>
      </c>
      <c r="F144" s="100">
        <f t="shared" si="33"/>
        <v>0</v>
      </c>
      <c r="G144" s="100">
        <f t="shared" si="33"/>
        <v>0</v>
      </c>
      <c r="H144" s="100">
        <f t="shared" si="33"/>
        <v>0</v>
      </c>
      <c r="I144" s="100">
        <f t="shared" si="33"/>
        <v>0</v>
      </c>
      <c r="J144" s="100">
        <f t="shared" si="33"/>
        <v>0</v>
      </c>
      <c r="K144" s="100">
        <f t="shared" si="33"/>
        <v>0</v>
      </c>
      <c r="L144" s="100">
        <f t="shared" si="33"/>
        <v>0</v>
      </c>
      <c r="M144" s="100">
        <f t="shared" si="33"/>
        <v>0</v>
      </c>
      <c r="N144" s="100">
        <f t="shared" si="33"/>
        <v>0</v>
      </c>
      <c r="O144" s="100">
        <f t="shared" si="33"/>
        <v>0</v>
      </c>
      <c r="P144" s="100">
        <f t="shared" si="33"/>
        <v>0</v>
      </c>
      <c r="Q144" s="100"/>
    </row>
    <row r="145" ht="15.75" customHeight="1">
      <c r="A145" s="77"/>
      <c r="B145" s="78" t="s">
        <v>229</v>
      </c>
      <c r="C145" s="79"/>
      <c r="D145" s="80">
        <f t="shared" ref="D145:D156" si="34">SUM(E145:P145)</f>
        <v>0</v>
      </c>
      <c r="E145" s="81">
        <f>sumifs(Dados!$N:$N,Dados!$B:$B,B145,Dados!$J:$J,$D$1,Dados!$I:$I,$E$4)</f>
        <v>0</v>
      </c>
      <c r="F145" s="81">
        <f>sumifs(Dados!$N:$N,Dados!$B:$B,B145,Dados!$J:$J,$D$1,Dados!$I:$I,$F$4)</f>
        <v>0</v>
      </c>
      <c r="G145" s="81">
        <f>sumifs(Dados!$N:$N,Dados!$B:$B,B145,Dados!$J:$J,$D$1,Dados!$I:$I,$G$4)</f>
        <v>0</v>
      </c>
      <c r="H145" s="81">
        <f>sumifs(Dados!$N:$N,Dados!$B:$B,B145,Dados!$J:$J,$D$1,Dados!$I:$I,$H$4)</f>
        <v>0</v>
      </c>
      <c r="I145" s="81">
        <f>sumifs(Dados!$N:$N,Dados!$B:$B,B145,Dados!$J:$J,$D$1,Dados!$I:$I,$I$4)</f>
        <v>0</v>
      </c>
      <c r="J145" s="81">
        <f>sumifs(Dados!$N:$N,Dados!$B:$B,B145,Dados!$J:$J,$D$1,Dados!$I:$I,$J$4)</f>
        <v>0</v>
      </c>
      <c r="K145" s="81">
        <f>sumifs(Dados!$N:$N,Dados!$B:$B,B145,Dados!$J:$J,$D$1,Dados!$I:$I,$K$4)</f>
        <v>0</v>
      </c>
      <c r="L145" s="81">
        <f>sumifs(Dados!$N:$N,Dados!$B:$B,B145,Dados!$J:$J,$D$1,Dados!$I:$I,$L$4)</f>
        <v>0</v>
      </c>
      <c r="M145" s="81">
        <f>sumifs(Dados!$N:$N,Dados!$B:$B,B145,Dados!$J:$J,$D$1,Dados!$I:$I,$M$4)</f>
        <v>0</v>
      </c>
      <c r="N145" s="81">
        <f>sumifs(Dados!$N:$N,Dados!$B:$B,B145,Dados!$J:$J,$D$1,Dados!$I:$I,$N$4)</f>
        <v>0</v>
      </c>
      <c r="O145" s="81">
        <f>sumifs(Dados!$N:$N,Dados!$B:$B,B145,Dados!$J:$J,$D$1,Dados!$I:$I,$O$4)</f>
        <v>0</v>
      </c>
      <c r="P145" s="81">
        <f>sumifs(Dados!$N:$N,Dados!$B:$B,B145,Dados!$J:$J,$D$1,Dados!$I:$I,$P$4)</f>
        <v>0</v>
      </c>
      <c r="Q145" s="81"/>
    </row>
    <row r="146" ht="15.75" customHeight="1">
      <c r="A146" s="77"/>
      <c r="B146" s="77" t="s">
        <v>230</v>
      </c>
      <c r="C146" s="79"/>
      <c r="D146" s="80">
        <f t="shared" si="34"/>
        <v>0</v>
      </c>
      <c r="E146" s="81">
        <f>sumifs(Dados!$N:$N,Dados!$B:$B,$B$146,Dados!$J:$J,$D$1,Dados!$I:$I,E4)</f>
        <v>0</v>
      </c>
      <c r="F146" s="81">
        <f>sumifs(Dados!$N:$N,Dados!$B:$B,$B$146,Dados!$J:$J,$D$1,Dados!$I:$I,F4)</f>
        <v>0</v>
      </c>
      <c r="G146" s="81">
        <f>sumifs(Dados!$N:$N,Dados!$B:$B,$B$146,Dados!$J:$J,$D$1,Dados!$I:$I,G4)</f>
        <v>0</v>
      </c>
      <c r="H146" s="81">
        <f>sumifs(Dados!$N:$N,Dados!$B:$B,$B$146,Dados!$J:$J,$D$1,Dados!$I:$I,H4)</f>
        <v>0</v>
      </c>
      <c r="I146" s="81">
        <f>sumifs(Dados!$N:$N,Dados!$B:$B,$B$146,Dados!$J:$J,$D$1,Dados!$I:$I,I4)</f>
        <v>0</v>
      </c>
      <c r="J146" s="81">
        <f>sumifs(Dados!$N:$N,Dados!$B:$B,$B$146,Dados!$J:$J,$D$1,Dados!$I:$I,J4)</f>
        <v>0</v>
      </c>
      <c r="K146" s="81">
        <f>sumifs(Dados!$N:$N,Dados!$B:$B,$B$146,Dados!$J:$J,$D$1,Dados!$I:$I,K4)</f>
        <v>0</v>
      </c>
      <c r="L146" s="81">
        <f>sumifs(Dados!$N:$N,Dados!$B:$B,$B$146,Dados!$J:$J,$D$1,Dados!$I:$I,L4)</f>
        <v>0</v>
      </c>
      <c r="M146" s="81">
        <f>sumifs(Dados!$N:$N,Dados!$B:$B,$B$146,Dados!$J:$J,$D$1,Dados!$I:$I,M4)</f>
        <v>0</v>
      </c>
      <c r="N146" s="81">
        <f>sumifs(Dados!$N:$N,Dados!$B:$B,$B$146,Dados!$J:$J,$D$1,Dados!$I:$I,N4)</f>
        <v>0</v>
      </c>
      <c r="O146" s="81">
        <f>sumifs(Dados!$N:$N,Dados!$B:$B,$B$146,Dados!$J:$J,$D$1,Dados!$I:$I,O4)</f>
        <v>0</v>
      </c>
      <c r="P146" s="81">
        <f>sumifs(Dados!$N:$N,Dados!$B:$B,$B$146,Dados!$J:$J,$D$1,Dados!$I:$I,P4)</f>
        <v>0</v>
      </c>
      <c r="Q146" s="81"/>
    </row>
    <row r="147" ht="15.75" customHeight="1">
      <c r="A147" s="77"/>
      <c r="B147" s="78" t="s">
        <v>231</v>
      </c>
      <c r="C147" s="79"/>
      <c r="D147" s="80">
        <f t="shared" si="34"/>
        <v>0</v>
      </c>
      <c r="E147" s="81">
        <f>sumifs(Dados!$N:$N,Dados!$B:$B,B147,Dados!$J:$J,$D$1,Dados!$I:$I,$E$4)</f>
        <v>0</v>
      </c>
      <c r="F147" s="81">
        <f>sumifs(Dados!$N:$N,Dados!$B:$B,B147,Dados!$J:$J,$D$1,Dados!$I:$I,$F$4)</f>
        <v>0</v>
      </c>
      <c r="G147" s="81">
        <f>sumifs(Dados!$N:$N,Dados!$B:$B,B147,Dados!$J:$J,$D$1,Dados!$I:$I,$G$4)</f>
        <v>0</v>
      </c>
      <c r="H147" s="81">
        <f>sumifs(Dados!$N:$N,Dados!$B:$B,B147,Dados!$J:$J,$D$1,Dados!$I:$I,$H$4)</f>
        <v>0</v>
      </c>
      <c r="I147" s="81">
        <f>sumifs(Dados!$N:$N,Dados!$B:$B,B147,Dados!$J:$J,$D$1,Dados!$I:$I,$I$4)</f>
        <v>0</v>
      </c>
      <c r="J147" s="81">
        <f>sumifs(Dados!$N:$N,Dados!$B:$B,B147,Dados!$J:$J,$D$1,Dados!$I:$I,$J$4)</f>
        <v>0</v>
      </c>
      <c r="K147" s="81">
        <f>sumifs(Dados!$N:$N,Dados!$B:$B,B147,Dados!$J:$J,$D$1,Dados!$I:$I,$K$4)</f>
        <v>0</v>
      </c>
      <c r="L147" s="81">
        <f>sumifs(Dados!$N:$N,Dados!$B:$B,B147,Dados!$J:$J,$D$1,Dados!$I:$I,$L$4)</f>
        <v>0</v>
      </c>
      <c r="M147" s="81">
        <f>sumifs(Dados!$N:$N,Dados!$B:$B,B147,Dados!$J:$J,$D$1,Dados!$I:$I,$M$4)</f>
        <v>0</v>
      </c>
      <c r="N147" s="81">
        <f>sumifs(Dados!$N:$N,Dados!$B:$B,B147,Dados!$J:$J,$D$1,Dados!$I:$I,$N$4)</f>
        <v>0</v>
      </c>
      <c r="O147" s="81">
        <f>sumifs(Dados!$N:$N,Dados!$B:$B,B147,Dados!$J:$J,$D$1,Dados!$I:$I,$O$4)</f>
        <v>0</v>
      </c>
      <c r="P147" s="81">
        <f>sumifs(Dados!$N:$N,Dados!$B:$B,B147,Dados!$J:$J,$D$1,Dados!$I:$I,$P$4)</f>
        <v>0</v>
      </c>
      <c r="Q147" s="81"/>
    </row>
    <row r="148" ht="15.75" customHeight="1">
      <c r="A148" s="77"/>
      <c r="B148" s="78" t="s">
        <v>232</v>
      </c>
      <c r="C148" s="79"/>
      <c r="D148" s="80">
        <f t="shared" si="34"/>
        <v>0</v>
      </c>
      <c r="E148" s="81">
        <f>sumifs(Dados!$N:$N,Dados!$B:$B,$B$148,Dados!$J:$J,$D$1,Dados!$I:$I,E4)</f>
        <v>0</v>
      </c>
      <c r="F148" s="81">
        <f>sumifs(Dados!$N:$N,Dados!$B:$B,$B$148,Dados!$J:$J,$D$1,Dados!$I:$I,F4)</f>
        <v>0</v>
      </c>
      <c r="G148" s="81">
        <f>sumifs(Dados!$N:$N,Dados!$B:$B,$B$148,Dados!$J:$J,$D$1,Dados!$I:$I,G4)</f>
        <v>0</v>
      </c>
      <c r="H148" s="81">
        <f>sumifs(Dados!$N:$N,Dados!$B:$B,$B$148,Dados!$J:$J,$D$1,Dados!$I:$I,H4)</f>
        <v>0</v>
      </c>
      <c r="I148" s="81">
        <f>sumifs(Dados!$N:$N,Dados!$B:$B,$B$148,Dados!$J:$J,$D$1,Dados!$I:$I,I4)</f>
        <v>0</v>
      </c>
      <c r="J148" s="81">
        <f>sumifs(Dados!$N:$N,Dados!$B:$B,$B$148,Dados!$J:$J,$D$1,Dados!$I:$I,J4)</f>
        <v>0</v>
      </c>
      <c r="K148" s="81">
        <f>sumifs(Dados!$N:$N,Dados!$B:$B,$B$148,Dados!$J:$J,$D$1,Dados!$I:$I,K4)</f>
        <v>0</v>
      </c>
      <c r="L148" s="81">
        <f>sumifs(Dados!$N:$N,Dados!$B:$B,$B$148,Dados!$J:$J,$D$1,Dados!$I:$I,L4)</f>
        <v>0</v>
      </c>
      <c r="M148" s="81">
        <f>sumifs(Dados!$N:$N,Dados!$B:$B,$B$148,Dados!$J:$J,$D$1,Dados!$I:$I,M4)</f>
        <v>0</v>
      </c>
      <c r="N148" s="81">
        <f>sumifs(Dados!$N:$N,Dados!$B:$B,$B$148,Dados!$J:$J,$D$1,Dados!$I:$I,N4)</f>
        <v>0</v>
      </c>
      <c r="O148" s="81">
        <f>sumifs(Dados!$N:$N,Dados!$B:$B,$B$148,Dados!$J:$J,$D$1,Dados!$I:$I,O4)</f>
        <v>0</v>
      </c>
      <c r="P148" s="81">
        <f>sumifs(Dados!$N:$N,Dados!$B:$B,$B$148,Dados!$J:$J,$D$1,Dados!$I:$I,P4)</f>
        <v>0</v>
      </c>
      <c r="Q148" s="81"/>
    </row>
    <row r="149" ht="15.75" customHeight="1">
      <c r="A149" s="77"/>
      <c r="B149" s="77" t="s">
        <v>233</v>
      </c>
      <c r="C149" s="79"/>
      <c r="D149" s="80">
        <f t="shared" si="34"/>
        <v>0</v>
      </c>
      <c r="E149" s="81">
        <f>sumifs(Dados!$N:$N,Dados!$B:$B,B149,Dados!$J:$J,$D$1,Dados!$I:$I,$E$4)</f>
        <v>0</v>
      </c>
      <c r="F149" s="81">
        <f>sumifs(Dados!$N:$N,Dados!$B:$B,B149,Dados!$J:$J,$D$1,Dados!$I:$I,$F$4)</f>
        <v>0</v>
      </c>
      <c r="G149" s="81">
        <f>sumifs(Dados!$N:$N,Dados!$B:$B,B149,Dados!$J:$J,$D$1,Dados!$I:$I,$G$4)</f>
        <v>0</v>
      </c>
      <c r="H149" s="81">
        <f>sumifs(Dados!$N:$N,Dados!$B:$B,B149,Dados!$J:$J,$D$1,Dados!$I:$I,$H$4)</f>
        <v>0</v>
      </c>
      <c r="I149" s="81">
        <f>sumifs(Dados!$N:$N,Dados!$B:$B,B149,Dados!$J:$J,$D$1,Dados!$I:$I,$I$4)</f>
        <v>0</v>
      </c>
      <c r="J149" s="81">
        <f>sumifs(Dados!$N:$N,Dados!$B:$B,B149,Dados!$J:$J,$D$1,Dados!$I:$I,$J$4)</f>
        <v>0</v>
      </c>
      <c r="K149" s="81">
        <f>sumifs(Dados!$N:$N,Dados!$B:$B,B149,Dados!$J:$J,$D$1,Dados!$I:$I,$K$4)</f>
        <v>0</v>
      </c>
      <c r="L149" s="81">
        <f>sumifs(Dados!$N:$N,Dados!$B:$B,B149,Dados!$J:$J,$D$1,Dados!$I:$I,$L$4)</f>
        <v>0</v>
      </c>
      <c r="M149" s="81">
        <f>sumifs(Dados!$N:$N,Dados!$B:$B,B149,Dados!$J:$J,$D$1,Dados!$I:$I,$M$4)</f>
        <v>0</v>
      </c>
      <c r="N149" s="81">
        <f>sumifs(Dados!$N:$N,Dados!$B:$B,B149,Dados!$J:$J,$D$1,Dados!$I:$I,$N$4)</f>
        <v>0</v>
      </c>
      <c r="O149" s="81">
        <f>sumifs(Dados!$N:$N,Dados!$B:$B,B149,Dados!$J:$J,$D$1,Dados!$I:$I,$O$4)</f>
        <v>0</v>
      </c>
      <c r="P149" s="81">
        <f>sumifs(Dados!$N:$N,Dados!$B:$B,B149,Dados!$J:$J,$D$1,Dados!$I:$I,$P$4)</f>
        <v>0</v>
      </c>
      <c r="Q149" s="81"/>
    </row>
    <row r="150" ht="15.75" customHeight="1">
      <c r="A150" s="87"/>
      <c r="B150" s="87" t="s">
        <v>234</v>
      </c>
      <c r="C150" s="79"/>
      <c r="D150" s="80">
        <f t="shared" si="34"/>
        <v>0</v>
      </c>
      <c r="E150" s="81">
        <f>sumifs(Dados!$N:$N,Dados!$B:$B,B150,Dados!$J:$J,$D$1,Dados!$I:$I,$E$4)</f>
        <v>0</v>
      </c>
      <c r="F150" s="81">
        <f>sumifs(Dados!$N:$N,Dados!$B:$B,B150,Dados!$J:$J,$D$1,Dados!$I:$I,$F$4)</f>
        <v>0</v>
      </c>
      <c r="G150" s="81">
        <f>sumifs(Dados!$N:$N,Dados!$B:$B,B150,Dados!$J:$J,$D$1,Dados!$I:$I,$G$4)</f>
        <v>0</v>
      </c>
      <c r="H150" s="81">
        <f>sumifs(Dados!$N:$N,Dados!$B:$B,B150,Dados!$J:$J,$D$1,Dados!$I:$I,$H$4)</f>
        <v>0</v>
      </c>
      <c r="I150" s="81">
        <f>sumifs(Dados!$N:$N,Dados!$B:$B,B150,Dados!$J:$J,$D$1,Dados!$I:$I,$I$4)</f>
        <v>0</v>
      </c>
      <c r="J150" s="81">
        <f>sumifs(Dados!$N:$N,Dados!$B:$B,B150,Dados!$J:$J,$D$1,Dados!$I:$I,$J$4)</f>
        <v>0</v>
      </c>
      <c r="K150" s="81">
        <f>sumifs(Dados!$N:$N,Dados!$B:$B,B150,Dados!$J:$J,$D$1,Dados!$I:$I,$K$4)</f>
        <v>0</v>
      </c>
      <c r="L150" s="81">
        <f>sumifs(Dados!$N:$N,Dados!$B:$B,B150,Dados!$J:$J,$D$1,Dados!$I:$I,$L$4)</f>
        <v>0</v>
      </c>
      <c r="M150" s="81">
        <f>sumifs(Dados!$N:$N,Dados!$B:$B,B150,Dados!$J:$J,$D$1,Dados!$I:$I,$M$4)</f>
        <v>0</v>
      </c>
      <c r="N150" s="81">
        <f>sumifs(Dados!$N:$N,Dados!$B:$B,B150,Dados!$J:$J,$D$1,Dados!$I:$I,$N$4)</f>
        <v>0</v>
      </c>
      <c r="O150" s="81">
        <f>sumifs(Dados!$N:$N,Dados!$B:$B,B150,Dados!$J:$J,$D$1,Dados!$I:$I,$O$4)</f>
        <v>0</v>
      </c>
      <c r="P150" s="81">
        <f>sumifs(Dados!$N:$N,Dados!$B:$B,B150,Dados!$J:$J,$D$1,Dados!$I:$I,$P$4)</f>
        <v>0</v>
      </c>
      <c r="Q150" s="81"/>
    </row>
    <row r="151" ht="15.75" customHeight="1">
      <c r="A151" s="77"/>
      <c r="B151" s="77" t="s">
        <v>235</v>
      </c>
      <c r="C151" s="79"/>
      <c r="D151" s="80">
        <f t="shared" si="34"/>
        <v>0</v>
      </c>
      <c r="E151" s="81">
        <f>sumifs(Dados!$N:$N,Dados!$B:$B,B151,Dados!$J:$J,$D$1,Dados!$I:$I,$E$4)</f>
        <v>0</v>
      </c>
      <c r="F151" s="81">
        <f>sumifs(Dados!$N:$N,Dados!$B:$B,B151,Dados!$J:$J,$D$1,Dados!$I:$I,$F$4)</f>
        <v>0</v>
      </c>
      <c r="G151" s="81">
        <f>sumifs(Dados!$N:$N,Dados!$B:$B,B151,Dados!$J:$J,$D$1,Dados!$I:$I,$G$4)</f>
        <v>0</v>
      </c>
      <c r="H151" s="81">
        <f>sumifs(Dados!$N:$N,Dados!$B:$B,B151,Dados!$J:$J,$D$1,Dados!$I:$I,$H$4)</f>
        <v>0</v>
      </c>
      <c r="I151" s="81">
        <f>sumifs(Dados!$N:$N,Dados!$B:$B,B151,Dados!$J:$J,$D$1,Dados!$I:$I,$I$4)</f>
        <v>0</v>
      </c>
      <c r="J151" s="81">
        <f>sumifs(Dados!$N:$N,Dados!$B:$B,B151,Dados!$J:$J,$D$1,Dados!$I:$I,$J$4)</f>
        <v>0</v>
      </c>
      <c r="K151" s="81">
        <f>sumifs(Dados!$N:$N,Dados!$B:$B,B151,Dados!$J:$J,$D$1,Dados!$I:$I,$K$4)</f>
        <v>0</v>
      </c>
      <c r="L151" s="81">
        <f>sumifs(Dados!$N:$N,Dados!$B:$B,B151,Dados!$J:$J,$D$1,Dados!$I:$I,$L$4)</f>
        <v>0</v>
      </c>
      <c r="M151" s="81">
        <f>sumifs(Dados!$N:$N,Dados!$B:$B,B151,Dados!$J:$J,$D$1,Dados!$I:$I,$M$4)</f>
        <v>0</v>
      </c>
      <c r="N151" s="81">
        <f>sumifs(Dados!$N:$N,Dados!$B:$B,B151,Dados!$J:$J,$D$1,Dados!$I:$I,$N$4)</f>
        <v>0</v>
      </c>
      <c r="O151" s="81">
        <f>sumifs(Dados!$N:$N,Dados!$B:$B,B151,Dados!$J:$J,$D$1,Dados!$I:$I,$O$4)</f>
        <v>0</v>
      </c>
      <c r="P151" s="81">
        <f>sumifs(Dados!$N:$N,Dados!$B:$B,B151,Dados!$J:$J,$D$1,Dados!$I:$I,$P$4)</f>
        <v>0</v>
      </c>
      <c r="Q151" s="81"/>
    </row>
    <row r="152" ht="15.75" customHeight="1">
      <c r="A152" s="77"/>
      <c r="B152" s="77" t="s">
        <v>236</v>
      </c>
      <c r="C152" s="79"/>
      <c r="D152" s="80">
        <f t="shared" si="34"/>
        <v>0</v>
      </c>
      <c r="E152" s="81">
        <f>sumifs(Dados!$N:$N,Dados!$B:$B,B152,Dados!$J:$J,$D$1,Dados!$I:$I,$E$4)</f>
        <v>0</v>
      </c>
      <c r="F152" s="81">
        <f>sumifs(Dados!$N:$N,Dados!$B:$B,B152,Dados!$J:$J,$D$1,Dados!$I:$I,$F$4)</f>
        <v>0</v>
      </c>
      <c r="G152" s="81">
        <f>sumifs(Dados!$N:$N,Dados!$B:$B,B152,Dados!$J:$J,$D$1,Dados!$I:$I,$G$4)</f>
        <v>0</v>
      </c>
      <c r="H152" s="81">
        <f>sumifs(Dados!$N:$N,Dados!$B:$B,B152,Dados!$J:$J,$D$1,Dados!$I:$I,$H$4)</f>
        <v>0</v>
      </c>
      <c r="I152" s="81">
        <f>sumifs(Dados!$N:$N,Dados!$B:$B,B152,Dados!$J:$J,$D$1,Dados!$I:$I,$I$4)</f>
        <v>0</v>
      </c>
      <c r="J152" s="81">
        <f>sumifs(Dados!$N:$N,Dados!$B:$B,B152,Dados!$J:$J,$D$1,Dados!$I:$I,$J$4)</f>
        <v>0</v>
      </c>
      <c r="K152" s="81">
        <f>sumifs(Dados!$N:$N,Dados!$B:$B,B152,Dados!$J:$J,$D$1,Dados!$I:$I,$K$4)</f>
        <v>0</v>
      </c>
      <c r="L152" s="81">
        <f>sumifs(Dados!$N:$N,Dados!$B:$B,B152,Dados!$J:$J,$D$1,Dados!$I:$I,$L$4)</f>
        <v>0</v>
      </c>
      <c r="M152" s="81">
        <f>sumifs(Dados!$N:$N,Dados!$B:$B,B152,Dados!$J:$J,$D$1,Dados!$I:$I,$M$4)</f>
        <v>0</v>
      </c>
      <c r="N152" s="81">
        <f>sumifs(Dados!$N:$N,Dados!$B:$B,B152,Dados!$J:$J,$D$1,Dados!$I:$I,$N$4)</f>
        <v>0</v>
      </c>
      <c r="O152" s="81">
        <f>sumifs(Dados!$N:$N,Dados!$B:$B,B152,Dados!$J:$J,$D$1,Dados!$I:$I,$O$4)</f>
        <v>0</v>
      </c>
      <c r="P152" s="81">
        <f>sumifs(Dados!$N:$N,Dados!$B:$B,B152,Dados!$J:$J,$D$1,Dados!$I:$I,$P$4)</f>
        <v>0</v>
      </c>
      <c r="Q152" s="81"/>
    </row>
    <row r="153" ht="15.75" customHeight="1">
      <c r="A153" s="87"/>
      <c r="B153" s="83" t="s">
        <v>237</v>
      </c>
      <c r="C153" s="79"/>
      <c r="D153" s="80">
        <f t="shared" si="34"/>
        <v>0</v>
      </c>
      <c r="E153" s="81">
        <f>sumifs(Dados!$N:$N,Dados!$B:$B,B153,Dados!$J:$J,$D$1,Dados!$I:$I,$E$4)</f>
        <v>0</v>
      </c>
      <c r="F153" s="81">
        <f>sumifs(Dados!$N:$N,Dados!$B:$B,B153,Dados!$J:$J,$D$1,Dados!$I:$I,$F$4)</f>
        <v>0</v>
      </c>
      <c r="G153" s="81">
        <f>sumifs(Dados!$N:$N,Dados!$B:$B,B153,Dados!$J:$J,$D$1,Dados!$I:$I,$G$4)</f>
        <v>0</v>
      </c>
      <c r="H153" s="81">
        <f>sumifs(Dados!$N:$N,Dados!$B:$B,B153,Dados!$J:$J,$D$1,Dados!$I:$I,$H$4)</f>
        <v>0</v>
      </c>
      <c r="I153" s="81">
        <f>sumifs(Dados!$N:$N,Dados!$B:$B,B153,Dados!$J:$J,$D$1,Dados!$I:$I,$I$4)</f>
        <v>0</v>
      </c>
      <c r="J153" s="81">
        <f>sumifs(Dados!$N:$N,Dados!$B:$B,B153,Dados!$J:$J,$D$1,Dados!$I:$I,$J$4)</f>
        <v>0</v>
      </c>
      <c r="K153" s="81">
        <f>sumifs(Dados!$N:$N,Dados!$B:$B,B153,Dados!$J:$J,$D$1,Dados!$I:$I,$K$4)</f>
        <v>0</v>
      </c>
      <c r="L153" s="81">
        <f>sumifs(Dados!$N:$N,Dados!$B:$B,B153,Dados!$J:$J,$D$1,Dados!$I:$I,$L$4)</f>
        <v>0</v>
      </c>
      <c r="M153" s="81">
        <f>sumifs(Dados!$N:$N,Dados!$B:$B,B153,Dados!$J:$J,$D$1,Dados!$I:$I,$M$4)</f>
        <v>0</v>
      </c>
      <c r="N153" s="81">
        <f>sumifs(Dados!$N:$N,Dados!$B:$B,B153,Dados!$J:$J,$D$1,Dados!$I:$I,$N$4)</f>
        <v>0</v>
      </c>
      <c r="O153" s="81">
        <f>sumifs(Dados!$N:$N,Dados!$B:$B,B153,Dados!$J:$J,$D$1,Dados!$I:$I,$O$4)</f>
        <v>0</v>
      </c>
      <c r="P153" s="81">
        <f>sumifs(Dados!$N:$N,Dados!$B:$B,B153,Dados!$J:$J,$D$1,Dados!$I:$I,$P$4)</f>
        <v>0</v>
      </c>
      <c r="Q153" s="81"/>
    </row>
    <row r="154" ht="15.75" customHeight="1">
      <c r="B154" s="32" t="s">
        <v>238</v>
      </c>
      <c r="C154" s="79"/>
      <c r="D154" s="80">
        <f t="shared" si="34"/>
        <v>0</v>
      </c>
      <c r="E154" s="81">
        <f>sumifs(Dados!$N:$N,Dados!$B:$B,$B$154,Dados!$J:$J,$D$1,Dados!$I:$I,E4)</f>
        <v>0</v>
      </c>
      <c r="F154" s="81">
        <f>sumifs(Dados!$N:$N,Dados!$B:$B,$B$154,Dados!$J:$J,$D$1,Dados!$I:$I,F4)</f>
        <v>0</v>
      </c>
      <c r="G154" s="81">
        <f>sumifs(Dados!$N:$N,Dados!$B:$B,$B$154,Dados!$J:$J,$D$1,Dados!$I:$I,G4)</f>
        <v>0</v>
      </c>
      <c r="H154" s="81">
        <f>sumifs(Dados!$N:$N,Dados!$B:$B,$B$154,Dados!$J:$J,$D$1,Dados!$I:$I,H4)</f>
        <v>0</v>
      </c>
      <c r="I154" s="81">
        <f>sumifs(Dados!$N:$N,Dados!$B:$B,$B$154,Dados!$J:$J,$D$1,Dados!$I:$I,I4)</f>
        <v>0</v>
      </c>
      <c r="J154" s="81">
        <f>sumifs(Dados!$N:$N,Dados!$B:$B,$B$154,Dados!$J:$J,$D$1,Dados!$I:$I,J4)</f>
        <v>0</v>
      </c>
      <c r="K154" s="81">
        <f>sumifs(Dados!$N:$N,Dados!$B:$B,$B$154,Dados!$J:$J,$D$1,Dados!$I:$I,K4)</f>
        <v>0</v>
      </c>
      <c r="L154" s="81">
        <f>sumifs(Dados!$N:$N,Dados!$B:$B,$B$154,Dados!$J:$J,$D$1,Dados!$I:$I,L4)</f>
        <v>0</v>
      </c>
      <c r="M154" s="81">
        <f>sumifs(Dados!$N:$N,Dados!$B:$B,$B$154,Dados!$J:$J,$D$1,Dados!$I:$I,M4)</f>
        <v>0</v>
      </c>
      <c r="N154" s="81">
        <f>sumifs(Dados!$N:$N,Dados!$B:$B,$B$154,Dados!$J:$J,$D$1,Dados!$I:$I,N4)</f>
        <v>0</v>
      </c>
      <c r="O154" s="81">
        <f>sumifs(Dados!$N:$N,Dados!$B:$B,$B$154,Dados!$J:$J,$D$1,Dados!$I:$I,O4)</f>
        <v>0</v>
      </c>
      <c r="P154" s="81">
        <f>sumifs(Dados!$N:$N,Dados!$B:$B,$B$154,Dados!$J:$J,$D$1,Dados!$I:$I,P4)</f>
        <v>0</v>
      </c>
      <c r="Q154" s="81"/>
    </row>
    <row r="155" ht="15.75" customHeight="1">
      <c r="A155" s="77"/>
      <c r="B155" s="77" t="s">
        <v>239</v>
      </c>
      <c r="C155" s="79"/>
      <c r="D155" s="80">
        <f t="shared" si="34"/>
        <v>0</v>
      </c>
      <c r="E155" s="81">
        <f>sumifs(Dados!$N:$N,Dados!$B:$B,B155,Dados!$J:$J,$D$1,Dados!$I:$I,$E$4)</f>
        <v>0</v>
      </c>
      <c r="F155" s="81">
        <f>sumifs(Dados!$N:$N,Dados!$B:$B,B155,Dados!$J:$J,$D$1,Dados!$I:$I,$F$4)</f>
        <v>0</v>
      </c>
      <c r="G155" s="81">
        <f>sumifs(Dados!$N:$N,Dados!$B:$B,B155,Dados!$J:$J,$D$1,Dados!$I:$I,$G$4)</f>
        <v>0</v>
      </c>
      <c r="H155" s="81">
        <f>sumifs(Dados!$N:$N,Dados!$B:$B,B155,Dados!$J:$J,$D$1,Dados!$I:$I,$H$4)</f>
        <v>0</v>
      </c>
      <c r="I155" s="81">
        <f>sumifs(Dados!$N:$N,Dados!$B:$B,B155,Dados!$J:$J,$D$1,Dados!$I:$I,$I$4)</f>
        <v>0</v>
      </c>
      <c r="J155" s="81">
        <f>sumifs(Dados!$N:$N,Dados!$B:$B,B155,Dados!$J:$J,$D$1,Dados!$I:$I,$J$4)</f>
        <v>0</v>
      </c>
      <c r="K155" s="81">
        <f>sumifs(Dados!$N:$N,Dados!$B:$B,B155,Dados!$J:$J,$D$1,Dados!$I:$I,$K$4)</f>
        <v>0</v>
      </c>
      <c r="L155" s="81">
        <f>sumifs(Dados!$N:$N,Dados!$B:$B,B155,Dados!$J:$J,$D$1,Dados!$I:$I,$L$4)</f>
        <v>0</v>
      </c>
      <c r="M155" s="81">
        <f>sumifs(Dados!$N:$N,Dados!$B:$B,B155,Dados!$J:$J,$D$1,Dados!$I:$I,$M$4)</f>
        <v>0</v>
      </c>
      <c r="N155" s="81">
        <f>sumifs(Dados!$N:$N,Dados!$B:$B,B155,Dados!$J:$J,$D$1,Dados!$I:$I,$N$4)</f>
        <v>0</v>
      </c>
      <c r="O155" s="81">
        <f>sumifs(Dados!$N:$N,Dados!$B:$B,B155,Dados!$J:$J,$D$1,Dados!$I:$I,$O$4)</f>
        <v>0</v>
      </c>
      <c r="P155" s="81">
        <f>sumifs(Dados!$N:$N,Dados!$B:$B,B155,Dados!$J:$J,$D$1,Dados!$I:$I,$P$4)</f>
        <v>0</v>
      </c>
      <c r="Q155" s="81"/>
    </row>
    <row r="156" ht="15.75" customHeight="1">
      <c r="A156" s="77"/>
      <c r="B156" s="78" t="s">
        <v>240</v>
      </c>
      <c r="C156" s="79"/>
      <c r="D156" s="80">
        <f t="shared" si="34"/>
        <v>0</v>
      </c>
      <c r="E156" s="81">
        <f>sumifs(Dados!$N:$N,Dados!$B:$B,B156,Dados!$J:$J,$D$1,Dados!$I:$I,$E$4)</f>
        <v>0</v>
      </c>
      <c r="F156" s="81">
        <f>sumifs(Dados!$N:$N,Dados!$B:$B,B156,Dados!$J:$J,$D$1,Dados!$I:$I,$F$4)</f>
        <v>0</v>
      </c>
      <c r="G156" s="81">
        <f>sumifs(Dados!$N:$N,Dados!$B:$B,B156,Dados!$J:$J,$D$1,Dados!$I:$I,$G$4)</f>
        <v>0</v>
      </c>
      <c r="H156" s="81">
        <f>sumifs(Dados!$N:$N,Dados!$B:$B,B156,Dados!$J:$J,$D$1,Dados!$I:$I,$H$4)</f>
        <v>0</v>
      </c>
      <c r="I156" s="81">
        <f>sumifs(Dados!$N:$N,Dados!$B:$B,B156,Dados!$J:$J,$D$1,Dados!$I:$I,$I$4)</f>
        <v>0</v>
      </c>
      <c r="J156" s="81">
        <f>sumifs(Dados!$N:$N,Dados!$B:$B,B156,Dados!$J:$J,$D$1,Dados!$I:$I,$J$4)</f>
        <v>0</v>
      </c>
      <c r="K156" s="81">
        <f>sumifs(Dados!$N:$N,Dados!$B:$B,B156,Dados!$J:$J,$D$1,Dados!$I:$I,$K$4)</f>
        <v>0</v>
      </c>
      <c r="L156" s="81">
        <f>sumifs(Dados!$N:$N,Dados!$B:$B,B156,Dados!$J:$J,$D$1,Dados!$I:$I,$L$4)</f>
        <v>0</v>
      </c>
      <c r="M156" s="81">
        <f>sumifs(Dados!$N:$N,Dados!$B:$B,B156,Dados!$J:$J,$D$1,Dados!$I:$I,$M$4)</f>
        <v>0</v>
      </c>
      <c r="N156" s="81">
        <f>sumifs(Dados!$N:$N,Dados!$B:$B,B156,Dados!$J:$J,$D$1,Dados!$I:$I,$N$4)</f>
        <v>0</v>
      </c>
      <c r="O156" s="81">
        <f>sumifs(Dados!$N:$N,Dados!$B:$B,B156,Dados!$J:$J,$D$1,Dados!$I:$I,$O$4)</f>
        <v>0</v>
      </c>
      <c r="P156" s="81">
        <f>sumifs(Dados!$N:$N,Dados!$B:$B,B156,Dados!$J:$J,$D$1,Dados!$I:$I,$P$4)</f>
        <v>0</v>
      </c>
      <c r="Q156" s="81"/>
    </row>
    <row r="157" ht="15.75" customHeight="1">
      <c r="A157" s="99" t="s">
        <v>241</v>
      </c>
      <c r="B157" s="100">
        <f>sumifs(Dados!$N:$N,Dados!$A:$A,A157,Dados!$H:$H,$D$1)</f>
        <v>0</v>
      </c>
      <c r="C157" s="101"/>
      <c r="D157" s="100">
        <f t="shared" ref="D157:P157" si="35">SUM(D145:D156)</f>
        <v>0</v>
      </c>
      <c r="E157" s="100">
        <f t="shared" si="35"/>
        <v>0</v>
      </c>
      <c r="F157" s="100">
        <f t="shared" si="35"/>
        <v>0</v>
      </c>
      <c r="G157" s="100">
        <f t="shared" si="35"/>
        <v>0</v>
      </c>
      <c r="H157" s="100">
        <f t="shared" si="35"/>
        <v>0</v>
      </c>
      <c r="I157" s="100">
        <f t="shared" si="35"/>
        <v>0</v>
      </c>
      <c r="J157" s="100">
        <f t="shared" si="35"/>
        <v>0</v>
      </c>
      <c r="K157" s="100">
        <f t="shared" si="35"/>
        <v>0</v>
      </c>
      <c r="L157" s="100">
        <f t="shared" si="35"/>
        <v>0</v>
      </c>
      <c r="M157" s="100">
        <f t="shared" si="35"/>
        <v>0</v>
      </c>
      <c r="N157" s="100">
        <f t="shared" si="35"/>
        <v>0</v>
      </c>
      <c r="O157" s="100">
        <f t="shared" si="35"/>
        <v>0</v>
      </c>
      <c r="P157" s="100">
        <f t="shared" si="35"/>
        <v>0</v>
      </c>
      <c r="Q157" s="100"/>
    </row>
    <row r="158" ht="15.75" customHeight="1">
      <c r="A158" s="77"/>
      <c r="B158" s="77" t="s">
        <v>242</v>
      </c>
      <c r="C158" s="79"/>
      <c r="D158" s="80">
        <f t="shared" ref="D158:D161" si="36">SUM(E158:P158)</f>
        <v>0</v>
      </c>
      <c r="E158" s="81">
        <f>sumifs(Dados!$N:$N,Dados!$B:$B,B158,Dados!$J:$J,$D$1,Dados!$I:$I,$E$4)</f>
        <v>0</v>
      </c>
      <c r="F158" s="81">
        <f>sumifs(Dados!$N:$N,Dados!$B:$B,B158,Dados!$J:$J,$D$1,Dados!$I:$I,$F$4)</f>
        <v>0</v>
      </c>
      <c r="G158" s="81">
        <f>sumifs(Dados!$N:$N,Dados!$B:$B,B158,Dados!$J:$J,$D$1,Dados!$I:$I,$G$4)</f>
        <v>0</v>
      </c>
      <c r="H158" s="81">
        <f>sumifs(Dados!$N:$N,Dados!$B:$B,B158,Dados!$J:$J,$D$1,Dados!$I:$I,$H$4)</f>
        <v>0</v>
      </c>
      <c r="I158" s="81">
        <f>sumifs(Dados!$N:$N,Dados!$B:$B,B158,Dados!$J:$J,$D$1,Dados!$I:$I,$I$4)</f>
        <v>0</v>
      </c>
      <c r="J158" s="81">
        <f>sumifs(Dados!$N:$N,Dados!$B:$B,B158,Dados!$J:$J,$D$1,Dados!$I:$I,$J$4)</f>
        <v>0</v>
      </c>
      <c r="K158" s="81">
        <f>sumifs(Dados!$N:$N,Dados!$B:$B,B158,Dados!$J:$J,$D$1,Dados!$I:$I,$K$4)</f>
        <v>0</v>
      </c>
      <c r="L158" s="81">
        <f>sumifs(Dados!$N:$N,Dados!$B:$B,B158,Dados!$J:$J,$D$1,Dados!$I:$I,$L$4)</f>
        <v>0</v>
      </c>
      <c r="M158" s="81">
        <f>sumifs(Dados!$N:$N,Dados!$B:$B,B158,Dados!$J:$J,$D$1,Dados!$I:$I,$M$4)</f>
        <v>0</v>
      </c>
      <c r="N158" s="81">
        <f>sumifs(Dados!$N:$N,Dados!$B:$B,B158,Dados!$J:$J,$D$1,Dados!$I:$I,$N$4)</f>
        <v>0</v>
      </c>
      <c r="O158" s="81">
        <f>sumifs(Dados!$N:$N,Dados!$B:$B,B158,Dados!$J:$J,$D$1,Dados!$I:$I,$O$4)</f>
        <v>0</v>
      </c>
      <c r="P158" s="81">
        <f>sumifs(Dados!$N:$N,Dados!$B:$B,B158,Dados!$J:$J,$D$1,Dados!$I:$I,$P$4)</f>
        <v>0</v>
      </c>
      <c r="Q158" s="81"/>
    </row>
    <row r="159" ht="15.75" customHeight="1">
      <c r="A159" s="77"/>
      <c r="B159" s="77" t="s">
        <v>243</v>
      </c>
      <c r="C159" s="79"/>
      <c r="D159" s="80">
        <f t="shared" si="36"/>
        <v>0</v>
      </c>
      <c r="E159" s="81">
        <f>sumifs(Dados!$N:$N,Dados!$B:$B,B159,Dados!$J:$J,$D$1,Dados!$I:$I,$E$4)</f>
        <v>0</v>
      </c>
      <c r="F159" s="81">
        <f>sumifs(Dados!$N:$N,Dados!$B:$B,B159,Dados!$J:$J,$D$1,Dados!$I:$I,$F$4)</f>
        <v>0</v>
      </c>
      <c r="G159" s="81">
        <f>sumifs(Dados!$N:$N,Dados!$B:$B,B159,Dados!$J:$J,$D$1,Dados!$I:$I,$G$4)</f>
        <v>0</v>
      </c>
      <c r="H159" s="81">
        <f>sumifs(Dados!$N:$N,Dados!$B:$B,B159,Dados!$J:$J,$D$1,Dados!$I:$I,$H$4)</f>
        <v>0</v>
      </c>
      <c r="I159" s="81">
        <f>sumifs(Dados!$N:$N,Dados!$B:$B,B159,Dados!$J:$J,$D$1,Dados!$I:$I,$I$4)</f>
        <v>0</v>
      </c>
      <c r="J159" s="81">
        <f>sumifs(Dados!$N:$N,Dados!$B:$B,B159,Dados!$J:$J,$D$1,Dados!$I:$I,$J$4)</f>
        <v>0</v>
      </c>
      <c r="K159" s="81">
        <f>sumifs(Dados!$N:$N,Dados!$B:$B,B159,Dados!$J:$J,$D$1,Dados!$I:$I,$K$4)</f>
        <v>0</v>
      </c>
      <c r="L159" s="81">
        <f>sumifs(Dados!$N:$N,Dados!$B:$B,B159,Dados!$J:$J,$D$1,Dados!$I:$I,$L$4)</f>
        <v>0</v>
      </c>
      <c r="M159" s="81">
        <f>sumifs(Dados!$N:$N,Dados!$B:$B,B159,Dados!$J:$J,$D$1,Dados!$I:$I,$M$4)</f>
        <v>0</v>
      </c>
      <c r="N159" s="81">
        <f>sumifs(Dados!$N:$N,Dados!$B:$B,B159,Dados!$J:$J,$D$1,Dados!$I:$I,$N$4)</f>
        <v>0</v>
      </c>
      <c r="O159" s="81">
        <f>sumifs(Dados!$N:$N,Dados!$B:$B,B159,Dados!$J:$J,$D$1,Dados!$I:$I,$O$4)</f>
        <v>0</v>
      </c>
      <c r="P159" s="81">
        <f>sumifs(Dados!$N:$N,Dados!$B:$B,B159,Dados!$J:$J,$D$1,Dados!$I:$I,$P$4)</f>
        <v>0</v>
      </c>
      <c r="Q159" s="81"/>
    </row>
    <row r="160" ht="15.75" customHeight="1">
      <c r="A160" s="77"/>
      <c r="B160" s="78" t="s">
        <v>244</v>
      </c>
      <c r="C160" s="79"/>
      <c r="D160" s="80">
        <f t="shared" si="36"/>
        <v>0</v>
      </c>
      <c r="E160" s="81">
        <f>sumifs(Dados!$N:$N,Dados!$B:$B,$B$160,Dados!$J:$J,$D$1,Dados!$I:$I,E4)</f>
        <v>0</v>
      </c>
      <c r="F160" s="81">
        <f>sumifs(Dados!$N:$N,Dados!$B:$B,$B$160,Dados!$J:$J,$D$1,Dados!$I:$I,F4)</f>
        <v>0</v>
      </c>
      <c r="G160" s="81">
        <f>sumifs(Dados!$N:$N,Dados!$B:$B,$B$160,Dados!$J:$J,$D$1,Dados!$I:$I,G4)</f>
        <v>0</v>
      </c>
      <c r="H160" s="81">
        <f>sumifs(Dados!$N:$N,Dados!$B:$B,$B$160,Dados!$J:$J,$D$1,Dados!$I:$I,H4)</f>
        <v>0</v>
      </c>
      <c r="I160" s="81">
        <f>sumifs(Dados!$N:$N,Dados!$B:$B,$B$160,Dados!$J:$J,$D$1,Dados!$I:$I,I4)</f>
        <v>0</v>
      </c>
      <c r="J160" s="81">
        <f>sumifs(Dados!$N:$N,Dados!$B:$B,$B$160,Dados!$J:$J,$D$1,Dados!$I:$I,J4)</f>
        <v>0</v>
      </c>
      <c r="K160" s="81">
        <f>sumifs(Dados!$N:$N,Dados!$B:$B,$B$160,Dados!$J:$J,$D$1,Dados!$I:$I,K4)</f>
        <v>0</v>
      </c>
      <c r="L160" s="81">
        <f>sumifs(Dados!$N:$N,Dados!$B:$B,$B$160,Dados!$J:$J,$D$1,Dados!$I:$I,L4)</f>
        <v>0</v>
      </c>
      <c r="M160" s="81">
        <f>sumifs(Dados!$N:$N,Dados!$B:$B,$B$160,Dados!$J:$J,$D$1,Dados!$I:$I,M4)</f>
        <v>0</v>
      </c>
      <c r="N160" s="81">
        <f>sumifs(Dados!$N:$N,Dados!$B:$B,$B$160,Dados!$J:$J,$D$1,Dados!$I:$I,N4)</f>
        <v>0</v>
      </c>
      <c r="O160" s="81">
        <f>sumifs(Dados!$N:$N,Dados!$B:$B,$B$160,Dados!$J:$J,$D$1,Dados!$I:$I,O4)</f>
        <v>0</v>
      </c>
      <c r="P160" s="81">
        <f>sumifs(Dados!$N:$N,Dados!$B:$B,$B$160,Dados!$J:$J,$D$1,Dados!$I:$I,P4)</f>
        <v>0</v>
      </c>
      <c r="Q160" s="81"/>
    </row>
    <row r="161" ht="15.75" customHeight="1">
      <c r="A161" s="77"/>
      <c r="B161" s="77" t="s">
        <v>245</v>
      </c>
      <c r="C161" s="79"/>
      <c r="D161" s="80">
        <f t="shared" si="36"/>
        <v>0</v>
      </c>
      <c r="E161" s="81">
        <f>sumifs(Dados!$N:$N,Dados!$B:$B,B161,Dados!$J:$J,$D$1,Dados!$I:$I,$E$4)</f>
        <v>0</v>
      </c>
      <c r="F161" s="81">
        <f>sumifs(Dados!$N:$N,Dados!$B:$B,B161,Dados!$J:$J,$D$1,Dados!$I:$I,$F$4)</f>
        <v>0</v>
      </c>
      <c r="G161" s="81">
        <f>sumifs(Dados!$N:$N,Dados!$B:$B,B161,Dados!$J:$J,$D$1,Dados!$I:$I,$G$4)</f>
        <v>0</v>
      </c>
      <c r="H161" s="81">
        <f>sumifs(Dados!$N:$N,Dados!$B:$B,B161,Dados!$J:$J,$D$1,Dados!$I:$I,$H$4)</f>
        <v>0</v>
      </c>
      <c r="I161" s="81">
        <f>sumifs(Dados!$N:$N,Dados!$B:$B,B161,Dados!$J:$J,$D$1,Dados!$I:$I,$I$4)</f>
        <v>0</v>
      </c>
      <c r="J161" s="81">
        <f>sumifs(Dados!$N:$N,Dados!$B:$B,B161,Dados!$J:$J,$D$1,Dados!$I:$I,$J$4)</f>
        <v>0</v>
      </c>
      <c r="K161" s="81">
        <f>sumifs(Dados!$N:$N,Dados!$B:$B,B161,Dados!$J:$J,$D$1,Dados!$I:$I,$K$4)</f>
        <v>0</v>
      </c>
      <c r="L161" s="81">
        <f>sumifs(Dados!$N:$N,Dados!$B:$B,B161,Dados!$J:$J,$D$1,Dados!$I:$I,$L$4)</f>
        <v>0</v>
      </c>
      <c r="M161" s="81">
        <f>sumifs(Dados!$N:$N,Dados!$B:$B,B161,Dados!$J:$J,$D$1,Dados!$I:$I,$M$4)</f>
        <v>0</v>
      </c>
      <c r="N161" s="81">
        <f>sumifs(Dados!$N:$N,Dados!$B:$B,B161,Dados!$J:$J,$D$1,Dados!$I:$I,$N$4)</f>
        <v>0</v>
      </c>
      <c r="O161" s="81">
        <f>sumifs(Dados!$N:$N,Dados!$B:$B,B161,Dados!$J:$J,$D$1,Dados!$I:$I,$O$4)</f>
        <v>0</v>
      </c>
      <c r="P161" s="81">
        <f>sumifs(Dados!$N:$N,Dados!$B:$B,B161,Dados!$J:$J,$D$1,Dados!$I:$I,$P$4)</f>
        <v>0</v>
      </c>
      <c r="Q161" s="81"/>
    </row>
    <row r="162" ht="15.75" customHeight="1">
      <c r="A162" s="99" t="s">
        <v>246</v>
      </c>
      <c r="B162" s="100">
        <f>sumifs(Dados!$N:$N,Dados!$A:$A,A162,Dados!$H:$H,$D$1)</f>
        <v>0</v>
      </c>
      <c r="C162" s="101"/>
      <c r="D162" s="100">
        <f t="shared" ref="D162:P162" si="37">SUM(D158:D161)</f>
        <v>0</v>
      </c>
      <c r="E162" s="100">
        <f t="shared" si="37"/>
        <v>0</v>
      </c>
      <c r="F162" s="100">
        <f t="shared" si="37"/>
        <v>0</v>
      </c>
      <c r="G162" s="100">
        <f t="shared" si="37"/>
        <v>0</v>
      </c>
      <c r="H162" s="100">
        <f t="shared" si="37"/>
        <v>0</v>
      </c>
      <c r="I162" s="100">
        <f t="shared" si="37"/>
        <v>0</v>
      </c>
      <c r="J162" s="100">
        <f t="shared" si="37"/>
        <v>0</v>
      </c>
      <c r="K162" s="100">
        <f t="shared" si="37"/>
        <v>0</v>
      </c>
      <c r="L162" s="100">
        <f t="shared" si="37"/>
        <v>0</v>
      </c>
      <c r="M162" s="100">
        <f t="shared" si="37"/>
        <v>0</v>
      </c>
      <c r="N162" s="100">
        <f t="shared" si="37"/>
        <v>0</v>
      </c>
      <c r="O162" s="100">
        <f t="shared" si="37"/>
        <v>0</v>
      </c>
      <c r="P162" s="100">
        <f t="shared" si="37"/>
        <v>0</v>
      </c>
      <c r="Q162" s="100"/>
    </row>
    <row r="163" ht="15.75" customHeight="1">
      <c r="A163" s="77"/>
      <c r="B163" s="78" t="s">
        <v>247</v>
      </c>
      <c r="C163" s="79"/>
      <c r="D163" s="80">
        <f t="shared" ref="D163:D166" si="38">SUM(E163:P163)</f>
        <v>0</v>
      </c>
      <c r="E163" s="81">
        <f>sumifs(Dados!$N:$N,Dados!$B:$B,B163,Dados!$J:$J,$D$1,Dados!$I:$I,$E$4)</f>
        <v>0</v>
      </c>
      <c r="F163" s="81">
        <f>sumifs(Dados!$N:$N,Dados!$B:$B,B163,Dados!$J:$J,$D$1,Dados!$I:$I,$F$4)</f>
        <v>0</v>
      </c>
      <c r="G163" s="81">
        <f>sumifs(Dados!$N:$N,Dados!$B:$B,B163,Dados!$J:$J,$D$1,Dados!$I:$I,$G$4)</f>
        <v>0</v>
      </c>
      <c r="H163" s="81">
        <f>sumifs(Dados!$N:$N,Dados!$B:$B,B163,Dados!$J:$J,$D$1,Dados!$I:$I,$H$4)</f>
        <v>0</v>
      </c>
      <c r="I163" s="81">
        <f>sumifs(Dados!$N:$N,Dados!$B:$B,B163,Dados!$J:$J,$D$1,Dados!$I:$I,$I$4)</f>
        <v>0</v>
      </c>
      <c r="J163" s="81">
        <f>sumifs(Dados!$N:$N,Dados!$B:$B,B163,Dados!$J:$J,$D$1,Dados!$I:$I,$J$4)</f>
        <v>0</v>
      </c>
      <c r="K163" s="81">
        <f>sumifs(Dados!$N:$N,Dados!$B:$B,B163,Dados!$J:$J,$D$1,Dados!$I:$I,$K$4)</f>
        <v>0</v>
      </c>
      <c r="L163" s="81">
        <f>sumifs(Dados!$N:$N,Dados!$B:$B,B163,Dados!$J:$J,$D$1,Dados!$I:$I,$L$4)</f>
        <v>0</v>
      </c>
      <c r="M163" s="81">
        <f>sumifs(Dados!$N:$N,Dados!$B:$B,B163,Dados!$J:$J,$D$1,Dados!$I:$I,$M$4)</f>
        <v>0</v>
      </c>
      <c r="N163" s="81">
        <f>sumifs(Dados!$N:$N,Dados!$B:$B,B163,Dados!$J:$J,$D$1,Dados!$I:$I,$N$4)</f>
        <v>0</v>
      </c>
      <c r="O163" s="81">
        <f>sumifs(Dados!$N:$N,Dados!$B:$B,B163,Dados!$J:$J,$D$1,Dados!$I:$I,$O$4)</f>
        <v>0</v>
      </c>
      <c r="P163" s="81">
        <f>sumifs(Dados!$N:$N,Dados!$B:$B,B163,Dados!$J:$J,$D$1,Dados!$I:$I,$P$4)</f>
        <v>0</v>
      </c>
      <c r="Q163" s="81"/>
    </row>
    <row r="164" ht="15.75" customHeight="1">
      <c r="A164" s="87"/>
      <c r="B164" s="83" t="s">
        <v>248</v>
      </c>
      <c r="C164" s="79"/>
      <c r="D164" s="80">
        <f t="shared" si="38"/>
        <v>0</v>
      </c>
      <c r="E164" s="81">
        <f>sumifs(Dados!$N:$N,Dados!$B:$B,B164,Dados!$J:$J,$D$1,Dados!$I:$I,$E$4)</f>
        <v>0</v>
      </c>
      <c r="F164" s="81">
        <f>sumifs(Dados!$N:$N,Dados!$B:$B,B164,Dados!$J:$J,$D$1,Dados!$I:$I,$F$4)</f>
        <v>0</v>
      </c>
      <c r="G164" s="81">
        <f>sumifs(Dados!$N:$N,Dados!$B:$B,B164,Dados!$J:$J,$D$1,Dados!$I:$I,$G$4)</f>
        <v>0</v>
      </c>
      <c r="H164" s="81">
        <f>sumifs(Dados!$N:$N,Dados!$B:$B,B164,Dados!$J:$J,$D$1,Dados!$I:$I,$H$4)</f>
        <v>0</v>
      </c>
      <c r="I164" s="81">
        <f>sumifs(Dados!$N:$N,Dados!$B:$B,B164,Dados!$J:$J,$D$1,Dados!$I:$I,$I$4)</f>
        <v>0</v>
      </c>
      <c r="J164" s="81">
        <f>sumifs(Dados!$N:$N,Dados!$B:$B,B164,Dados!$J:$J,$D$1,Dados!$I:$I,$J$4)</f>
        <v>0</v>
      </c>
      <c r="K164" s="81">
        <f>sumifs(Dados!$N:$N,Dados!$B:$B,B164,Dados!$J:$J,$D$1,Dados!$I:$I,$K$4)</f>
        <v>0</v>
      </c>
      <c r="L164" s="81">
        <f>sumifs(Dados!$N:$N,Dados!$B:$B,B164,Dados!$J:$J,$D$1,Dados!$I:$I,$L$4)</f>
        <v>0</v>
      </c>
      <c r="M164" s="81">
        <f>sumifs(Dados!$N:$N,Dados!$B:$B,B164,Dados!$J:$J,$D$1,Dados!$I:$I,$M$4)</f>
        <v>0</v>
      </c>
      <c r="N164" s="81">
        <f>sumifs(Dados!$N:$N,Dados!$B:$B,B164,Dados!$J:$J,$D$1,Dados!$I:$I,$N$4)</f>
        <v>0</v>
      </c>
      <c r="O164" s="81">
        <f>sumifs(Dados!$N:$N,Dados!$B:$B,B164,Dados!$J:$J,$D$1,Dados!$I:$I,$O$4)</f>
        <v>0</v>
      </c>
      <c r="P164" s="81">
        <f>sumifs(Dados!$N:$N,Dados!$B:$B,B164,Dados!$J:$J,$D$1,Dados!$I:$I,$P$4)</f>
        <v>0</v>
      </c>
      <c r="Q164" s="81"/>
    </row>
    <row r="165" ht="15.75" customHeight="1">
      <c r="A165" s="87"/>
      <c r="B165" s="87" t="s">
        <v>249</v>
      </c>
      <c r="C165" s="79"/>
      <c r="D165" s="80">
        <f t="shared" si="38"/>
        <v>0</v>
      </c>
      <c r="E165" s="81">
        <f>sumifs(Dados!$N:$N,Dados!$B:$B,B165,Dados!$J:$J,$D$1,Dados!$I:$I,$E$4)</f>
        <v>0</v>
      </c>
      <c r="F165" s="81">
        <f>sumifs(Dados!$N:$N,Dados!$B:$B,B165,Dados!$J:$J,$D$1,Dados!$I:$I,$F$4)</f>
        <v>0</v>
      </c>
      <c r="G165" s="81">
        <f>sumifs(Dados!$N:$N,Dados!$B:$B,B165,Dados!$J:$J,$D$1,Dados!$I:$I,$G$4)</f>
        <v>0</v>
      </c>
      <c r="H165" s="81">
        <f>sumifs(Dados!$N:$N,Dados!$B:$B,B165,Dados!$J:$J,$D$1,Dados!$I:$I,$H$4)</f>
        <v>0</v>
      </c>
      <c r="I165" s="81">
        <f>sumifs(Dados!$N:$N,Dados!$B:$B,B165,Dados!$J:$J,$D$1,Dados!$I:$I,$I$4)</f>
        <v>0</v>
      </c>
      <c r="J165" s="81">
        <f>sumifs(Dados!$N:$N,Dados!$B:$B,B165,Dados!$J:$J,$D$1,Dados!$I:$I,$J$4)</f>
        <v>0</v>
      </c>
      <c r="K165" s="81">
        <f>sumifs(Dados!$N:$N,Dados!$B:$B,B165,Dados!$J:$J,$D$1,Dados!$I:$I,$K$4)</f>
        <v>0</v>
      </c>
      <c r="L165" s="81">
        <f>sumifs(Dados!$N:$N,Dados!$B:$B,B165,Dados!$J:$J,$D$1,Dados!$I:$I,$L$4)</f>
        <v>0</v>
      </c>
      <c r="M165" s="81">
        <f>sumifs(Dados!$N:$N,Dados!$B:$B,B165,Dados!$J:$J,$D$1,Dados!$I:$I,$M$4)</f>
        <v>0</v>
      </c>
      <c r="N165" s="81">
        <f>sumifs(Dados!$N:$N,Dados!$B:$B,B165,Dados!$J:$J,$D$1,Dados!$I:$I,$N$4)</f>
        <v>0</v>
      </c>
      <c r="O165" s="81">
        <f>sumifs(Dados!$N:$N,Dados!$B:$B,B165,Dados!$J:$J,$D$1,Dados!$I:$I,$O$4)</f>
        <v>0</v>
      </c>
      <c r="P165" s="81">
        <f>sumifs(Dados!$N:$N,Dados!$B:$B,B165,Dados!$J:$J,$D$1,Dados!$I:$I,$P$4)</f>
        <v>0</v>
      </c>
      <c r="Q165" s="81"/>
    </row>
    <row r="166" ht="15.75" customHeight="1">
      <c r="A166" s="77"/>
      <c r="B166" s="77" t="s">
        <v>250</v>
      </c>
      <c r="C166" s="79"/>
      <c r="D166" s="80">
        <f t="shared" si="38"/>
        <v>509.49</v>
      </c>
      <c r="E166" s="81">
        <f>sumifs(Dados!$N:$N,Dados!$B:$B,B166,Dados!$J:$J,$D$1,Dados!$I:$I,$E$4)</f>
        <v>0</v>
      </c>
      <c r="F166" s="81">
        <f>sumifs(Dados!$N:$N,Dados!$B:$B,B166,Dados!$J:$J,$D$1,Dados!$I:$I,$F$4)</f>
        <v>0</v>
      </c>
      <c r="G166" s="81">
        <f>sumifs(Dados!$N:$N,Dados!$B:$B,B166,Dados!$J:$J,$D$1,Dados!$I:$I,$G$4)</f>
        <v>0</v>
      </c>
      <c r="H166" s="81">
        <f>sumifs(Dados!$N:$N,Dados!$B:$B,B166,Dados!$J:$J,$D$1,Dados!$I:$I,$H$4)</f>
        <v>89.28</v>
      </c>
      <c r="I166" s="81">
        <f>sumifs(Dados!$N:$N,Dados!$B:$B,B166,Dados!$J:$J,$D$1,Dados!$I:$I,$I$4)</f>
        <v>167.4</v>
      </c>
      <c r="J166" s="81">
        <f>sumifs(Dados!$N:$N,Dados!$B:$B,B166,Dados!$J:$J,$D$1,Dados!$I:$I,$J$4)</f>
        <v>100.44</v>
      </c>
      <c r="K166" s="81">
        <f>sumifs(Dados!$N:$N,Dados!$B:$B,B166,Dados!$J:$J,$D$1,Dados!$I:$I,$K$4)</f>
        <v>152.37</v>
      </c>
      <c r="L166" s="81">
        <f>sumifs(Dados!$N:$N,Dados!$B:$B,B166,Dados!$J:$J,$D$1,Dados!$I:$I,$L$4)</f>
        <v>0</v>
      </c>
      <c r="M166" s="81">
        <f>sumifs(Dados!$N:$N,Dados!$B:$B,B166,Dados!$J:$J,$D$1,Dados!$I:$I,$M$4)</f>
        <v>0</v>
      </c>
      <c r="N166" s="81">
        <f>sumifs(Dados!$N:$N,Dados!$B:$B,B166,Dados!$J:$J,$D$1,Dados!$I:$I,$N$4)</f>
        <v>0</v>
      </c>
      <c r="O166" s="81">
        <f>sumifs(Dados!$N:$N,Dados!$B:$B,B166,Dados!$J:$J,$D$1,Dados!$I:$I,$O$4)</f>
        <v>0</v>
      </c>
      <c r="P166" s="81">
        <f>sumifs(Dados!$N:$N,Dados!$B:$B,B166,Dados!$J:$J,$D$1,Dados!$I:$I,$P$4)</f>
        <v>0</v>
      </c>
      <c r="Q166" s="81"/>
    </row>
    <row r="167" ht="15.75" customHeight="1">
      <c r="A167" s="99" t="s">
        <v>251</v>
      </c>
      <c r="B167" s="100">
        <f>sumifs(Dados!$N:$N,Dados!$A:$A,A167,Dados!$H:$H,$D$1)</f>
        <v>509.49</v>
      </c>
      <c r="C167" s="101">
        <f>D167+D162+D157-B167</f>
        <v>0</v>
      </c>
      <c r="D167" s="100">
        <f t="shared" ref="D167:P167" si="39">SUM(D163:D166)</f>
        <v>509.49</v>
      </c>
      <c r="E167" s="100">
        <f t="shared" si="39"/>
        <v>0</v>
      </c>
      <c r="F167" s="100">
        <f t="shared" si="39"/>
        <v>0</v>
      </c>
      <c r="G167" s="100">
        <f t="shared" si="39"/>
        <v>0</v>
      </c>
      <c r="H167" s="100">
        <f t="shared" si="39"/>
        <v>89.28</v>
      </c>
      <c r="I167" s="100">
        <f t="shared" si="39"/>
        <v>167.4</v>
      </c>
      <c r="J167" s="100">
        <f t="shared" si="39"/>
        <v>100.44</v>
      </c>
      <c r="K167" s="100">
        <f t="shared" si="39"/>
        <v>152.37</v>
      </c>
      <c r="L167" s="100">
        <f t="shared" si="39"/>
        <v>0</v>
      </c>
      <c r="M167" s="100">
        <f t="shared" si="39"/>
        <v>0</v>
      </c>
      <c r="N167" s="100">
        <f t="shared" si="39"/>
        <v>0</v>
      </c>
      <c r="O167" s="100">
        <f t="shared" si="39"/>
        <v>0</v>
      </c>
      <c r="P167" s="100">
        <f t="shared" si="39"/>
        <v>0</v>
      </c>
      <c r="Q167" s="100"/>
    </row>
    <row r="168" ht="15.75" customHeight="1">
      <c r="A168" s="77"/>
      <c r="B168" s="78" t="s">
        <v>240</v>
      </c>
      <c r="C168" s="79"/>
      <c r="D168" s="80">
        <f t="shared" ref="D168:D173" si="40">SUM(E168:P168)</f>
        <v>0</v>
      </c>
      <c r="E168" s="81">
        <f>sumifs(Dados!$N:$N,Dados!$B:$B,B168,Dados!$J:$J,$D$1,Dados!$I:$I,$E$4)</f>
        <v>0</v>
      </c>
      <c r="F168" s="81">
        <f>sumifs(Dados!$N:$N,Dados!$B:$B,B168,Dados!$J:$J,$D$1,Dados!$I:$I,$F$4)</f>
        <v>0</v>
      </c>
      <c r="G168" s="81">
        <f>sumifs(Dados!$N:$N,Dados!$B:$B,B168,Dados!$J:$J,$D$1,Dados!$I:$I,$G$4)</f>
        <v>0</v>
      </c>
      <c r="H168" s="81">
        <f>sumifs(Dados!$N:$N,Dados!$B:$B,B168,Dados!$J:$J,$D$1,Dados!$I:$I,$H$4)</f>
        <v>0</v>
      </c>
      <c r="I168" s="81">
        <f>sumifs(Dados!$N:$N,Dados!$B:$B,B168,Dados!$J:$J,$D$1,Dados!$I:$I,$I$4)</f>
        <v>0</v>
      </c>
      <c r="J168" s="81">
        <f>sumifs(Dados!$N:$N,Dados!$B:$B,B168,Dados!$J:$J,$D$1,Dados!$I:$I,$J$4)</f>
        <v>0</v>
      </c>
      <c r="K168" s="81">
        <f>sumifs(Dados!$N:$N,Dados!$B:$B,B168,Dados!$J:$J,$D$1,Dados!$I:$I,$K$4)</f>
        <v>0</v>
      </c>
      <c r="L168" s="81">
        <f>sumifs(Dados!$N:$N,Dados!$B:$B,B168,Dados!$J:$J,$D$1,Dados!$I:$I,$L$4)</f>
        <v>0</v>
      </c>
      <c r="M168" s="81">
        <f>sumifs(Dados!$N:$N,Dados!$B:$B,B168,Dados!$J:$J,$D$1,Dados!$I:$I,$M$4)</f>
        <v>0</v>
      </c>
      <c r="N168" s="81">
        <f>sumifs(Dados!$N:$N,Dados!$B:$B,B168,Dados!$J:$J,$D$1,Dados!$I:$I,$N$4)</f>
        <v>0</v>
      </c>
      <c r="O168" s="81">
        <f>sumifs(Dados!$N:$N,Dados!$B:$B,B168,Dados!$J:$J,$D$1,Dados!$I:$I,$O$4)</f>
        <v>0</v>
      </c>
      <c r="P168" s="81">
        <f>sumifs(Dados!$N:$N,Dados!$B:$B,B168,Dados!$J:$J,$D$1,Dados!$I:$I,$P$4)</f>
        <v>0</v>
      </c>
      <c r="Q168" s="81"/>
    </row>
    <row r="169" ht="15.75" customHeight="1">
      <c r="A169" s="77"/>
      <c r="B169" s="77" t="s">
        <v>252</v>
      </c>
      <c r="C169" s="79"/>
      <c r="D169" s="80">
        <f t="shared" si="40"/>
        <v>0</v>
      </c>
      <c r="E169" s="81">
        <f>sumifs(Dados!$N:$N,Dados!$B:$B,B169,Dados!$J:$J,$D$1,Dados!$I:$I,$E$4)</f>
        <v>0</v>
      </c>
      <c r="F169" s="81">
        <f>sumifs(Dados!$N:$N,Dados!$B:$B,B169,Dados!$J:$J,$D$1,Dados!$I:$I,$F$4)</f>
        <v>0</v>
      </c>
      <c r="G169" s="81">
        <f>sumifs(Dados!$N:$N,Dados!$B:$B,B169,Dados!$J:$J,$D$1,Dados!$I:$I,$G$4)</f>
        <v>0</v>
      </c>
      <c r="H169" s="81">
        <f>sumifs(Dados!$N:$N,Dados!$B:$B,B169,Dados!$J:$J,$D$1,Dados!$I:$I,$H$4)</f>
        <v>0</v>
      </c>
      <c r="I169" s="81">
        <f>sumifs(Dados!$N:$N,Dados!$B:$B,B169,Dados!$J:$J,$D$1,Dados!$I:$I,$I$4)</f>
        <v>0</v>
      </c>
      <c r="J169" s="81">
        <f>sumifs(Dados!$N:$N,Dados!$B:$B,B169,Dados!$J:$J,$D$1,Dados!$I:$I,$J$4)</f>
        <v>0</v>
      </c>
      <c r="K169" s="81">
        <f>sumifs(Dados!$N:$N,Dados!$B:$B,B169,Dados!$J:$J,$D$1,Dados!$I:$I,$K$4)</f>
        <v>0</v>
      </c>
      <c r="L169" s="81">
        <f>sumifs(Dados!$N:$N,Dados!$B:$B,B169,Dados!$J:$J,$D$1,Dados!$I:$I,$L$4)</f>
        <v>0</v>
      </c>
      <c r="M169" s="81">
        <f>sumifs(Dados!$N:$N,Dados!$B:$B,B169,Dados!$J:$J,$D$1,Dados!$I:$I,$M$4)</f>
        <v>0</v>
      </c>
      <c r="N169" s="81">
        <f>sumifs(Dados!$N:$N,Dados!$B:$B,B169,Dados!$J:$J,$D$1,Dados!$I:$I,$N$4)</f>
        <v>0</v>
      </c>
      <c r="O169" s="81">
        <f>sumifs(Dados!$N:$N,Dados!$B:$B,B169,Dados!$J:$J,$D$1,Dados!$I:$I,$O$4)</f>
        <v>0</v>
      </c>
      <c r="P169" s="81">
        <f>sumifs(Dados!$N:$N,Dados!$B:$B,B169,Dados!$J:$J,$D$1,Dados!$I:$I,$P$4)</f>
        <v>0</v>
      </c>
      <c r="Q169" s="81"/>
    </row>
    <row r="170" ht="15.75" customHeight="1">
      <c r="A170" s="77"/>
      <c r="B170" s="77" t="s">
        <v>253</v>
      </c>
      <c r="C170" s="79"/>
      <c r="D170" s="80">
        <f t="shared" si="40"/>
        <v>0</v>
      </c>
      <c r="E170" s="81">
        <f>sumifs(Dados!$N:$N,Dados!$B:$B,B170,Dados!$J:$J,$D$1,Dados!$I:$I,$E$4)</f>
        <v>0</v>
      </c>
      <c r="F170" s="81">
        <f>sumifs(Dados!$N:$N,Dados!$B:$B,B170,Dados!$J:$J,$D$1,Dados!$I:$I,$F$4)</f>
        <v>0</v>
      </c>
      <c r="G170" s="81">
        <f>sumifs(Dados!$N:$N,Dados!$B:$B,B170,Dados!$J:$J,$D$1,Dados!$I:$I,$G$4)</f>
        <v>0</v>
      </c>
      <c r="H170" s="81">
        <f>sumifs(Dados!$N:$N,Dados!$B:$B,B170,Dados!$J:$J,$D$1,Dados!$I:$I,$H$4)</f>
        <v>0</v>
      </c>
      <c r="I170" s="81">
        <f>sumifs(Dados!$N:$N,Dados!$B:$B,B170,Dados!$J:$J,$D$1,Dados!$I:$I,$I$4)</f>
        <v>0</v>
      </c>
      <c r="J170" s="81">
        <f>sumifs(Dados!$N:$N,Dados!$B:$B,B170,Dados!$J:$J,$D$1,Dados!$I:$I,$J$4)</f>
        <v>0</v>
      </c>
      <c r="K170" s="81">
        <f>sumifs(Dados!$N:$N,Dados!$B:$B,B170,Dados!$J:$J,$D$1,Dados!$I:$I,$K$4)</f>
        <v>0</v>
      </c>
      <c r="L170" s="81">
        <f>sumifs(Dados!$N:$N,Dados!$B:$B,B170,Dados!$J:$J,$D$1,Dados!$I:$I,$L$4)</f>
        <v>0</v>
      </c>
      <c r="M170" s="81">
        <f>sumifs(Dados!$N:$N,Dados!$B:$B,B170,Dados!$J:$J,$D$1,Dados!$I:$I,$M$4)</f>
        <v>0</v>
      </c>
      <c r="N170" s="81">
        <f>sumifs(Dados!$N:$N,Dados!$B:$B,B170,Dados!$J:$J,$D$1,Dados!$I:$I,$N$4)</f>
        <v>0</v>
      </c>
      <c r="O170" s="81">
        <f>sumifs(Dados!$N:$N,Dados!$B:$B,B170,Dados!$J:$J,$D$1,Dados!$I:$I,$O$4)</f>
        <v>0</v>
      </c>
      <c r="P170" s="81">
        <f>sumifs(Dados!$N:$N,Dados!$B:$B,B170,Dados!$J:$J,$D$1,Dados!$I:$I,$P$4)</f>
        <v>0</v>
      </c>
      <c r="Q170" s="81"/>
    </row>
    <row r="171" ht="15.75" customHeight="1">
      <c r="A171" s="77"/>
      <c r="B171" s="77" t="s">
        <v>254</v>
      </c>
      <c r="C171" s="79"/>
      <c r="D171" s="80">
        <f t="shared" si="40"/>
        <v>0</v>
      </c>
      <c r="E171" s="81">
        <f>sumifs(Dados!$N:$N,Dados!$B:$B,B171,Dados!$J:$J,$D$1,Dados!$I:$I,$E$4)</f>
        <v>0</v>
      </c>
      <c r="F171" s="81">
        <f>sumifs(Dados!$N:$N,Dados!$B:$B,B171,Dados!$J:$J,$D$1,Dados!$I:$I,$F$4)</f>
        <v>0</v>
      </c>
      <c r="G171" s="81">
        <f>sumifs(Dados!$N:$N,Dados!$B:$B,B171,Dados!$J:$J,$D$1,Dados!$I:$I,$G$4)</f>
        <v>0</v>
      </c>
      <c r="H171" s="81">
        <f>sumifs(Dados!$N:$N,Dados!$B:$B,B171,Dados!$J:$J,$D$1,Dados!$I:$I,$H$4)</f>
        <v>0</v>
      </c>
      <c r="I171" s="81">
        <f>sumifs(Dados!$N:$N,Dados!$B:$B,B171,Dados!$J:$J,$D$1,Dados!$I:$I,$I$4)</f>
        <v>0</v>
      </c>
      <c r="J171" s="81">
        <f>sumifs(Dados!$N:$N,Dados!$B:$B,B171,Dados!$J:$J,$D$1,Dados!$I:$I,$J$4)</f>
        <v>0</v>
      </c>
      <c r="K171" s="81">
        <f>sumifs(Dados!$N:$N,Dados!$B:$B,B171,Dados!$J:$J,$D$1,Dados!$I:$I,$K$4)</f>
        <v>0</v>
      </c>
      <c r="L171" s="81">
        <f>sumifs(Dados!$N:$N,Dados!$B:$B,B171,Dados!$J:$J,$D$1,Dados!$I:$I,$L$4)</f>
        <v>0</v>
      </c>
      <c r="M171" s="81">
        <f>sumifs(Dados!$N:$N,Dados!$B:$B,B171,Dados!$J:$J,$D$1,Dados!$I:$I,$M$4)</f>
        <v>0</v>
      </c>
      <c r="N171" s="81">
        <f>sumifs(Dados!$N:$N,Dados!$B:$B,B171,Dados!$J:$J,$D$1,Dados!$I:$I,$N$4)</f>
        <v>0</v>
      </c>
      <c r="O171" s="81">
        <f>sumifs(Dados!$N:$N,Dados!$B:$B,B171,Dados!$J:$J,$D$1,Dados!$I:$I,$O$4)</f>
        <v>0</v>
      </c>
      <c r="P171" s="81">
        <f>sumifs(Dados!$N:$N,Dados!$B:$B,B171,Dados!$J:$J,$D$1,Dados!$I:$I,$P$4)</f>
        <v>0</v>
      </c>
      <c r="Q171" s="81"/>
    </row>
    <row r="172" ht="15.75" customHeight="1">
      <c r="A172" s="77"/>
      <c r="B172" s="77" t="s">
        <v>255</v>
      </c>
      <c r="C172" s="79"/>
      <c r="D172" s="80">
        <f t="shared" si="40"/>
        <v>0</v>
      </c>
      <c r="E172" s="81">
        <f>sumifs(Dados!$N:$N,Dados!$B:$B,B172,Dados!$J:$J,$D$1,Dados!$I:$I,$E$4)</f>
        <v>0</v>
      </c>
      <c r="F172" s="81">
        <f>sumifs(Dados!$N:$N,Dados!$B:$B,B172,Dados!$J:$J,$D$1,Dados!$I:$I,$F$4)</f>
        <v>0</v>
      </c>
      <c r="G172" s="81">
        <f>sumifs(Dados!$N:$N,Dados!$B:$B,B172,Dados!$J:$J,$D$1,Dados!$I:$I,$G$4)</f>
        <v>0</v>
      </c>
      <c r="H172" s="81">
        <f>sumifs(Dados!$N:$N,Dados!$B:$B,B172,Dados!$J:$J,$D$1,Dados!$I:$I,$H$4)</f>
        <v>0</v>
      </c>
      <c r="I172" s="81">
        <f>sumifs(Dados!$N:$N,Dados!$B:$B,B172,Dados!$J:$J,$D$1,Dados!$I:$I,$I$4)</f>
        <v>0</v>
      </c>
      <c r="J172" s="81">
        <f>sumifs(Dados!$N:$N,Dados!$B:$B,B172,Dados!$J:$J,$D$1,Dados!$I:$I,$J$4)</f>
        <v>0</v>
      </c>
      <c r="K172" s="81">
        <f>sumifs(Dados!$N:$N,Dados!$B:$B,B172,Dados!$J:$J,$D$1,Dados!$I:$I,$K$4)</f>
        <v>0</v>
      </c>
      <c r="L172" s="81">
        <f>sumifs(Dados!$N:$N,Dados!$B:$B,B172,Dados!$J:$J,$D$1,Dados!$I:$I,$L$4)</f>
        <v>0</v>
      </c>
      <c r="M172" s="81">
        <f>sumifs(Dados!$N:$N,Dados!$B:$B,B172,Dados!$J:$J,$D$1,Dados!$I:$I,$M$4)</f>
        <v>0</v>
      </c>
      <c r="N172" s="81">
        <f>sumifs(Dados!$N:$N,Dados!$B:$B,B172,Dados!$J:$J,$D$1,Dados!$I:$I,$N$4)</f>
        <v>0</v>
      </c>
      <c r="O172" s="81">
        <f>sumifs(Dados!$N:$N,Dados!$B:$B,B172,Dados!$J:$J,$D$1,Dados!$I:$I,$O$4)</f>
        <v>0</v>
      </c>
      <c r="P172" s="81">
        <f>sumifs(Dados!$N:$N,Dados!$B:$B,B172,Dados!$J:$J,$D$1,Dados!$I:$I,$P$4)</f>
        <v>0</v>
      </c>
      <c r="Q172" s="81"/>
    </row>
    <row r="173" ht="15.75" customHeight="1">
      <c r="A173" s="77"/>
      <c r="B173" s="77" t="s">
        <v>256</v>
      </c>
      <c r="C173" s="79"/>
      <c r="D173" s="80">
        <f t="shared" si="40"/>
        <v>0</v>
      </c>
      <c r="E173" s="81">
        <f>sumifs(Dados!$N:$N,Dados!$B:$B,B173,Dados!$J:$J,$D$1,Dados!$I:$I,$E$4)</f>
        <v>0</v>
      </c>
      <c r="F173" s="81">
        <f>sumifs(Dados!$N:$N,Dados!$B:$B,B173,Dados!$J:$J,$D$1,Dados!$I:$I,$F$4)</f>
        <v>0</v>
      </c>
      <c r="G173" s="81">
        <f>sumifs(Dados!$N:$N,Dados!$B:$B,B173,Dados!$J:$J,$D$1,Dados!$I:$I,$G$4)</f>
        <v>0</v>
      </c>
      <c r="H173" s="81">
        <f>sumifs(Dados!$N:$N,Dados!$B:$B,B173,Dados!$J:$J,$D$1,Dados!$I:$I,$H$4)</f>
        <v>0</v>
      </c>
      <c r="I173" s="81">
        <f>sumifs(Dados!$N:$N,Dados!$B:$B,B173,Dados!$J:$J,$D$1,Dados!$I:$I,$I$4)</f>
        <v>0</v>
      </c>
      <c r="J173" s="81">
        <f>sumifs(Dados!$N:$N,Dados!$B:$B,B173,Dados!$J:$J,$D$1,Dados!$I:$I,$J$4)</f>
        <v>0</v>
      </c>
      <c r="K173" s="81">
        <f>sumifs(Dados!$N:$N,Dados!$B:$B,B173,Dados!$J:$J,$D$1,Dados!$I:$I,$K$4)</f>
        <v>0</v>
      </c>
      <c r="L173" s="81">
        <f>sumifs(Dados!$N:$N,Dados!$B:$B,B173,Dados!$J:$J,$D$1,Dados!$I:$I,$L$4)</f>
        <v>0</v>
      </c>
      <c r="M173" s="81">
        <f>sumifs(Dados!$N:$N,Dados!$B:$B,B173,Dados!$J:$J,$D$1,Dados!$I:$I,$M$4)</f>
        <v>0</v>
      </c>
      <c r="N173" s="81">
        <f>sumifs(Dados!$N:$N,Dados!$B:$B,B173,Dados!$J:$J,$D$1,Dados!$I:$I,$N$4)</f>
        <v>0</v>
      </c>
      <c r="O173" s="81">
        <f>sumifs(Dados!$N:$N,Dados!$B:$B,B173,Dados!$J:$J,$D$1,Dados!$I:$I,$O$4)</f>
        <v>0</v>
      </c>
      <c r="P173" s="81">
        <f>sumifs(Dados!$N:$N,Dados!$B:$B,B173,Dados!$J:$J,$D$1,Dados!$I:$I,$P$4)</f>
        <v>0</v>
      </c>
      <c r="Q173" s="81"/>
    </row>
    <row r="174" ht="15.75" customHeight="1">
      <c r="A174" s="99" t="s">
        <v>257</v>
      </c>
      <c r="B174" s="100">
        <f>sumifs(Dados!$N:$N,Dados!$A:$A,A174,Dados!$H:$H,$D$1)</f>
        <v>0</v>
      </c>
      <c r="C174" s="101">
        <f>B174-D174</f>
        <v>0</v>
      </c>
      <c r="D174" s="100">
        <f t="shared" ref="D174:P174" si="41">SUM(D168:D173)</f>
        <v>0</v>
      </c>
      <c r="E174" s="100">
        <f t="shared" si="41"/>
        <v>0</v>
      </c>
      <c r="F174" s="100">
        <f t="shared" si="41"/>
        <v>0</v>
      </c>
      <c r="G174" s="100">
        <f t="shared" si="41"/>
        <v>0</v>
      </c>
      <c r="H174" s="100">
        <f t="shared" si="41"/>
        <v>0</v>
      </c>
      <c r="I174" s="100">
        <f t="shared" si="41"/>
        <v>0</v>
      </c>
      <c r="J174" s="100">
        <f t="shared" si="41"/>
        <v>0</v>
      </c>
      <c r="K174" s="100">
        <f t="shared" si="41"/>
        <v>0</v>
      </c>
      <c r="L174" s="100">
        <f t="shared" si="41"/>
        <v>0</v>
      </c>
      <c r="M174" s="100">
        <f t="shared" si="41"/>
        <v>0</v>
      </c>
      <c r="N174" s="100">
        <f t="shared" si="41"/>
        <v>0</v>
      </c>
      <c r="O174" s="100">
        <f t="shared" si="41"/>
        <v>0</v>
      </c>
      <c r="P174" s="100">
        <f t="shared" si="41"/>
        <v>0</v>
      </c>
      <c r="Q174" s="100"/>
    </row>
    <row r="175" ht="15.75" customHeight="1">
      <c r="A175" s="77"/>
      <c r="B175" s="77" t="s">
        <v>258</v>
      </c>
      <c r="C175" s="79"/>
      <c r="D175" s="80">
        <f>SUM(E175:P175)</f>
        <v>0</v>
      </c>
      <c r="E175" s="81">
        <f>sumifs(Dados!$N:$N,Dados!$B:$B,B175,Dados!$J:$J,$D$1,Dados!$I:$I,$E$4)</f>
        <v>0</v>
      </c>
      <c r="F175" s="81">
        <f>sumifs(Dados!$N:$N,Dados!$B:$B,B175,Dados!$J:$J,$D$1,Dados!$I:$I,$F$4)</f>
        <v>0</v>
      </c>
      <c r="G175" s="81">
        <f>sumifs(Dados!$N:$N,Dados!$B:$B,B175,Dados!$J:$J,$D$1,Dados!$I:$I,$G$4)</f>
        <v>0</v>
      </c>
      <c r="H175" s="81">
        <f>sumifs(Dados!$N:$N,Dados!$B:$B,B175,Dados!$J:$J,$D$1,Dados!$I:$I,$H$4)</f>
        <v>0</v>
      </c>
      <c r="I175" s="81">
        <f>sumifs(Dados!$N:$N,Dados!$B:$B,B175,Dados!$J:$J,$D$1,Dados!$I:$I,$I$4)</f>
        <v>0</v>
      </c>
      <c r="J175" s="81">
        <f>sumifs(Dados!$N:$N,Dados!$B:$B,B175,Dados!$J:$J,$D$1,Dados!$I:$I,$J$4)</f>
        <v>0</v>
      </c>
      <c r="K175" s="81">
        <f>sumifs(Dados!$N:$N,Dados!$B:$B,B175,Dados!$J:$J,$D$1,Dados!$I:$I,$K$4)</f>
        <v>0</v>
      </c>
      <c r="L175" s="81">
        <f>sumifs(Dados!$N:$N,Dados!$B:$B,B175,Dados!$J:$J,$D$1,Dados!$I:$I,$L$4)</f>
        <v>0</v>
      </c>
      <c r="M175" s="81">
        <f>sumifs(Dados!$N:$N,Dados!$B:$B,B175,Dados!$J:$J,$D$1,Dados!$I:$I,$M$4)</f>
        <v>0</v>
      </c>
      <c r="N175" s="81">
        <f>sumifs(Dados!$N:$N,Dados!$B:$B,B175,Dados!$J:$J,$D$1,Dados!$I:$I,$N$4)</f>
        <v>0</v>
      </c>
      <c r="O175" s="81">
        <f>sumifs(Dados!$N:$N,Dados!$B:$B,B175,Dados!$J:$J,$D$1,Dados!$I:$I,$O$4)</f>
        <v>0</v>
      </c>
      <c r="P175" s="81">
        <f>sumifs(Dados!$N:$N,Dados!$B:$B,B175,Dados!$J:$J,$D$1,Dados!$I:$I,$P$4)</f>
        <v>0</v>
      </c>
      <c r="Q175" s="81"/>
    </row>
    <row r="176" ht="15.75" customHeight="1">
      <c r="A176" s="99" t="s">
        <v>258</v>
      </c>
      <c r="B176" s="100">
        <f>sumifs(Dados!$N:$N,Dados!$A:$A,A176,Dados!$H:$H,$D$1)</f>
        <v>0</v>
      </c>
      <c r="C176" s="101">
        <f>B176-D176</f>
        <v>0</v>
      </c>
      <c r="D176" s="100">
        <f t="shared" ref="D176:P176" si="42">SUM(D175)</f>
        <v>0</v>
      </c>
      <c r="E176" s="100">
        <f t="shared" si="42"/>
        <v>0</v>
      </c>
      <c r="F176" s="100">
        <f t="shared" si="42"/>
        <v>0</v>
      </c>
      <c r="G176" s="100">
        <f t="shared" si="42"/>
        <v>0</v>
      </c>
      <c r="H176" s="100">
        <f t="shared" si="42"/>
        <v>0</v>
      </c>
      <c r="I176" s="100">
        <f t="shared" si="42"/>
        <v>0</v>
      </c>
      <c r="J176" s="100">
        <f t="shared" si="42"/>
        <v>0</v>
      </c>
      <c r="K176" s="100">
        <f t="shared" si="42"/>
        <v>0</v>
      </c>
      <c r="L176" s="100">
        <f t="shared" si="42"/>
        <v>0</v>
      </c>
      <c r="M176" s="100">
        <f t="shared" si="42"/>
        <v>0</v>
      </c>
      <c r="N176" s="100">
        <f t="shared" si="42"/>
        <v>0</v>
      </c>
      <c r="O176" s="100">
        <f t="shared" si="42"/>
        <v>0</v>
      </c>
      <c r="P176" s="100">
        <f t="shared" si="42"/>
        <v>0</v>
      </c>
      <c r="Q176" s="100"/>
    </row>
    <row r="177" ht="15.75" customHeight="1">
      <c r="A177" s="77"/>
      <c r="B177" s="77" t="s">
        <v>259</v>
      </c>
      <c r="C177" s="79"/>
      <c r="D177" s="80">
        <f>SUM(E177:P177)</f>
        <v>0</v>
      </c>
      <c r="E177" s="81">
        <f>sumifs(Dados!$N:$N,Dados!$B:$B,B177,Dados!$J:$J,$D$1,Dados!$I:$I,$E$4)</f>
        <v>0</v>
      </c>
      <c r="F177" s="81">
        <f>sumifs(Dados!$N:$N,Dados!$B:$B,B177,Dados!$J:$J,$D$1,Dados!$I:$I,$F$4)</f>
        <v>0</v>
      </c>
      <c r="G177" s="81">
        <f>sumifs(Dados!$N:$N,Dados!$B:$B,B177,Dados!$J:$J,$D$1,Dados!$I:$I,$G$4)</f>
        <v>0</v>
      </c>
      <c r="H177" s="81">
        <f>sumifs(Dados!$N:$N,Dados!$B:$B,B177,Dados!$J:$J,$D$1,Dados!$I:$I,$H$4)</f>
        <v>0</v>
      </c>
      <c r="I177" s="81">
        <f>sumifs(Dados!$N:$N,Dados!$B:$B,B177,Dados!$J:$J,$D$1,Dados!$I:$I,$I$4)</f>
        <v>0</v>
      </c>
      <c r="J177" s="81">
        <f>sumifs(Dados!$N:$N,Dados!$B:$B,B177,Dados!$J:$J,$D$1,Dados!$I:$I,$J$4)</f>
        <v>0</v>
      </c>
      <c r="K177" s="81">
        <f>sumifs(Dados!$N:$N,Dados!$B:$B,B177,Dados!$J:$J,$D$1,Dados!$I:$I,$K$4)</f>
        <v>0</v>
      </c>
      <c r="L177" s="81">
        <f>sumifs(Dados!$N:$N,Dados!$B:$B,B177,Dados!$J:$J,$D$1,Dados!$I:$I,$L$4)</f>
        <v>0</v>
      </c>
      <c r="M177" s="81">
        <f>sumifs(Dados!$N:$N,Dados!$B:$B,B177,Dados!$J:$J,$D$1,Dados!$I:$I,$M$4)</f>
        <v>0</v>
      </c>
      <c r="N177" s="81">
        <f>sumifs(Dados!$N:$N,Dados!$B:$B,B177,Dados!$J:$J,$D$1,Dados!$I:$I,$N$4)</f>
        <v>0</v>
      </c>
      <c r="O177" s="81">
        <f>sumifs(Dados!$N:$N,Dados!$B:$B,B177,Dados!$J:$J,$D$1,Dados!$I:$I,$O$4)</f>
        <v>0</v>
      </c>
      <c r="P177" s="81">
        <f>sumifs(Dados!$N:$N,Dados!$B:$B,B177,Dados!$J:$J,$D$1,Dados!$I:$I,$P$4)</f>
        <v>0</v>
      </c>
      <c r="Q177" s="81"/>
    </row>
    <row r="178" ht="15.75" customHeight="1">
      <c r="A178" s="99" t="s">
        <v>260</v>
      </c>
      <c r="B178" s="100">
        <f>sumifs(Dados!$N:$N,Dados!$A:$A,A178,Dados!$H:$H,$D$1)</f>
        <v>0</v>
      </c>
      <c r="C178" s="101">
        <f>B178-D178</f>
        <v>0</v>
      </c>
      <c r="D178" s="100">
        <f t="shared" ref="D178:P178" si="43">SUM(D177)</f>
        <v>0</v>
      </c>
      <c r="E178" s="100">
        <f t="shared" si="43"/>
        <v>0</v>
      </c>
      <c r="F178" s="100">
        <f t="shared" si="43"/>
        <v>0</v>
      </c>
      <c r="G178" s="100">
        <f t="shared" si="43"/>
        <v>0</v>
      </c>
      <c r="H178" s="100">
        <f t="shared" si="43"/>
        <v>0</v>
      </c>
      <c r="I178" s="100">
        <f t="shared" si="43"/>
        <v>0</v>
      </c>
      <c r="J178" s="100">
        <f t="shared" si="43"/>
        <v>0</v>
      </c>
      <c r="K178" s="100">
        <f t="shared" si="43"/>
        <v>0</v>
      </c>
      <c r="L178" s="100">
        <f t="shared" si="43"/>
        <v>0</v>
      </c>
      <c r="M178" s="100">
        <f t="shared" si="43"/>
        <v>0</v>
      </c>
      <c r="N178" s="100">
        <f t="shared" si="43"/>
        <v>0</v>
      </c>
      <c r="O178" s="100">
        <f t="shared" si="43"/>
        <v>0</v>
      </c>
      <c r="P178" s="100">
        <f t="shared" si="43"/>
        <v>0</v>
      </c>
      <c r="Q178" s="100"/>
    </row>
    <row r="179" ht="15.75" customHeight="1">
      <c r="A179" s="77"/>
      <c r="B179" s="77" t="s">
        <v>261</v>
      </c>
      <c r="C179" s="79"/>
      <c r="D179" s="80">
        <f t="shared" ref="D179:D186" si="44">SUM(E179:P179)</f>
        <v>0</v>
      </c>
      <c r="E179" s="81">
        <f>sumifs(Dados!$N:$N,Dados!$B:$B,B179,Dados!$J:$J,$D$1,Dados!$I:$I,$E$4)</f>
        <v>0</v>
      </c>
      <c r="F179" s="81">
        <f>sumifs(Dados!$N:$N,Dados!$B:$B,B179,Dados!$J:$J,$D$1,Dados!$I:$I,$F$4)</f>
        <v>0</v>
      </c>
      <c r="G179" s="81">
        <f>sumifs(Dados!$N:$N,Dados!$B:$B,B179,Dados!$J:$J,$D$1,Dados!$I:$I,$G$4)</f>
        <v>0</v>
      </c>
      <c r="H179" s="81">
        <f>sumifs(Dados!$N:$N,Dados!$B:$B,B179,Dados!$J:$J,$D$1,Dados!$I:$I,$H$4)</f>
        <v>0</v>
      </c>
      <c r="I179" s="81">
        <f>sumifs(Dados!$N:$N,Dados!$B:$B,B179,Dados!$J:$J,$D$1,Dados!$I:$I,$I$4)</f>
        <v>0</v>
      </c>
      <c r="J179" s="81">
        <f>sumifs(Dados!$N:$N,Dados!$B:$B,B179,Dados!$J:$J,$D$1,Dados!$I:$I,$J$4)</f>
        <v>0</v>
      </c>
      <c r="K179" s="81">
        <f>sumifs(Dados!$N:$N,Dados!$B:$B,B179,Dados!$J:$J,$D$1,Dados!$I:$I,$K$4)</f>
        <v>0</v>
      </c>
      <c r="L179" s="81">
        <f>sumifs(Dados!$N:$N,Dados!$B:$B,B179,Dados!$J:$J,$D$1,Dados!$I:$I,$L$4)</f>
        <v>0</v>
      </c>
      <c r="M179" s="81">
        <f>sumifs(Dados!$N:$N,Dados!$B:$B,B179,Dados!$J:$J,$D$1,Dados!$I:$I,$M$4)</f>
        <v>0</v>
      </c>
      <c r="N179" s="81">
        <f>sumifs(Dados!$N:$N,Dados!$B:$B,B179,Dados!$J:$J,$D$1,Dados!$I:$I,$N$4)</f>
        <v>0</v>
      </c>
      <c r="O179" s="81">
        <f>sumifs(Dados!$N:$N,Dados!$B:$B,B179,Dados!$J:$J,$D$1,Dados!$I:$I,$O$4)</f>
        <v>0</v>
      </c>
      <c r="P179" s="81">
        <f>sumifs(Dados!$N:$N,Dados!$B:$B,B179,Dados!$J:$J,$D$1,Dados!$I:$I,$P$4)</f>
        <v>0</v>
      </c>
      <c r="Q179" s="81"/>
    </row>
    <row r="180" ht="15.75" customHeight="1">
      <c r="A180" s="77"/>
      <c r="B180" s="77" t="s">
        <v>262</v>
      </c>
      <c r="C180" s="79"/>
      <c r="D180" s="80">
        <f t="shared" si="44"/>
        <v>0</v>
      </c>
      <c r="E180" s="81">
        <f>sumifs(Dados!$N:$N,Dados!$B:$B,B180,Dados!$J:$J,$D$1,Dados!$I:$I,$E$4)</f>
        <v>0</v>
      </c>
      <c r="F180" s="81">
        <f>sumifs(Dados!$N:$N,Dados!$B:$B,B180,Dados!$J:$J,$D$1,Dados!$I:$I,$F$4)</f>
        <v>0</v>
      </c>
      <c r="G180" s="81">
        <f>sumifs(Dados!$N:$N,Dados!$B:$B,B180,Dados!$J:$J,$D$1,Dados!$I:$I,$G$4)</f>
        <v>0</v>
      </c>
      <c r="H180" s="81">
        <f>sumifs(Dados!$N:$N,Dados!$B:$B,B180,Dados!$J:$J,$D$1,Dados!$I:$I,$H$4)</f>
        <v>0</v>
      </c>
      <c r="I180" s="81">
        <f>sumifs(Dados!$N:$N,Dados!$B:$B,B180,Dados!$J:$J,$D$1,Dados!$I:$I,$I$4)</f>
        <v>0</v>
      </c>
      <c r="J180" s="81">
        <f>sumifs(Dados!$N:$N,Dados!$B:$B,B180,Dados!$J:$J,$D$1,Dados!$I:$I,$J$4)</f>
        <v>0</v>
      </c>
      <c r="K180" s="81">
        <f>sumifs(Dados!$N:$N,Dados!$B:$B,B180,Dados!$J:$J,$D$1,Dados!$I:$I,$K$4)</f>
        <v>0</v>
      </c>
      <c r="L180" s="81">
        <f>sumifs(Dados!$N:$N,Dados!$B:$B,B180,Dados!$J:$J,$D$1,Dados!$I:$I,$L$4)</f>
        <v>0</v>
      </c>
      <c r="M180" s="81">
        <f>sumifs(Dados!$N:$N,Dados!$B:$B,B180,Dados!$J:$J,$D$1,Dados!$I:$I,$M$4)</f>
        <v>0</v>
      </c>
      <c r="N180" s="81">
        <f>sumifs(Dados!$N:$N,Dados!$B:$B,B180,Dados!$J:$J,$D$1,Dados!$I:$I,$N$4)</f>
        <v>0</v>
      </c>
      <c r="O180" s="81">
        <f>sumifs(Dados!$N:$N,Dados!$B:$B,B180,Dados!$J:$J,$D$1,Dados!$I:$I,$O$4)</f>
        <v>0</v>
      </c>
      <c r="P180" s="81">
        <f>sumifs(Dados!$N:$N,Dados!$B:$B,B180,Dados!$J:$J,$D$1,Dados!$I:$I,$P$4)</f>
        <v>0</v>
      </c>
      <c r="Q180" s="81"/>
    </row>
    <row r="181" ht="15.75" customHeight="1">
      <c r="A181" s="77"/>
      <c r="B181" s="77" t="s">
        <v>263</v>
      </c>
      <c r="C181" s="79"/>
      <c r="D181" s="80">
        <f t="shared" si="44"/>
        <v>108.6</v>
      </c>
      <c r="E181" s="81">
        <f>sumifs(Dados!$N:$N,Dados!$B:$B,B181,Dados!$J:$J,$D$1,Dados!$I:$I,$E$4)</f>
        <v>0</v>
      </c>
      <c r="F181" s="81">
        <f>sumifs(Dados!$N:$N,Dados!$B:$B,B181,Dados!$J:$J,$D$1,Dados!$I:$I,$F$4)</f>
        <v>0</v>
      </c>
      <c r="G181" s="81">
        <f>sumifs(Dados!$N:$N,Dados!$B:$B,B181,Dados!$J:$J,$D$1,Dados!$I:$I,$G$4)</f>
        <v>0</v>
      </c>
      <c r="H181" s="81">
        <f>sumifs(Dados!$N:$N,Dados!$B:$B,B181,Dados!$J:$J,$D$1,Dados!$I:$I,$H$4)</f>
        <v>0</v>
      </c>
      <c r="I181" s="81">
        <f>sumifs(Dados!$N:$N,Dados!$B:$B,B181,Dados!$J:$J,$D$1,Dados!$I:$I,$I$4)</f>
        <v>0</v>
      </c>
      <c r="J181" s="81">
        <f>sumifs(Dados!$N:$N,Dados!$B:$B,B181,Dados!$J:$J,$D$1,Dados!$I:$I,$J$4)</f>
        <v>0</v>
      </c>
      <c r="K181" s="81">
        <f>sumifs(Dados!$N:$N,Dados!$B:$B,B181,Dados!$J:$J,$D$1,Dados!$I:$I,$K$4)</f>
        <v>108.6</v>
      </c>
      <c r="L181" s="81">
        <f>sumifs(Dados!$N:$N,Dados!$B:$B,B181,Dados!$J:$J,$D$1,Dados!$I:$I,$L$4)</f>
        <v>0</v>
      </c>
      <c r="M181" s="81">
        <f>sumifs(Dados!$N:$N,Dados!$B:$B,B181,Dados!$J:$J,$D$1,Dados!$I:$I,$M$4)</f>
        <v>0</v>
      </c>
      <c r="N181" s="81">
        <f>sumifs(Dados!$N:$N,Dados!$B:$B,B181,Dados!$J:$J,$D$1,Dados!$I:$I,$N$4)</f>
        <v>0</v>
      </c>
      <c r="O181" s="81">
        <f>sumifs(Dados!$N:$N,Dados!$B:$B,B181,Dados!$J:$J,$D$1,Dados!$I:$I,$O$4)</f>
        <v>0</v>
      </c>
      <c r="P181" s="81">
        <f>sumifs(Dados!$N:$N,Dados!$B:$B,B181,Dados!$J:$J,$D$1,Dados!$I:$I,$P$4)</f>
        <v>0</v>
      </c>
      <c r="Q181" s="81"/>
    </row>
    <row r="182" ht="15.75" customHeight="1">
      <c r="A182" s="77"/>
      <c r="B182" s="77" t="s">
        <v>264</v>
      </c>
      <c r="C182" s="79"/>
      <c r="D182" s="80">
        <f t="shared" si="44"/>
        <v>0</v>
      </c>
      <c r="E182" s="81">
        <f>sumifs(Dados!$N:$N,Dados!$B:$B,B182,Dados!$J:$J,$D$1,Dados!$I:$I,$E$4)</f>
        <v>0</v>
      </c>
      <c r="F182" s="81">
        <f>sumifs(Dados!$N:$N,Dados!$B:$B,B182,Dados!$J:$J,$D$1,Dados!$I:$I,$F$4)</f>
        <v>0</v>
      </c>
      <c r="G182" s="81">
        <f>sumifs(Dados!$N:$N,Dados!$B:$B,B182,Dados!$J:$J,$D$1,Dados!$I:$I,$G$4)</f>
        <v>0</v>
      </c>
      <c r="H182" s="81">
        <f>sumifs(Dados!$N:$N,Dados!$B:$B,B182,Dados!$J:$J,$D$1,Dados!$I:$I,$H$4)</f>
        <v>0</v>
      </c>
      <c r="I182" s="81">
        <f>sumifs(Dados!$N:$N,Dados!$B:$B,B182,Dados!$J:$J,$D$1,Dados!$I:$I,$I$4)</f>
        <v>0</v>
      </c>
      <c r="J182" s="81">
        <f>sumifs(Dados!$N:$N,Dados!$B:$B,B182,Dados!$J:$J,$D$1,Dados!$I:$I,$J$4)</f>
        <v>0</v>
      </c>
      <c r="K182" s="81">
        <f>sumifs(Dados!$N:$N,Dados!$B:$B,B182,Dados!$J:$J,$D$1,Dados!$I:$I,$K$4)</f>
        <v>0</v>
      </c>
      <c r="L182" s="81">
        <f>sumifs(Dados!$N:$N,Dados!$B:$B,B182,Dados!$J:$J,$D$1,Dados!$I:$I,$L$4)</f>
        <v>0</v>
      </c>
      <c r="M182" s="81">
        <f>sumifs(Dados!$N:$N,Dados!$B:$B,B182,Dados!$J:$J,$D$1,Dados!$I:$I,$M$4)</f>
        <v>0</v>
      </c>
      <c r="N182" s="81">
        <f>sumifs(Dados!$N:$N,Dados!$B:$B,B182,Dados!$J:$J,$D$1,Dados!$I:$I,$N$4)</f>
        <v>0</v>
      </c>
      <c r="O182" s="81">
        <f>sumifs(Dados!$N:$N,Dados!$B:$B,B182,Dados!$J:$J,$D$1,Dados!$I:$I,$O$4)</f>
        <v>0</v>
      </c>
      <c r="P182" s="81">
        <f>sumifs(Dados!$N:$N,Dados!$B:$B,B182,Dados!$J:$J,$D$1,Dados!$I:$I,$P$4)</f>
        <v>0</v>
      </c>
      <c r="Q182" s="81"/>
    </row>
    <row r="183" ht="15.75" customHeight="1">
      <c r="A183" s="77"/>
      <c r="B183" s="77" t="s">
        <v>269</v>
      </c>
      <c r="C183" s="79"/>
      <c r="D183" s="80">
        <f t="shared" si="44"/>
        <v>0</v>
      </c>
      <c r="E183" s="81">
        <f>sumifs(Dados!$N:$N,Dados!$B:$B,B183,Dados!$J:$J,$D$1,Dados!$I:$I,$E$4)</f>
        <v>0</v>
      </c>
      <c r="F183" s="81">
        <f>sumifs(Dados!$N:$N,Dados!$B:$B,B183,Dados!$J:$J,$D$1,Dados!$I:$I,$F$4)</f>
        <v>0</v>
      </c>
      <c r="G183" s="81">
        <f>sumifs(Dados!$N:$N,Dados!$B:$B,B183,Dados!$J:$J,$D$1,Dados!$I:$I,$G$4)</f>
        <v>0</v>
      </c>
      <c r="H183" s="81">
        <f>sumifs(Dados!$N:$N,Dados!$B:$B,B183,Dados!$J:$J,$D$1,Dados!$I:$I,$H$4)</f>
        <v>0</v>
      </c>
      <c r="I183" s="81">
        <f>sumifs(Dados!$N:$N,Dados!$B:$B,B183,Dados!$J:$J,$D$1,Dados!$I:$I,$I$4)</f>
        <v>0</v>
      </c>
      <c r="J183" s="81">
        <f>sumifs(Dados!$N:$N,Dados!$B:$B,B183,Dados!$J:$J,$D$1,Dados!$I:$I,$J$4)</f>
        <v>0</v>
      </c>
      <c r="K183" s="81">
        <f>sumifs(Dados!$N:$N,Dados!$B:$B,B183,Dados!$J:$J,$D$1,Dados!$I:$I,$K$4)</f>
        <v>0</v>
      </c>
      <c r="L183" s="81">
        <f>sumifs(Dados!$N:$N,Dados!$B:$B,B183,Dados!$J:$J,$D$1,Dados!$I:$I,$L$4)</f>
        <v>0</v>
      </c>
      <c r="M183" s="81">
        <f>sumifs(Dados!$N:$N,Dados!$B:$B,B183,Dados!$J:$J,$D$1,Dados!$I:$I,$M$4)</f>
        <v>0</v>
      </c>
      <c r="N183" s="81">
        <f>sumifs(Dados!$N:$N,Dados!$B:$B,B183,Dados!$J:$J,$D$1,Dados!$I:$I,$N$4)</f>
        <v>0</v>
      </c>
      <c r="O183" s="81">
        <f>sumifs(Dados!$N:$N,Dados!$B:$B,B183,Dados!$J:$J,$D$1,Dados!$I:$I,$O$4)</f>
        <v>0</v>
      </c>
      <c r="P183" s="81">
        <f>sumifs(Dados!$N:$N,Dados!$B:$B,B183,Dados!$J:$J,$D$1,Dados!$I:$I,$P$4)</f>
        <v>0</v>
      </c>
      <c r="Q183" s="81"/>
    </row>
    <row r="184" ht="15.75" customHeight="1">
      <c r="A184" s="77"/>
      <c r="B184" s="77" t="s">
        <v>273</v>
      </c>
      <c r="C184" s="79"/>
      <c r="D184" s="80">
        <f t="shared" si="44"/>
        <v>0</v>
      </c>
      <c r="E184" s="81">
        <f>sumifs(Dados!$N:$N,Dados!$B:$B,B184,Dados!$J:$J,$D$1,Dados!$I:$I,$E$4)</f>
        <v>0</v>
      </c>
      <c r="F184" s="81">
        <f>sumifs(Dados!$N:$N,Dados!$B:$B,B184,Dados!$J:$J,$D$1,Dados!$I:$I,$F$4)</f>
        <v>0</v>
      </c>
      <c r="G184" s="81">
        <f>sumifs(Dados!$N:$N,Dados!$B:$B,B184,Dados!$J:$J,$D$1,Dados!$I:$I,$G$4)</f>
        <v>0</v>
      </c>
      <c r="H184" s="81">
        <f>sumifs(Dados!$N:$N,Dados!$B:$B,B184,Dados!$J:$J,$D$1,Dados!$I:$I,$H$4)</f>
        <v>0</v>
      </c>
      <c r="I184" s="81">
        <f>sumifs(Dados!$N:$N,Dados!$B:$B,B184,Dados!$J:$J,$D$1,Dados!$I:$I,$I$4)</f>
        <v>0</v>
      </c>
      <c r="J184" s="81">
        <f>sumifs(Dados!$N:$N,Dados!$B:$B,B184,Dados!$J:$J,$D$1,Dados!$I:$I,$J$4)</f>
        <v>0</v>
      </c>
      <c r="K184" s="81">
        <f>sumifs(Dados!$N:$N,Dados!$B:$B,B184,Dados!$J:$J,$D$1,Dados!$I:$I,$K$4)</f>
        <v>0</v>
      </c>
      <c r="L184" s="81">
        <f>sumifs(Dados!$N:$N,Dados!$B:$B,B184,Dados!$J:$J,$D$1,Dados!$I:$I,$L$4)</f>
        <v>0</v>
      </c>
      <c r="M184" s="81">
        <f>sumifs(Dados!$N:$N,Dados!$B:$B,B184,Dados!$J:$J,$D$1,Dados!$I:$I,$M$4)</f>
        <v>0</v>
      </c>
      <c r="N184" s="81">
        <f>sumifs(Dados!$N:$N,Dados!$B:$B,B184,Dados!$J:$J,$D$1,Dados!$I:$I,$N$4)</f>
        <v>0</v>
      </c>
      <c r="O184" s="81">
        <f>sumifs(Dados!$N:$N,Dados!$B:$B,B184,Dados!$J:$J,$D$1,Dados!$I:$I,$O$4)</f>
        <v>0</v>
      </c>
      <c r="P184" s="81">
        <f>sumifs(Dados!$N:$N,Dados!$B:$B,B184,Dados!$J:$J,$D$1,Dados!$I:$I,$P$4)</f>
        <v>0</v>
      </c>
      <c r="Q184" s="81"/>
    </row>
    <row r="185" ht="15.75" customHeight="1">
      <c r="A185" s="77"/>
      <c r="B185" s="77" t="s">
        <v>278</v>
      </c>
      <c r="C185" s="79"/>
      <c r="D185" s="80">
        <f t="shared" si="44"/>
        <v>0</v>
      </c>
      <c r="E185" s="81">
        <f>sumifs(Dados!$N:$N,Dados!$B:$B,$B$185,Dados!$J:$J,$D$1,Dados!$I:$I,E4)</f>
        <v>0</v>
      </c>
      <c r="F185" s="81">
        <f>sumifs(Dados!$N:$N,Dados!$B:$B,$B$185,Dados!$J:$J,$D$1,Dados!$I:$I,F4)</f>
        <v>0</v>
      </c>
      <c r="G185" s="81">
        <f>sumifs(Dados!$N:$N,Dados!$B:$B,$B$185,Dados!$J:$J,$D$1,Dados!$I:$I,G4)</f>
        <v>0</v>
      </c>
      <c r="H185" s="81">
        <f>sumifs(Dados!$N:$N,Dados!$B:$B,$B$185,Dados!$J:$J,$D$1,Dados!$I:$I,H4)</f>
        <v>0</v>
      </c>
      <c r="I185" s="81">
        <f>sumifs(Dados!$N:$N,Dados!$B:$B,$B$185,Dados!$J:$J,$D$1,Dados!$I:$I,I4)</f>
        <v>0</v>
      </c>
      <c r="J185" s="81">
        <f>sumifs(Dados!$N:$N,Dados!$B:$B,$B$185,Dados!$J:$J,$D$1,Dados!$I:$I,J4)</f>
        <v>0</v>
      </c>
      <c r="K185" s="81">
        <f>sumifs(Dados!$N:$N,Dados!$B:$B,$B$185,Dados!$J:$J,$D$1,Dados!$I:$I,K4)</f>
        <v>0</v>
      </c>
      <c r="L185" s="81">
        <f>sumifs(Dados!$N:$N,Dados!$B:$B,$B$185,Dados!$J:$J,$D$1,Dados!$I:$I,L4)</f>
        <v>0</v>
      </c>
      <c r="M185" s="81">
        <f>sumifs(Dados!$N:$N,Dados!$B:$B,$B$185,Dados!$J:$J,$D$1,Dados!$I:$I,M4)</f>
        <v>0</v>
      </c>
      <c r="N185" s="81">
        <f>sumifs(Dados!$N:$N,Dados!$B:$B,$B$185,Dados!$J:$J,$D$1,Dados!$I:$I,N4)</f>
        <v>0</v>
      </c>
      <c r="O185" s="81">
        <f>sumifs(Dados!$N:$N,Dados!$B:$B,$B$185,Dados!$J:$J,$D$1,Dados!$I:$I,O4)</f>
        <v>0</v>
      </c>
      <c r="P185" s="81">
        <f>sumifs(Dados!$N:$N,Dados!$B:$B,$B$185,Dados!$J:$J,$D$1,Dados!$I:$I,P4)</f>
        <v>0</v>
      </c>
      <c r="Q185" s="81"/>
    </row>
    <row r="186" ht="15.75" customHeight="1">
      <c r="A186" s="77"/>
      <c r="B186" s="77" t="s">
        <v>285</v>
      </c>
      <c r="C186" s="79"/>
      <c r="D186" s="80">
        <f t="shared" si="44"/>
        <v>0</v>
      </c>
      <c r="E186" s="81">
        <f>sumifs(Dados!$N:$N,Dados!$B:$B,B186,Dados!$J:$J,$D$1,Dados!$I:$I,$E$4)</f>
        <v>0</v>
      </c>
      <c r="F186" s="81">
        <f>sumifs(Dados!$N:$N,Dados!$B:$B,B186,Dados!$J:$J,$D$1,Dados!$I:$I,$F$4)</f>
        <v>0</v>
      </c>
      <c r="G186" s="81">
        <f>sumifs(Dados!$N:$N,Dados!$B:$B,B186,Dados!$J:$J,$D$1,Dados!$I:$I,$G$4)</f>
        <v>0</v>
      </c>
      <c r="H186" s="81">
        <f>sumifs(Dados!$N:$N,Dados!$B:$B,B186,Dados!$J:$J,$D$1,Dados!$I:$I,$H$4)</f>
        <v>0</v>
      </c>
      <c r="I186" s="81">
        <f>sumifs(Dados!$N:$N,Dados!$B:$B,B186,Dados!$J:$J,$D$1,Dados!$I:$I,$I$4)</f>
        <v>0</v>
      </c>
      <c r="J186" s="81">
        <f>sumifs(Dados!$N:$N,Dados!$B:$B,B186,Dados!$J:$J,$D$1,Dados!$I:$I,$J$4)</f>
        <v>0</v>
      </c>
      <c r="K186" s="81">
        <f>sumifs(Dados!$N:$N,Dados!$B:$B,B186,Dados!$J:$J,$D$1,Dados!$I:$I,$K$4)</f>
        <v>0</v>
      </c>
      <c r="L186" s="81">
        <f>sumifs(Dados!$N:$N,Dados!$B:$B,B186,Dados!$J:$J,$D$1,Dados!$I:$I,$L$4)</f>
        <v>0</v>
      </c>
      <c r="M186" s="81">
        <f>sumifs(Dados!$N:$N,Dados!$B:$B,B186,Dados!$J:$J,$D$1,Dados!$I:$I,$M$4)</f>
        <v>0</v>
      </c>
      <c r="N186" s="81">
        <f>sumifs(Dados!$N:$N,Dados!$B:$B,B186,Dados!$J:$J,$D$1,Dados!$I:$I,$N$4)</f>
        <v>0</v>
      </c>
      <c r="O186" s="81">
        <f>sumifs(Dados!$N:$N,Dados!$B:$B,B186,Dados!$J:$J,$D$1,Dados!$I:$I,$O$4)</f>
        <v>0</v>
      </c>
      <c r="P186" s="81">
        <f>sumifs(Dados!$N:$N,Dados!$B:$B,B186,Dados!$J:$J,$D$1,Dados!$I:$I,$P$4)</f>
        <v>0</v>
      </c>
      <c r="Q186" s="81"/>
    </row>
    <row r="187" ht="15.75" customHeight="1">
      <c r="A187" s="109" t="s">
        <v>290</v>
      </c>
      <c r="B187" s="100">
        <f>sumifs(Dados!$N:$N,Dados!$A:$A,A187,Dados!$H:$H,$D$1)</f>
        <v>108.6</v>
      </c>
      <c r="C187" s="101">
        <f>B187-D187</f>
        <v>0</v>
      </c>
      <c r="D187" s="100">
        <f t="shared" ref="D187:P187" si="45">SUM(D179:D186)</f>
        <v>108.6</v>
      </c>
      <c r="E187" s="100">
        <f t="shared" si="45"/>
        <v>0</v>
      </c>
      <c r="F187" s="100">
        <f t="shared" si="45"/>
        <v>0</v>
      </c>
      <c r="G187" s="100">
        <f t="shared" si="45"/>
        <v>0</v>
      </c>
      <c r="H187" s="100">
        <f t="shared" si="45"/>
        <v>0</v>
      </c>
      <c r="I187" s="100">
        <f t="shared" si="45"/>
        <v>0</v>
      </c>
      <c r="J187" s="100">
        <f t="shared" si="45"/>
        <v>0</v>
      </c>
      <c r="K187" s="100">
        <f t="shared" si="45"/>
        <v>108.6</v>
      </c>
      <c r="L187" s="100">
        <f t="shared" si="45"/>
        <v>0</v>
      </c>
      <c r="M187" s="100">
        <f t="shared" si="45"/>
        <v>0</v>
      </c>
      <c r="N187" s="100">
        <f t="shared" si="45"/>
        <v>0</v>
      </c>
      <c r="O187" s="100">
        <f t="shared" si="45"/>
        <v>0</v>
      </c>
      <c r="P187" s="100">
        <f t="shared" si="45"/>
        <v>0</v>
      </c>
      <c r="Q187" s="100"/>
    </row>
    <row r="188" ht="15.75" customHeight="1">
      <c r="A188" s="77"/>
      <c r="B188" s="77" t="s">
        <v>291</v>
      </c>
      <c r="C188" s="79"/>
      <c r="D188" s="80">
        <f t="shared" ref="D188:D197" si="46">SUM(E188:P188)</f>
        <v>219.22</v>
      </c>
      <c r="E188" s="81">
        <f>sumifs(Dados!$N:$N,Dados!$B:$B,B188,Dados!$J:$J,$D$1,Dados!$I:$I,$E$4)</f>
        <v>0</v>
      </c>
      <c r="F188" s="81">
        <f>sumifs(Dados!$N:$N,Dados!$B:$B,B188,Dados!$J:$J,$D$1,Dados!$I:$I,$F$4)</f>
        <v>0</v>
      </c>
      <c r="G188" s="81">
        <f>sumifs(Dados!$N:$N,Dados!$B:$B,B188,Dados!$J:$J,$D$1,Dados!$I:$I,$G$4)</f>
        <v>0</v>
      </c>
      <c r="H188" s="81">
        <f>sumifs(Dados!$N:$N,Dados!$B:$B,B188,Dados!$J:$J,$D$1,Dados!$I:$I,$H$4)</f>
        <v>0</v>
      </c>
      <c r="I188" s="81">
        <f>sumifs(Dados!$N:$N,Dados!$B:$B,B188,Dados!$J:$J,$D$1,Dados!$I:$I,$I$4)</f>
        <v>140.19</v>
      </c>
      <c r="J188" s="81">
        <f>sumifs(Dados!$N:$N,Dados!$B:$B,B188,Dados!$J:$J,$D$1,Dados!$I:$I,$J$4)</f>
        <v>79.03</v>
      </c>
      <c r="K188" s="81">
        <f>sumifs(Dados!$N:$N,Dados!$B:$B,B188,Dados!$J:$J,$D$1,Dados!$I:$I,$K$4)</f>
        <v>0</v>
      </c>
      <c r="L188" s="81">
        <f>sumifs(Dados!$N:$N,Dados!$B:$B,B188,Dados!$J:$J,$D$1,Dados!$I:$I,$L$4)</f>
        <v>0</v>
      </c>
      <c r="M188" s="81">
        <f>sumifs(Dados!$N:$N,Dados!$B:$B,B188,Dados!$J:$J,$D$1,Dados!$I:$I,$M$4)</f>
        <v>0</v>
      </c>
      <c r="N188" s="81">
        <f>sumifs(Dados!$N:$N,Dados!$B:$B,B188,Dados!$J:$J,$D$1,Dados!$I:$I,$N$4)</f>
        <v>0</v>
      </c>
      <c r="O188" s="81">
        <f>sumifs(Dados!$N:$N,Dados!$B:$B,B188,Dados!$J:$J,$D$1,Dados!$I:$I,$O$4)</f>
        <v>0</v>
      </c>
      <c r="P188" s="81">
        <f>sumifs(Dados!$N:$N,Dados!$B:$B,B188,Dados!$J:$J,$D$1,Dados!$I:$I,$P$4)</f>
        <v>0</v>
      </c>
      <c r="Q188" s="81"/>
    </row>
    <row r="189" ht="15.75" customHeight="1">
      <c r="A189" s="77"/>
      <c r="B189" s="77" t="s">
        <v>292</v>
      </c>
      <c r="C189" s="79"/>
      <c r="D189" s="80">
        <f t="shared" si="46"/>
        <v>0</v>
      </c>
      <c r="E189" s="81">
        <f>sumifs(Dados!$N:$N,Dados!$B:$B,B189,Dados!$J:$J,$D$1,Dados!$I:$I,$E$4)</f>
        <v>0</v>
      </c>
      <c r="F189" s="81">
        <f>sumifs(Dados!$N:$N,Dados!$B:$B,B189,Dados!$J:$J,$D$1,Dados!$I:$I,$F$4)</f>
        <v>0</v>
      </c>
      <c r="G189" s="81">
        <f>sumifs(Dados!$N:$N,Dados!$B:$B,B189,Dados!$J:$J,$D$1,Dados!$I:$I,$G$4)</f>
        <v>0</v>
      </c>
      <c r="H189" s="81">
        <f>sumifs(Dados!$N:$N,Dados!$B:$B,B189,Dados!$J:$J,$D$1,Dados!$I:$I,$H$4)</f>
        <v>0</v>
      </c>
      <c r="I189" s="81">
        <f>sumifs(Dados!$N:$N,Dados!$B:$B,B189,Dados!$J:$J,$D$1,Dados!$I:$I,$I$4)</f>
        <v>0</v>
      </c>
      <c r="J189" s="81">
        <f>sumifs(Dados!$N:$N,Dados!$B:$B,B189,Dados!$J:$J,$D$1,Dados!$I:$I,$J$4)</f>
        <v>0</v>
      </c>
      <c r="K189" s="81">
        <f>sumifs(Dados!$N:$N,Dados!$B:$B,B189,Dados!$J:$J,$D$1,Dados!$I:$I,$K$4)</f>
        <v>0</v>
      </c>
      <c r="L189" s="81">
        <f>sumifs(Dados!$N:$N,Dados!$B:$B,B189,Dados!$J:$J,$D$1,Dados!$I:$I,$L$4)</f>
        <v>0</v>
      </c>
      <c r="M189" s="81">
        <f>sumifs(Dados!$N:$N,Dados!$B:$B,B189,Dados!$J:$J,$D$1,Dados!$I:$I,$M$4)</f>
        <v>0</v>
      </c>
      <c r="N189" s="81">
        <f>sumifs(Dados!$N:$N,Dados!$B:$B,B189,Dados!$J:$J,$D$1,Dados!$I:$I,$N$4)</f>
        <v>0</v>
      </c>
      <c r="O189" s="81">
        <f>sumifs(Dados!$N:$N,Dados!$B:$B,B189,Dados!$J:$J,$D$1,Dados!$I:$I,$O$4)</f>
        <v>0</v>
      </c>
      <c r="P189" s="81">
        <f>sumifs(Dados!$N:$N,Dados!$B:$B,B189,Dados!$J:$J,$D$1,Dados!$I:$I,$P$4)</f>
        <v>0</v>
      </c>
      <c r="Q189" s="81"/>
    </row>
    <row r="190" ht="15.75" customHeight="1">
      <c r="A190" s="77"/>
      <c r="B190" s="77" t="s">
        <v>293</v>
      </c>
      <c r="C190" s="79"/>
      <c r="D190" s="80">
        <f t="shared" si="46"/>
        <v>0</v>
      </c>
      <c r="E190" s="81">
        <f>sumifs(Dados!$N:$N,Dados!$B:$B,B190,Dados!$J:$J,$D$1,Dados!$I:$I,$E$4)</f>
        <v>0</v>
      </c>
      <c r="F190" s="81">
        <f>sumifs(Dados!$N:$N,Dados!$B:$B,B190,Dados!$J:$J,$D$1,Dados!$I:$I,$F$4)</f>
        <v>0</v>
      </c>
      <c r="G190" s="81">
        <f>sumifs(Dados!$N:$N,Dados!$B:$B,B190,Dados!$J:$J,$D$1,Dados!$I:$I,$G$4)</f>
        <v>0</v>
      </c>
      <c r="H190" s="81">
        <f>sumifs(Dados!$N:$N,Dados!$B:$B,B190,Dados!$J:$J,$D$1,Dados!$I:$I,$H$4)</f>
        <v>0</v>
      </c>
      <c r="I190" s="81">
        <f>sumifs(Dados!$N:$N,Dados!$B:$B,B190,Dados!$J:$J,$D$1,Dados!$I:$I,$I$4)</f>
        <v>0</v>
      </c>
      <c r="J190" s="81">
        <f>sumifs(Dados!$N:$N,Dados!$B:$B,B190,Dados!$J:$J,$D$1,Dados!$I:$I,$J$4)</f>
        <v>0</v>
      </c>
      <c r="K190" s="81">
        <f>sumifs(Dados!$N:$N,Dados!$B:$B,B190,Dados!$J:$J,$D$1,Dados!$I:$I,$K$4)</f>
        <v>0</v>
      </c>
      <c r="L190" s="81">
        <f>sumifs(Dados!$N:$N,Dados!$B:$B,B190,Dados!$J:$J,$D$1,Dados!$I:$I,$L$4)</f>
        <v>0</v>
      </c>
      <c r="M190" s="81">
        <f>sumifs(Dados!$N:$N,Dados!$B:$B,B190,Dados!$J:$J,$D$1,Dados!$I:$I,$M$4)</f>
        <v>0</v>
      </c>
      <c r="N190" s="81">
        <f>sumifs(Dados!$N:$N,Dados!$B:$B,B190,Dados!$J:$J,$D$1,Dados!$I:$I,$N$4)</f>
        <v>0</v>
      </c>
      <c r="O190" s="81">
        <f>sumifs(Dados!$N:$N,Dados!$B:$B,B190,Dados!$J:$J,$D$1,Dados!$I:$I,$O$4)</f>
        <v>0</v>
      </c>
      <c r="P190" s="81">
        <f>sumifs(Dados!$N:$N,Dados!$B:$B,B190,Dados!$J:$J,$D$1,Dados!$I:$I,$P$4)</f>
        <v>0</v>
      </c>
      <c r="Q190" s="81"/>
    </row>
    <row r="191" ht="15.75" customHeight="1">
      <c r="A191" s="77"/>
      <c r="B191" s="77" t="s">
        <v>294</v>
      </c>
      <c r="C191" s="79"/>
      <c r="D191" s="80">
        <f t="shared" si="46"/>
        <v>0</v>
      </c>
      <c r="E191" s="81">
        <f>sumifs(Dados!$N:$N,Dados!$B:$B,B191,Dados!$J:$J,$D$1,Dados!$I:$I,$E$4)</f>
        <v>0</v>
      </c>
      <c r="F191" s="81">
        <f>sumifs(Dados!$N:$N,Dados!$B:$B,B191,Dados!$J:$J,$D$1,Dados!$I:$I,$F$4)</f>
        <v>0</v>
      </c>
      <c r="G191" s="81">
        <f>sumifs(Dados!$N:$N,Dados!$B:$B,B191,Dados!$J:$J,$D$1,Dados!$I:$I,$G$4)</f>
        <v>0</v>
      </c>
      <c r="H191" s="81">
        <f>sumifs(Dados!$N:$N,Dados!$B:$B,B191,Dados!$J:$J,$D$1,Dados!$I:$I,$H$4)</f>
        <v>0</v>
      </c>
      <c r="I191" s="81">
        <f>sumifs(Dados!$N:$N,Dados!$B:$B,B191,Dados!$J:$J,$D$1,Dados!$I:$I,$I$4)</f>
        <v>0</v>
      </c>
      <c r="J191" s="81">
        <f>sumifs(Dados!$N:$N,Dados!$B:$B,B191,Dados!$J:$J,$D$1,Dados!$I:$I,$J$4)</f>
        <v>0</v>
      </c>
      <c r="K191" s="81">
        <f>sumifs(Dados!$N:$N,Dados!$B:$B,B191,Dados!$J:$J,$D$1,Dados!$I:$I,$K$4)</f>
        <v>0</v>
      </c>
      <c r="L191" s="81">
        <f>sumifs(Dados!$N:$N,Dados!$B:$B,B191,Dados!$J:$J,$D$1,Dados!$I:$I,$L$4)</f>
        <v>0</v>
      </c>
      <c r="M191" s="81">
        <f>sumifs(Dados!$N:$N,Dados!$B:$B,B191,Dados!$J:$J,$D$1,Dados!$I:$I,$M$4)</f>
        <v>0</v>
      </c>
      <c r="N191" s="81">
        <f>sumifs(Dados!$N:$N,Dados!$B:$B,B191,Dados!$J:$J,$D$1,Dados!$I:$I,$N$4)</f>
        <v>0</v>
      </c>
      <c r="O191" s="81">
        <f>sumifs(Dados!$N:$N,Dados!$B:$B,B191,Dados!$J:$J,$D$1,Dados!$I:$I,$O$4)</f>
        <v>0</v>
      </c>
      <c r="P191" s="81">
        <f>sumifs(Dados!$N:$N,Dados!$B:$B,B191,Dados!$J:$J,$D$1,Dados!$I:$I,$P$4)</f>
        <v>0</v>
      </c>
      <c r="Q191" s="81"/>
    </row>
    <row r="192" ht="15.75" customHeight="1">
      <c r="A192" s="142"/>
      <c r="B192" s="142" t="s">
        <v>295</v>
      </c>
      <c r="C192" s="79"/>
      <c r="D192" s="80">
        <f t="shared" si="46"/>
        <v>0</v>
      </c>
      <c r="E192" s="81">
        <f>sumifs(Dados!$N:$N,Dados!$B:$B,B192,Dados!$J:$J,$D$1,Dados!$I:$I,$E$4)</f>
        <v>0</v>
      </c>
      <c r="F192" s="81">
        <f>sumifs(Dados!$N:$N,Dados!$B:$B,B192,Dados!$J:$J,$D$1,Dados!$I:$I,$F$4)</f>
        <v>0</v>
      </c>
      <c r="G192" s="81">
        <f>sumifs(Dados!$N:$N,Dados!$B:$B,B192,Dados!$J:$J,$D$1,Dados!$I:$I,$G$4)</f>
        <v>0</v>
      </c>
      <c r="H192" s="81">
        <f>sumifs(Dados!$N:$N,Dados!$B:$B,B192,Dados!$J:$J,$D$1,Dados!$I:$I,$H$4)</f>
        <v>0</v>
      </c>
      <c r="I192" s="81">
        <f>sumifs(Dados!$N:$N,Dados!$B:$B,B192,Dados!$J:$J,$D$1,Dados!$I:$I,$I$4)</f>
        <v>0</v>
      </c>
      <c r="J192" s="81">
        <f>sumifs(Dados!$N:$N,Dados!$B:$B,B192,Dados!$J:$J,$D$1,Dados!$I:$I,$J$4)</f>
        <v>0</v>
      </c>
      <c r="K192" s="81">
        <f>sumifs(Dados!$N:$N,Dados!$B:$B,B192,Dados!$J:$J,$D$1,Dados!$I:$I,$K$4)</f>
        <v>0</v>
      </c>
      <c r="L192" s="81">
        <f>sumifs(Dados!$N:$N,Dados!$B:$B,B192,Dados!$J:$J,$D$1,Dados!$I:$I,$L$4)</f>
        <v>0</v>
      </c>
      <c r="M192" s="81">
        <f>sumifs(Dados!$N:$N,Dados!$B:$B,B192,Dados!$J:$J,$D$1,Dados!$I:$I,$M$4)</f>
        <v>0</v>
      </c>
      <c r="N192" s="81">
        <f>sumifs(Dados!$N:$N,Dados!$B:$B,B192,Dados!$J:$J,$D$1,Dados!$I:$I,$N$4)</f>
        <v>0</v>
      </c>
      <c r="O192" s="81">
        <f>sumifs(Dados!$N:$N,Dados!$B:$B,B192,Dados!$J:$J,$D$1,Dados!$I:$I,$O$4)</f>
        <v>0</v>
      </c>
      <c r="P192" s="81">
        <f>sumifs(Dados!$N:$N,Dados!$B:$B,B192,Dados!$J:$J,$D$1,Dados!$I:$I,$P$4)</f>
        <v>0</v>
      </c>
      <c r="Q192" s="81"/>
    </row>
    <row r="193" ht="15.75" customHeight="1">
      <c r="A193" s="142"/>
      <c r="B193" s="142" t="s">
        <v>296</v>
      </c>
      <c r="C193" s="79"/>
      <c r="D193" s="80">
        <f t="shared" si="46"/>
        <v>0</v>
      </c>
      <c r="E193" s="81">
        <f>sumifs(Dados!$N:$N,Dados!$B:$B,B193,Dados!$J:$J,$D$1,Dados!$I:$I,$E$4)</f>
        <v>0</v>
      </c>
      <c r="F193" s="81">
        <f>sumifs(Dados!$N:$N,Dados!$B:$B,B193,Dados!$J:$J,$D$1,Dados!$I:$I,$F$4)</f>
        <v>0</v>
      </c>
      <c r="G193" s="81">
        <f>sumifs(Dados!$N:$N,Dados!$B:$B,B193,Dados!$J:$J,$D$1,Dados!$I:$I,$G$4)</f>
        <v>0</v>
      </c>
      <c r="H193" s="81">
        <f>sumifs(Dados!$N:$N,Dados!$B:$B,B193,Dados!$J:$J,$D$1,Dados!$I:$I,$H$4)</f>
        <v>0</v>
      </c>
      <c r="I193" s="81">
        <f>sumifs(Dados!$N:$N,Dados!$B:$B,B193,Dados!$J:$J,$D$1,Dados!$I:$I,$I$4)</f>
        <v>0</v>
      </c>
      <c r="J193" s="81">
        <f>sumifs(Dados!$N:$N,Dados!$B:$B,B193,Dados!$J:$J,$D$1,Dados!$I:$I,$J$4)</f>
        <v>0</v>
      </c>
      <c r="K193" s="81">
        <f>sumifs(Dados!$N:$N,Dados!$B:$B,B193,Dados!$J:$J,$D$1,Dados!$I:$I,$K$4)</f>
        <v>0</v>
      </c>
      <c r="L193" s="81">
        <f>sumifs(Dados!$N:$N,Dados!$B:$B,B193,Dados!$J:$J,$D$1,Dados!$I:$I,$L$4)</f>
        <v>0</v>
      </c>
      <c r="M193" s="81">
        <f>sumifs(Dados!$N:$N,Dados!$B:$B,B193,Dados!$J:$J,$D$1,Dados!$I:$I,$M$4)</f>
        <v>0</v>
      </c>
      <c r="N193" s="81">
        <f>sumifs(Dados!$N:$N,Dados!$B:$B,B193,Dados!$J:$J,$D$1,Dados!$I:$I,$N$4)</f>
        <v>0</v>
      </c>
      <c r="O193" s="81">
        <f>sumifs(Dados!$N:$N,Dados!$B:$B,B193,Dados!$J:$J,$D$1,Dados!$I:$I,$O$4)</f>
        <v>0</v>
      </c>
      <c r="P193" s="81">
        <f>sumifs(Dados!$N:$N,Dados!$B:$B,B193,Dados!$J:$J,$D$1,Dados!$I:$I,$P$4)</f>
        <v>0</v>
      </c>
      <c r="Q193" s="81"/>
    </row>
    <row r="194" ht="15.75" customHeight="1">
      <c r="A194" s="77"/>
      <c r="B194" s="77" t="s">
        <v>297</v>
      </c>
      <c r="C194" s="79"/>
      <c r="D194" s="80">
        <f t="shared" si="46"/>
        <v>42.98</v>
      </c>
      <c r="E194" s="81">
        <f>sumifs(Dados!$N:$N,Dados!$B:$B,B194,Dados!$J:$J,$D$1,Dados!$I:$I,$E$4)</f>
        <v>0</v>
      </c>
      <c r="F194" s="81">
        <f>sumifs(Dados!$N:$N,Dados!$B:$B,B194,Dados!$J:$J,$D$1,Dados!$I:$I,$F$4)</f>
        <v>0</v>
      </c>
      <c r="G194" s="81">
        <f>sumifs(Dados!$N:$N,Dados!$B:$B,B194,Dados!$J:$J,$D$1,Dados!$I:$I,$G$4)</f>
        <v>0</v>
      </c>
      <c r="H194" s="81">
        <f>sumifs(Dados!$N:$N,Dados!$B:$B,B194,Dados!$J:$J,$D$1,Dados!$I:$I,$H$4)</f>
        <v>21.49</v>
      </c>
      <c r="I194" s="81">
        <f>sumifs(Dados!$N:$N,Dados!$B:$B,B194,Dados!$J:$J,$D$1,Dados!$I:$I,$I$4)</f>
        <v>21.49</v>
      </c>
      <c r="J194" s="81">
        <f>sumifs(Dados!$N:$N,Dados!$B:$B,B194,Dados!$J:$J,$D$1,Dados!$I:$I,$J$4)</f>
        <v>0</v>
      </c>
      <c r="K194" s="81">
        <f>sumifs(Dados!$N:$N,Dados!$B:$B,B194,Dados!$J:$J,$D$1,Dados!$I:$I,$K$4)</f>
        <v>0</v>
      </c>
      <c r="L194" s="81">
        <f>sumifs(Dados!$N:$N,Dados!$B:$B,B194,Dados!$J:$J,$D$1,Dados!$I:$I,$L$4)</f>
        <v>0</v>
      </c>
      <c r="M194" s="81">
        <f>sumifs(Dados!$N:$N,Dados!$B:$B,B194,Dados!$J:$J,$D$1,Dados!$I:$I,$M$4)</f>
        <v>0</v>
      </c>
      <c r="N194" s="81">
        <f>sumifs(Dados!$N:$N,Dados!$B:$B,B194,Dados!$J:$J,$D$1,Dados!$I:$I,$N$4)</f>
        <v>0</v>
      </c>
      <c r="O194" s="81">
        <f>sumifs(Dados!$N:$N,Dados!$B:$B,B194,Dados!$J:$J,$D$1,Dados!$I:$I,$O$4)</f>
        <v>0</v>
      </c>
      <c r="P194" s="81">
        <f>sumifs(Dados!$N:$N,Dados!$B:$B,B194,Dados!$J:$J,$D$1,Dados!$I:$I,$P$4)</f>
        <v>0</v>
      </c>
      <c r="Q194" s="81"/>
    </row>
    <row r="195" ht="15.75" customHeight="1">
      <c r="A195" s="77"/>
      <c r="B195" s="77" t="s">
        <v>298</v>
      </c>
      <c r="C195" s="79"/>
      <c r="D195" s="80">
        <f t="shared" si="46"/>
        <v>280.98</v>
      </c>
      <c r="E195" s="81">
        <f>sumifs(Dados!$N:$N,Dados!$B:$B,B195,Dados!$J:$J,$D$1,Dados!$I:$I,$E$4)</f>
        <v>0</v>
      </c>
      <c r="F195" s="81">
        <f>sumifs(Dados!$N:$N,Dados!$B:$B,B195,Dados!$J:$J,$D$1,Dados!$I:$I,$F$4)</f>
        <v>0</v>
      </c>
      <c r="G195" s="81">
        <f>sumifs(Dados!$N:$N,Dados!$B:$B,B195,Dados!$J:$J,$D$1,Dados!$I:$I,$G$4)</f>
        <v>0</v>
      </c>
      <c r="H195" s="81">
        <f>sumifs(Dados!$N:$N,Dados!$B:$B,B195,Dados!$J:$J,$D$1,Dados!$I:$I,$H$4)</f>
        <v>96.12</v>
      </c>
      <c r="I195" s="81">
        <f>sumifs(Dados!$N:$N,Dados!$B:$B,B195,Dados!$J:$J,$D$1,Dados!$I:$I,$I$4)</f>
        <v>184.86</v>
      </c>
      <c r="J195" s="81">
        <f>sumifs(Dados!$N:$N,Dados!$B:$B,B195,Dados!$J:$J,$D$1,Dados!$I:$I,$J$4)</f>
        <v>0</v>
      </c>
      <c r="K195" s="81">
        <f>sumifs(Dados!$N:$N,Dados!$B:$B,B195,Dados!$J:$J,$D$1,Dados!$I:$I,$K$4)</f>
        <v>0</v>
      </c>
      <c r="L195" s="81">
        <f>sumifs(Dados!$N:$N,Dados!$B:$B,B195,Dados!$J:$J,$D$1,Dados!$I:$I,$L$4)</f>
        <v>0</v>
      </c>
      <c r="M195" s="81">
        <f>sumifs(Dados!$N:$N,Dados!$B:$B,B195,Dados!$J:$J,$D$1,Dados!$I:$I,$M$4)</f>
        <v>0</v>
      </c>
      <c r="N195" s="81">
        <f>sumifs(Dados!$N:$N,Dados!$B:$B,B195,Dados!$J:$J,$D$1,Dados!$I:$I,$N$4)</f>
        <v>0</v>
      </c>
      <c r="O195" s="81">
        <f>sumifs(Dados!$N:$N,Dados!$B:$B,B195,Dados!$J:$J,$D$1,Dados!$I:$I,$O$4)</f>
        <v>0</v>
      </c>
      <c r="P195" s="81">
        <f>sumifs(Dados!$N:$N,Dados!$B:$B,B195,Dados!$J:$J,$D$1,Dados!$I:$I,$P$4)</f>
        <v>0</v>
      </c>
      <c r="Q195" s="81"/>
    </row>
    <row r="196" ht="15.75" customHeight="1">
      <c r="A196" s="77"/>
      <c r="B196" s="77" t="s">
        <v>299</v>
      </c>
      <c r="C196" s="79"/>
      <c r="D196" s="80">
        <f t="shared" si="46"/>
        <v>0</v>
      </c>
      <c r="E196" s="81">
        <f>sumifs(Dados!$N:$N,Dados!$B:$B,B196,Dados!$J:$J,$D$1,Dados!$I:$I,$E$4)</f>
        <v>0</v>
      </c>
      <c r="F196" s="81">
        <f>sumifs(Dados!$N:$N,Dados!$B:$B,B196,Dados!$J:$J,$D$1,Dados!$I:$I,$F$4)</f>
        <v>0</v>
      </c>
      <c r="G196" s="81">
        <f>sumifs(Dados!$N:$N,Dados!$B:$B,B196,Dados!$J:$J,$D$1,Dados!$I:$I,$G$4)</f>
        <v>0</v>
      </c>
      <c r="H196" s="81">
        <f>sumifs(Dados!$N:$N,Dados!$B:$B,B196,Dados!$J:$J,$D$1,Dados!$I:$I,$H$4)</f>
        <v>0</v>
      </c>
      <c r="I196" s="81">
        <f>sumifs(Dados!$N:$N,Dados!$B:$B,B196,Dados!$J:$J,$D$1,Dados!$I:$I,$I$4)</f>
        <v>0</v>
      </c>
      <c r="J196" s="81">
        <f>sumifs(Dados!$N:$N,Dados!$B:$B,B196,Dados!$J:$J,$D$1,Dados!$I:$I,$J$4)</f>
        <v>0</v>
      </c>
      <c r="K196" s="81">
        <f>sumifs(Dados!$N:$N,Dados!$B:$B,B196,Dados!$J:$J,$D$1,Dados!$I:$I,$K$4)</f>
        <v>0</v>
      </c>
      <c r="L196" s="81">
        <f>sumifs(Dados!$N:$N,Dados!$B:$B,B196,Dados!$J:$J,$D$1,Dados!$I:$I,$L$4)</f>
        <v>0</v>
      </c>
      <c r="M196" s="81">
        <f>sumifs(Dados!$N:$N,Dados!$B:$B,B196,Dados!$J:$J,$D$1,Dados!$I:$I,$M$4)</f>
        <v>0</v>
      </c>
      <c r="N196" s="81">
        <f>sumifs(Dados!$N:$N,Dados!$B:$B,B196,Dados!$J:$J,$D$1,Dados!$I:$I,$N$4)</f>
        <v>0</v>
      </c>
      <c r="O196" s="81">
        <f>sumifs(Dados!$N:$N,Dados!$B:$B,B196,Dados!$J:$J,$D$1,Dados!$I:$I,$O$4)</f>
        <v>0</v>
      </c>
      <c r="P196" s="81">
        <f>sumifs(Dados!$N:$N,Dados!$B:$B,B196,Dados!$J:$J,$D$1,Dados!$I:$I,$P$4)</f>
        <v>0</v>
      </c>
      <c r="Q196" s="81"/>
    </row>
    <row r="197" ht="15.75" customHeight="1">
      <c r="A197" s="77"/>
      <c r="B197" s="77" t="s">
        <v>300</v>
      </c>
      <c r="C197" s="79"/>
      <c r="D197" s="80">
        <f t="shared" si="46"/>
        <v>0</v>
      </c>
      <c r="E197" s="81">
        <f>sumifs(Dados!$N:$N,Dados!$B:$B,B197,Dados!$J:$J,$D$1,Dados!$I:$I,$E$4)</f>
        <v>0</v>
      </c>
      <c r="F197" s="81">
        <f>sumifs(Dados!$N:$N,Dados!$B:$B,B197,Dados!$J:$J,$D$1,Dados!$I:$I,$F$4)</f>
        <v>0</v>
      </c>
      <c r="G197" s="81">
        <f>sumifs(Dados!$N:$N,Dados!$B:$B,B197,Dados!$J:$J,$D$1,Dados!$I:$I,$G$4)</f>
        <v>0</v>
      </c>
      <c r="H197" s="81">
        <f>sumifs(Dados!$N:$N,Dados!$B:$B,B197,Dados!$J:$J,$D$1,Dados!$I:$I,$H$4)</f>
        <v>0</v>
      </c>
      <c r="I197" s="81">
        <f>sumifs(Dados!$N:$N,Dados!$B:$B,B197,Dados!$J:$J,$D$1,Dados!$I:$I,$I$4)</f>
        <v>0</v>
      </c>
      <c r="J197" s="81">
        <f>sumifs(Dados!$N:$N,Dados!$B:$B,B197,Dados!$J:$J,$D$1,Dados!$I:$I,$J$4)</f>
        <v>0</v>
      </c>
      <c r="K197" s="81">
        <f>sumifs(Dados!$N:$N,Dados!$B:$B,B197,Dados!$J:$J,$D$1,Dados!$I:$I,$K$4)</f>
        <v>0</v>
      </c>
      <c r="L197" s="81">
        <f>sumifs(Dados!$N:$N,Dados!$B:$B,B197,Dados!$J:$J,$D$1,Dados!$I:$I,$L$4)</f>
        <v>0</v>
      </c>
      <c r="M197" s="81">
        <f>sumifs(Dados!$N:$N,Dados!$B:$B,B197,Dados!$J:$J,$D$1,Dados!$I:$I,$M$4)</f>
        <v>0</v>
      </c>
      <c r="N197" s="81">
        <f>sumifs(Dados!$N:$N,Dados!$B:$B,B197,Dados!$J:$J,$D$1,Dados!$I:$I,$N$4)</f>
        <v>0</v>
      </c>
      <c r="O197" s="81">
        <f>sumifs(Dados!$N:$N,Dados!$B:$B,B197,Dados!$J:$J,$D$1,Dados!$I:$I,$O$4)</f>
        <v>0</v>
      </c>
      <c r="P197" s="81">
        <f>sumifs(Dados!$N:$N,Dados!$B:$B,B197,Dados!$J:$J,$D$1,Dados!$I:$I,$P$4)</f>
        <v>0</v>
      </c>
      <c r="Q197" s="81"/>
    </row>
    <row r="198" ht="15.75" customHeight="1">
      <c r="A198" s="109" t="s">
        <v>301</v>
      </c>
      <c r="B198" s="100">
        <f>sumifs(Dados!$N:$N,Dados!$A:$A,A198,Dados!$H:$H,$D$1)</f>
        <v>543.18</v>
      </c>
      <c r="C198" s="101">
        <f>B198-D198</f>
        <v>0</v>
      </c>
      <c r="D198" s="100">
        <f t="shared" ref="D198:P198" si="47">SUM(D188:D197)</f>
        <v>543.18</v>
      </c>
      <c r="E198" s="100">
        <f t="shared" si="47"/>
        <v>0</v>
      </c>
      <c r="F198" s="100">
        <f t="shared" si="47"/>
        <v>0</v>
      </c>
      <c r="G198" s="100">
        <f t="shared" si="47"/>
        <v>0</v>
      </c>
      <c r="H198" s="100">
        <f t="shared" si="47"/>
        <v>117.61</v>
      </c>
      <c r="I198" s="100">
        <f t="shared" si="47"/>
        <v>346.54</v>
      </c>
      <c r="J198" s="100">
        <f t="shared" si="47"/>
        <v>79.03</v>
      </c>
      <c r="K198" s="100">
        <f t="shared" si="47"/>
        <v>0</v>
      </c>
      <c r="L198" s="100">
        <f t="shared" si="47"/>
        <v>0</v>
      </c>
      <c r="M198" s="100">
        <f t="shared" si="47"/>
        <v>0</v>
      </c>
      <c r="N198" s="100">
        <f t="shared" si="47"/>
        <v>0</v>
      </c>
      <c r="O198" s="100">
        <f t="shared" si="47"/>
        <v>0</v>
      </c>
      <c r="P198" s="100">
        <f t="shared" si="47"/>
        <v>0</v>
      </c>
      <c r="Q198" s="100"/>
    </row>
    <row r="199" ht="15.75" customHeight="1">
      <c r="A199" s="77"/>
      <c r="B199" s="83" t="s">
        <v>25</v>
      </c>
      <c r="C199" s="79"/>
      <c r="D199" s="80">
        <f t="shared" ref="D199:D208" si="48">SUM(E199:P199)</f>
        <v>18174.81</v>
      </c>
      <c r="E199" s="81">
        <f>sumifs(Dados!$N:$N,Dados!$B:$B,B199,Dados!$J:$J,$D$1,Dados!$I:$I,$E$4)</f>
        <v>729.35</v>
      </c>
      <c r="F199" s="81">
        <f>sumifs(Dados!$N:$N,Dados!$B:$B,B199,Dados!$J:$J,$D$1,Dados!$I:$I,$F$4)</f>
        <v>7440.54</v>
      </c>
      <c r="G199" s="81">
        <f>sumifs(Dados!$N:$N,Dados!$B:$B,B199,Dados!$J:$J,$D$1,Dados!$I:$I,$G$4)</f>
        <v>2963.67</v>
      </c>
      <c r="H199" s="81">
        <f>sumifs(Dados!$N:$N,Dados!$B:$B,$B$199,Dados!$J:$J,$D$1,Dados!$I:$I,H4)</f>
        <v>3925.72</v>
      </c>
      <c r="I199" s="81">
        <f>sumifs(Dados!$N:$N,Dados!$B:$B,B199,Dados!$J:$J,$D$1,Dados!$I:$I,$I$4)</f>
        <v>1262.95</v>
      </c>
      <c r="J199" s="81">
        <f>sumifs(Dados!$N:$N,Dados!$B:$B,B199,Dados!$J:$J,$D$1,Dados!$I:$I,$J$4)</f>
        <v>1852.58</v>
      </c>
      <c r="K199" s="81">
        <f>sumifs(Dados!$N:$N,Dados!$B:$B,B199,Dados!$J:$J,$D$1,Dados!$I:$I,$K$4)</f>
        <v>0</v>
      </c>
      <c r="L199" s="81">
        <f>sumifs(Dados!$N:$N,Dados!$B:$B,B199,Dados!$J:$J,$D$1,Dados!$I:$I,$L$4)</f>
        <v>0</v>
      </c>
      <c r="M199" s="81">
        <f>sumifs(Dados!$N:$N,Dados!$B:$B,B199,Dados!$J:$J,$D$1,Dados!$I:$I,$M$4)</f>
        <v>0</v>
      </c>
      <c r="N199" s="81">
        <f>sumifs(Dados!$N:$N,Dados!$B:$B,B199,Dados!$J:$J,$D$1,Dados!$I:$I,$N$4)</f>
        <v>0</v>
      </c>
      <c r="O199" s="81">
        <f>sumifs(Dados!$N:$N,Dados!$B:$B,B199,Dados!$J:$J,$D$1,Dados!$I:$I,$O$4)</f>
        <v>0</v>
      </c>
      <c r="P199" s="81">
        <f>sumifs(Dados!$N:$N,Dados!$B:$B,$B199,Dados!$J:$J,$D$1,Dados!$I:$I,$P$4)</f>
        <v>0</v>
      </c>
      <c r="Q199" s="80"/>
    </row>
    <row r="200" ht="15.75" customHeight="1">
      <c r="A200" s="77"/>
      <c r="B200" s="83" t="s">
        <v>302</v>
      </c>
      <c r="C200" s="79"/>
      <c r="D200" s="80">
        <f t="shared" si="48"/>
        <v>24070.51</v>
      </c>
      <c r="E200" s="81">
        <f>sumifs(Dados!$N:$N,Dados!$B:$B,B200,Dados!$J:$J,$D$1,Dados!$I:$I,$E$4)</f>
        <v>2695.4</v>
      </c>
      <c r="F200" s="81">
        <f>sumifs(Dados!$N:$N,Dados!$B:$B,B200,Dados!$J:$J,$D$1,Dados!$I:$I,$F$4)</f>
        <v>8070</v>
      </c>
      <c r="G200" s="81">
        <f>sumifs(Dados!$N:$N,Dados!$B:$B,B200,Dados!$J:$J,$D$1,Dados!$I:$I,$G$4)</f>
        <v>4270.13</v>
      </c>
      <c r="H200" s="81">
        <f>sumifs(Dados!$N:$N,Dados!$B:$B,B200,Dados!$J:$J,$D$1,Dados!$I:$I,$H$4)</f>
        <v>3175</v>
      </c>
      <c r="I200" s="81">
        <f>sumifs(Dados!$N:$N,Dados!$B:$B,B200,Dados!$J:$J,$D$1,Dados!$I:$I,$I$4)</f>
        <v>4246.1</v>
      </c>
      <c r="J200" s="81">
        <f>sumifs(Dados!$N:$N,Dados!$B:$B,B200,Dados!$J:$J,$D$1,Dados!$I:$I,$J$4)</f>
        <v>913.88</v>
      </c>
      <c r="K200" s="81">
        <f>sumifs(Dados!$N:$N,Dados!$B:$B,B200,Dados!$J:$J,$D$1,Dados!$I:$I,$K$4)</f>
        <v>700</v>
      </c>
      <c r="L200" s="81">
        <f>sumifs(Dados!$N:$N,Dados!$B:$B,B200,Dados!$J:$J,$D$1,Dados!$I:$I,$L$4)</f>
        <v>0</v>
      </c>
      <c r="M200" s="81">
        <f>sumifs(Dados!$N:$N,Dados!$B:$B,B200,Dados!$J:$J,$D$1,Dados!$I:$I,$M$4)</f>
        <v>0</v>
      </c>
      <c r="N200" s="81">
        <f>sumifs(Dados!$N:$N,Dados!$B:$B,B200,Dados!$J:$J,$D$1,Dados!$I:$I,$N$4)</f>
        <v>0</v>
      </c>
      <c r="O200" s="81">
        <f>sumifs(Dados!$N:$N,Dados!$B:$B,B200,Dados!$J:$J,$D$1,Dados!$I:$I,$O$4)</f>
        <v>0</v>
      </c>
      <c r="P200" s="81">
        <f>sumifs(Dados!$N:$N,Dados!$B:$B,$B200,Dados!$J:$J,$D$1,Dados!$I:$I,$P$4)</f>
        <v>0</v>
      </c>
      <c r="Q200" s="80"/>
    </row>
    <row r="201" ht="15.75" customHeight="1">
      <c r="A201" s="77"/>
      <c r="B201" s="83" t="s">
        <v>31</v>
      </c>
      <c r="C201" s="79"/>
      <c r="D201" s="80">
        <f t="shared" si="48"/>
        <v>26495.6</v>
      </c>
      <c r="E201" s="81">
        <f>sumifs(Dados!$N:$N,Dados!$B:$B,B201,Dados!$J:$J,$D$1,Dados!$I:$I,$E$4)</f>
        <v>7978.63</v>
      </c>
      <c r="F201" s="81">
        <f>sumifs(Dados!$N:$N,Dados!$B:$B,B201,Dados!$J:$J,$D$1,Dados!$I:$I,$F$4)</f>
        <v>7360.43</v>
      </c>
      <c r="G201" s="81">
        <f>sumifs(Dados!$N:$N,Dados!$B:$B,B201,Dados!$J:$J,$D$1,Dados!$I:$I,$G$4)</f>
        <v>2444.42</v>
      </c>
      <c r="H201" s="81">
        <f>sumifs(Dados!$N:$N,Dados!$B:$B,B201,Dados!$J:$J,$D$1,Dados!$I:$I,$H$4)</f>
        <v>1786.11</v>
      </c>
      <c r="I201" s="81">
        <f>sumifs(Dados!$N:$N,Dados!$B:$B,B201,Dados!$J:$J,$D$1,Dados!$I:$I,$I$4)</f>
        <v>1949.27</v>
      </c>
      <c r="J201" s="81">
        <f>sumifs(Dados!$N:$N,Dados!$B:$B,B201,Dados!$J:$J,$D$1,Dados!$I:$I,$J$4)</f>
        <v>594.44</v>
      </c>
      <c r="K201" s="81">
        <f>sumifs(Dados!$N:$N,Dados!$B:$B,B201,Dados!$J:$J,$D$1,Dados!$I:$I,$K$4)</f>
        <v>1202.3</v>
      </c>
      <c r="L201" s="81">
        <f>sumifs(Dados!$N:$N,Dados!$B:$B,B201,Dados!$J:$J,$D$1,Dados!$I:$I,$L$4)</f>
        <v>3180</v>
      </c>
      <c r="M201" s="81">
        <f>sumifs(Dados!$N:$N,Dados!$B:$B,B201,Dados!$J:$J,$D$1,Dados!$I:$I,$M$4)</f>
        <v>0</v>
      </c>
      <c r="N201" s="81">
        <f>sumifs(Dados!$N:$N,Dados!$B:$B,B201,Dados!$J:$J,$D$1,Dados!$I:$I,$N$4)</f>
        <v>0</v>
      </c>
      <c r="O201" s="81">
        <f>sumifs(Dados!$N:$N,Dados!$B:$B,B201,Dados!$J:$J,$D$1,Dados!$I:$I,$O$4)</f>
        <v>0</v>
      </c>
      <c r="P201" s="81">
        <f>sumifs(Dados!$N:$N,Dados!$B:$B,$B201,Dados!$J:$J,$D$1,Dados!$I:$I,$P$4)</f>
        <v>0</v>
      </c>
      <c r="Q201" s="80"/>
    </row>
    <row r="202" ht="15.75" customHeight="1">
      <c r="A202" s="77"/>
      <c r="B202" s="159" t="s">
        <v>22</v>
      </c>
      <c r="C202" s="79"/>
      <c r="D202" s="80">
        <f t="shared" si="48"/>
        <v>837.82</v>
      </c>
      <c r="E202" s="81">
        <f>sumifs(Dados!$N:$N,Dados!$B:$B,B202,Dados!$J:$J,$D$1,Dados!$I:$I,$E$4)</f>
        <v>160</v>
      </c>
      <c r="F202" s="81">
        <f>sumifs(Dados!$N:$N,Dados!$B:$B,B202,Dados!$J:$J,$D$1,Dados!$I:$I,$F$4)</f>
        <v>255.5</v>
      </c>
      <c r="G202" s="81">
        <f>sumifs(Dados!$N:$N,Dados!$B:$B,B202,Dados!$J:$J,$D$1,Dados!$I:$I,$G$4)</f>
        <v>253.9</v>
      </c>
      <c r="H202" s="81">
        <f>sumifs(Dados!$N:$N,Dados!$B:$B,B202,Dados!$J:$J,$D$1,Dados!$I:$I,$H$4)</f>
        <v>168.42</v>
      </c>
      <c r="I202" s="81">
        <f>sumifs(Dados!$N:$N,Dados!$B:$B,B202,Dados!$J:$J,$D$1,Dados!$I:$I,$I$4)</f>
        <v>0</v>
      </c>
      <c r="J202" s="81">
        <f>sumifs(Dados!$N:$N,Dados!$B:$B,B202,Dados!$J:$J,$D$1,Dados!$I:$I,$J$4)</f>
        <v>0</v>
      </c>
      <c r="K202" s="81">
        <f>sumifs(Dados!$N:$N,Dados!$B:$B,B202,Dados!$J:$J,$D$1,Dados!$I:$I,$K$4)</f>
        <v>0</v>
      </c>
      <c r="L202" s="81">
        <f>sumifs(Dados!$N:$N,Dados!$B:$B,B202,Dados!$J:$J,$D$1,Dados!$I:$I,$L$4)</f>
        <v>0</v>
      </c>
      <c r="M202" s="81">
        <f>sumifs(Dados!$N:$N,Dados!$B:$B,B202,Dados!$J:$J,$D$1,Dados!$I:$I,$M$4)</f>
        <v>0</v>
      </c>
      <c r="N202" s="81">
        <f>sumifs(Dados!$N:$N,Dados!$B:$B,B202,Dados!$J:$J,$D$1,Dados!$I:$I,$N$4)</f>
        <v>0</v>
      </c>
      <c r="O202" s="81">
        <f>sumifs(Dados!$N:$N,Dados!$B:$B,B202,Dados!$J:$J,$D$1,Dados!$I:$I,$O$4)</f>
        <v>0</v>
      </c>
      <c r="P202" s="81">
        <f>sumifs(Dados!$N:$N,Dados!$B:$B,$B202,Dados!$J:$J,$D$1,Dados!$I:$I,$P$4)</f>
        <v>0</v>
      </c>
      <c r="Q202" s="80"/>
    </row>
    <row r="203" ht="15.75" customHeight="1">
      <c r="A203" s="77"/>
      <c r="B203" s="159" t="s">
        <v>33</v>
      </c>
      <c r="C203" s="79"/>
      <c r="D203" s="80">
        <f t="shared" si="48"/>
        <v>6705.51</v>
      </c>
      <c r="E203" s="81">
        <f>sumifs(Dados!$N:$N,Dados!$B:$B,B203,Dados!$J:$J,$D$1,Dados!$I:$I,$E$4)</f>
        <v>0</v>
      </c>
      <c r="F203" s="81">
        <f>sumifs(Dados!$N:$N,Dados!$B:$B,B203,Dados!$J:$J,$D$1,Dados!$I:$I,$F$4)</f>
        <v>1702.56</v>
      </c>
      <c r="G203" s="81">
        <f>sumifs(Dados!$N:$N,Dados!$B:$B,B203,Dados!$J:$J,$D$1,Dados!$I:$I,$G$4)</f>
        <v>350</v>
      </c>
      <c r="H203" s="81">
        <f>sumifs(Dados!$N:$N,Dados!$B:$B,B203,Dados!$J:$J,$D$1,Dados!$I:$I,$H$4)</f>
        <v>2121.61</v>
      </c>
      <c r="I203" s="81">
        <f>sumifs(Dados!$N:$N,Dados!$B:$B,B203,Dados!$J:$J,$D$1,Dados!$I:$I,$I$4)</f>
        <v>0</v>
      </c>
      <c r="J203" s="81">
        <f>sumifs(Dados!$N:$N,Dados!$B:$B,B203,Dados!$J:$J,$D$1,Dados!$I:$I,$J$4)</f>
        <v>2531.34</v>
      </c>
      <c r="K203" s="81">
        <f>sumifs(Dados!$N:$N,Dados!$B:$B,B203,Dados!$J:$J,$D$1,Dados!$I:$I,$K$4)</f>
        <v>0</v>
      </c>
      <c r="L203" s="81">
        <f>sumifs(Dados!$N:$N,Dados!$B:$B,B203,Dados!$J:$J,$D$1,Dados!$I:$I,$L$4)</f>
        <v>0</v>
      </c>
      <c r="M203" s="81">
        <f>sumifs(Dados!$N:$N,Dados!$B:$B,B203,Dados!$J:$J,$D$1,Dados!$I:$I,$M$4)</f>
        <v>0</v>
      </c>
      <c r="N203" s="81">
        <f>sumifs(Dados!$N:$N,Dados!$B:$B,B203,Dados!$J:$J,$D$1,Dados!$I:$I,$N$4)</f>
        <v>0</v>
      </c>
      <c r="O203" s="81">
        <f>sumifs(Dados!$N:$N,Dados!$B:$B,B203,Dados!$J:$J,$D$1,Dados!$I:$I,$O$4)</f>
        <v>0</v>
      </c>
      <c r="P203" s="81">
        <f>sumifs(Dados!$N:$N,Dados!$B:$B,$B203,Dados!$J:$J,$D$1,Dados!$I:$I,$P$4)</f>
        <v>0</v>
      </c>
      <c r="Q203" s="80"/>
    </row>
    <row r="204" ht="15.75" customHeight="1">
      <c r="A204" s="77"/>
      <c r="B204" s="164" t="s">
        <v>34</v>
      </c>
      <c r="C204" s="79"/>
      <c r="D204" s="80">
        <f t="shared" si="48"/>
        <v>396.37</v>
      </c>
      <c r="E204" s="81">
        <f>sumifs(Dados!$N:$N,Dados!$B:$B,B204,Dados!$J:$J,$D$1,Dados!$I:$I,$E$4)</f>
        <v>7.52</v>
      </c>
      <c r="F204" s="81">
        <f>sumifs(Dados!$N:$N,Dados!$B:$B,B204,Dados!$J:$J,$D$1,Dados!$I:$I,$F$4)</f>
        <v>383.91</v>
      </c>
      <c r="G204" s="81">
        <f>sumifs(Dados!$N:$N,Dados!$B:$B,B204,Dados!$J:$J,$D$1,Dados!$I:$I,$G$4)</f>
        <v>4.94</v>
      </c>
      <c r="H204" s="81">
        <f>sumifs(Dados!$N:$N,Dados!$B:$B,B204,Dados!$J:$J,$D$1,Dados!$I:$I,$H$4)</f>
        <v>0</v>
      </c>
      <c r="I204" s="81">
        <f>sumifs(Dados!$N:$N,Dados!$B:$B,B204,Dados!$J:$J,$D$1,Dados!$I:$I,$I$4)</f>
        <v>0</v>
      </c>
      <c r="J204" s="81">
        <f>sumifs(Dados!$N:$N,Dados!$B:$B,B204,Dados!$J:$J,$D$1,Dados!$I:$I,$J$4)</f>
        <v>0</v>
      </c>
      <c r="K204" s="81">
        <f>sumifs(Dados!$N:$N,Dados!$B:$B,B204,Dados!$J:$J,$D$1,Dados!$I:$I,$K$4)</f>
        <v>0</v>
      </c>
      <c r="L204" s="81">
        <f>sumifs(Dados!$N:$N,Dados!$B:$B,B204,Dados!$J:$J,$D$1,Dados!$I:$I,$L$4)</f>
        <v>0</v>
      </c>
      <c r="M204" s="81">
        <f>sumifs(Dados!$N:$N,Dados!$B:$B,B204,Dados!$J:$J,$D$1,Dados!$I:$I,$M$4)</f>
        <v>0</v>
      </c>
      <c r="N204" s="81">
        <f>sumifs(Dados!$N:$N,Dados!$B:$B,B204,Dados!$J:$J,$D$1,Dados!$I:$I,$N$4)</f>
        <v>0</v>
      </c>
      <c r="O204" s="81">
        <f>sumifs(Dados!$N:$N,Dados!$B:$B,B204,Dados!$J:$J,$D$1,Dados!$I:$I,$O$4)</f>
        <v>0</v>
      </c>
      <c r="P204" s="81">
        <f>sumifs(Dados!$N:$N,Dados!$B:$B,$B204,Dados!$J:$J,$D$1,Dados!$I:$I,$P$4)</f>
        <v>0</v>
      </c>
      <c r="Q204" s="80"/>
    </row>
    <row r="205" ht="15.75" customHeight="1">
      <c r="A205" s="77"/>
      <c r="B205" s="82"/>
      <c r="C205" s="79"/>
      <c r="D205" s="80">
        <f t="shared" si="48"/>
        <v>0</v>
      </c>
      <c r="E205" s="81">
        <f>sumifs(Dados!$N:$N,Dados!$B:$B,B205,Dados!$J:$J,$D$1,Dados!$I:$I,$E$4)</f>
        <v>0</v>
      </c>
      <c r="F205" s="81">
        <f>sumifs(Dados!$N:$N,Dados!$B:$B,B205,Dados!$J:$J,$D$1,Dados!$I:$I,$F$4)</f>
        <v>0</v>
      </c>
      <c r="G205" s="81">
        <f>sumifs(Dados!$N:$N,Dados!$B:$B,B205,Dados!$J:$J,$D$1,Dados!$I:$I,$G$4)</f>
        <v>0</v>
      </c>
      <c r="H205" s="81">
        <f>sumifs(Dados!$N:$N,Dados!$B:$B,B205,Dados!$J:$J,$D$1,Dados!$I:$I,$H$4)</f>
        <v>0</v>
      </c>
      <c r="I205" s="81">
        <f>sumifs(Dados!$N:$N,Dados!$B:$B,B205,Dados!$J:$J,$D$1,Dados!$I:$I,$I$4)</f>
        <v>0</v>
      </c>
      <c r="J205" s="81">
        <f>sumifs(Dados!$N:$N,Dados!$B:$B,B205,Dados!$J:$J,$D$1,Dados!$I:$I,$J$4)</f>
        <v>0</v>
      </c>
      <c r="K205" s="81">
        <f>sumifs(Dados!$N:$N,Dados!$B:$B,B205,Dados!$J:$J,$D$1,Dados!$I:$I,$K$4)</f>
        <v>0</v>
      </c>
      <c r="L205" s="81">
        <f>sumifs(Dados!$N:$N,Dados!$B:$B,B205,Dados!$J:$J,$D$1,Dados!$I:$I,$L$4)</f>
        <v>0</v>
      </c>
      <c r="M205" s="81">
        <f>sumifs(Dados!$N:$N,Dados!$B:$B,B205,Dados!$J:$J,$D$1,Dados!$I:$I,$M$4)</f>
        <v>0</v>
      </c>
      <c r="N205" s="81">
        <f>sumifs(Dados!$N:$N,Dados!$B:$B,B205,Dados!$J:$J,$D$1,Dados!$I:$I,$N$4)</f>
        <v>0</v>
      </c>
      <c r="O205" s="81">
        <f>sumifs(Dados!$N:$N,Dados!$B:$B,B205,Dados!$J:$J,$D$1,Dados!$I:$I,$O$4)</f>
        <v>0</v>
      </c>
      <c r="P205" s="81">
        <f>sumifs(Dados!$N:$N,Dados!$B:$B,$B205,Dados!$J:$J,$D$1,Dados!$I:$I,$P$4)</f>
        <v>0</v>
      </c>
      <c r="Q205" s="80"/>
    </row>
    <row r="206" ht="15.75" customHeight="1">
      <c r="A206" s="77"/>
      <c r="B206" s="165"/>
      <c r="C206" s="79"/>
      <c r="D206" s="80">
        <f t="shared" si="48"/>
        <v>0</v>
      </c>
      <c r="E206" s="81">
        <f>sumifs(Dados!$N:$N,Dados!$B:$B,B206,Dados!$J:$J,$D$1,Dados!$I:$I,$E$4)</f>
        <v>0</v>
      </c>
      <c r="F206" s="81">
        <f>sumifs(Dados!$N:$N,Dados!$B:$B,B206,Dados!$J:$J,$D$1,Dados!$I:$I,$F$4)</f>
        <v>0</v>
      </c>
      <c r="G206" s="81">
        <f>sumifs(Dados!$N:$N,Dados!$B:$B,B206,Dados!$J:$J,$D$1,Dados!$I:$I,$G$4)</f>
        <v>0</v>
      </c>
      <c r="H206" s="81">
        <f>sumifs(Dados!$N:$N,Dados!$B:$B,B206,Dados!$J:$J,$D$1,Dados!$I:$I,$H$4)</f>
        <v>0</v>
      </c>
      <c r="I206" s="81">
        <f>sumifs(Dados!$N:$N,Dados!$B:$B,B206,Dados!$J:$J,$D$1,Dados!$I:$I,$I$4)</f>
        <v>0</v>
      </c>
      <c r="J206" s="81">
        <f>sumifs(Dados!$N:$N,Dados!$B:$B,B206,Dados!$J:$J,$D$1,Dados!$I:$I,$J$4)</f>
        <v>0</v>
      </c>
      <c r="K206" s="81">
        <f>sumifs(Dados!$N:$N,Dados!$B:$B,B206,Dados!$J:$J,$D$1,Dados!$I:$I,$K$4)</f>
        <v>0</v>
      </c>
      <c r="L206" s="81">
        <f>sumifs(Dados!$N:$N,Dados!$B:$B,B206,Dados!$J:$J,$D$1,Dados!$I:$I,$L$4)</f>
        <v>0</v>
      </c>
      <c r="M206" s="81">
        <f>sumifs(Dados!$N:$N,Dados!$B:$B,B206,Dados!$J:$J,$D$1,Dados!$I:$I,$M$4)</f>
        <v>0</v>
      </c>
      <c r="N206" s="81">
        <f>sumifs(Dados!$N:$N,Dados!$B:$B,B206,Dados!$J:$J,$D$1,Dados!$I:$I,$N$4)</f>
        <v>0</v>
      </c>
      <c r="O206" s="81">
        <f>sumifs(Dados!$N:$N,Dados!$B:$B,B206,Dados!$J:$J,$D$1,Dados!$I:$I,$O$4)</f>
        <v>0</v>
      </c>
      <c r="P206" s="81">
        <f>sumifs(Dados!$N:$N,Dados!$B:$B,$B206,Dados!$J:$J,$D$1,Dados!$I:$I,$P$4)</f>
        <v>0</v>
      </c>
      <c r="Q206" s="80"/>
    </row>
    <row r="207" ht="15.75" customHeight="1">
      <c r="A207" s="77"/>
      <c r="B207" s="82"/>
      <c r="C207" s="79"/>
      <c r="D207" s="80">
        <f t="shared" si="48"/>
        <v>0</v>
      </c>
      <c r="E207" s="81">
        <f>sumifs(Dados!$N:$N,Dados!$B:$B,B207,Dados!$J:$J,$D$1,Dados!$I:$I,$E$4)</f>
        <v>0</v>
      </c>
      <c r="F207" s="81">
        <f>sumifs(Dados!$N:$N,Dados!$B:$B,B207,Dados!$J:$J,$D$1,Dados!$I:$I,$F$4)</f>
        <v>0</v>
      </c>
      <c r="G207" s="81">
        <f>sumifs(Dados!$N:$N,Dados!$B:$B,B207,Dados!$J:$J,$D$1,Dados!$I:$I,$G$4)</f>
        <v>0</v>
      </c>
      <c r="H207" s="81">
        <f>sumifs(Dados!$N:$N,Dados!$B:$B,B207,Dados!$J:$J,$D$1,Dados!$I:$I,$H$4)</f>
        <v>0</v>
      </c>
      <c r="I207" s="81">
        <f>sumifs(Dados!$N:$N,Dados!$B:$B,B207,Dados!$J:$J,$D$1,Dados!$I:$I,$I$4)</f>
        <v>0</v>
      </c>
      <c r="J207" s="81">
        <f>sumifs(Dados!$N:$N,Dados!$B:$B,B207,Dados!$J:$J,$D$1,Dados!$I:$I,$J$4)</f>
        <v>0</v>
      </c>
      <c r="K207" s="81">
        <f>sumifs(Dados!$N:$N,Dados!$B:$B,B207,Dados!$J:$J,$D$1,Dados!$I:$I,$K$4)</f>
        <v>0</v>
      </c>
      <c r="L207" s="81">
        <f>sumifs(Dados!$N:$N,Dados!$B:$B,B207,Dados!$J:$J,$D$1,Dados!$I:$I,$L$4)</f>
        <v>0</v>
      </c>
      <c r="M207" s="81">
        <f>sumifs(Dados!$N:$N,Dados!$B:$B,B207,Dados!$J:$J,$D$1,Dados!$I:$I,$M$4)</f>
        <v>0</v>
      </c>
      <c r="N207" s="81">
        <f>sumifs(Dados!$N:$N,Dados!$B:$B,B207,Dados!$J:$J,$D$1,Dados!$I:$I,$N$4)</f>
        <v>0</v>
      </c>
      <c r="O207" s="81">
        <f>sumifs(Dados!$N:$N,Dados!$B:$B,B207,Dados!$J:$J,$D$1,Dados!$I:$I,$O$4)</f>
        <v>0</v>
      </c>
      <c r="P207" s="81">
        <f>sumifs(Dados!$N:$N,Dados!$B:$B,$B207,Dados!$J:$J,$D$1,Dados!$I:$I,$P$4)</f>
        <v>0</v>
      </c>
      <c r="Q207" s="80"/>
    </row>
    <row r="208" ht="15.75" customHeight="1">
      <c r="A208" s="77"/>
      <c r="B208" s="82"/>
      <c r="C208" s="79"/>
      <c r="D208" s="80">
        <f t="shared" si="48"/>
        <v>0</v>
      </c>
      <c r="E208" s="81">
        <f>sumifs(Dados!$N:$N,Dados!$B:$B,B208,Dados!$J:$J,$D$1,Dados!$I:$I,$E$4)</f>
        <v>0</v>
      </c>
      <c r="F208" s="81">
        <f>sumifs(Dados!$N:$N,Dados!$B:$B,B208,Dados!$J:$J,$D$1,Dados!$I:$I,$F$4)</f>
        <v>0</v>
      </c>
      <c r="G208" s="81">
        <f>sumifs(Dados!$N:$N,Dados!$B:$B,B208,Dados!$J:$J,$D$1,Dados!$I:$I,$G$4)</f>
        <v>0</v>
      </c>
      <c r="H208" s="81">
        <f>sumifs(Dados!$N:$N,Dados!$B:$B,B208,Dados!$J:$J,$D$1,Dados!$I:$I,$H$4)</f>
        <v>0</v>
      </c>
      <c r="I208" s="81">
        <f>sumifs(Dados!$N:$N,Dados!$B:$B,B208,Dados!$J:$J,$D$1,Dados!$I:$I,$I$4)</f>
        <v>0</v>
      </c>
      <c r="J208" s="81">
        <f>sumifs(Dados!$N:$N,Dados!$B:$B,B208,Dados!$J:$J,$D$1,Dados!$I:$I,$J$4)</f>
        <v>0</v>
      </c>
      <c r="K208" s="81">
        <f>sumifs(Dados!$N:$N,Dados!$B:$B,B208,Dados!$J:$J,$D$1,Dados!$I:$I,$K$4)</f>
        <v>0</v>
      </c>
      <c r="L208" s="81">
        <f>sumifs(Dados!$N:$N,Dados!$B:$B,B208,Dados!$J:$J,$D$1,Dados!$I:$I,$L$4)</f>
        <v>0</v>
      </c>
      <c r="M208" s="81">
        <f>sumifs(Dados!$N:$N,Dados!$B:$B,B208,Dados!$J:$J,$D$1,Dados!$I:$I,$M$4)</f>
        <v>0</v>
      </c>
      <c r="N208" s="81">
        <f>sumifs(Dados!$N:$N,Dados!$B:$B,B208,Dados!$J:$J,$D$1,Dados!$I:$I,$N$4)</f>
        <v>0</v>
      </c>
      <c r="O208" s="81">
        <f>sumifs(Dados!$N:$N,Dados!$B:$B,B208,Dados!$J:$J,$D$1,Dados!$I:$I,$O$4)</f>
        <v>0</v>
      </c>
      <c r="P208" s="81">
        <f>sumifs(Dados!$N:$N,Dados!$B:$B,$B208,Dados!$J:$J,$D$1,Dados!$I:$I,$P$4)</f>
        <v>0</v>
      </c>
      <c r="Q208" s="80"/>
    </row>
    <row r="209" ht="15.75" customHeight="1">
      <c r="A209" s="109" t="s">
        <v>20</v>
      </c>
      <c r="B209" s="100">
        <f>sumifs(Dados!$N:$N,Dados!$A:$A,A209,Dados!$H:$H,$D$1)</f>
        <v>76680.62</v>
      </c>
      <c r="C209" s="101">
        <f>B209-D209</f>
        <v>0</v>
      </c>
      <c r="D209" s="100">
        <f t="shared" ref="D209:P209" si="49">SUM(D199:D208)</f>
        <v>76680.62</v>
      </c>
      <c r="E209" s="100">
        <f t="shared" si="49"/>
        <v>11570.9</v>
      </c>
      <c r="F209" s="100">
        <f t="shared" si="49"/>
        <v>25212.94</v>
      </c>
      <c r="G209" s="100">
        <f t="shared" si="49"/>
        <v>10287.06</v>
      </c>
      <c r="H209" s="100">
        <f t="shared" si="49"/>
        <v>11176.86</v>
      </c>
      <c r="I209" s="100">
        <f t="shared" si="49"/>
        <v>7458.32</v>
      </c>
      <c r="J209" s="100">
        <f t="shared" si="49"/>
        <v>5892.24</v>
      </c>
      <c r="K209" s="100">
        <f t="shared" si="49"/>
        <v>1902.3</v>
      </c>
      <c r="L209" s="100">
        <f t="shared" si="49"/>
        <v>3180</v>
      </c>
      <c r="M209" s="100">
        <f t="shared" si="49"/>
        <v>0</v>
      </c>
      <c r="N209" s="100">
        <f t="shared" si="49"/>
        <v>0</v>
      </c>
      <c r="O209" s="100">
        <f t="shared" si="49"/>
        <v>0</v>
      </c>
      <c r="P209" s="100">
        <f t="shared" si="49"/>
        <v>0</v>
      </c>
      <c r="Q209" s="100"/>
    </row>
    <row r="210" ht="15.75" customHeight="1">
      <c r="A210" s="77"/>
      <c r="B210" s="82" t="s">
        <v>309</v>
      </c>
      <c r="C210" s="79"/>
      <c r="D210" s="80">
        <f t="shared" ref="D210:D212" si="50">SUM(E210:P210)</f>
        <v>0</v>
      </c>
      <c r="E210" s="81">
        <f>sumifs(Dados!$N:$N,Dados!$B:$B,B210,Dados!$J:$J,$D$1,Dados!$I:$I,$E$4)</f>
        <v>0</v>
      </c>
      <c r="F210" s="81">
        <f>sumifs(Dados!$N:$N,Dados!$B:$B,B210,Dados!$J:$J,$D$1,Dados!$I:$I,$F$4)</f>
        <v>0</v>
      </c>
      <c r="G210" s="81">
        <f>sumifs(Dados!$N:$N,Dados!$B:$B,B210,Dados!$J:$J,$D$1,Dados!$I:$I,$G$4)</f>
        <v>0</v>
      </c>
      <c r="H210" s="81">
        <f>sumifs(Dados!$N:$N,Dados!$B:$B,B210,Dados!$J:$J,$D$1,Dados!$I:$I,$H$4)</f>
        <v>0</v>
      </c>
      <c r="I210" s="81">
        <f>sumifs(Dados!$N:$N,Dados!$B:$B,B210,Dados!$J:$J,$D$1,Dados!$I:$I,$I$4)</f>
        <v>0</v>
      </c>
      <c r="J210" s="81">
        <f>sumifs(Dados!$N:$N,Dados!$B:$B,B210,Dados!$J:$J,$D$1,Dados!$I:$I,$J$4)</f>
        <v>0</v>
      </c>
      <c r="K210" s="81">
        <f>sumifs(Dados!$N:$N,Dados!$B:$B,B210,Dados!$J:$J,$D$1,Dados!$I:$I,$K$4)</f>
        <v>0</v>
      </c>
      <c r="L210" s="81">
        <f>sumifs(Dados!$N:$N,Dados!$B:$B,B210,Dados!$J:$J,$D$1,Dados!$I:$I,$L$4)</f>
        <v>0</v>
      </c>
      <c r="M210" s="81">
        <f>sumifs(Dados!$N:$N,Dados!$B:$B,B210,Dados!$J:$J,$D$1,Dados!$I:$I,$M$4)</f>
        <v>0</v>
      </c>
      <c r="N210" s="81">
        <f>sumifs(Dados!$N:$N,Dados!$B:$B,B210,Dados!$J:$J,$D$1,Dados!$I:$I,$N$4)</f>
        <v>0</v>
      </c>
      <c r="O210" s="81">
        <f>sumifs(Dados!$N:$N,Dados!$B:$B,B210,Dados!$J:$J,$D$1,Dados!$I:$I,$O$4)</f>
        <v>0</v>
      </c>
      <c r="P210" s="81">
        <f>sumifs(Dados!$N:$N,Dados!$B:$B,$B210,Dados!$J:$J,$D$1,Dados!$I:$I,$P$4)</f>
        <v>0</v>
      </c>
      <c r="Q210" s="80"/>
    </row>
    <row r="211" ht="15.75" customHeight="1">
      <c r="A211" s="77"/>
      <c r="B211" s="165" t="s">
        <v>311</v>
      </c>
      <c r="C211" s="79"/>
      <c r="D211" s="80">
        <f t="shared" si="50"/>
        <v>0</v>
      </c>
      <c r="E211" s="81">
        <f>sumifs(Dados!$N:$N,Dados!$B:$B,B211,Dados!$J:$J,$D$1,Dados!$I:$I,$E$4)</f>
        <v>0</v>
      </c>
      <c r="F211" s="81">
        <f>sumifs(Dados!$N:$N,Dados!$B:$B,B211,Dados!$J:$J,$D$1,Dados!$I:$I,$F$4)</f>
        <v>0</v>
      </c>
      <c r="G211" s="81">
        <f>sumifs(Dados!$N:$N,Dados!$B:$B,B211,Dados!$J:$J,$D$1,Dados!$I:$I,$G$4)</f>
        <v>0</v>
      </c>
      <c r="H211" s="81">
        <f>sumifs(Dados!$N:$N,Dados!$B:$B,B211,Dados!$J:$J,$D$1,Dados!$I:$I,$H$4)</f>
        <v>0</v>
      </c>
      <c r="I211" s="81">
        <f>sumifs(Dados!$N:$N,Dados!$B:$B,B211,Dados!$J:$J,$D$1,Dados!$I:$I,$I$4)</f>
        <v>0</v>
      </c>
      <c r="J211" s="81">
        <f>sumifs(Dados!$N:$N,Dados!$B:$B,B211,Dados!$J:$J,$D$1,Dados!$I:$I,$J$4)</f>
        <v>0</v>
      </c>
      <c r="K211" s="81">
        <f>sumifs(Dados!$N:$N,Dados!$B:$B,B211,Dados!$J:$J,$D$1,Dados!$I:$I,$K$4)</f>
        <v>0</v>
      </c>
      <c r="L211" s="81">
        <f>sumifs(Dados!$N:$N,Dados!$B:$B,B211,Dados!$J:$J,$D$1,Dados!$I:$I,$L$4)</f>
        <v>0</v>
      </c>
      <c r="M211" s="81">
        <f>sumifs(Dados!$N:$N,Dados!$B:$B,B211,Dados!$J:$J,$D$1,Dados!$I:$I,$M$4)</f>
        <v>0</v>
      </c>
      <c r="N211" s="81">
        <f>sumifs(Dados!$N:$N,Dados!$B:$B,B211,Dados!$J:$J,$D$1,Dados!$I:$I,$N$4)</f>
        <v>0</v>
      </c>
      <c r="O211" s="81">
        <f>sumifs(Dados!$N:$N,Dados!$B:$B,B211,Dados!$J:$J,$D$1,Dados!$I:$I,$O$4)</f>
        <v>0</v>
      </c>
      <c r="P211" s="81">
        <f>sumifs(Dados!$N:$N,Dados!$B:$B,$B211,Dados!$J:$J,$D$1,Dados!$I:$I,$P$4)</f>
        <v>0</v>
      </c>
      <c r="Q211" s="80"/>
    </row>
    <row r="212" ht="15.75" customHeight="1">
      <c r="A212" s="77"/>
      <c r="B212" s="165" t="s">
        <v>313</v>
      </c>
      <c r="C212" s="79"/>
      <c r="D212" s="80">
        <f t="shared" si="50"/>
        <v>0</v>
      </c>
      <c r="E212" s="81">
        <f>sumifs(Dados!$N:$N,Dados!$B:$B,B212,Dados!$J:$J,$D$1,Dados!$I:$I,$E$4)</f>
        <v>0</v>
      </c>
      <c r="F212" s="81">
        <f>sumifs(Dados!$N:$N,Dados!$B:$B,B212,Dados!$J:$J,$D$1,Dados!$I:$I,$F$4)</f>
        <v>0</v>
      </c>
      <c r="G212" s="81">
        <f>sumifs(Dados!$N:$N,Dados!$B:$B,B212,Dados!$J:$J,$D$1,Dados!$I:$I,$G$4)</f>
        <v>0</v>
      </c>
      <c r="H212" s="81">
        <f>sumifs(Dados!$N:$N,Dados!$B:$B,B212,Dados!$J:$J,$D$1,Dados!$I:$I,$H$4)</f>
        <v>0</v>
      </c>
      <c r="I212" s="81">
        <f>sumifs(Dados!$N:$N,Dados!$B:$B,B212,Dados!$J:$J,$D$1,Dados!$I:$I,$I$4)</f>
        <v>0</v>
      </c>
      <c r="J212" s="81">
        <f>sumifs(Dados!$N:$N,Dados!$B:$B,B212,Dados!$J:$J,$D$1,Dados!$I:$I,$J$4)</f>
        <v>0</v>
      </c>
      <c r="K212" s="81">
        <f>sumifs(Dados!$N:$N,Dados!$B:$B,B212,Dados!$J:$J,$D$1,Dados!$I:$I,$K$4)</f>
        <v>0</v>
      </c>
      <c r="L212" s="81">
        <f>sumifs(Dados!$N:$N,Dados!$B:$B,B212,Dados!$J:$J,$D$1,Dados!$I:$I,$L$4)</f>
        <v>0</v>
      </c>
      <c r="M212" s="81">
        <f>sumifs(Dados!$N:$N,Dados!$B:$B,B212,Dados!$J:$J,$D$1,Dados!$I:$I,$M$4)</f>
        <v>0</v>
      </c>
      <c r="N212" s="81">
        <f>sumifs(Dados!$N:$N,Dados!$B:$B,B212,Dados!$J:$J,$D$1,Dados!$I:$I,$N$4)</f>
        <v>0</v>
      </c>
      <c r="O212" s="81">
        <f>sumifs(Dados!$N:$N,Dados!$B:$B,B212,Dados!$J:$J,$D$1,Dados!$I:$I,$O$4)</f>
        <v>0</v>
      </c>
      <c r="P212" s="81">
        <f>sumifs(Dados!$N:$N,Dados!$B:$B,$B212,Dados!$J:$J,$D$1,Dados!$I:$I,$P$4)</f>
        <v>0</v>
      </c>
      <c r="Q212" s="80"/>
    </row>
    <row r="213" ht="15.75" customHeight="1">
      <c r="A213" s="109" t="s">
        <v>315</v>
      </c>
      <c r="B213" s="100">
        <f>sumifs(Dados!$N:$N,Dados!$A:$A,A213,Dados!$H:$H,$D$1)</f>
        <v>0</v>
      </c>
      <c r="C213" s="101">
        <f>B213-D213</f>
        <v>0</v>
      </c>
      <c r="D213" s="100">
        <f t="shared" ref="D213:P213" si="51">SUM(D210:D212)</f>
        <v>0</v>
      </c>
      <c r="E213" s="100">
        <f t="shared" si="51"/>
        <v>0</v>
      </c>
      <c r="F213" s="100">
        <f t="shared" si="51"/>
        <v>0</v>
      </c>
      <c r="G213" s="100">
        <f t="shared" si="51"/>
        <v>0</v>
      </c>
      <c r="H213" s="100">
        <f t="shared" si="51"/>
        <v>0</v>
      </c>
      <c r="I213" s="100">
        <f t="shared" si="51"/>
        <v>0</v>
      </c>
      <c r="J213" s="100">
        <f t="shared" si="51"/>
        <v>0</v>
      </c>
      <c r="K213" s="100">
        <f t="shared" si="51"/>
        <v>0</v>
      </c>
      <c r="L213" s="100">
        <f t="shared" si="51"/>
        <v>0</v>
      </c>
      <c r="M213" s="100">
        <f t="shared" si="51"/>
        <v>0</v>
      </c>
      <c r="N213" s="100">
        <f t="shared" si="51"/>
        <v>0</v>
      </c>
      <c r="O213" s="100">
        <f t="shared" si="51"/>
        <v>0</v>
      </c>
      <c r="P213" s="100">
        <f t="shared" si="51"/>
        <v>0</v>
      </c>
      <c r="Q213" s="100"/>
    </row>
    <row r="214" ht="15.75" customHeight="1">
      <c r="A214" s="77"/>
      <c r="B214" s="77"/>
      <c r="C214" s="79"/>
      <c r="D214" s="80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</row>
    <row r="215" ht="15.75" customHeight="1">
      <c r="A215" s="77"/>
      <c r="B215" s="77" t="s">
        <v>316</v>
      </c>
      <c r="C215" s="79"/>
      <c r="D215" s="80">
        <f>SUM(E215:P215)</f>
        <v>0</v>
      </c>
      <c r="E215" s="81">
        <f>sumifs(Dados!$N:$N,Dados!$B:$B,B215,Dados!$J:$J,$D$1,Dados!$I:$I,$E$4)</f>
        <v>0</v>
      </c>
      <c r="F215" s="81">
        <f>sumifs(Dados!$N:$N,Dados!$B:$B,B215,Dados!$J:$J,$D$1,Dados!$I:$I,$F$4)</f>
        <v>0</v>
      </c>
      <c r="G215" s="81">
        <f>sumifs(Dados!$N:$N,Dados!$B:$B,B215,Dados!$J:$J,$D$1,Dados!$I:$I,$G$4)</f>
        <v>0</v>
      </c>
      <c r="H215" s="81">
        <f>sumifs(Dados!$N:$N,Dados!$B:$B,B215,Dados!$J:$J,$D$1,Dados!$I:$I,$H$4)</f>
        <v>0</v>
      </c>
      <c r="I215" s="81">
        <f>sumifs(Dados!$N:$N,Dados!$B:$B,B215,Dados!$J:$J,$D$1,Dados!$I:$I,$I$4)</f>
        <v>0</v>
      </c>
      <c r="J215" s="81">
        <f>sumifs(Dados!$N:$N,Dados!$B:$B,B215,Dados!$J:$J,$D$1,Dados!$I:$I,$J$4)</f>
        <v>0</v>
      </c>
      <c r="K215" s="81">
        <f>sumifs(Dados!$N:$N,Dados!$B:$B,B215,Dados!$J:$J,$D$1,Dados!$I:$I,$K$4)</f>
        <v>0</v>
      </c>
      <c r="L215" s="81">
        <f>sumifs(Dados!$N:$N,Dados!$B:$B,B215,Dados!$J:$J,$D$1,Dados!$I:$I,$L$4)</f>
        <v>0</v>
      </c>
      <c r="M215" s="81">
        <f>sumifs(Dados!$N:$N,Dados!$B:$B,B215,Dados!$J:$J,$D$1,Dados!$I:$I,$M$4)</f>
        <v>0</v>
      </c>
      <c r="N215" s="81">
        <f>sumifs(Dados!$N:$N,Dados!$B:$B,B215,Dados!$J:$J,$D$1,Dados!$I:$I,$N$4)</f>
        <v>0</v>
      </c>
      <c r="O215" s="81">
        <f>sumifs(Dados!$N:$N,Dados!$B:$B,B215,Dados!$J:$J,$D$1,Dados!$I:$I,$O$4)</f>
        <v>0</v>
      </c>
      <c r="P215" s="81">
        <f>sumifs(Dados!$N:$N,Dados!$B:$B,B215,Dados!$J:$J,$D$1,Dados!$I:$I,$P$4)</f>
        <v>0</v>
      </c>
      <c r="Q215" s="81"/>
    </row>
    <row r="216" ht="15.75" customHeight="1">
      <c r="A216" s="99" t="s">
        <v>318</v>
      </c>
      <c r="B216" s="100">
        <f>sumifs(Dados!$N:$N,Dados!$A:$A,A216,Dados!$H:$H,$D$1)</f>
        <v>0</v>
      </c>
      <c r="C216" s="101">
        <f>B216-D216</f>
        <v>0</v>
      </c>
      <c r="D216" s="100">
        <f t="shared" ref="D216:P216" si="52">SUM(D215)</f>
        <v>0</v>
      </c>
      <c r="E216" s="100">
        <f t="shared" si="52"/>
        <v>0</v>
      </c>
      <c r="F216" s="100">
        <f t="shared" si="52"/>
        <v>0</v>
      </c>
      <c r="G216" s="100">
        <f t="shared" si="52"/>
        <v>0</v>
      </c>
      <c r="H216" s="100">
        <f t="shared" si="52"/>
        <v>0</v>
      </c>
      <c r="I216" s="100">
        <f t="shared" si="52"/>
        <v>0</v>
      </c>
      <c r="J216" s="100">
        <f t="shared" si="52"/>
        <v>0</v>
      </c>
      <c r="K216" s="100">
        <f t="shared" si="52"/>
        <v>0</v>
      </c>
      <c r="L216" s="100">
        <f t="shared" si="52"/>
        <v>0</v>
      </c>
      <c r="M216" s="100">
        <f t="shared" si="52"/>
        <v>0</v>
      </c>
      <c r="N216" s="100">
        <f t="shared" si="52"/>
        <v>0</v>
      </c>
      <c r="O216" s="100">
        <f t="shared" si="52"/>
        <v>0</v>
      </c>
      <c r="P216" s="100">
        <f t="shared" si="52"/>
        <v>0</v>
      </c>
      <c r="Q216" s="100"/>
    </row>
    <row r="217" ht="15.75" customHeight="1">
      <c r="A217" s="102"/>
      <c r="B217" s="102" t="s">
        <v>320</v>
      </c>
      <c r="C217" s="79"/>
      <c r="D217" s="80">
        <f t="shared" ref="D217:D219" si="53">SUM(E217:P217)</f>
        <v>0</v>
      </c>
      <c r="E217" s="81">
        <f>sumifs(Dados!$N:$N,Dados!$B:$B,B217,Dados!$J:$J,$D$1,Dados!$I:$I,$E$4)</f>
        <v>0</v>
      </c>
      <c r="F217" s="81">
        <f>sumifs(Dados!$N:$N,Dados!$B:$B,B217,Dados!$J:$J,$D$1,Dados!$I:$I,$F$4)</f>
        <v>0</v>
      </c>
      <c r="G217" s="81">
        <f>sumifs(Dados!$N:$N,Dados!$B:$B,B217,Dados!$J:$J,$D$1,Dados!$I:$I,$G$4)</f>
        <v>0</v>
      </c>
      <c r="H217" s="81">
        <f>sumifs(Dados!$N:$N,Dados!$B:$B,B217,Dados!$J:$J,$D$1,Dados!$I:$I,$H$4)</f>
        <v>0</v>
      </c>
      <c r="I217" s="81">
        <f>sumifs(Dados!$N:$N,Dados!$B:$B,B217,Dados!$J:$J,$D$1,Dados!$I:$I,$I$4)</f>
        <v>0</v>
      </c>
      <c r="J217" s="81">
        <f>sumifs(Dados!$N:$N,Dados!$B:$B,B217,Dados!$J:$J,$D$1,Dados!$I:$I,$J$4)</f>
        <v>0</v>
      </c>
      <c r="K217" s="81">
        <f>sumifs(Dados!$N:$N,Dados!$B:$B,B217,Dados!$J:$J,$D$1,Dados!$I:$I,$K$4)</f>
        <v>0</v>
      </c>
      <c r="L217" s="81">
        <f>sumifs(Dados!$N:$N,Dados!$B:$B,B217,Dados!$J:$J,$D$1,Dados!$I:$I,$L$4)</f>
        <v>0</v>
      </c>
      <c r="M217" s="81">
        <f>sumifs(Dados!$N:$N,Dados!$B:$B,B217,Dados!$J:$J,$D$1,Dados!$I:$I,$M$4)</f>
        <v>0</v>
      </c>
      <c r="N217" s="81">
        <f>sumifs(Dados!$N:$N,Dados!$B:$B,B217,Dados!$J:$J,$D$1,Dados!$I:$I,$N$4)</f>
        <v>0</v>
      </c>
      <c r="O217" s="81">
        <f>sumifs(Dados!$N:$N,Dados!$B:$B,B217,Dados!$J:$J,$D$1,Dados!$I:$I,$O$4)</f>
        <v>0</v>
      </c>
      <c r="P217" s="81">
        <f>sumifs(Dados!$N:$N,Dados!$B:$B,B217,Dados!$J:$J,$D$1,Dados!$I:$I,$P$4)</f>
        <v>0</v>
      </c>
      <c r="Q217" s="81"/>
    </row>
    <row r="218" ht="15.75" customHeight="1">
      <c r="A218" s="102"/>
      <c r="B218" s="102" t="s">
        <v>321</v>
      </c>
      <c r="C218" s="79"/>
      <c r="D218" s="80">
        <f t="shared" si="53"/>
        <v>0</v>
      </c>
      <c r="E218" s="81">
        <f>sumifs(Dados!$N:$N,Dados!$B:$B,B218,Dados!$J:$J,$D$1,Dados!$I:$I,$E$4)</f>
        <v>0</v>
      </c>
      <c r="F218" s="81">
        <f>sumifs(Dados!$N:$N,Dados!$B:$B,B218,Dados!$J:$J,$D$1,Dados!$I:$I,$F$4)</f>
        <v>0</v>
      </c>
      <c r="G218" s="81">
        <f>sumifs(Dados!$N:$N,Dados!$B:$B,B218,Dados!$J:$J,$D$1,Dados!$I:$I,$G$4)</f>
        <v>0</v>
      </c>
      <c r="H218" s="81">
        <f>sumifs(Dados!$N:$N,Dados!$B:$B,B218,Dados!$J:$J,$D$1,Dados!$I:$I,$H$4)</f>
        <v>0</v>
      </c>
      <c r="I218" s="81">
        <f>sumifs(Dados!$N:$N,Dados!$B:$B,B218,Dados!$J:$J,$D$1,Dados!$I:$I,$I$4)</f>
        <v>0</v>
      </c>
      <c r="J218" s="81">
        <f>sumifs(Dados!$N:$N,Dados!$B:$B,B218,Dados!$J:$J,$D$1,Dados!$I:$I,$J$4)</f>
        <v>0</v>
      </c>
      <c r="K218" s="81">
        <f>sumifs(Dados!$N:$N,Dados!$B:$B,B218,Dados!$J:$J,$D$1,Dados!$I:$I,$K$4)</f>
        <v>0</v>
      </c>
      <c r="L218" s="81">
        <f>sumifs(Dados!$N:$N,Dados!$B:$B,B218,Dados!$J:$J,$D$1,Dados!$I:$I,$L$4)</f>
        <v>0</v>
      </c>
      <c r="M218" s="81">
        <f>sumifs(Dados!$N:$N,Dados!$B:$B,B218,Dados!$J:$J,$D$1,Dados!$I:$I,$M$4)</f>
        <v>0</v>
      </c>
      <c r="N218" s="81">
        <f>sumifs(Dados!$N:$N,Dados!$B:$B,B218,Dados!$J:$J,$D$1,Dados!$I:$I,$N$4)</f>
        <v>0</v>
      </c>
      <c r="O218" s="81">
        <f>sumifs(Dados!$N:$N,Dados!$B:$B,B218,Dados!$J:$J,$D$1,Dados!$I:$I,$O$4)</f>
        <v>0</v>
      </c>
      <c r="P218" s="81">
        <f>sumifs(Dados!$N:$N,Dados!$B:$B,B218,Dados!$J:$J,$D$1,Dados!$I:$I,$P$4)</f>
        <v>0</v>
      </c>
      <c r="Q218" s="81"/>
    </row>
    <row r="219" ht="15.75" customHeight="1">
      <c r="A219" s="102"/>
      <c r="B219" s="102" t="s">
        <v>322</v>
      </c>
      <c r="C219" s="79"/>
      <c r="D219" s="80">
        <f t="shared" si="53"/>
        <v>0</v>
      </c>
      <c r="E219" s="81">
        <f>sumifs(Dados!$N:$N,Dados!$B:$B,B219,Dados!$J:$J,$D$1,Dados!$I:$I,$E$4)</f>
        <v>0</v>
      </c>
      <c r="F219" s="81">
        <f>sumifs(Dados!$N:$N,Dados!$B:$B,B219,Dados!$J:$J,$D$1,Dados!$I:$I,$F$4)</f>
        <v>0</v>
      </c>
      <c r="G219" s="81">
        <f>sumifs(Dados!$N:$N,Dados!$B:$B,B219,Dados!$J:$J,$D$1,Dados!$I:$I,$G$4)</f>
        <v>0</v>
      </c>
      <c r="H219" s="81">
        <f>sumifs(Dados!$N:$N,Dados!$B:$B,B219,Dados!$J:$J,$D$1,Dados!$I:$I,$H$4)</f>
        <v>0</v>
      </c>
      <c r="I219" s="81">
        <f>sumifs(Dados!$N:$N,Dados!$B:$B,B219,Dados!$J:$J,$D$1,Dados!$I:$I,$I$4)</f>
        <v>0</v>
      </c>
      <c r="J219" s="81">
        <f>sumifs(Dados!$N:$N,Dados!$B:$B,B219,Dados!$J:$J,$D$1,Dados!$I:$I,$J$4)</f>
        <v>0</v>
      </c>
      <c r="K219" s="81">
        <f>sumifs(Dados!$N:$N,Dados!$B:$B,B219,Dados!$J:$J,$D$1,Dados!$I:$I,$K$4)</f>
        <v>0</v>
      </c>
      <c r="L219" s="81">
        <f>sumifs(Dados!$N:$N,Dados!$B:$B,B219,Dados!$J:$J,$D$1,Dados!$I:$I,$L$4)</f>
        <v>0</v>
      </c>
      <c r="M219" s="81">
        <f>sumifs(Dados!$N:$N,Dados!$B:$B,B219,Dados!$J:$J,$D$1,Dados!$I:$I,$M$4)</f>
        <v>0</v>
      </c>
      <c r="N219" s="81">
        <f>sumifs(Dados!$N:$N,Dados!$B:$B,B219,Dados!$J:$J,$D$1,Dados!$I:$I,$N$4)</f>
        <v>0</v>
      </c>
      <c r="O219" s="81">
        <f>sumifs(Dados!$N:$N,Dados!$B:$B,B219,Dados!$J:$J,$D$1,Dados!$I:$I,$O$4)</f>
        <v>0</v>
      </c>
      <c r="P219" s="81">
        <f>sumifs(Dados!$N:$N,Dados!$B:$B,B219,Dados!$J:$J,$D$1,Dados!$I:$I,$P$4)</f>
        <v>0</v>
      </c>
      <c r="Q219" s="81"/>
    </row>
    <row r="220" ht="15.75" customHeight="1">
      <c r="A220" s="99" t="s">
        <v>324</v>
      </c>
      <c r="B220" s="100">
        <f>sumifs(Dados!$N:$N,Dados!$A:$A,A220,Dados!$H:$H,$D$1)</f>
        <v>0</v>
      </c>
      <c r="C220" s="101">
        <f>B220-D220</f>
        <v>0</v>
      </c>
      <c r="D220" s="100">
        <f t="shared" ref="D220:P220" si="54">SUM(D217:D219)</f>
        <v>0</v>
      </c>
      <c r="E220" s="100">
        <f t="shared" si="54"/>
        <v>0</v>
      </c>
      <c r="F220" s="100">
        <f t="shared" si="54"/>
        <v>0</v>
      </c>
      <c r="G220" s="100">
        <f t="shared" si="54"/>
        <v>0</v>
      </c>
      <c r="H220" s="100">
        <f t="shared" si="54"/>
        <v>0</v>
      </c>
      <c r="I220" s="100">
        <f t="shared" si="54"/>
        <v>0</v>
      </c>
      <c r="J220" s="100">
        <f t="shared" si="54"/>
        <v>0</v>
      </c>
      <c r="K220" s="100">
        <f t="shared" si="54"/>
        <v>0</v>
      </c>
      <c r="L220" s="100">
        <f t="shared" si="54"/>
        <v>0</v>
      </c>
      <c r="M220" s="100">
        <f t="shared" si="54"/>
        <v>0</v>
      </c>
      <c r="N220" s="100">
        <f t="shared" si="54"/>
        <v>0</v>
      </c>
      <c r="O220" s="100">
        <f t="shared" si="54"/>
        <v>0</v>
      </c>
      <c r="P220" s="100">
        <f t="shared" si="54"/>
        <v>0</v>
      </c>
      <c r="Q220" s="100"/>
    </row>
    <row r="221" ht="15.75" customHeight="1">
      <c r="A221" s="77"/>
      <c r="B221" s="77" t="s">
        <v>326</v>
      </c>
      <c r="C221" s="79"/>
      <c r="D221" s="80">
        <f>SUM(E221:P221)</f>
        <v>0</v>
      </c>
      <c r="E221" s="81">
        <f>sumifs(Dados!$N:$N,Dados!$B:$B,B221,Dados!$J:$J,$D$1,Dados!$I:$I,$E$4)</f>
        <v>0</v>
      </c>
      <c r="F221" s="81">
        <f>sumifs(Dados!$N:$N,Dados!$B:$B,B221,Dados!$J:$J,$D$1,Dados!$I:$I,$F$4)</f>
        <v>0</v>
      </c>
      <c r="G221" s="81">
        <f>sumifs(Dados!$N:$N,Dados!$B:$B,B221,Dados!$J:$J,$D$1,Dados!$I:$I,$G$4)</f>
        <v>0</v>
      </c>
      <c r="H221" s="81">
        <f>sumifs(Dados!$N:$N,Dados!$B:$B,B221,Dados!$J:$J,$D$1,Dados!$I:$I,$H$4)</f>
        <v>0</v>
      </c>
      <c r="I221" s="81">
        <f>sumifs(Dados!$N:$N,Dados!$B:$B,B221,Dados!$J:$J,$D$1,Dados!$I:$I,$I$4)</f>
        <v>0</v>
      </c>
      <c r="J221" s="81">
        <f>sumifs(Dados!$N:$N,Dados!$B:$B,B221,Dados!$J:$J,$D$1,Dados!$I:$I,$J$4)</f>
        <v>0</v>
      </c>
      <c r="K221" s="81">
        <f>sumifs(Dados!$N:$N,Dados!$B:$B,B221,Dados!$J:$J,$D$1,Dados!$I:$I,$K$4)</f>
        <v>0</v>
      </c>
      <c r="L221" s="81">
        <f>sumifs(Dados!$N:$N,Dados!$B:$B,B221,Dados!$J:$J,$D$1,Dados!$I:$I,$L$4)</f>
        <v>0</v>
      </c>
      <c r="M221" s="81">
        <f>sumifs(Dados!$N:$N,Dados!$B:$B,B221,Dados!$J:$J,$D$1,Dados!$I:$I,$M$4)</f>
        <v>0</v>
      </c>
      <c r="N221" s="81">
        <f>sumifs(Dados!$N:$N,Dados!$B:$B,B221,Dados!$J:$J,$D$1,Dados!$I:$I,$N$4)</f>
        <v>0</v>
      </c>
      <c r="O221" s="81">
        <f>sumifs(Dados!$N:$N,Dados!$B:$B,B221,Dados!$J:$J,$D$1,Dados!$I:$I,$O$4)</f>
        <v>0</v>
      </c>
      <c r="P221" s="81">
        <f>sumifs(Dados!$N:$N,Dados!$B:$B,B221,Dados!$J:$J,$D$1,Dados!$I:$I,$P$4)</f>
        <v>0</v>
      </c>
      <c r="Q221" s="81"/>
    </row>
    <row r="222" ht="15.75" customHeight="1">
      <c r="A222" s="99" t="s">
        <v>328</v>
      </c>
      <c r="B222" s="100">
        <f>sumifs(Dados!$N:$N,Dados!$A:$A,A222,Dados!$H:$H,$D$1)</f>
        <v>0</v>
      </c>
      <c r="C222" s="101">
        <f>B222-D222</f>
        <v>0</v>
      </c>
      <c r="D222" s="100">
        <f t="shared" ref="D222:P222" si="55">SUM(D221)</f>
        <v>0</v>
      </c>
      <c r="E222" s="100">
        <f t="shared" si="55"/>
        <v>0</v>
      </c>
      <c r="F222" s="100">
        <f t="shared" si="55"/>
        <v>0</v>
      </c>
      <c r="G222" s="100">
        <f t="shared" si="55"/>
        <v>0</v>
      </c>
      <c r="H222" s="100">
        <f t="shared" si="55"/>
        <v>0</v>
      </c>
      <c r="I222" s="100">
        <f t="shared" si="55"/>
        <v>0</v>
      </c>
      <c r="J222" s="100">
        <f t="shared" si="55"/>
        <v>0</v>
      </c>
      <c r="K222" s="100">
        <f t="shared" si="55"/>
        <v>0</v>
      </c>
      <c r="L222" s="100">
        <f t="shared" si="55"/>
        <v>0</v>
      </c>
      <c r="M222" s="100">
        <f t="shared" si="55"/>
        <v>0</v>
      </c>
      <c r="N222" s="100">
        <f t="shared" si="55"/>
        <v>0</v>
      </c>
      <c r="O222" s="100">
        <f t="shared" si="55"/>
        <v>0</v>
      </c>
      <c r="P222" s="100">
        <f t="shared" si="55"/>
        <v>0</v>
      </c>
      <c r="Q222" s="100"/>
    </row>
    <row r="223" ht="15.75" customHeight="1">
      <c r="A223" s="143" t="s">
        <v>329</v>
      </c>
      <c r="B223" s="176">
        <f>D144+D157+D162+D167+D174+D178+D187+D198+D209+D213+D216+D220+D222+D176</f>
        <v>77841.89</v>
      </c>
      <c r="C223" s="177"/>
      <c r="D223" s="178">
        <f>B223</f>
        <v>77841.89</v>
      </c>
      <c r="E223" s="178">
        <f t="shared" ref="E223:Q223" si="56">E144+E157+E162+E167+E174+E178+E187+E198+E209+E216+E220+E222+E176</f>
        <v>11570.9</v>
      </c>
      <c r="F223" s="178">
        <f t="shared" si="56"/>
        <v>25212.94</v>
      </c>
      <c r="G223" s="178">
        <f t="shared" si="56"/>
        <v>10287.06</v>
      </c>
      <c r="H223" s="178">
        <f t="shared" si="56"/>
        <v>11383.75</v>
      </c>
      <c r="I223" s="178">
        <f t="shared" si="56"/>
        <v>7972.26</v>
      </c>
      <c r="J223" s="178">
        <f t="shared" si="56"/>
        <v>6071.71</v>
      </c>
      <c r="K223" s="178">
        <f t="shared" si="56"/>
        <v>2163.27</v>
      </c>
      <c r="L223" s="178">
        <f t="shared" si="56"/>
        <v>3180</v>
      </c>
      <c r="M223" s="178">
        <f t="shared" si="56"/>
        <v>0</v>
      </c>
      <c r="N223" s="178">
        <f t="shared" si="56"/>
        <v>0</v>
      </c>
      <c r="O223" s="178">
        <f t="shared" si="56"/>
        <v>0</v>
      </c>
      <c r="P223" s="178">
        <f t="shared" si="56"/>
        <v>0</v>
      </c>
      <c r="Q223" s="178">
        <f t="shared" si="56"/>
        <v>0</v>
      </c>
    </row>
    <row r="225" ht="15.75" customHeight="1">
      <c r="A225" s="77"/>
      <c r="B225" s="77" t="s">
        <v>330</v>
      </c>
      <c r="C225" s="79"/>
      <c r="D225" s="80">
        <f t="shared" ref="D225:D229" si="57">SUM(E225:P225)</f>
        <v>0</v>
      </c>
      <c r="E225" s="81">
        <f>sumifs(Dados!$N:$N,Dados!$B:$B,B225,Dados!$J:$J,$D$1,Dados!$I:$I,$E$4)</f>
        <v>0</v>
      </c>
      <c r="F225" s="81">
        <f>sumifs(Dados!$N:$N,Dados!$B:$B,B225,Dados!$J:$J,$D$1,Dados!$I:$I,$F$4)</f>
        <v>0</v>
      </c>
      <c r="G225" s="81">
        <f>sumifs(Dados!$N:$N,Dados!$B:$B,B225,Dados!$J:$J,$D$1,Dados!$I:$I,$G$4)</f>
        <v>0</v>
      </c>
      <c r="H225" s="81">
        <f>sumifs(Dados!$N:$N,Dados!$B:$B,B225,Dados!$J:$J,$D$1,Dados!$I:$I,$H$4)</f>
        <v>0</v>
      </c>
      <c r="I225" s="81">
        <f>sumifs(Dados!$N:$N,Dados!$B:$B,B225,Dados!$J:$J,$D$1,Dados!$I:$I,$I$4)</f>
        <v>0</v>
      </c>
      <c r="J225" s="81">
        <f>sumifs(Dados!$N:$N,Dados!$B:$B,B225,Dados!$J:$J,$D$1,Dados!$I:$I,$J$4)</f>
        <v>0</v>
      </c>
      <c r="K225" s="81">
        <f>sumifs(Dados!$N:$N,Dados!$B:$B,B225,Dados!$J:$J,$D$1,Dados!$I:$I,$K$4)</f>
        <v>0</v>
      </c>
      <c r="L225" s="81">
        <f>sumifs(Dados!$N:$N,Dados!$B:$B,B225,Dados!$J:$J,$D$1,Dados!$I:$I,$L$4)</f>
        <v>0</v>
      </c>
      <c r="M225" s="81">
        <f>sumifs(Dados!$N:$N,Dados!$B:$B,B225,Dados!$J:$J,$D$1,Dados!$I:$I,$M$4)</f>
        <v>0</v>
      </c>
      <c r="N225" s="81">
        <f>sumifs(Dados!$N:$N,Dados!$B:$B,B225,Dados!$J:$J,$D$1,Dados!$I:$I,$N$4)</f>
        <v>0</v>
      </c>
      <c r="O225" s="81">
        <f>sumifs(Dados!$N:$N,Dados!$B:$B,B225,Dados!$J:$J,$D$1,Dados!$I:$I,$O$4)</f>
        <v>0</v>
      </c>
      <c r="P225" s="81">
        <f>sumifs(Dados!$N:$N,Dados!$B:$B,B225,Dados!$J:$J,$D$1,Dados!$I:$I,$P$4)</f>
        <v>0</v>
      </c>
      <c r="Q225" s="81"/>
    </row>
    <row r="226" ht="15.75" customHeight="1">
      <c r="A226" s="77"/>
      <c r="B226" s="77" t="s">
        <v>182</v>
      </c>
      <c r="C226" s="79"/>
      <c r="D226" s="80">
        <f t="shared" si="57"/>
        <v>0</v>
      </c>
      <c r="E226" s="81">
        <f>sumifs(Dados!$N:$N,Dados!$B:$B,B226,Dados!$J:$J,$D$1,Dados!$I:$I,$E$4)</f>
        <v>0</v>
      </c>
      <c r="F226" s="81">
        <f>sumifs(Dados!$N:$N,Dados!$B:$B,B226,Dados!$J:$J,$D$1,Dados!$I:$I,$F$4)</f>
        <v>0</v>
      </c>
      <c r="G226" s="81">
        <f>sumifs(Dados!$N:$N,Dados!$B:$B,B226,Dados!$J:$J,$D$1,Dados!$I:$I,$G$4)</f>
        <v>0</v>
      </c>
      <c r="H226" s="81">
        <f>sumifs(Dados!$N:$N,Dados!$B:$B,B226,Dados!$J:$J,$D$1,Dados!$I:$I,$H$4)</f>
        <v>0</v>
      </c>
      <c r="I226" s="81">
        <f>sumifs(Dados!$N:$N,Dados!$B:$B,B226,Dados!$J:$J,$D$1,Dados!$I:$I,$I$4)</f>
        <v>0</v>
      </c>
      <c r="J226" s="81">
        <f>sumifs(Dados!$N:$N,Dados!$B:$B,B226,Dados!$J:$J,$D$1,Dados!$I:$I,$J$4)</f>
        <v>0</v>
      </c>
      <c r="K226" s="81">
        <f>sumifs(Dados!$N:$N,Dados!$B:$B,B226,Dados!$J:$J,$D$1,Dados!$I:$I,$K$4)</f>
        <v>0</v>
      </c>
      <c r="L226" s="81">
        <f>sumifs(Dados!$N:$N,Dados!$B:$B,B226,Dados!$J:$J,$D$1,Dados!$I:$I,$L$4)</f>
        <v>0</v>
      </c>
      <c r="M226" s="81">
        <f>sumifs(Dados!$N:$N,Dados!$B:$B,B226,Dados!$J:$J,$D$1,Dados!$I:$I,$M$4)</f>
        <v>0</v>
      </c>
      <c r="N226" s="81">
        <f>sumifs(Dados!$N:$N,Dados!$B:$B,B226,Dados!$J:$J,$D$1,Dados!$I:$I,$N$4)</f>
        <v>0</v>
      </c>
      <c r="O226" s="81">
        <f>sumifs(Dados!$N:$N,Dados!$B:$B,B226,Dados!$J:$J,$D$1,Dados!$I:$I,$O$4)</f>
        <v>0</v>
      </c>
      <c r="P226" s="81">
        <f>sumifs(Dados!$N:$N,Dados!$B:$B,B226,Dados!$J:$J,$D$1,Dados!$I:$I,$P$4)</f>
        <v>0</v>
      </c>
      <c r="Q226" s="81"/>
    </row>
    <row r="227" ht="15.75" customHeight="1">
      <c r="A227" s="77"/>
      <c r="B227" s="77" t="s">
        <v>362</v>
      </c>
      <c r="C227" s="79"/>
      <c r="D227" s="80">
        <f t="shared" si="57"/>
        <v>0</v>
      </c>
      <c r="E227" s="81">
        <f>sumifs(Dados!$N:$N,Dados!$B:$B,B227,Dados!$J:$J,$D$1,Dados!$I:$I,$E$4)</f>
        <v>0</v>
      </c>
      <c r="F227" s="81">
        <f>sumifs(Dados!$N:$N,Dados!$B:$B,B227,Dados!$J:$J,$D$1,Dados!$I:$I,$F$4)</f>
        <v>0</v>
      </c>
      <c r="G227" s="81">
        <f>sumifs(Dados!$N:$N,Dados!$B:$B,B227,Dados!$J:$J,$D$1,Dados!$I:$I,$G$4)</f>
        <v>0</v>
      </c>
      <c r="H227" s="81">
        <f>sumifs(Dados!$N:$N,Dados!$B:$B,B227,Dados!$J:$J,$D$1,Dados!$I:$I,$H$4)</f>
        <v>0</v>
      </c>
      <c r="I227" s="81">
        <f>sumifs(Dados!$N:$N,Dados!$B:$B,B227,Dados!$J:$J,$D$1,Dados!$I:$I,$I$4)</f>
        <v>0</v>
      </c>
      <c r="J227" s="81">
        <f>sumifs(Dados!$N:$N,Dados!$B:$B,B227,Dados!$J:$J,$D$1,Dados!$I:$I,$J$4)</f>
        <v>0</v>
      </c>
      <c r="K227" s="81">
        <f>sumifs(Dados!$N:$N,Dados!$B:$B,B227,Dados!$J:$J,$D$1,Dados!$I:$I,$K$4)</f>
        <v>0</v>
      </c>
      <c r="L227" s="81">
        <f>sumifs(Dados!$N:$N,Dados!$B:$B,B227,Dados!$J:$J,$D$1,Dados!$I:$I,$L$4)</f>
        <v>0</v>
      </c>
      <c r="M227" s="81">
        <f>sumifs(Dados!$N:$N,Dados!$B:$B,B227,Dados!$J:$J,$D$1,Dados!$I:$I,$M$4)</f>
        <v>0</v>
      </c>
      <c r="N227" s="81">
        <f>sumifs(Dados!$N:$N,Dados!$B:$B,B227,Dados!$J:$J,$D$1,Dados!$I:$I,$N$4)</f>
        <v>0</v>
      </c>
      <c r="O227" s="81">
        <f>sumifs(Dados!$N:$N,Dados!$B:$B,B227,Dados!$J:$J,$D$1,Dados!$I:$I,$O$4)</f>
        <v>0</v>
      </c>
      <c r="P227" s="81">
        <f>sumifs(Dados!$N:$N,Dados!$B:$B,B227,Dados!$J:$J,$D$1,Dados!$I:$I,$P$4)</f>
        <v>0</v>
      </c>
      <c r="Q227" s="81"/>
    </row>
    <row r="228" ht="15.75" customHeight="1">
      <c r="A228" s="77"/>
      <c r="B228" s="77" t="s">
        <v>30</v>
      </c>
      <c r="C228" s="79"/>
      <c r="D228" s="80">
        <f t="shared" si="57"/>
        <v>16260.16</v>
      </c>
      <c r="E228" s="81">
        <f>sumifs(Dados!$N:$N,Dados!$B:$B,B228,Dados!$J:$J,$D$1,Dados!$I:$I,$E$4)</f>
        <v>1771.23</v>
      </c>
      <c r="F228" s="81">
        <f>sumifs(Dados!$N:$N,Dados!$B:$B,B228,Dados!$J:$J,$D$1,Dados!$I:$I,$F$4)</f>
        <v>1391.4</v>
      </c>
      <c r="G228" s="81">
        <f>sumifs(Dados!$N:$N,Dados!$B:$B,B228,Dados!$J:$J,$D$1,Dados!$I:$I,$G$4)</f>
        <v>3855.94</v>
      </c>
      <c r="H228" s="81">
        <f>sumifs(Dados!$N:$N,Dados!$B:$B,B228,Dados!$J:$J,$D$1,Dados!$I:$I,$H$4)</f>
        <v>2089.7</v>
      </c>
      <c r="I228" s="81">
        <f>sumifs(Dados!$N:$N,Dados!$B:$B,B228,Dados!$J:$J,$D$1,Dados!$I:$I,$I$4)</f>
        <v>2243.34</v>
      </c>
      <c r="J228" s="81">
        <f>sumifs(Dados!$N:$N,Dados!$B:$B,B228,Dados!$J:$J,$D$1,Dados!$I:$I,$J$4)</f>
        <v>2458.1</v>
      </c>
      <c r="K228" s="81">
        <f>sumifs(Dados!$N:$N,Dados!$B:$B,B228,Dados!$J:$J,$D$1,Dados!$I:$I,$K$4)</f>
        <v>1300.45</v>
      </c>
      <c r="L228" s="81">
        <f>sumifs(Dados!$N:$N,Dados!$B:$B,B228,Dados!$J:$J,$D$1,Dados!$I:$I,$L$4)</f>
        <v>1150</v>
      </c>
      <c r="M228" s="81">
        <f>sumifs(Dados!$N:$N,Dados!$B:$B,B228,Dados!$J:$J,$D$1,Dados!$I:$I,$M$4)</f>
        <v>0</v>
      </c>
      <c r="N228" s="81">
        <f>sumifs(Dados!$N:$N,Dados!$B:$B,B228,Dados!$J:$J,$D$1,Dados!$I:$I,$N$4)</f>
        <v>0</v>
      </c>
      <c r="O228" s="81">
        <f>sumifs(Dados!$N:$N,Dados!$B:$B,B228,Dados!$J:$J,$D$1,Dados!$I:$I,$O$4)</f>
        <v>0</v>
      </c>
      <c r="P228" s="81">
        <f>sumifs(Dados!$N:$N,Dados!$B:$B,B228,Dados!$J:$J,$D$1,Dados!$I:$I,$P$4)</f>
        <v>0</v>
      </c>
      <c r="Q228" s="81"/>
    </row>
    <row r="229" ht="15.75" customHeight="1">
      <c r="A229" s="77"/>
      <c r="B229" s="77" t="s">
        <v>42</v>
      </c>
      <c r="C229" s="79"/>
      <c r="D229" s="80">
        <f t="shared" si="57"/>
        <v>18500</v>
      </c>
      <c r="E229" s="81">
        <f>sumifs(Dados!$N:$N,Dados!$B:$B,B229,Dados!$J:$J,$D$1,Dados!$I:$I,$E$4)</f>
        <v>0</v>
      </c>
      <c r="F229" s="81">
        <f>sumifs(Dados!$N:$N,Dados!$B:$B,B229,Dados!$J:$J,$D$1,Dados!$I:$I,$F$4)</f>
        <v>15000</v>
      </c>
      <c r="G229" s="81">
        <f>sumifs(Dados!$N:$N,Dados!$B:$B,B229,Dados!$J:$J,$D$1,Dados!$I:$I,$G$4)</f>
        <v>0</v>
      </c>
      <c r="H229" s="81">
        <f>sumifs(Dados!$N:$N,Dados!$B:$B,B229,Dados!$J:$J,$D$1,Dados!$I:$I,$H$4)</f>
        <v>0</v>
      </c>
      <c r="I229" s="81">
        <f>sumifs(Dados!$N:$N,Dados!$B:$B,B229,Dados!$J:$J,$D$1,Dados!$I:$I,$I$4)</f>
        <v>0</v>
      </c>
      <c r="J229" s="81">
        <f>sumifs(Dados!$N:$N,Dados!$B:$B,B229,Dados!$J:$J,$D$1,Dados!$I:$I,$J$4)</f>
        <v>2000</v>
      </c>
      <c r="K229" s="81">
        <f>sumifs(Dados!$N:$N,Dados!$B:$B,B229,Dados!$J:$J,$D$1,Dados!$I:$I,$K$4)</f>
        <v>1500</v>
      </c>
      <c r="L229" s="81">
        <f>sumifs(Dados!$N:$N,Dados!$B:$B,B229,Dados!$J:$J,$D$1,Dados!$I:$I,$L$4)</f>
        <v>0</v>
      </c>
      <c r="M229" s="81">
        <f>sumifs(Dados!$N:$N,Dados!$B:$B,B229,Dados!$J:$J,$D$1,Dados!$I:$I,$M$4)</f>
        <v>0</v>
      </c>
      <c r="N229" s="81">
        <f>sumifs(Dados!$N:$N,Dados!$B:$B,B229,Dados!$J:$J,$D$1,Dados!$I:$I,$N$4)</f>
        <v>0</v>
      </c>
      <c r="O229" s="81">
        <f>sumifs(Dados!$N:$N,Dados!$B:$B,B229,Dados!$J:$J,$D$1,Dados!$I:$I,$O$4)</f>
        <v>0</v>
      </c>
      <c r="P229" s="81">
        <f>sumifs(Dados!$N:$N,Dados!$B:$B,B229,Dados!$J:$J,$D$1,Dados!$I:$I,$P$4)</f>
        <v>0</v>
      </c>
      <c r="Q229" s="81"/>
    </row>
    <row r="230" ht="15.75" customHeight="1">
      <c r="A230" s="109" t="s">
        <v>336</v>
      </c>
      <c r="B230" s="100">
        <f>sumifs(Dados!$N:$N,Dados!$A:$A,A230,Dados!$J:$J,$D$1)</f>
        <v>34760.16</v>
      </c>
      <c r="C230" s="101">
        <f>B230-D230</f>
        <v>0</v>
      </c>
      <c r="D230" s="100">
        <f t="shared" ref="D230:P230" si="58">SUM(D225:D229)</f>
        <v>34760.16</v>
      </c>
      <c r="E230" s="100">
        <f t="shared" si="58"/>
        <v>1771.23</v>
      </c>
      <c r="F230" s="100">
        <f t="shared" si="58"/>
        <v>16391.4</v>
      </c>
      <c r="G230" s="100">
        <f t="shared" si="58"/>
        <v>3855.94</v>
      </c>
      <c r="H230" s="100">
        <f t="shared" si="58"/>
        <v>2089.7</v>
      </c>
      <c r="I230" s="100">
        <f t="shared" si="58"/>
        <v>2243.34</v>
      </c>
      <c r="J230" s="100">
        <f t="shared" si="58"/>
        <v>4458.1</v>
      </c>
      <c r="K230" s="100">
        <f t="shared" si="58"/>
        <v>2800.45</v>
      </c>
      <c r="L230" s="100">
        <f t="shared" si="58"/>
        <v>1150</v>
      </c>
      <c r="M230" s="100">
        <f t="shared" si="58"/>
        <v>0</v>
      </c>
      <c r="N230" s="100">
        <f t="shared" si="58"/>
        <v>0</v>
      </c>
      <c r="O230" s="100">
        <f t="shared" si="58"/>
        <v>0</v>
      </c>
      <c r="P230" s="100">
        <f t="shared" si="58"/>
        <v>0</v>
      </c>
      <c r="Q230" s="100"/>
    </row>
    <row r="231" ht="15.75" customHeight="1">
      <c r="A231" s="140"/>
      <c r="B231" s="78" t="s">
        <v>337</v>
      </c>
      <c r="C231" s="79"/>
      <c r="D231" s="80">
        <f t="shared" ref="D231:D237" si="59">SUM(E231:P231)</f>
        <v>12510</v>
      </c>
      <c r="E231" s="81">
        <f>sumifs(Dados!$N:$N,Dados!$B:$B,$B$231,Dados!$J:$J,$D$1,Dados!$I:$I,E4)</f>
        <v>0</v>
      </c>
      <c r="F231" s="81">
        <f>sumifs(Dados!$N:$N,Dados!$B:$B,$B$231,Dados!$J:$J,$D$1,Dados!$I:$I,F4)</f>
        <v>0</v>
      </c>
      <c r="G231" s="81">
        <f>sumifs(Dados!$N:$N,Dados!$B:$B,$B$231,Dados!$J:$J,$D$1,Dados!$I:$I,G4)</f>
        <v>0</v>
      </c>
      <c r="H231" s="81">
        <f>sumifs(Dados!$N:$N,Dados!$B:$B,$B$231,Dados!$J:$J,$D$1,Dados!$I:$I,H4)</f>
        <v>0</v>
      </c>
      <c r="I231" s="81">
        <f>sumifs(Dados!$N:$N,Dados!$B:$B,$B$231,Dados!$J:$J,$D$1,Dados!$I:$I,I4)</f>
        <v>1000</v>
      </c>
      <c r="J231" s="81">
        <f>sumifs(Dados!$N:$N,Dados!$B:$B,$B$231,Dados!$J:$J,$D$1,Dados!$I:$I,J4)</f>
        <v>3000</v>
      </c>
      <c r="K231" s="81">
        <f>sumifs(Dados!$N:$N,Dados!$B:$B,$B$231,Dados!$J:$J,$D$1,Dados!$I:$I,K4)</f>
        <v>8510</v>
      </c>
      <c r="L231" s="81">
        <f>sumifs(Dados!$N:$N,Dados!$B:$B,$B$231,Dados!$J:$J,$D$1,Dados!$I:$I,L4)</f>
        <v>0</v>
      </c>
      <c r="M231" s="81">
        <f>sumifs(Dados!$N:$N,Dados!$B:$B,$B$231,Dados!$J:$J,$D$1,Dados!$I:$I,M4)</f>
        <v>0</v>
      </c>
      <c r="N231" s="81">
        <f>sumifs(Dados!$N:$N,Dados!$B:$B,$B$231,Dados!$J:$J,$D$1,Dados!$I:$I,N4)</f>
        <v>0</v>
      </c>
      <c r="O231" s="81">
        <f>sumifs(Dados!$N:$N,Dados!$B:$B,$B$231,Dados!$J:$J,$D$1,Dados!$I:$I,O4)</f>
        <v>0</v>
      </c>
      <c r="P231" s="81">
        <f>sumifs(Dados!$N:$N,Dados!$B:$B,$B$231,Dados!$J:$J,$D$1,Dados!$I:$I,P4)</f>
        <v>0</v>
      </c>
      <c r="Q231" s="81"/>
    </row>
    <row r="232" ht="15.75" customHeight="1">
      <c r="A232" s="140"/>
      <c r="B232" s="82" t="s">
        <v>338</v>
      </c>
      <c r="C232" s="79"/>
      <c r="D232" s="80">
        <f t="shared" si="59"/>
        <v>0</v>
      </c>
      <c r="E232" s="81">
        <f>sumifs(Dados!$N:$N,Dados!$B:$B,$B$232,Dados!$J:$J,$D$1,Dados!$I:$I,E4)</f>
        <v>0</v>
      </c>
      <c r="F232" s="81">
        <f>sumifs(Dados!$N:$N,Dados!$B:$B,$B$232,Dados!$J:$J,$D$1,Dados!$I:$I,F4)</f>
        <v>0</v>
      </c>
      <c r="G232" s="81">
        <f>sumifs(Dados!$N:$N,Dados!$B:$B,$B$232,Dados!$J:$J,$D$1,Dados!$I:$I,G4)</f>
        <v>0</v>
      </c>
      <c r="H232" s="81">
        <f>sumifs(Dados!$N:$N,Dados!$B:$B,$B$232,Dados!$J:$J,$D$1,Dados!$I:$I,H4)</f>
        <v>0</v>
      </c>
      <c r="I232" s="81">
        <f>sumifs(Dados!$N:$N,Dados!$B:$B,$B$232,Dados!$J:$J,$D$1,Dados!$I:$I,I4)</f>
        <v>0</v>
      </c>
      <c r="J232" s="81">
        <f>sumifs(Dados!$N:$N,Dados!$B:$B,$B$232,Dados!$J:$J,$D$1,Dados!$I:$I,J4)</f>
        <v>0</v>
      </c>
      <c r="K232" s="81">
        <f>sumifs(Dados!$N:$N,Dados!$B:$B,$B$232,Dados!$J:$J,$D$1,Dados!$I:$I,K4)</f>
        <v>0</v>
      </c>
      <c r="L232" s="81">
        <f>sumifs(Dados!$N:$N,Dados!$B:$B,$B$232,Dados!$J:$J,$D$1,Dados!$I:$I,L4)</f>
        <v>0</v>
      </c>
      <c r="M232" s="81">
        <f>sumifs(Dados!$N:$N,Dados!$B:$B,$B$232,Dados!$J:$J,$D$1,Dados!$I:$I,M4)</f>
        <v>0</v>
      </c>
      <c r="N232" s="81">
        <f>sumifs(Dados!$N:$N,Dados!$B:$B,$B$232,Dados!$J:$J,$D$1,Dados!$I:$I,N4)</f>
        <v>0</v>
      </c>
      <c r="O232" s="81">
        <f>sumifs(Dados!$N:$N,Dados!$B:$B,$B$232,Dados!$J:$J,$D$1,Dados!$I:$I,O4)</f>
        <v>0</v>
      </c>
      <c r="P232" s="81">
        <f>sumifs(Dados!$N:$N,Dados!$B:$B,$B$232,Dados!$J:$J,$D$1,Dados!$I:$I,P4)</f>
        <v>0</v>
      </c>
      <c r="Q232" s="81"/>
    </row>
    <row r="233" ht="15.75" customHeight="1">
      <c r="A233" s="82"/>
      <c r="B233" s="83" t="s">
        <v>339</v>
      </c>
      <c r="C233" s="79"/>
      <c r="D233" s="80">
        <f t="shared" si="59"/>
        <v>0</v>
      </c>
      <c r="E233" s="81">
        <f>sumifs(Dados!$N:$N,Dados!$B:$B,$B$233,Dados!$J:$J,$D$1,Dados!$I:$I,E4)</f>
        <v>0</v>
      </c>
      <c r="F233" s="81">
        <f>sumifs(Dados!$N:$N,Dados!$B:$B,$B$233,Dados!$J:$J,$D$1,Dados!$I:$I,F4)</f>
        <v>0</v>
      </c>
      <c r="G233" s="81">
        <f>sumifs(Dados!$N:$N,Dados!$B:$B,$B$233,Dados!$J:$J,$D$1,Dados!$I:$I,G4)</f>
        <v>0</v>
      </c>
      <c r="H233" s="81">
        <f>sumifs(Dados!$N:$N,Dados!$B:$B,$B$233,Dados!$J:$J,$D$1,Dados!$I:$I,H4)</f>
        <v>0</v>
      </c>
      <c r="I233" s="81">
        <f>sumifs(Dados!$N:$N,Dados!$B:$B,$B$233,Dados!$J:$J,$D$1,Dados!$I:$I,I4)</f>
        <v>0</v>
      </c>
      <c r="J233" s="81">
        <f>sumifs(Dados!$N:$N,Dados!$B:$B,$B$233,Dados!$J:$J,$D$1,Dados!$I:$I,J4)</f>
        <v>0</v>
      </c>
      <c r="K233" s="81">
        <f>sumifs(Dados!$N:$N,Dados!$B:$B,$B$233,Dados!$J:$J,$D$1,Dados!$I:$I,K4)</f>
        <v>0</v>
      </c>
      <c r="L233" s="81">
        <f>sumifs(Dados!$N:$N,Dados!$B:$B,$B$233,Dados!$J:$J,$D$1,Dados!$I:$I,L4)</f>
        <v>0</v>
      </c>
      <c r="M233" s="81">
        <f>sumifs(Dados!$N:$N,Dados!$B:$B,$B$233,Dados!$J:$J,$D$1,Dados!$I:$I,M4)</f>
        <v>0</v>
      </c>
      <c r="N233" s="81">
        <f>sumifs(Dados!$N:$N,Dados!$B:$B,$B$233,Dados!$J:$J,$D$1,Dados!$I:$I,N4)</f>
        <v>0</v>
      </c>
      <c r="O233" s="81">
        <f>sumifs(Dados!$N:$N,Dados!$B:$B,$B$233,Dados!$J:$J,$D$1,Dados!$I:$I,O4)</f>
        <v>0</v>
      </c>
      <c r="P233" s="81">
        <f>sumifs(Dados!$N:$N,Dados!$B:$B,$B$233,Dados!$J:$J,$D$1,Dados!$I:$I,P4)</f>
        <v>0</v>
      </c>
      <c r="Q233" s="81"/>
    </row>
    <row r="234" ht="15.75" customHeight="1">
      <c r="A234" s="82"/>
      <c r="B234" s="83" t="s">
        <v>340</v>
      </c>
      <c r="C234" s="79"/>
      <c r="D234" s="80">
        <f t="shared" si="59"/>
        <v>0</v>
      </c>
      <c r="E234" s="81">
        <f>sumifs(Dados!$N:$N,Dados!$B:$B,$B$234,Dados!$J:$J,$D$1,Dados!$I:$I,E4)</f>
        <v>0</v>
      </c>
      <c r="F234" s="81">
        <f>sumifs(Dados!$N:$N,Dados!$B:$B,$B$234,Dados!$J:$J,$D$1,Dados!$I:$I,F4)</f>
        <v>0</v>
      </c>
      <c r="G234" s="81">
        <f>sumifs(Dados!$N:$N,Dados!$B:$B,$B$234,Dados!$J:$J,$D$1,Dados!$I:$I,G4)</f>
        <v>0</v>
      </c>
      <c r="H234" s="81">
        <f>sumifs(Dados!$N:$N,Dados!$B:$B,$B$234,Dados!$J:$J,$D$1,Dados!$I:$I,H4)</f>
        <v>0</v>
      </c>
      <c r="I234" s="81">
        <f>sumifs(Dados!$N:$N,Dados!$B:$B,$B$234,Dados!$J:$J,$D$1,Dados!$I:$I,I4)</f>
        <v>0</v>
      </c>
      <c r="J234" s="81">
        <f>sumifs(Dados!$N:$N,Dados!$B:$B,$B$234,Dados!$J:$J,$D$1,Dados!$I:$I,J4)</f>
        <v>0</v>
      </c>
      <c r="K234" s="81">
        <f>sumifs(Dados!$N:$N,Dados!$B:$B,$B$234,Dados!$J:$J,$D$1,Dados!$I:$I,K4)</f>
        <v>0</v>
      </c>
      <c r="L234" s="81">
        <f>sumifs(Dados!$N:$N,Dados!$B:$B,$B$234,Dados!$J:$J,$D$1,Dados!$I:$I,L4)</f>
        <v>0</v>
      </c>
      <c r="M234" s="81">
        <f>sumifs(Dados!$N:$N,Dados!$B:$B,$B$234,Dados!$J:$J,$D$1,Dados!$I:$I,M4)</f>
        <v>0</v>
      </c>
      <c r="N234" s="81">
        <f>sumifs(Dados!$N:$N,Dados!$B:$B,$B$234,Dados!$J:$J,$D$1,Dados!$I:$I,N4)</f>
        <v>0</v>
      </c>
      <c r="O234" s="81">
        <f>sumifs(Dados!$N:$N,Dados!$B:$B,$B$234,Dados!$J:$J,$D$1,Dados!$I:$I,O4)</f>
        <v>0</v>
      </c>
      <c r="P234" s="81">
        <f>sumifs(Dados!$N:$N,Dados!$B:$B,$B$234,Dados!$J:$J,$D$1,Dados!$I:$I,P4)</f>
        <v>0</v>
      </c>
      <c r="Q234" s="81"/>
    </row>
    <row r="235" ht="15.75" customHeight="1">
      <c r="A235" s="82"/>
      <c r="B235" s="83" t="s">
        <v>341</v>
      </c>
      <c r="C235" s="79"/>
      <c r="D235" s="80">
        <f t="shared" si="59"/>
        <v>40000</v>
      </c>
      <c r="E235" s="81">
        <f>sumifs(Dados!$N:$N,Dados!$B:$B,$B$235,Dados!$J:$J,$D$1,Dados!$I:$I,E4)</f>
        <v>10000</v>
      </c>
      <c r="F235" s="81">
        <f>sumifs(Dados!$N:$N,Dados!$B:$B,$B$235,Dados!$J:$J,$D$1,Dados!$I:$I,F4)</f>
        <v>20000</v>
      </c>
      <c r="G235" s="81">
        <f>sumifs(Dados!$N:$N,Dados!$B:$B,$B$235,Dados!$J:$J,$D$1,Dados!$I:$I,G4)</f>
        <v>0</v>
      </c>
      <c r="H235" s="81">
        <f>sumifs(Dados!$N:$N,Dados!$B:$B,$B$235,Dados!$J:$J,$D$1,Dados!$I:$I,H4)</f>
        <v>0</v>
      </c>
      <c r="I235" s="81">
        <f>sumifs(Dados!$N:$N,Dados!$B:$B,$B$235,Dados!$J:$J,$D$1,Dados!$I:$I,I4)</f>
        <v>5000</v>
      </c>
      <c r="J235" s="81">
        <f>sumifs(Dados!$N:$N,Dados!$B:$B,$B$235,Dados!$J:$J,$D$1,Dados!$I:$I,J4)</f>
        <v>5000</v>
      </c>
      <c r="K235" s="81">
        <f>sumifs(Dados!$N:$N,Dados!$B:$B,$B$235,Dados!$J:$J,$D$1,Dados!$I:$I,K4)</f>
        <v>0</v>
      </c>
      <c r="L235" s="81">
        <f>sumifs(Dados!$N:$N,Dados!$B:$B,$B$235,Dados!$J:$J,$D$1,Dados!$I:$I,L4)</f>
        <v>0</v>
      </c>
      <c r="M235" s="81">
        <f>sumifs(Dados!$N:$N,Dados!$B:$B,$B$235,Dados!$J:$J,$D$1,Dados!$I:$I,M4)</f>
        <v>0</v>
      </c>
      <c r="N235" s="81">
        <f>sumifs(Dados!$N:$N,Dados!$B:$B,$B$235,Dados!$J:$J,$D$1,Dados!$I:$I,N4)</f>
        <v>0</v>
      </c>
      <c r="O235" s="81">
        <f>sumifs(Dados!$N:$N,Dados!$B:$B,$B$235,Dados!$J:$J,$D$1,Dados!$I:$I,O4)</f>
        <v>0</v>
      </c>
      <c r="P235" s="81">
        <f>sumifs(Dados!$N:$N,Dados!$B:$B,$B$235,Dados!$J:$J,$D$1,Dados!$I:$I,P4)</f>
        <v>0</v>
      </c>
      <c r="Q235" s="81"/>
    </row>
    <row r="236" ht="15.75" customHeight="1">
      <c r="A236" s="82"/>
      <c r="B236" s="83" t="s">
        <v>342</v>
      </c>
      <c r="C236" s="79"/>
      <c r="D236" s="80">
        <f t="shared" si="59"/>
        <v>2000</v>
      </c>
      <c r="E236" s="81">
        <f>sumifs(Dados!$N:$N,Dados!$B:$B,$B$236,Dados!$J:$J,$D$1,Dados!$I:$I,E4)</f>
        <v>0</v>
      </c>
      <c r="F236" s="81">
        <f>sumifs(Dados!$N:$N,Dados!$B:$B,$B$236,Dados!$J:$J,$D$1,Dados!$I:$I,F4)</f>
        <v>0</v>
      </c>
      <c r="G236" s="81">
        <f>sumifs(Dados!$N:$N,Dados!$B:$B,$B$236,Dados!$J:$J,$D$1,Dados!$I:$I,G4)</f>
        <v>2000</v>
      </c>
      <c r="H236" s="81">
        <f>sumifs(Dados!$N:$N,Dados!$B:$B,$B$236,Dados!$J:$J,$D$1,Dados!$I:$I,H4)</f>
        <v>0</v>
      </c>
      <c r="I236" s="81">
        <f>sumifs(Dados!$N:$N,Dados!$B:$B,$B$236,Dados!$J:$J,$D$1,Dados!$I:$I,I4)</f>
        <v>0</v>
      </c>
      <c r="J236" s="81">
        <f>sumifs(Dados!$N:$N,Dados!$B:$B,$B$236,Dados!$J:$J,$D$1,Dados!$I:$I,J4)</f>
        <v>0</v>
      </c>
      <c r="K236" s="81">
        <f>sumifs(Dados!$N:$N,Dados!$B:$B,$B$236,Dados!$J:$J,$D$1,Dados!$I:$I,K4)</f>
        <v>0</v>
      </c>
      <c r="L236" s="81">
        <f>sumifs(Dados!$N:$N,Dados!$B:$B,$B$236,Dados!$J:$J,$D$1,Dados!$I:$I,L4)</f>
        <v>0</v>
      </c>
      <c r="M236" s="81">
        <f>sumifs(Dados!$N:$N,Dados!$B:$B,$B$236,Dados!$J:$J,$D$1,Dados!$I:$I,M4)</f>
        <v>0</v>
      </c>
      <c r="N236" s="81">
        <f>sumifs(Dados!$N:$N,Dados!$B:$B,$B$236,Dados!$J:$J,$D$1,Dados!$I:$I,N4)</f>
        <v>0</v>
      </c>
      <c r="O236" s="81">
        <f>sumifs(Dados!$N:$N,Dados!$B:$B,$B$236,Dados!$J:$J,$D$1,Dados!$I:$I,O4)</f>
        <v>0</v>
      </c>
      <c r="P236" s="81">
        <f>sumifs(Dados!$N:$N,Dados!$B:$B,$B$236,Dados!$J:$J,$D$1,Dados!$I:$I,P4)</f>
        <v>0</v>
      </c>
      <c r="Q236" s="81"/>
    </row>
    <row r="237" ht="15.75" customHeight="1">
      <c r="A237" s="82"/>
      <c r="B237" s="83" t="s">
        <v>343</v>
      </c>
      <c r="C237" s="79"/>
      <c r="D237" s="80">
        <f t="shared" si="59"/>
        <v>0</v>
      </c>
      <c r="E237" s="81">
        <f>sumifs(Dados!$N:$N,Dados!$B:$B,$B$237,Dados!$J:$J,$D$1,Dados!$I:$I,E4)</f>
        <v>0</v>
      </c>
      <c r="F237" s="81">
        <f>sumifs(Dados!$N:$N,Dados!$B:$B,$B$237,Dados!$J:$J,$D$1,Dados!$I:$I,F4)</f>
        <v>0</v>
      </c>
      <c r="G237" s="81">
        <f>sumifs(Dados!$N:$N,Dados!$B:$B,$B$237,Dados!$J:$J,$D$1,Dados!$I:$I,G4)</f>
        <v>0</v>
      </c>
      <c r="H237" s="81">
        <f>sumifs(Dados!$N:$N,Dados!$B:$B,$B$237,Dados!$J:$J,$D$1,Dados!$I:$I,H4)</f>
        <v>0</v>
      </c>
      <c r="I237" s="81">
        <f>sumifs(Dados!$N:$N,Dados!$B:$B,$B$237,Dados!$J:$J,$D$1,Dados!$I:$I,I4)</f>
        <v>0</v>
      </c>
      <c r="J237" s="81">
        <f>sumifs(Dados!$N:$N,Dados!$B:$B,$B$237,Dados!$J:$J,$D$1,Dados!$I:$I,J4)</f>
        <v>0</v>
      </c>
      <c r="K237" s="81">
        <f>sumifs(Dados!$N:$N,Dados!$B:$B,$B$237,Dados!$J:$J,$D$1,Dados!$I:$I,K4)</f>
        <v>0</v>
      </c>
      <c r="L237" s="81">
        <f>sumifs(Dados!$N:$N,Dados!$B:$B,$B$237,Dados!$J:$J,$D$1,Dados!$I:$I,L4)</f>
        <v>0</v>
      </c>
      <c r="M237" s="81">
        <f>sumifs(Dados!$N:$N,Dados!$B:$B,$B$237,Dados!$J:$J,$D$1,Dados!$I:$I,M4)</f>
        <v>0</v>
      </c>
      <c r="N237" s="81">
        <f>sumifs(Dados!$N:$N,Dados!$B:$B,$B$237,Dados!$J:$J,$D$1,Dados!$I:$I,N4)</f>
        <v>0</v>
      </c>
      <c r="O237" s="81">
        <f>sumifs(Dados!$N:$N,Dados!$B:$B,$B$237,Dados!$J:$J,$D$1,Dados!$I:$I,O4)</f>
        <v>0</v>
      </c>
      <c r="P237" s="81">
        <f>sumifs(Dados!$N:$N,Dados!$B:$B,$B$237,Dados!$J:$J,$D$1,Dados!$I:$I,P4)</f>
        <v>0</v>
      </c>
      <c r="Q237" s="81"/>
    </row>
    <row r="238" ht="15.75" customHeight="1">
      <c r="A238" s="99" t="s">
        <v>334</v>
      </c>
      <c r="B238" s="100">
        <f>sumifs(Dados!$N:$N,Dados!$A:$A,A238,Dados!$J:$J,$D$1)</f>
        <v>54510</v>
      </c>
      <c r="C238" s="101">
        <f>B238-D238</f>
        <v>0</v>
      </c>
      <c r="D238" s="100">
        <f t="shared" ref="D238:P238" si="60">SUM(D231:D237)</f>
        <v>54510</v>
      </c>
      <c r="E238" s="100">
        <f t="shared" si="60"/>
        <v>10000</v>
      </c>
      <c r="F238" s="100">
        <f t="shared" si="60"/>
        <v>20000</v>
      </c>
      <c r="G238" s="100">
        <f t="shared" si="60"/>
        <v>2000</v>
      </c>
      <c r="H238" s="100">
        <f t="shared" si="60"/>
        <v>0</v>
      </c>
      <c r="I238" s="100">
        <f t="shared" si="60"/>
        <v>6000</v>
      </c>
      <c r="J238" s="100">
        <f t="shared" si="60"/>
        <v>8000</v>
      </c>
      <c r="K238" s="100">
        <f t="shared" si="60"/>
        <v>8510</v>
      </c>
      <c r="L238" s="100">
        <f t="shared" si="60"/>
        <v>0</v>
      </c>
      <c r="M238" s="100">
        <f t="shared" si="60"/>
        <v>0</v>
      </c>
      <c r="N238" s="100">
        <f t="shared" si="60"/>
        <v>0</v>
      </c>
      <c r="O238" s="100">
        <f t="shared" si="60"/>
        <v>0</v>
      </c>
      <c r="P238" s="100">
        <f t="shared" si="60"/>
        <v>0</v>
      </c>
      <c r="Q238" s="100"/>
    </row>
    <row r="239" ht="15.75" customHeight="1">
      <c r="A239" s="87"/>
      <c r="B239" s="87" t="s">
        <v>43</v>
      </c>
      <c r="C239" s="79"/>
      <c r="D239" s="80">
        <f t="shared" ref="D239:D240" si="61">SUM(E239:P239)</f>
        <v>0</v>
      </c>
      <c r="E239" s="81">
        <f>sumifs(Dados!$N:$N,Dados!$B:$B,$B$239,Dados!$J:$J,$D$1,Dados!$I:$I,E4)</f>
        <v>0</v>
      </c>
      <c r="F239" s="81">
        <f>sumifs(Dados!$N:$N,Dados!$B:$B,$B$239,Dados!$J:$J,$D$1,Dados!$I:$I,F4)</f>
        <v>0</v>
      </c>
      <c r="G239" s="81">
        <f>sumifs(Dados!$N:$N,Dados!$B:$B,$B$239,Dados!$J:$J,$D$1,Dados!$I:$I,G4)</f>
        <v>0</v>
      </c>
      <c r="H239" s="81">
        <f>sumifs(Dados!$N:$N,Dados!$B:$B,$B$239,Dados!$J:$J,$D$1,Dados!$I:$I,H4)</f>
        <v>0</v>
      </c>
      <c r="I239" s="81">
        <f>sumifs(Dados!$N:$N,Dados!$B:$B,$B$239,Dados!$J:$J,$D$1,Dados!$I:$I,I4)</f>
        <v>0</v>
      </c>
      <c r="J239" s="81">
        <f>sumifs(Dados!$N:$N,Dados!$B:$B,$B$239,Dados!$J:$J,$D$1,Dados!$I:$I,J4)</f>
        <v>0</v>
      </c>
      <c r="K239" s="81">
        <f>sumifs(Dados!$N:$N,Dados!$B:$B,$B$239,Dados!$J:$J,$D$1,Dados!$I:$I,K4)</f>
        <v>0</v>
      </c>
      <c r="L239" s="81">
        <f>sumifs(Dados!$N:$N,Dados!$B:$B,$B$239,Dados!$J:$J,$D$1,Dados!$I:$I,L4)</f>
        <v>0</v>
      </c>
      <c r="M239" s="81">
        <f>sumifs(Dados!$N:$N,Dados!$B:$B,$B$239,Dados!$J:$J,$D$1,Dados!$I:$I,M4)</f>
        <v>0</v>
      </c>
      <c r="N239" s="81">
        <f>sumifs(Dados!$N:$N,Dados!$B:$B,$B$239,Dados!$J:$J,$D$1,Dados!$I:$I,N4)</f>
        <v>0</v>
      </c>
      <c r="O239" s="81">
        <f>sumifs(Dados!$N:$N,Dados!$B:$B,$B$239,Dados!$J:$J,$D$1,Dados!$I:$I,O4)</f>
        <v>0</v>
      </c>
      <c r="P239" s="81">
        <f>sumifs(Dados!$N:$N,Dados!$B:$B,$B$239,Dados!$J:$J,$D$1,Dados!$I:$I,P4)</f>
        <v>0</v>
      </c>
      <c r="Q239" s="81"/>
    </row>
    <row r="240" ht="15.75" customHeight="1">
      <c r="A240" s="77"/>
      <c r="B240" s="77" t="s">
        <v>109</v>
      </c>
      <c r="C240" s="79"/>
      <c r="D240" s="80">
        <f t="shared" si="61"/>
        <v>183.66</v>
      </c>
      <c r="E240" s="81">
        <f>sumifs(Dados!$N:$N,Dados!$B:$B,B240,Dados!$J:$J,$D$1,Dados!$I:$I,$E$4)</f>
        <v>0</v>
      </c>
      <c r="F240" s="81">
        <f>sumifs(Dados!$N:$N,Dados!$B:$B,B240,Dados!$J:$J,$D$1,Dados!$I:$I,$F$4)</f>
        <v>0</v>
      </c>
      <c r="G240" s="81">
        <f>sumifs(Dados!$N:$N,Dados!$B:$B,B240,Dados!$J:$J,$D$1,Dados!$I:$I,$G$4)</f>
        <v>0</v>
      </c>
      <c r="H240" s="81">
        <f>sumifs(Dados!$N:$N,Dados!$B:$B,B240,Dados!$J:$J,$D$1,Dados!$I:$I,$H$4)</f>
        <v>0</v>
      </c>
      <c r="I240" s="81">
        <f>sumifs(Dados!$N:$N,Dados!$B:$B,B240,Dados!$J:$J,$D$1,Dados!$I:$I,$I$4)</f>
        <v>146.66</v>
      </c>
      <c r="J240" s="81">
        <f>sumifs(Dados!$N:$N,Dados!$B:$B,B240,Dados!$J:$J,$D$1,Dados!$I:$I,$J$4)</f>
        <v>37</v>
      </c>
      <c r="K240" s="81">
        <f>sumifs(Dados!$N:$N,Dados!$B:$B,B240,Dados!$J:$J,$D$1,Dados!$I:$I,$K$4)</f>
        <v>0</v>
      </c>
      <c r="L240" s="81">
        <f>sumifs(Dados!$N:$N,Dados!$B:$B,B240,Dados!$J:$J,$D$1,Dados!$I:$I,$L$4)</f>
        <v>0</v>
      </c>
      <c r="M240" s="81">
        <f>sumifs(Dados!$N:$N,Dados!$B:$B,B240,Dados!$J:$J,$D$1,Dados!$I:$I,$M$4)</f>
        <v>0</v>
      </c>
      <c r="N240" s="81">
        <f>sumifs(Dados!$N:$N,Dados!$B:$B,B240,Dados!$J:$J,$D$1,Dados!$I:$I,$N$4)</f>
        <v>0</v>
      </c>
      <c r="O240" s="81">
        <f>sumifs(Dados!$N:$N,Dados!$B:$B,B240,Dados!$J:$J,$D$1,Dados!$I:$I,$O$4)</f>
        <v>0</v>
      </c>
      <c r="P240" s="81">
        <f>sumifs(Dados!$N:$N,Dados!$B:$B,B240,Dados!$J:$J,$D$1,Dados!$I:$I,$P$4)</f>
        <v>0</v>
      </c>
      <c r="Q240" s="81"/>
    </row>
    <row r="241" ht="15.75" customHeight="1">
      <c r="A241" s="99" t="s">
        <v>109</v>
      </c>
      <c r="B241" s="100">
        <f>sumifs(Dados!$N:$N,Dados!$A:$A,A241,Dados!$J:$J,$D$1)</f>
        <v>183.66</v>
      </c>
      <c r="C241" s="101">
        <f t="shared" ref="C241:C242" si="63">B241-D241</f>
        <v>0</v>
      </c>
      <c r="D241" s="100">
        <f t="shared" ref="D241:P241" si="62">SUM(D239:D240)</f>
        <v>183.66</v>
      </c>
      <c r="E241" s="100">
        <f t="shared" si="62"/>
        <v>0</v>
      </c>
      <c r="F241" s="100">
        <f t="shared" si="62"/>
        <v>0</v>
      </c>
      <c r="G241" s="100">
        <f t="shared" si="62"/>
        <v>0</v>
      </c>
      <c r="H241" s="100">
        <f t="shared" si="62"/>
        <v>0</v>
      </c>
      <c r="I241" s="100">
        <f t="shared" si="62"/>
        <v>146.66</v>
      </c>
      <c r="J241" s="100">
        <f t="shared" si="62"/>
        <v>37</v>
      </c>
      <c r="K241" s="100">
        <f t="shared" si="62"/>
        <v>0</v>
      </c>
      <c r="L241" s="100">
        <f t="shared" si="62"/>
        <v>0</v>
      </c>
      <c r="M241" s="100">
        <f t="shared" si="62"/>
        <v>0</v>
      </c>
      <c r="N241" s="100">
        <f t="shared" si="62"/>
        <v>0</v>
      </c>
      <c r="O241" s="100">
        <f t="shared" si="62"/>
        <v>0</v>
      </c>
      <c r="P241" s="100">
        <f t="shared" si="62"/>
        <v>0</v>
      </c>
      <c r="Q241" s="100"/>
    </row>
    <row r="242" ht="15.75" customHeight="1">
      <c r="A242" s="99" t="s">
        <v>344</v>
      </c>
      <c r="B242" s="100">
        <f>sumifs(Dados!$N:$N,Dados!$A:$A,A242,Dados!$J:$J,$D$1)</f>
        <v>0</v>
      </c>
      <c r="C242" s="101">
        <f t="shared" si="63"/>
        <v>0</v>
      </c>
      <c r="D242" s="100">
        <f>SUM(E242:P242)</f>
        <v>0</v>
      </c>
      <c r="E242" s="100">
        <f>sumifs(Dados!$N:$N,Dados!$B:$B,A242,Dados!$J:$J,$D$1,Dados!$I:$I,$E$4)</f>
        <v>0</v>
      </c>
      <c r="F242" s="100">
        <f>sumifs(Dados!$N:$N,Dados!$B:$B,A242,Dados!$J:$J,$D$1,Dados!$I:$I,$F$4)</f>
        <v>0</v>
      </c>
      <c r="G242" s="100">
        <f>sumifs(Dados!$N:$N,Dados!$B:$B,A242,Dados!$J:$J,$D$1,Dados!$I:$I,$G$4)</f>
        <v>0</v>
      </c>
      <c r="H242" s="100">
        <f>sumifs(Dados!$N:$N,Dados!$B:$B,A242,Dados!$J:$J,$D$1,Dados!$I:$I,$H$4)</f>
        <v>0</v>
      </c>
      <c r="I242" s="100">
        <f>sumifs(Dados!$N:$N,Dados!$B:$B,A242,Dados!$J:$J,$D$1,Dados!$I:$I,$I$4)</f>
        <v>0</v>
      </c>
      <c r="J242" s="100">
        <f>sumifs(Dados!$N:$N,Dados!$B:$B,A242,Dados!$J:$J,$D$1,Dados!$I:$I,$J$4)</f>
        <v>0</v>
      </c>
      <c r="K242" s="100">
        <f>sumifs(Dados!$N:$N,Dados!$B:$B,A242,Dados!$J:$J,$D$1,Dados!$I:$I,$K$4)</f>
        <v>0</v>
      </c>
      <c r="L242" s="100">
        <f>sumifs(Dados!$N:$N,Dados!$B:$B,A242,Dados!$J:$J,$D$1,Dados!$I:$I,$L$4)</f>
        <v>0</v>
      </c>
      <c r="M242" s="100">
        <f>sumifs(Dados!$N:$N,Dados!$B:$B,A242,Dados!$J:$J,$D$1,Dados!$I:$I,$M$4)</f>
        <v>0</v>
      </c>
      <c r="N242" s="100">
        <f>sumifs(Dados!$N:$N,Dados!$B:$B,A242,Dados!$J:$J,$D$1,Dados!$I:$I,$N$4)</f>
        <v>0</v>
      </c>
      <c r="O242" s="100">
        <f>sumifs(Dados!$N:$N,Dados!$B:$B,A242,Dados!$J:$J,$D$1,Dados!$I:$I,$O$4)</f>
        <v>0</v>
      </c>
      <c r="P242" s="100">
        <f>sumifs(Dados!$N:$N,Dados!$B:$B,A242,Dados!$J:$J,$D$1,Dados!$I:$I,$P$4)</f>
        <v>0</v>
      </c>
      <c r="Q242" s="100"/>
    </row>
    <row r="243" ht="15.75" customHeight="1">
      <c r="A243" s="143" t="s">
        <v>345</v>
      </c>
      <c r="B243" s="176">
        <f>D230+D238+D241+D242</f>
        <v>89453.82</v>
      </c>
      <c r="C243" s="176"/>
      <c r="D243" s="176"/>
      <c r="E243" s="176">
        <f t="shared" ref="E243:P243" si="64">E230+E238+E241</f>
        <v>11771.23</v>
      </c>
      <c r="F243" s="176">
        <f t="shared" si="64"/>
        <v>36391.4</v>
      </c>
      <c r="G243" s="176">
        <f t="shared" si="64"/>
        <v>5855.94</v>
      </c>
      <c r="H243" s="176">
        <f t="shared" si="64"/>
        <v>2089.7</v>
      </c>
      <c r="I243" s="176">
        <f t="shared" si="64"/>
        <v>8390</v>
      </c>
      <c r="J243" s="176">
        <f t="shared" si="64"/>
        <v>12495.1</v>
      </c>
      <c r="K243" s="176">
        <f t="shared" si="64"/>
        <v>11310.45</v>
      </c>
      <c r="L243" s="176">
        <f t="shared" si="64"/>
        <v>1150</v>
      </c>
      <c r="M243" s="176">
        <f t="shared" si="64"/>
        <v>0</v>
      </c>
      <c r="N243" s="176">
        <f t="shared" si="64"/>
        <v>0</v>
      </c>
      <c r="O243" s="176">
        <f t="shared" si="64"/>
        <v>0</v>
      </c>
      <c r="P243" s="176">
        <f t="shared" si="64"/>
        <v>0</v>
      </c>
      <c r="Q243" s="178"/>
    </row>
    <row r="244" ht="15.75" hidden="1" customHeight="1">
      <c r="A244" s="183" t="s">
        <v>27</v>
      </c>
      <c r="B244" s="184">
        <f>B243+B223+B137</f>
        <v>208126.35</v>
      </c>
      <c r="C244" s="176"/>
      <c r="D244" s="184">
        <f t="shared" ref="D244:P244" si="65">D243+D223+D137</f>
        <v>77841.89</v>
      </c>
      <c r="E244" s="184">
        <f t="shared" si="65"/>
        <v>25345.98</v>
      </c>
      <c r="F244" s="184">
        <f t="shared" si="65"/>
        <v>62384.52</v>
      </c>
      <c r="G244" s="184">
        <f t="shared" si="65"/>
        <v>17202.03</v>
      </c>
      <c r="H244" s="184">
        <f t="shared" si="65"/>
        <v>15334.79</v>
      </c>
      <c r="I244" s="184">
        <f t="shared" si="65"/>
        <v>26125.73</v>
      </c>
      <c r="J244" s="184">
        <f t="shared" si="65"/>
        <v>33012.7</v>
      </c>
      <c r="K244" s="184">
        <f t="shared" si="65"/>
        <v>24390.6</v>
      </c>
      <c r="L244" s="184">
        <f t="shared" si="65"/>
        <v>4330</v>
      </c>
      <c r="M244" s="184">
        <f t="shared" si="65"/>
        <v>0</v>
      </c>
      <c r="N244" s="184">
        <f t="shared" si="65"/>
        <v>0</v>
      </c>
      <c r="O244" s="184">
        <f t="shared" si="65"/>
        <v>0</v>
      </c>
      <c r="P244" s="184">
        <f t="shared" si="65"/>
        <v>0</v>
      </c>
      <c r="Q244" s="184"/>
      <c r="R244" s="185"/>
      <c r="S244" s="185"/>
      <c r="T244" s="185"/>
      <c r="U244" s="185"/>
      <c r="V244" s="185"/>
      <c r="W244" s="185"/>
      <c r="X244" s="185"/>
      <c r="Y244" s="185"/>
      <c r="Z244" s="185"/>
      <c r="AA244" s="185"/>
    </row>
    <row r="245" ht="15.75" customHeight="1">
      <c r="A245" s="186" t="s">
        <v>347</v>
      </c>
      <c r="B245" s="184">
        <f>B244-B238</f>
        <v>153616.35</v>
      </c>
      <c r="C245" s="184"/>
      <c r="D245" s="184">
        <f t="shared" ref="D245:P245" si="66">D244-D238</f>
        <v>23331.89</v>
      </c>
      <c r="E245" s="184">
        <f t="shared" si="66"/>
        <v>15345.98</v>
      </c>
      <c r="F245" s="184">
        <f t="shared" si="66"/>
        <v>42384.52</v>
      </c>
      <c r="G245" s="184">
        <f t="shared" si="66"/>
        <v>15202.03</v>
      </c>
      <c r="H245" s="184">
        <f t="shared" si="66"/>
        <v>15334.79</v>
      </c>
      <c r="I245" s="184">
        <f t="shared" si="66"/>
        <v>20125.73</v>
      </c>
      <c r="J245" s="184">
        <f t="shared" si="66"/>
        <v>25012.7</v>
      </c>
      <c r="K245" s="184">
        <f t="shared" si="66"/>
        <v>15880.6</v>
      </c>
      <c r="L245" s="184">
        <f t="shared" si="66"/>
        <v>4330</v>
      </c>
      <c r="M245" s="184">
        <f t="shared" si="66"/>
        <v>0</v>
      </c>
      <c r="N245" s="184">
        <f t="shared" si="66"/>
        <v>0</v>
      </c>
      <c r="O245" s="184">
        <f t="shared" si="66"/>
        <v>0</v>
      </c>
      <c r="P245" s="184">
        <f t="shared" si="66"/>
        <v>0</v>
      </c>
      <c r="Q245" s="184"/>
      <c r="R245" s="185"/>
      <c r="S245" s="185"/>
      <c r="T245" s="185"/>
      <c r="U245" s="185"/>
      <c r="V245" s="185"/>
      <c r="W245" s="185"/>
      <c r="X245" s="185"/>
      <c r="Y245" s="185"/>
      <c r="Z245" s="185"/>
      <c r="AA245" s="185"/>
    </row>
    <row r="246" ht="15.75" customHeight="1">
      <c r="A246" s="188" t="s">
        <v>348</v>
      </c>
      <c r="B246" s="100">
        <f>sumifs(Dados!$N:$N,Dados!$J:$J,$D$1)</f>
        <v>208126.35</v>
      </c>
      <c r="C246" s="189"/>
      <c r="D246" s="190"/>
      <c r="E246" s="100">
        <f>sumifs(Dados!$N:$N,Dados!$J:$J,$D$1,Dados!$I:$I,E4)</f>
        <v>25345.98</v>
      </c>
      <c r="F246" s="100">
        <f>sumifs(Dados!$N:$N,Dados!$J:$J,$D$1,Dados!$I:$I,F4)</f>
        <v>62384.52</v>
      </c>
      <c r="G246" s="100">
        <f>sumifs(Dados!$N:$N,Dados!$J:$J,$D$1,Dados!$I:$I,G4)</f>
        <v>17202.03</v>
      </c>
      <c r="H246" s="100">
        <f>sumifs(Dados!$N:$N,Dados!$J:$J,$D$1,Dados!$I:$I,H4)</f>
        <v>15334.79</v>
      </c>
      <c r="I246" s="100">
        <f>sumifs(Dados!$N:$N,Dados!$J:$J,$D$1,Dados!$I:$I,I4)</f>
        <v>26125.73</v>
      </c>
      <c r="J246" s="100">
        <f>sumifs(Dados!$N:$N,Dados!$J:$J,$D$1,Dados!$I:$I,J4)</f>
        <v>33012.7</v>
      </c>
      <c r="K246" s="100">
        <f>sumifs(Dados!$N:$N,Dados!$J:$J,$D$1,Dados!$I:$I,K4)</f>
        <v>24390.6</v>
      </c>
      <c r="L246" s="100">
        <f>sumifs(Dados!$N:$N,Dados!$J:$J,$D$1,Dados!$I:$I,L4)</f>
        <v>4330</v>
      </c>
      <c r="M246" s="100">
        <f>sumifs(Dados!$N:$N,Dados!$J:$J,$D$1,Dados!$I:$I,M4)</f>
        <v>0</v>
      </c>
      <c r="N246" s="100">
        <f>sumifs(Dados!$N:$N,Dados!$J:$J,$D$1,Dados!$I:$I,N4)</f>
        <v>0</v>
      </c>
      <c r="O246" s="100">
        <f>sumifs(Dados!$N:$N,Dados!$J:$J,$D$1,Dados!$I:$I,O4)</f>
        <v>0</v>
      </c>
      <c r="P246" s="100">
        <f>sumifs(Dados!$N:$N,Dados!$J:$J,$D$1,Dados!$I:$I,P4)</f>
        <v>0</v>
      </c>
      <c r="Q246" s="190"/>
    </row>
    <row r="247" ht="15.75" hidden="1" customHeight="1">
      <c r="A247" s="188" t="s">
        <v>350</v>
      </c>
      <c r="B247" s="100">
        <f>B244-B246</f>
        <v>0</v>
      </c>
      <c r="C247" s="101"/>
      <c r="D247" s="100"/>
      <c r="E247" s="100">
        <f t="shared" ref="E247:P247" si="67">E244-E246</f>
        <v>0</v>
      </c>
      <c r="F247" s="100">
        <f t="shared" si="67"/>
        <v>0</v>
      </c>
      <c r="G247" s="100">
        <f t="shared" si="67"/>
        <v>0</v>
      </c>
      <c r="H247" s="100">
        <f t="shared" si="67"/>
        <v>0</v>
      </c>
      <c r="I247" s="100">
        <f t="shared" si="67"/>
        <v>0</v>
      </c>
      <c r="J247" s="100">
        <f t="shared" si="67"/>
        <v>0</v>
      </c>
      <c r="K247" s="100">
        <f t="shared" si="67"/>
        <v>0</v>
      </c>
      <c r="L247" s="100">
        <f t="shared" si="67"/>
        <v>0</v>
      </c>
      <c r="M247" s="100">
        <f t="shared" si="67"/>
        <v>0</v>
      </c>
      <c r="N247" s="100">
        <f t="shared" si="67"/>
        <v>0</v>
      </c>
      <c r="O247" s="100">
        <f t="shared" si="67"/>
        <v>0</v>
      </c>
      <c r="P247" s="100">
        <f t="shared" si="67"/>
        <v>0</v>
      </c>
      <c r="Q247" s="190"/>
    </row>
    <row r="248" ht="15.75" customHeight="1">
      <c r="C248" s="191"/>
    </row>
    <row r="249" ht="15.75" customHeight="1">
      <c r="C249" s="191"/>
    </row>
    <row r="250" ht="15.75" customHeight="1">
      <c r="C250" s="191"/>
    </row>
    <row r="251" ht="15.75" customHeight="1">
      <c r="C251" s="191"/>
    </row>
    <row r="252" ht="15.75" customHeight="1">
      <c r="C252" s="191"/>
    </row>
    <row r="253" ht="15.75" customHeight="1">
      <c r="C253" s="191"/>
    </row>
    <row r="254" ht="15.75" customHeight="1">
      <c r="C254" s="191"/>
    </row>
    <row r="255" ht="15.75" customHeight="1">
      <c r="C255" s="191"/>
    </row>
    <row r="256" ht="15.75" customHeight="1">
      <c r="C256" s="191"/>
    </row>
    <row r="257" ht="15.75" customHeight="1">
      <c r="C257" s="191"/>
    </row>
    <row r="258" ht="15.75" customHeight="1">
      <c r="C258" s="191"/>
    </row>
    <row r="259" ht="15.75" customHeight="1">
      <c r="C259" s="191"/>
    </row>
    <row r="260" ht="15.75" customHeight="1">
      <c r="C260" s="191"/>
    </row>
    <row r="261" ht="15.75" customHeight="1">
      <c r="C261" s="191"/>
    </row>
    <row r="262" ht="15.75" customHeight="1">
      <c r="C262" s="191"/>
    </row>
    <row r="263" ht="15.75" customHeight="1">
      <c r="C263" s="191"/>
    </row>
    <row r="264" ht="15.75" customHeight="1">
      <c r="C264" s="191"/>
    </row>
    <row r="265" ht="15.75" customHeight="1">
      <c r="C265" s="191"/>
    </row>
    <row r="266" ht="15.75" customHeight="1">
      <c r="C266" s="191"/>
    </row>
    <row r="267" ht="15.75" customHeight="1">
      <c r="C267" s="191"/>
    </row>
    <row r="268" ht="15.75" customHeight="1">
      <c r="C268" s="191"/>
    </row>
    <row r="269" ht="15.75" customHeight="1">
      <c r="C269" s="191"/>
    </row>
    <row r="270" ht="15.75" customHeight="1">
      <c r="C270" s="191"/>
    </row>
    <row r="271" ht="15.75" customHeight="1">
      <c r="C271" s="191"/>
    </row>
    <row r="272" ht="15.75" customHeight="1">
      <c r="C272" s="191"/>
    </row>
    <row r="273" ht="15.75" customHeight="1">
      <c r="C273" s="191"/>
    </row>
    <row r="274" ht="15.75" customHeight="1">
      <c r="C274" s="191"/>
    </row>
    <row r="275" ht="15.75" customHeight="1">
      <c r="C275" s="79"/>
      <c r="D275" s="80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</row>
    <row r="276" ht="15.75" customHeight="1">
      <c r="C276" s="79"/>
      <c r="D276" s="80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</row>
    <row r="277" ht="15.75" customHeight="1">
      <c r="C277" s="79"/>
      <c r="D277" s="80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</row>
    <row r="278" ht="15.75" customHeight="1">
      <c r="C278" s="79"/>
      <c r="D278" s="80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</row>
    <row r="279" ht="15.75" customHeight="1">
      <c r="C279" s="79"/>
      <c r="D279" s="80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</row>
    <row r="280" ht="15.75" customHeight="1">
      <c r="A280" s="65"/>
      <c r="B280" s="65"/>
      <c r="C280" s="192"/>
      <c r="D280" s="193"/>
      <c r="E280" s="65"/>
      <c r="F280" s="65"/>
      <c r="G280" s="65"/>
      <c r="H280" s="65"/>
      <c r="I280" s="65"/>
      <c r="J280" s="65"/>
    </row>
    <row r="281" ht="15.75" customHeight="1">
      <c r="A281" s="65"/>
      <c r="B281" s="65"/>
      <c r="C281" s="192"/>
      <c r="D281" s="193"/>
      <c r="E281" s="65"/>
      <c r="F281" s="65"/>
      <c r="G281" s="65"/>
      <c r="H281" s="65"/>
      <c r="I281" s="65"/>
      <c r="J281" s="65"/>
    </row>
    <row r="282" ht="15.75" customHeight="1">
      <c r="A282" s="65"/>
      <c r="B282" s="65"/>
      <c r="C282" s="192"/>
      <c r="D282" s="193"/>
      <c r="E282" s="65"/>
      <c r="F282" s="65"/>
      <c r="G282" s="65"/>
      <c r="H282" s="65"/>
      <c r="I282" s="65"/>
      <c r="J282" s="65"/>
    </row>
    <row r="283" ht="15.75" customHeight="1">
      <c r="A283" s="65"/>
      <c r="B283" s="65"/>
      <c r="C283" s="192"/>
      <c r="D283" s="193"/>
      <c r="E283" s="65"/>
      <c r="F283" s="65"/>
      <c r="G283" s="65"/>
      <c r="H283" s="65"/>
      <c r="I283" s="65"/>
      <c r="J283" s="65"/>
    </row>
    <row r="284" ht="15.75" customHeight="1">
      <c r="A284" s="65"/>
      <c r="B284" s="65"/>
      <c r="C284" s="192"/>
      <c r="D284" s="193"/>
      <c r="E284" s="65"/>
      <c r="F284" s="65"/>
      <c r="G284" s="65"/>
      <c r="H284" s="65"/>
      <c r="I284" s="65"/>
      <c r="J284" s="65"/>
    </row>
    <row r="285" ht="15.75" customHeight="1">
      <c r="A285" s="65"/>
      <c r="B285" s="65"/>
      <c r="C285" s="192"/>
      <c r="D285" s="193"/>
      <c r="E285" s="65"/>
      <c r="F285" s="65"/>
      <c r="G285" s="65"/>
      <c r="H285" s="65"/>
      <c r="I285" s="65"/>
      <c r="J285" s="65"/>
    </row>
    <row r="286" ht="15.75" customHeight="1">
      <c r="A286" s="65"/>
      <c r="B286" s="65"/>
      <c r="C286" s="192"/>
      <c r="D286" s="193"/>
      <c r="E286" s="65"/>
      <c r="F286" s="65"/>
      <c r="G286" s="65"/>
      <c r="H286" s="65"/>
      <c r="I286" s="65"/>
      <c r="J286" s="65"/>
    </row>
    <row r="287" ht="15.75" customHeight="1">
      <c r="A287" s="65"/>
      <c r="B287" s="65"/>
      <c r="C287" s="192"/>
      <c r="D287" s="193"/>
      <c r="E287" s="65"/>
      <c r="F287" s="65"/>
      <c r="G287" s="65"/>
      <c r="H287" s="65"/>
      <c r="I287" s="65"/>
      <c r="J287" s="65"/>
    </row>
    <row r="288" ht="15.75" customHeight="1">
      <c r="A288" s="65"/>
      <c r="B288" s="65"/>
      <c r="C288" s="192"/>
      <c r="D288" s="193"/>
      <c r="E288" s="65"/>
      <c r="F288" s="65"/>
      <c r="G288" s="65"/>
      <c r="H288" s="65"/>
      <c r="I288" s="65"/>
      <c r="J288" s="65"/>
    </row>
    <row r="289" ht="15.75" customHeight="1">
      <c r="A289" s="65"/>
      <c r="B289" s="65"/>
      <c r="C289" s="192"/>
      <c r="D289" s="193"/>
      <c r="E289" s="65"/>
      <c r="F289" s="65"/>
      <c r="G289" s="65"/>
      <c r="H289" s="65"/>
      <c r="I289" s="65"/>
      <c r="J289" s="65"/>
    </row>
    <row r="290" ht="15.75" customHeight="1">
      <c r="A290" s="65"/>
      <c r="B290" s="65"/>
      <c r="C290" s="192"/>
      <c r="D290" s="193"/>
      <c r="E290" s="65"/>
      <c r="F290" s="65"/>
      <c r="G290" s="65"/>
      <c r="H290" s="65"/>
      <c r="I290" s="65"/>
      <c r="J290" s="65"/>
    </row>
    <row r="291" ht="15.75" customHeight="1">
      <c r="A291" s="65"/>
      <c r="B291" s="65"/>
      <c r="C291" s="192"/>
      <c r="D291" s="193"/>
      <c r="E291" s="65"/>
      <c r="F291" s="65"/>
      <c r="G291" s="65"/>
      <c r="H291" s="65"/>
      <c r="I291" s="65"/>
      <c r="J291" s="65"/>
    </row>
    <row r="292" ht="15.75" customHeight="1">
      <c r="A292" s="65"/>
      <c r="B292" s="65"/>
      <c r="C292" s="192"/>
      <c r="D292" s="193"/>
      <c r="E292" s="65"/>
      <c r="F292" s="65"/>
      <c r="G292" s="65"/>
      <c r="H292" s="65"/>
      <c r="I292" s="65"/>
      <c r="J292" s="65"/>
    </row>
    <row r="293" ht="15.75" customHeight="1">
      <c r="A293" s="65"/>
      <c r="B293" s="65"/>
      <c r="C293" s="192"/>
      <c r="D293" s="193"/>
      <c r="E293" s="65"/>
      <c r="F293" s="65"/>
      <c r="G293" s="65"/>
      <c r="H293" s="65"/>
      <c r="I293" s="65"/>
      <c r="J293" s="65"/>
    </row>
    <row r="294" ht="15.75" customHeight="1">
      <c r="A294" s="65"/>
      <c r="B294" s="65"/>
      <c r="C294" s="192"/>
      <c r="D294" s="193"/>
      <c r="E294" s="65"/>
      <c r="F294" s="65"/>
      <c r="G294" s="65"/>
      <c r="H294" s="65"/>
      <c r="I294" s="65"/>
      <c r="J294" s="65"/>
    </row>
    <row r="295" ht="15.75" customHeight="1">
      <c r="A295" s="65"/>
      <c r="B295" s="65"/>
      <c r="C295" s="192"/>
      <c r="D295" s="193"/>
      <c r="E295" s="65"/>
      <c r="F295" s="65"/>
      <c r="G295" s="65"/>
      <c r="H295" s="65"/>
      <c r="I295" s="65"/>
      <c r="J295" s="65"/>
    </row>
    <row r="296" ht="15.75" customHeight="1">
      <c r="A296" s="65"/>
      <c r="B296" s="65"/>
      <c r="C296" s="192"/>
      <c r="D296" s="193"/>
      <c r="E296" s="65"/>
      <c r="F296" s="65"/>
      <c r="G296" s="65"/>
      <c r="H296" s="65"/>
      <c r="I296" s="65"/>
      <c r="J296" s="65"/>
    </row>
    <row r="297" ht="15.75" customHeight="1">
      <c r="A297" s="65"/>
      <c r="B297" s="65"/>
      <c r="C297" s="192"/>
      <c r="D297" s="193"/>
      <c r="E297" s="65"/>
      <c r="F297" s="65"/>
      <c r="G297" s="65"/>
      <c r="H297" s="65"/>
      <c r="I297" s="65"/>
      <c r="J297" s="65"/>
    </row>
    <row r="298" ht="15.75" customHeight="1">
      <c r="A298" s="65"/>
      <c r="B298" s="65"/>
      <c r="C298" s="192"/>
      <c r="D298" s="193"/>
      <c r="E298" s="65"/>
      <c r="F298" s="65"/>
      <c r="G298" s="65"/>
      <c r="H298" s="65"/>
      <c r="I298" s="65"/>
      <c r="J298" s="65"/>
    </row>
    <row r="299" ht="15.75" customHeight="1">
      <c r="A299" s="65"/>
      <c r="B299" s="65"/>
      <c r="C299" s="192"/>
      <c r="D299" s="193"/>
      <c r="E299" s="65"/>
      <c r="F299" s="65"/>
      <c r="G299" s="65"/>
      <c r="H299" s="65"/>
      <c r="I299" s="65"/>
      <c r="J299" s="65"/>
    </row>
    <row r="300" ht="15.75" customHeight="1">
      <c r="A300" s="65"/>
      <c r="B300" s="65"/>
      <c r="C300" s="192"/>
      <c r="D300" s="193"/>
      <c r="E300" s="65"/>
      <c r="F300" s="65"/>
      <c r="G300" s="65"/>
      <c r="H300" s="65"/>
      <c r="I300" s="65"/>
      <c r="J300" s="65"/>
    </row>
    <row r="301" ht="15.75" customHeight="1">
      <c r="A301" s="65"/>
      <c r="B301" s="65"/>
      <c r="C301" s="192"/>
      <c r="D301" s="193"/>
      <c r="E301" s="65"/>
      <c r="F301" s="65"/>
      <c r="G301" s="65"/>
      <c r="H301" s="65"/>
      <c r="I301" s="65"/>
      <c r="J301" s="65"/>
    </row>
    <row r="302" ht="15.75" customHeight="1">
      <c r="A302" s="65"/>
      <c r="B302" s="65"/>
      <c r="C302" s="192"/>
      <c r="D302" s="193"/>
      <c r="E302" s="65"/>
      <c r="F302" s="65"/>
      <c r="G302" s="65"/>
      <c r="H302" s="65"/>
      <c r="I302" s="65"/>
      <c r="J302" s="65"/>
    </row>
    <row r="303" ht="15.75" customHeight="1">
      <c r="A303" s="65"/>
      <c r="B303" s="65"/>
      <c r="C303" s="192"/>
      <c r="D303" s="193"/>
      <c r="E303" s="65"/>
      <c r="F303" s="65"/>
      <c r="G303" s="65"/>
      <c r="H303" s="65"/>
      <c r="I303" s="65"/>
      <c r="J303" s="65"/>
    </row>
    <row r="304" ht="15.75" customHeight="1">
      <c r="A304" s="65"/>
      <c r="B304" s="65"/>
      <c r="C304" s="192"/>
      <c r="D304" s="193"/>
      <c r="E304" s="65"/>
      <c r="F304" s="65"/>
      <c r="G304" s="65"/>
      <c r="H304" s="65"/>
      <c r="I304" s="65"/>
      <c r="J304" s="65"/>
    </row>
    <row r="305" ht="15.75" customHeight="1">
      <c r="A305" s="65"/>
      <c r="B305" s="65"/>
      <c r="C305" s="192"/>
      <c r="D305" s="193"/>
      <c r="E305" s="65"/>
      <c r="F305" s="65"/>
      <c r="G305" s="65"/>
      <c r="H305" s="65"/>
      <c r="I305" s="65"/>
      <c r="J305" s="65"/>
    </row>
    <row r="306" ht="15.75" customHeight="1">
      <c r="A306" s="65"/>
      <c r="B306" s="65"/>
      <c r="C306" s="192"/>
      <c r="D306" s="193"/>
      <c r="E306" s="65"/>
      <c r="F306" s="65"/>
      <c r="G306" s="65"/>
      <c r="H306" s="65"/>
      <c r="I306" s="65"/>
      <c r="J306" s="65"/>
    </row>
    <row r="307" ht="15.75" customHeight="1">
      <c r="A307" s="65"/>
      <c r="B307" s="65"/>
      <c r="C307" s="192"/>
      <c r="D307" s="193"/>
      <c r="E307" s="65"/>
      <c r="F307" s="65"/>
      <c r="G307" s="65"/>
      <c r="H307" s="65"/>
      <c r="I307" s="65"/>
      <c r="J307" s="65"/>
    </row>
    <row r="308" ht="15.75" customHeight="1">
      <c r="A308" s="65"/>
      <c r="B308" s="65"/>
      <c r="C308" s="192"/>
      <c r="D308" s="193"/>
      <c r="E308" s="65"/>
      <c r="F308" s="65"/>
      <c r="G308" s="65"/>
      <c r="H308" s="65"/>
      <c r="I308" s="65"/>
      <c r="J308" s="65"/>
    </row>
    <row r="309" ht="15.75" customHeight="1">
      <c r="A309" s="65"/>
      <c r="B309" s="65"/>
      <c r="C309" s="192"/>
      <c r="D309" s="193"/>
      <c r="E309" s="65"/>
      <c r="F309" s="65"/>
      <c r="G309" s="65"/>
      <c r="H309" s="65"/>
      <c r="I309" s="65"/>
      <c r="J309" s="65"/>
    </row>
    <row r="310" ht="15.75" customHeight="1">
      <c r="A310" s="65"/>
      <c r="B310" s="65"/>
      <c r="C310" s="192"/>
      <c r="D310" s="193"/>
      <c r="E310" s="65"/>
      <c r="F310" s="65"/>
      <c r="G310" s="65"/>
      <c r="H310" s="65"/>
      <c r="I310" s="65"/>
      <c r="J310" s="65"/>
    </row>
    <row r="311" ht="15.75" customHeight="1">
      <c r="A311" s="65"/>
      <c r="B311" s="65"/>
      <c r="C311" s="192"/>
      <c r="D311" s="193"/>
      <c r="E311" s="65"/>
      <c r="F311" s="65"/>
      <c r="G311" s="65"/>
      <c r="H311" s="65"/>
      <c r="I311" s="65"/>
      <c r="J311" s="65"/>
    </row>
    <row r="312" ht="15.75" customHeight="1">
      <c r="A312" s="65"/>
      <c r="B312" s="65"/>
      <c r="C312" s="192"/>
      <c r="D312" s="193"/>
      <c r="E312" s="65"/>
      <c r="F312" s="65"/>
      <c r="G312" s="65"/>
      <c r="H312" s="65"/>
      <c r="I312" s="65"/>
      <c r="J312" s="65"/>
    </row>
    <row r="313" ht="15.75" customHeight="1">
      <c r="A313" s="65"/>
      <c r="B313" s="65"/>
      <c r="C313" s="192"/>
      <c r="D313" s="193"/>
      <c r="E313" s="65"/>
      <c r="F313" s="65"/>
      <c r="G313" s="65"/>
      <c r="H313" s="65"/>
      <c r="I313" s="65"/>
      <c r="J313" s="65"/>
    </row>
    <row r="314" ht="15.75" customHeight="1">
      <c r="A314" s="65"/>
      <c r="B314" s="65"/>
      <c r="C314" s="192"/>
      <c r="D314" s="193"/>
      <c r="E314" s="65"/>
      <c r="F314" s="65"/>
      <c r="G314" s="65"/>
      <c r="H314" s="65"/>
      <c r="I314" s="65"/>
      <c r="J314" s="65"/>
    </row>
    <row r="315" ht="15.75" customHeight="1">
      <c r="A315" s="65"/>
      <c r="B315" s="65"/>
      <c r="C315" s="192"/>
      <c r="D315" s="193"/>
      <c r="E315" s="65"/>
      <c r="F315" s="65"/>
      <c r="G315" s="65"/>
      <c r="H315" s="65"/>
      <c r="I315" s="65"/>
      <c r="J315" s="65"/>
    </row>
    <row r="316" ht="15.75" customHeight="1">
      <c r="A316" s="65"/>
      <c r="B316" s="65"/>
      <c r="C316" s="192"/>
      <c r="D316" s="193"/>
      <c r="E316" s="65"/>
      <c r="F316" s="65"/>
      <c r="G316" s="65"/>
      <c r="H316" s="65"/>
      <c r="I316" s="65"/>
      <c r="J316" s="65"/>
    </row>
    <row r="317" ht="15.75" customHeight="1">
      <c r="A317" s="65"/>
      <c r="B317" s="65"/>
      <c r="C317" s="192"/>
      <c r="D317" s="193"/>
      <c r="E317" s="65"/>
      <c r="F317" s="65"/>
      <c r="G317" s="65"/>
      <c r="H317" s="65"/>
      <c r="I317" s="65"/>
      <c r="J317" s="65"/>
    </row>
    <row r="318" ht="15.75" customHeight="1">
      <c r="A318" s="65"/>
      <c r="B318" s="65"/>
      <c r="C318" s="192"/>
      <c r="D318" s="193"/>
      <c r="E318" s="65"/>
      <c r="F318" s="65"/>
      <c r="G318" s="65"/>
      <c r="H318" s="65"/>
      <c r="I318" s="65"/>
      <c r="J318" s="65"/>
    </row>
    <row r="319" ht="15.75" customHeight="1">
      <c r="A319" s="65"/>
      <c r="B319" s="65"/>
      <c r="C319" s="192"/>
      <c r="D319" s="193"/>
      <c r="E319" s="65"/>
      <c r="F319" s="65"/>
      <c r="G319" s="65"/>
      <c r="H319" s="65"/>
      <c r="I319" s="65"/>
      <c r="J319" s="65"/>
    </row>
    <row r="320" ht="15.75" customHeight="1">
      <c r="A320" s="65"/>
      <c r="B320" s="65"/>
      <c r="C320" s="192"/>
      <c r="D320" s="193"/>
      <c r="E320" s="65"/>
      <c r="F320" s="65"/>
      <c r="G320" s="65"/>
      <c r="H320" s="65"/>
      <c r="I320" s="65"/>
      <c r="J320" s="65"/>
    </row>
    <row r="321" ht="15.75" customHeight="1">
      <c r="A321" s="65"/>
      <c r="B321" s="65"/>
      <c r="C321" s="192"/>
      <c r="D321" s="193"/>
      <c r="E321" s="65"/>
      <c r="F321" s="65"/>
      <c r="G321" s="65"/>
      <c r="H321" s="65"/>
      <c r="I321" s="65"/>
      <c r="J321" s="65"/>
    </row>
    <row r="322" ht="15.75" customHeight="1">
      <c r="A322" s="65"/>
      <c r="B322" s="65"/>
      <c r="C322" s="192"/>
      <c r="D322" s="193"/>
      <c r="E322" s="65"/>
      <c r="F322" s="65"/>
      <c r="G322" s="65"/>
      <c r="H322" s="65"/>
      <c r="I322" s="65"/>
      <c r="J322" s="65"/>
    </row>
    <row r="323" ht="15.75" customHeight="1">
      <c r="A323" s="65"/>
      <c r="B323" s="65"/>
      <c r="C323" s="192"/>
      <c r="D323" s="193"/>
      <c r="E323" s="65"/>
      <c r="F323" s="65"/>
      <c r="G323" s="65"/>
      <c r="H323" s="65"/>
      <c r="I323" s="65"/>
      <c r="J323" s="65"/>
    </row>
    <row r="324" ht="15.75" customHeight="1">
      <c r="A324" s="65"/>
      <c r="B324" s="65"/>
      <c r="C324" s="192"/>
      <c r="D324" s="193"/>
      <c r="E324" s="65"/>
      <c r="F324" s="65"/>
      <c r="G324" s="65"/>
      <c r="H324" s="65"/>
      <c r="I324" s="65"/>
      <c r="J324" s="65"/>
    </row>
    <row r="325" ht="15.75" customHeight="1">
      <c r="A325" s="65"/>
      <c r="B325" s="65"/>
      <c r="C325" s="192"/>
      <c r="D325" s="193"/>
      <c r="E325" s="65"/>
      <c r="F325" s="65"/>
      <c r="G325" s="65"/>
      <c r="H325" s="65"/>
      <c r="I325" s="65"/>
      <c r="J325" s="65"/>
    </row>
    <row r="326" ht="15.75" customHeight="1">
      <c r="A326" s="65"/>
      <c r="B326" s="65"/>
      <c r="C326" s="192"/>
      <c r="D326" s="193"/>
      <c r="E326" s="65"/>
      <c r="F326" s="65"/>
      <c r="G326" s="65"/>
      <c r="H326" s="65"/>
      <c r="I326" s="65"/>
      <c r="J326" s="65"/>
    </row>
    <row r="327" ht="15.75" customHeight="1">
      <c r="A327" s="65"/>
      <c r="B327" s="65"/>
      <c r="C327" s="192"/>
      <c r="D327" s="193"/>
      <c r="E327" s="65"/>
      <c r="F327" s="65"/>
      <c r="G327" s="65"/>
      <c r="H327" s="65"/>
      <c r="I327" s="65"/>
      <c r="J327" s="65"/>
    </row>
    <row r="328" ht="15.75" customHeight="1">
      <c r="A328" s="65"/>
      <c r="B328" s="65"/>
      <c r="C328" s="192"/>
      <c r="D328" s="193"/>
      <c r="E328" s="65"/>
      <c r="F328" s="65"/>
      <c r="G328" s="65"/>
      <c r="H328" s="65"/>
      <c r="I328" s="65"/>
      <c r="J328" s="65"/>
    </row>
    <row r="329" ht="15.75" customHeight="1">
      <c r="A329" s="65"/>
      <c r="B329" s="65"/>
      <c r="C329" s="192"/>
      <c r="D329" s="193"/>
      <c r="E329" s="65"/>
      <c r="F329" s="65"/>
      <c r="G329" s="65"/>
      <c r="H329" s="65"/>
      <c r="I329" s="65"/>
      <c r="J329" s="65"/>
    </row>
    <row r="330" ht="15.75" customHeight="1">
      <c r="A330" s="65"/>
      <c r="B330" s="65"/>
      <c r="C330" s="192"/>
      <c r="D330" s="193"/>
      <c r="E330" s="65"/>
      <c r="F330" s="65"/>
      <c r="G330" s="65"/>
      <c r="H330" s="65"/>
      <c r="I330" s="65"/>
      <c r="J330" s="65"/>
    </row>
    <row r="331" ht="15.75" customHeight="1">
      <c r="A331" s="65"/>
      <c r="B331" s="65"/>
      <c r="C331" s="192"/>
      <c r="D331" s="193"/>
      <c r="E331" s="65"/>
      <c r="F331" s="65"/>
      <c r="G331" s="65"/>
      <c r="H331" s="65"/>
      <c r="I331" s="65"/>
      <c r="J331" s="65"/>
    </row>
    <row r="332" ht="15.75" customHeight="1">
      <c r="C332" s="194"/>
      <c r="D332" s="195"/>
    </row>
    <row r="333" ht="15.75" customHeight="1">
      <c r="C333" s="194"/>
      <c r="D333" s="195"/>
    </row>
    <row r="334" ht="15.75" customHeight="1">
      <c r="C334" s="194"/>
      <c r="D334" s="195"/>
    </row>
    <row r="335" ht="15.75" customHeight="1">
      <c r="C335" s="194"/>
      <c r="D335" s="195"/>
    </row>
    <row r="336" ht="15.75" customHeight="1">
      <c r="C336" s="194"/>
      <c r="D336" s="195"/>
    </row>
    <row r="337" ht="15.75" customHeight="1">
      <c r="C337" s="194"/>
      <c r="D337" s="195"/>
    </row>
    <row r="338" ht="15.75" customHeight="1">
      <c r="C338" s="194"/>
      <c r="D338" s="195"/>
    </row>
    <row r="339" ht="15.75" customHeight="1">
      <c r="C339" s="194"/>
      <c r="D339" s="195"/>
    </row>
    <row r="340" ht="15.75" customHeight="1">
      <c r="C340" s="194"/>
      <c r="D340" s="195"/>
    </row>
    <row r="341" ht="15.75" customHeight="1">
      <c r="C341" s="194"/>
      <c r="D341" s="195"/>
    </row>
    <row r="342" ht="15.75" customHeight="1">
      <c r="C342" s="194"/>
      <c r="D342" s="195"/>
    </row>
    <row r="343" ht="15.75" customHeight="1">
      <c r="C343" s="194"/>
      <c r="D343" s="195"/>
    </row>
    <row r="344" ht="15.75" customHeight="1">
      <c r="C344" s="194"/>
      <c r="D344" s="195"/>
    </row>
    <row r="345" ht="15.75" customHeight="1">
      <c r="C345" s="194"/>
      <c r="D345" s="195"/>
    </row>
    <row r="346" ht="15.75" customHeight="1">
      <c r="C346" s="194"/>
      <c r="D346" s="195"/>
    </row>
    <row r="347" ht="15.75" customHeight="1">
      <c r="C347" s="194"/>
      <c r="D347" s="195"/>
    </row>
    <row r="348" ht="15.75" customHeight="1">
      <c r="C348" s="194"/>
      <c r="D348" s="195"/>
    </row>
    <row r="349" ht="15.75" customHeight="1">
      <c r="C349" s="194"/>
      <c r="D349" s="195"/>
    </row>
    <row r="350" ht="15.75" customHeight="1">
      <c r="C350" s="194"/>
      <c r="D350" s="195"/>
    </row>
    <row r="351" ht="15.75" customHeight="1">
      <c r="C351" s="194"/>
      <c r="D351" s="195"/>
    </row>
    <row r="352" ht="15.75" customHeight="1">
      <c r="C352" s="194"/>
      <c r="D352" s="195"/>
    </row>
    <row r="353" ht="15.75" customHeight="1">
      <c r="C353" s="194"/>
      <c r="D353" s="195"/>
    </row>
    <row r="354" ht="15.75" customHeight="1">
      <c r="C354" s="194"/>
      <c r="D354" s="195"/>
    </row>
    <row r="355" ht="15.75" customHeight="1">
      <c r="C355" s="194"/>
      <c r="D355" s="195"/>
    </row>
    <row r="356" ht="15.75" customHeight="1">
      <c r="C356" s="194"/>
      <c r="D356" s="195"/>
    </row>
    <row r="357" ht="15.75" customHeight="1">
      <c r="C357" s="194"/>
      <c r="D357" s="195"/>
    </row>
    <row r="358" ht="15.75" customHeight="1">
      <c r="C358" s="194"/>
      <c r="D358" s="195"/>
    </row>
    <row r="359" ht="15.75" customHeight="1">
      <c r="C359" s="194"/>
      <c r="D359" s="195"/>
    </row>
    <row r="360" ht="15.75" customHeight="1">
      <c r="C360" s="194"/>
      <c r="D360" s="195"/>
    </row>
    <row r="361" ht="15.75" customHeight="1">
      <c r="C361" s="194"/>
      <c r="D361" s="195"/>
    </row>
    <row r="362" ht="15.75" customHeight="1">
      <c r="C362" s="194"/>
      <c r="D362" s="195"/>
    </row>
    <row r="363" ht="15.75" customHeight="1">
      <c r="C363" s="194"/>
      <c r="D363" s="195"/>
    </row>
    <row r="364" ht="15.75" customHeight="1">
      <c r="C364" s="194"/>
      <c r="D364" s="195"/>
    </row>
    <row r="365" ht="15.75" customHeight="1">
      <c r="C365" s="194"/>
      <c r="D365" s="195"/>
    </row>
    <row r="366" ht="15.75" customHeight="1">
      <c r="C366" s="194"/>
      <c r="D366" s="195"/>
    </row>
    <row r="367" ht="15.75" customHeight="1">
      <c r="C367" s="194"/>
      <c r="D367" s="195"/>
    </row>
    <row r="368" ht="15.75" customHeight="1">
      <c r="C368" s="194"/>
      <c r="D368" s="195"/>
    </row>
    <row r="369" ht="15.75" customHeight="1">
      <c r="C369" s="194"/>
      <c r="D369" s="195"/>
    </row>
    <row r="370" ht="15.75" customHeight="1">
      <c r="C370" s="194"/>
      <c r="D370" s="195"/>
    </row>
    <row r="371" ht="15.75" customHeight="1">
      <c r="C371" s="194"/>
      <c r="D371" s="195"/>
    </row>
    <row r="372" ht="15.75" customHeight="1">
      <c r="C372" s="194"/>
      <c r="D372" s="195"/>
    </row>
    <row r="373" ht="15.75" customHeight="1">
      <c r="C373" s="194"/>
      <c r="D373" s="195"/>
    </row>
    <row r="374" ht="15.75" customHeight="1">
      <c r="C374" s="194"/>
      <c r="D374" s="195"/>
    </row>
    <row r="375" ht="15.75" customHeight="1">
      <c r="C375" s="194"/>
      <c r="D375" s="195"/>
    </row>
    <row r="376" ht="15.75" customHeight="1">
      <c r="C376" s="194"/>
      <c r="D376" s="195"/>
    </row>
    <row r="377" ht="15.75" customHeight="1">
      <c r="C377" s="194"/>
      <c r="D377" s="195"/>
    </row>
    <row r="378" ht="15.75" customHeight="1">
      <c r="C378" s="194"/>
      <c r="D378" s="195"/>
    </row>
    <row r="379" ht="15.75" customHeight="1">
      <c r="C379" s="194"/>
      <c r="D379" s="195"/>
    </row>
    <row r="380" ht="15.75" customHeight="1">
      <c r="C380" s="194"/>
      <c r="D380" s="195"/>
    </row>
    <row r="381" ht="15.75" customHeight="1">
      <c r="C381" s="194"/>
      <c r="D381" s="195"/>
    </row>
    <row r="382" ht="15.75" customHeight="1">
      <c r="C382" s="194"/>
      <c r="D382" s="195"/>
    </row>
    <row r="383" ht="15.75" customHeight="1">
      <c r="C383" s="194"/>
      <c r="D383" s="195"/>
    </row>
    <row r="384" ht="15.75" customHeight="1">
      <c r="C384" s="194"/>
      <c r="D384" s="195"/>
    </row>
    <row r="385" ht="15.75" customHeight="1">
      <c r="C385" s="194"/>
      <c r="D385" s="195"/>
    </row>
    <row r="386" ht="15.75" customHeight="1">
      <c r="C386" s="194"/>
      <c r="D386" s="195"/>
    </row>
    <row r="387" ht="15.75" customHeight="1">
      <c r="C387" s="194"/>
      <c r="D387" s="195"/>
    </row>
    <row r="388" ht="15.75" customHeight="1">
      <c r="C388" s="194"/>
      <c r="D388" s="195"/>
    </row>
    <row r="389" ht="15.75" customHeight="1">
      <c r="C389" s="194"/>
      <c r="D389" s="195"/>
    </row>
    <row r="390" ht="15.75" customHeight="1">
      <c r="C390" s="194"/>
      <c r="D390" s="195"/>
    </row>
    <row r="391" ht="15.75" customHeight="1">
      <c r="C391" s="194"/>
      <c r="D391" s="195"/>
    </row>
    <row r="392" ht="15.75" customHeight="1">
      <c r="C392" s="194"/>
      <c r="D392" s="195"/>
    </row>
    <row r="393" ht="15.75" customHeight="1">
      <c r="C393" s="194"/>
      <c r="D393" s="195"/>
    </row>
    <row r="394" ht="15.75" customHeight="1">
      <c r="C394" s="194"/>
      <c r="D394" s="195"/>
    </row>
    <row r="395" ht="15.75" customHeight="1">
      <c r="C395" s="194"/>
      <c r="D395" s="195"/>
    </row>
    <row r="396" ht="15.75" customHeight="1">
      <c r="C396" s="194"/>
      <c r="D396" s="195"/>
    </row>
    <row r="397" ht="15.75" customHeight="1">
      <c r="C397" s="194"/>
      <c r="D397" s="195"/>
    </row>
    <row r="398" ht="15.75" customHeight="1">
      <c r="C398" s="194"/>
      <c r="D398" s="195"/>
    </row>
    <row r="399" ht="15.75" customHeight="1">
      <c r="C399" s="194"/>
      <c r="D399" s="195"/>
    </row>
    <row r="400" ht="15.75" customHeight="1">
      <c r="C400" s="194"/>
      <c r="D400" s="195"/>
    </row>
    <row r="401" ht="15.75" customHeight="1">
      <c r="C401" s="194"/>
      <c r="D401" s="195"/>
    </row>
    <row r="402" ht="15.75" customHeight="1">
      <c r="C402" s="194"/>
      <c r="D402" s="195"/>
    </row>
    <row r="403" ht="15.75" customHeight="1">
      <c r="C403" s="194"/>
      <c r="D403" s="195"/>
    </row>
    <row r="404" ht="15.75" customHeight="1">
      <c r="C404" s="194"/>
      <c r="D404" s="195"/>
    </row>
    <row r="405" ht="15.75" customHeight="1">
      <c r="C405" s="194"/>
      <c r="D405" s="195"/>
    </row>
    <row r="406" ht="15.75" customHeight="1">
      <c r="C406" s="194"/>
      <c r="D406" s="195"/>
    </row>
    <row r="407" ht="15.75" customHeight="1">
      <c r="C407" s="194"/>
      <c r="D407" s="195"/>
    </row>
    <row r="408" ht="15.75" customHeight="1">
      <c r="C408" s="194"/>
      <c r="D408" s="195"/>
    </row>
    <row r="409" ht="15.75" customHeight="1">
      <c r="C409" s="194"/>
      <c r="D409" s="195"/>
    </row>
    <row r="410" ht="15.75" customHeight="1">
      <c r="C410" s="194"/>
      <c r="D410" s="195"/>
    </row>
    <row r="411" ht="15.75" customHeight="1">
      <c r="C411" s="194"/>
      <c r="D411" s="195"/>
    </row>
    <row r="412" ht="15.75" customHeight="1">
      <c r="C412" s="194"/>
      <c r="D412" s="195"/>
    </row>
    <row r="413" ht="15.75" customHeight="1">
      <c r="C413" s="194"/>
      <c r="D413" s="195"/>
    </row>
    <row r="414" ht="15.75" customHeight="1">
      <c r="C414" s="194"/>
      <c r="D414" s="195"/>
    </row>
    <row r="415" ht="15.75" customHeight="1">
      <c r="C415" s="194"/>
      <c r="D415" s="195"/>
    </row>
    <row r="416" ht="15.75" customHeight="1">
      <c r="C416" s="194"/>
      <c r="D416" s="195"/>
    </row>
    <row r="417" ht="15.75" customHeight="1">
      <c r="C417" s="194"/>
      <c r="D417" s="195"/>
    </row>
    <row r="418" ht="15.75" customHeight="1">
      <c r="C418" s="194"/>
      <c r="D418" s="195"/>
    </row>
    <row r="419" ht="15.75" customHeight="1">
      <c r="C419" s="194"/>
      <c r="D419" s="195"/>
    </row>
    <row r="420" ht="15.75" customHeight="1">
      <c r="C420" s="194"/>
      <c r="D420" s="195"/>
    </row>
    <row r="421" ht="15.75" customHeight="1">
      <c r="C421" s="194"/>
      <c r="D421" s="195"/>
    </row>
    <row r="422" ht="15.75" customHeight="1">
      <c r="C422" s="194"/>
      <c r="D422" s="195"/>
    </row>
    <row r="423" ht="15.75" customHeight="1">
      <c r="C423" s="194"/>
      <c r="D423" s="195"/>
    </row>
    <row r="424" ht="15.75" customHeight="1">
      <c r="C424" s="194"/>
      <c r="D424" s="195"/>
    </row>
    <row r="425" ht="15.75" customHeight="1">
      <c r="C425" s="194"/>
      <c r="D425" s="195"/>
    </row>
    <row r="426" ht="15.75" customHeight="1">
      <c r="C426" s="194"/>
      <c r="D426" s="195"/>
    </row>
    <row r="427" ht="15.75" customHeight="1">
      <c r="C427" s="194"/>
      <c r="D427" s="195"/>
    </row>
    <row r="428" ht="15.75" customHeight="1">
      <c r="C428" s="194"/>
      <c r="D428" s="195"/>
    </row>
    <row r="429" ht="15.75" customHeight="1">
      <c r="C429" s="194"/>
      <c r="D429" s="195"/>
    </row>
    <row r="430" ht="15.75" customHeight="1">
      <c r="C430" s="194"/>
      <c r="D430" s="195"/>
    </row>
    <row r="431" ht="15.75" customHeight="1">
      <c r="C431" s="194"/>
      <c r="D431" s="195"/>
    </row>
    <row r="432" ht="15.75" customHeight="1">
      <c r="C432" s="194"/>
      <c r="D432" s="195"/>
    </row>
    <row r="433" ht="15.75" customHeight="1">
      <c r="C433" s="194"/>
      <c r="D433" s="195"/>
    </row>
    <row r="434" ht="15.75" customHeight="1">
      <c r="C434" s="194"/>
      <c r="D434" s="195"/>
    </row>
    <row r="435" ht="15.75" customHeight="1">
      <c r="C435" s="194"/>
      <c r="D435" s="195"/>
    </row>
    <row r="436" ht="15.75" customHeight="1">
      <c r="C436" s="194"/>
      <c r="D436" s="195"/>
    </row>
    <row r="437" ht="15.75" customHeight="1">
      <c r="C437" s="194"/>
      <c r="D437" s="195"/>
    </row>
    <row r="438" ht="15.75" customHeight="1">
      <c r="C438" s="194"/>
      <c r="D438" s="195"/>
    </row>
    <row r="439" ht="15.75" customHeight="1">
      <c r="C439" s="194"/>
      <c r="D439" s="195"/>
    </row>
    <row r="440" ht="15.75" customHeight="1">
      <c r="C440" s="194"/>
      <c r="D440" s="195"/>
    </row>
    <row r="441" ht="15.75" customHeight="1">
      <c r="C441" s="194"/>
      <c r="D441" s="195"/>
    </row>
    <row r="442" ht="15.75" customHeight="1">
      <c r="C442" s="194"/>
      <c r="D442" s="195"/>
    </row>
    <row r="443" ht="15.75" customHeight="1">
      <c r="C443" s="194"/>
      <c r="D443" s="195"/>
    </row>
    <row r="444" ht="15.75" customHeight="1">
      <c r="C444" s="194"/>
      <c r="D444" s="195"/>
    </row>
    <row r="445" ht="15.75" customHeight="1">
      <c r="C445" s="194"/>
      <c r="D445" s="195"/>
    </row>
    <row r="446" ht="15.75" customHeight="1">
      <c r="C446" s="194"/>
      <c r="D446" s="195"/>
    </row>
    <row r="447" ht="15.75" customHeight="1">
      <c r="C447" s="194"/>
      <c r="D447" s="195"/>
    </row>
    <row r="448" ht="15.75" customHeight="1">
      <c r="C448" s="191"/>
    </row>
    <row r="449" ht="15.75" customHeight="1">
      <c r="C449" s="191"/>
    </row>
    <row r="450" ht="15.75" customHeight="1">
      <c r="C450" s="191"/>
    </row>
    <row r="451" ht="15.75" customHeight="1">
      <c r="C451" s="191"/>
    </row>
    <row r="452" ht="15.75" customHeight="1">
      <c r="C452" s="191"/>
    </row>
    <row r="453" ht="15.75" customHeight="1">
      <c r="C453" s="191"/>
    </row>
    <row r="454" ht="15.75" customHeight="1">
      <c r="C454" s="191"/>
    </row>
    <row r="455" ht="15.75" customHeight="1">
      <c r="C455" s="191"/>
    </row>
    <row r="456" ht="15.75" customHeight="1">
      <c r="C456" s="191"/>
    </row>
    <row r="457" ht="15.75" customHeight="1">
      <c r="C457" s="191"/>
    </row>
    <row r="458" ht="15.75" customHeight="1">
      <c r="C458" s="191"/>
    </row>
    <row r="459" ht="15.75" customHeight="1">
      <c r="C459" s="191"/>
    </row>
    <row r="460" ht="15.75" customHeight="1">
      <c r="C460" s="191"/>
    </row>
    <row r="461" ht="15.75" customHeight="1">
      <c r="C461" s="191"/>
    </row>
    <row r="462" ht="15.75" customHeight="1">
      <c r="C462" s="191"/>
    </row>
    <row r="463" ht="15.75" customHeight="1">
      <c r="C463" s="191"/>
    </row>
    <row r="464" ht="15.75" customHeight="1">
      <c r="C464" s="191"/>
    </row>
    <row r="465" ht="15.75" customHeight="1">
      <c r="C465" s="191"/>
    </row>
    <row r="466" ht="15.75" customHeight="1">
      <c r="C466" s="191"/>
    </row>
    <row r="467" ht="15.75" customHeight="1">
      <c r="C467" s="191"/>
    </row>
    <row r="468" ht="15.75" customHeight="1">
      <c r="C468" s="191"/>
    </row>
    <row r="469" ht="15.75" customHeight="1">
      <c r="C469" s="191"/>
    </row>
    <row r="470" ht="15.75" customHeight="1">
      <c r="C470" s="191"/>
    </row>
    <row r="471" ht="15.75" customHeight="1">
      <c r="C471" s="191"/>
    </row>
    <row r="472" ht="15.75" customHeight="1">
      <c r="C472" s="191"/>
    </row>
    <row r="473" ht="15.75" customHeight="1">
      <c r="C473" s="191"/>
    </row>
    <row r="474" ht="15.75" customHeight="1">
      <c r="C474" s="191"/>
    </row>
    <row r="475" ht="15.75" customHeight="1">
      <c r="C475" s="191"/>
    </row>
    <row r="476" ht="15.75" customHeight="1">
      <c r="C476" s="191"/>
    </row>
    <row r="477" ht="15.75" customHeight="1">
      <c r="C477" s="191"/>
    </row>
    <row r="478" ht="15.75" customHeight="1">
      <c r="C478" s="191"/>
    </row>
    <row r="479" ht="15.75" customHeight="1">
      <c r="C479" s="191"/>
    </row>
    <row r="480" ht="15.75" customHeight="1">
      <c r="C480" s="191"/>
    </row>
    <row r="481" ht="15.75" customHeight="1">
      <c r="C481" s="191"/>
    </row>
    <row r="482" ht="15.75" customHeight="1">
      <c r="C482" s="191"/>
    </row>
    <row r="483" ht="15.75" customHeight="1">
      <c r="C483" s="191"/>
    </row>
    <row r="484" ht="15.75" customHeight="1">
      <c r="C484" s="191"/>
    </row>
    <row r="485" ht="15.75" customHeight="1">
      <c r="C485" s="191"/>
    </row>
    <row r="486" ht="15.75" customHeight="1">
      <c r="C486" s="191"/>
    </row>
    <row r="487" ht="15.75" customHeight="1">
      <c r="C487" s="191"/>
    </row>
    <row r="488" ht="15.75" customHeight="1">
      <c r="C488" s="191"/>
    </row>
    <row r="489" ht="15.75" customHeight="1">
      <c r="C489" s="191"/>
    </row>
    <row r="490" ht="15.75" customHeight="1">
      <c r="C490" s="191"/>
    </row>
    <row r="491" ht="15.75" customHeight="1">
      <c r="C491" s="191"/>
    </row>
    <row r="492" ht="15.75" customHeight="1">
      <c r="C492" s="191"/>
    </row>
    <row r="493" ht="15.75" customHeight="1">
      <c r="C493" s="191"/>
    </row>
    <row r="494" ht="15.75" customHeight="1">
      <c r="C494" s="191"/>
    </row>
    <row r="495" ht="15.75" customHeight="1">
      <c r="C495" s="191"/>
    </row>
    <row r="496" ht="15.75" customHeight="1">
      <c r="C496" s="191"/>
    </row>
    <row r="497" ht="15.75" customHeight="1">
      <c r="C497" s="191"/>
    </row>
    <row r="498" ht="15.75" customHeight="1">
      <c r="C498" s="191"/>
    </row>
    <row r="499" ht="15.75" customHeight="1">
      <c r="C499" s="191"/>
    </row>
    <row r="500" ht="15.75" customHeight="1">
      <c r="C500" s="191"/>
    </row>
    <row r="501" ht="15.75" customHeight="1">
      <c r="C501" s="191"/>
    </row>
    <row r="502" ht="15.75" customHeight="1">
      <c r="C502" s="191"/>
    </row>
    <row r="503" ht="15.75" customHeight="1">
      <c r="C503" s="191"/>
    </row>
    <row r="504" ht="15.75" customHeight="1">
      <c r="C504" s="191"/>
    </row>
    <row r="505" ht="15.75" customHeight="1">
      <c r="C505" s="191"/>
    </row>
    <row r="506" ht="15.75" customHeight="1">
      <c r="C506" s="191"/>
    </row>
    <row r="507" ht="15.75" customHeight="1">
      <c r="C507" s="191"/>
    </row>
    <row r="508" ht="15.75" customHeight="1">
      <c r="C508" s="191"/>
    </row>
    <row r="509" ht="15.75" customHeight="1">
      <c r="C509" s="191"/>
    </row>
    <row r="510" ht="15.75" customHeight="1">
      <c r="C510" s="191"/>
    </row>
    <row r="511" ht="15.75" customHeight="1">
      <c r="C511" s="191"/>
    </row>
    <row r="512" ht="15.75" customHeight="1">
      <c r="C512" s="191"/>
    </row>
    <row r="513" ht="15.75" customHeight="1">
      <c r="C513" s="191"/>
    </row>
    <row r="514" ht="15.75" customHeight="1">
      <c r="C514" s="191"/>
    </row>
    <row r="515" ht="15.75" customHeight="1">
      <c r="C515" s="191"/>
    </row>
    <row r="516" ht="15.75" customHeight="1">
      <c r="C516" s="191"/>
    </row>
    <row r="517" ht="15.75" customHeight="1">
      <c r="C517" s="191"/>
    </row>
    <row r="518" ht="15.75" customHeight="1">
      <c r="C518" s="191"/>
    </row>
    <row r="519" ht="15.75" customHeight="1">
      <c r="C519" s="191"/>
    </row>
    <row r="520" ht="15.75" customHeight="1">
      <c r="C520" s="191"/>
    </row>
    <row r="521" ht="15.75" customHeight="1">
      <c r="C521" s="191"/>
    </row>
    <row r="522" ht="15.75" customHeight="1">
      <c r="C522" s="191"/>
    </row>
    <row r="523" ht="15.75" customHeight="1">
      <c r="C523" s="191"/>
    </row>
    <row r="524" ht="15.75" customHeight="1">
      <c r="C524" s="191"/>
    </row>
    <row r="525" ht="15.75" customHeight="1">
      <c r="C525" s="191"/>
    </row>
    <row r="526" ht="15.75" customHeight="1">
      <c r="C526" s="191"/>
    </row>
    <row r="527" ht="15.75" customHeight="1">
      <c r="C527" s="191"/>
    </row>
    <row r="528" ht="15.75" customHeight="1">
      <c r="C528" s="191"/>
    </row>
    <row r="529" ht="15.75" customHeight="1">
      <c r="C529" s="191"/>
    </row>
    <row r="530" ht="15.75" customHeight="1">
      <c r="C530" s="191"/>
    </row>
    <row r="531" ht="15.75" customHeight="1">
      <c r="C531" s="191"/>
    </row>
    <row r="532" ht="15.75" customHeight="1">
      <c r="C532" s="191"/>
    </row>
    <row r="533" ht="15.75" customHeight="1">
      <c r="C533" s="191"/>
    </row>
    <row r="534" ht="15.75" customHeight="1">
      <c r="C534" s="191"/>
    </row>
    <row r="535" ht="15.75" customHeight="1">
      <c r="C535" s="191"/>
    </row>
    <row r="536" ht="15.75" customHeight="1">
      <c r="C536" s="191"/>
    </row>
    <row r="537" ht="15.75" customHeight="1">
      <c r="C537" s="191"/>
    </row>
    <row r="538" ht="15.75" customHeight="1">
      <c r="C538" s="191"/>
    </row>
    <row r="539" ht="15.75" customHeight="1">
      <c r="C539" s="191"/>
    </row>
    <row r="540" ht="15.75" customHeight="1">
      <c r="C540" s="191"/>
    </row>
    <row r="541" ht="15.75" customHeight="1">
      <c r="C541" s="191"/>
    </row>
    <row r="542" ht="15.75" customHeight="1">
      <c r="C542" s="191"/>
    </row>
    <row r="543" ht="15.75" customHeight="1">
      <c r="C543" s="191"/>
    </row>
    <row r="544" ht="15.75" customHeight="1">
      <c r="C544" s="191"/>
    </row>
    <row r="545" ht="15.75" customHeight="1">
      <c r="C545" s="191"/>
    </row>
    <row r="546" ht="15.75" customHeight="1">
      <c r="C546" s="191"/>
    </row>
    <row r="547" ht="15.75" customHeight="1">
      <c r="C547" s="191"/>
    </row>
    <row r="548" ht="15.75" customHeight="1">
      <c r="C548" s="191"/>
    </row>
    <row r="549" ht="15.75" customHeight="1">
      <c r="C549" s="191"/>
    </row>
    <row r="550" ht="15.75" customHeight="1">
      <c r="C550" s="191"/>
    </row>
    <row r="551" ht="15.75" customHeight="1">
      <c r="C551" s="191"/>
    </row>
    <row r="552" ht="15.75" customHeight="1">
      <c r="C552" s="191"/>
    </row>
    <row r="553" ht="15.75" customHeight="1">
      <c r="C553" s="191"/>
    </row>
    <row r="554" ht="15.75" customHeight="1">
      <c r="C554" s="191"/>
    </row>
    <row r="555" ht="15.75" customHeight="1">
      <c r="C555" s="191"/>
    </row>
    <row r="556" ht="15.75" customHeight="1">
      <c r="C556" s="191"/>
    </row>
    <row r="557" ht="15.75" customHeight="1">
      <c r="C557" s="191"/>
    </row>
    <row r="558" ht="15.75" customHeight="1">
      <c r="C558" s="191"/>
    </row>
    <row r="559" ht="15.75" customHeight="1">
      <c r="C559" s="191"/>
    </row>
    <row r="560" ht="15.75" customHeight="1">
      <c r="C560" s="191"/>
    </row>
    <row r="561" ht="15.75" customHeight="1">
      <c r="C561" s="191"/>
    </row>
    <row r="562" ht="15.75" customHeight="1">
      <c r="C562" s="191"/>
    </row>
    <row r="563" ht="15.75" customHeight="1">
      <c r="C563" s="191"/>
    </row>
    <row r="564" ht="15.75" customHeight="1">
      <c r="C564" s="191"/>
    </row>
    <row r="565" ht="15.75" customHeight="1">
      <c r="C565" s="191"/>
    </row>
    <row r="566" ht="15.75" customHeight="1">
      <c r="C566" s="191"/>
    </row>
    <row r="567" ht="15.75" customHeight="1">
      <c r="C567" s="191"/>
    </row>
    <row r="568" ht="15.75" customHeight="1">
      <c r="C568" s="191"/>
    </row>
    <row r="569" ht="15.75" customHeight="1">
      <c r="C569" s="191"/>
    </row>
    <row r="570" ht="15.75" customHeight="1">
      <c r="C570" s="191"/>
    </row>
    <row r="571" ht="15.75" customHeight="1">
      <c r="C571" s="191"/>
    </row>
    <row r="572" ht="15.75" customHeight="1">
      <c r="C572" s="191"/>
    </row>
    <row r="573" ht="15.75" customHeight="1">
      <c r="C573" s="191"/>
    </row>
    <row r="574" ht="15.75" customHeight="1">
      <c r="C574" s="191"/>
    </row>
    <row r="575" ht="15.75" customHeight="1">
      <c r="C575" s="191"/>
    </row>
    <row r="576" ht="15.75" customHeight="1">
      <c r="C576" s="191"/>
    </row>
    <row r="577" ht="15.75" customHeight="1">
      <c r="C577" s="191"/>
    </row>
    <row r="578" ht="15.75" customHeight="1">
      <c r="C578" s="191"/>
    </row>
    <row r="579" ht="15.75" customHeight="1">
      <c r="C579" s="191"/>
    </row>
    <row r="580" ht="15.75" customHeight="1">
      <c r="C580" s="191"/>
    </row>
    <row r="581" ht="15.75" customHeight="1">
      <c r="C581" s="191"/>
    </row>
    <row r="582" ht="15.75" customHeight="1">
      <c r="C582" s="191"/>
    </row>
    <row r="583" ht="15.75" customHeight="1">
      <c r="C583" s="191"/>
    </row>
    <row r="584" ht="15.75" customHeight="1">
      <c r="C584" s="191"/>
    </row>
    <row r="585" ht="15.75" customHeight="1">
      <c r="C585" s="191"/>
    </row>
    <row r="586" ht="15.75" customHeight="1">
      <c r="C586" s="191"/>
    </row>
    <row r="587" ht="15.75" customHeight="1">
      <c r="C587" s="191"/>
    </row>
    <row r="588" ht="15.75" customHeight="1">
      <c r="C588" s="191"/>
    </row>
    <row r="589" ht="15.75" customHeight="1">
      <c r="C589" s="191"/>
    </row>
    <row r="590" ht="15.75" customHeight="1">
      <c r="C590" s="191"/>
    </row>
    <row r="591" ht="15.75" customHeight="1">
      <c r="C591" s="191"/>
    </row>
    <row r="592" ht="15.75" customHeight="1">
      <c r="C592" s="191"/>
    </row>
    <row r="593" ht="15.75" customHeight="1">
      <c r="C593" s="191"/>
    </row>
    <row r="594" ht="15.75" customHeight="1">
      <c r="C594" s="191"/>
    </row>
    <row r="595" ht="15.75" customHeight="1">
      <c r="C595" s="191"/>
    </row>
    <row r="596" ht="15.75" customHeight="1">
      <c r="C596" s="191"/>
    </row>
    <row r="597" ht="15.75" customHeight="1">
      <c r="C597" s="191"/>
    </row>
    <row r="598" ht="15.75" customHeight="1">
      <c r="C598" s="191"/>
    </row>
    <row r="599" ht="15.75" customHeight="1">
      <c r="C599" s="191"/>
    </row>
    <row r="600" ht="15.75" customHeight="1">
      <c r="C600" s="191"/>
    </row>
    <row r="601" ht="15.75" customHeight="1">
      <c r="C601" s="191"/>
    </row>
    <row r="602" ht="15.75" customHeight="1">
      <c r="C602" s="191"/>
    </row>
    <row r="603" ht="15.75" customHeight="1">
      <c r="C603" s="191"/>
    </row>
    <row r="604" ht="15.75" customHeight="1">
      <c r="C604" s="191"/>
    </row>
    <row r="605" ht="15.75" customHeight="1">
      <c r="C605" s="191"/>
    </row>
    <row r="606" ht="15.75" customHeight="1">
      <c r="C606" s="191"/>
    </row>
    <row r="607" ht="15.75" customHeight="1">
      <c r="C607" s="191"/>
    </row>
    <row r="608" ht="15.75" customHeight="1">
      <c r="C608" s="191"/>
    </row>
    <row r="609" ht="15.75" customHeight="1">
      <c r="C609" s="191"/>
    </row>
    <row r="610" ht="15.75" customHeight="1">
      <c r="C610" s="191"/>
    </row>
    <row r="611" ht="15.75" customHeight="1">
      <c r="C611" s="191"/>
    </row>
    <row r="612" ht="15.75" customHeight="1">
      <c r="C612" s="191"/>
    </row>
    <row r="613" ht="15.75" customHeight="1">
      <c r="C613" s="191"/>
    </row>
    <row r="614" ht="15.75" customHeight="1">
      <c r="C614" s="191"/>
    </row>
    <row r="615" ht="15.75" customHeight="1">
      <c r="C615" s="191"/>
    </row>
    <row r="616" ht="15.75" customHeight="1">
      <c r="C616" s="191"/>
    </row>
    <row r="617" ht="15.75" customHeight="1">
      <c r="C617" s="191"/>
    </row>
    <row r="618" ht="15.75" customHeight="1">
      <c r="C618" s="191"/>
    </row>
    <row r="619" ht="15.75" customHeight="1">
      <c r="C619" s="191"/>
    </row>
    <row r="620" ht="15.75" customHeight="1">
      <c r="C620" s="191"/>
    </row>
    <row r="621" ht="15.75" customHeight="1">
      <c r="C621" s="191"/>
    </row>
    <row r="622" ht="15.75" customHeight="1">
      <c r="C622" s="191"/>
    </row>
    <row r="623" ht="15.75" customHeight="1">
      <c r="C623" s="191"/>
    </row>
    <row r="624" ht="15.75" customHeight="1">
      <c r="C624" s="191"/>
    </row>
    <row r="625" ht="15.75" customHeight="1">
      <c r="C625" s="191"/>
    </row>
    <row r="626" ht="15.75" customHeight="1">
      <c r="C626" s="191"/>
    </row>
    <row r="627" ht="15.75" customHeight="1">
      <c r="C627" s="191"/>
    </row>
    <row r="628" ht="15.75" customHeight="1">
      <c r="C628" s="191"/>
    </row>
    <row r="629" ht="15.75" customHeight="1">
      <c r="C629" s="191"/>
    </row>
    <row r="630" ht="15.75" customHeight="1">
      <c r="C630" s="191"/>
    </row>
    <row r="631" ht="15.75" customHeight="1">
      <c r="C631" s="191"/>
    </row>
    <row r="632" ht="15.75" customHeight="1">
      <c r="C632" s="191"/>
    </row>
    <row r="633" ht="15.75" customHeight="1">
      <c r="C633" s="191"/>
    </row>
    <row r="634" ht="15.75" customHeight="1">
      <c r="C634" s="191"/>
    </row>
    <row r="635" ht="15.75" customHeight="1">
      <c r="C635" s="191"/>
    </row>
    <row r="636" ht="15.75" customHeight="1">
      <c r="C636" s="191"/>
    </row>
    <row r="637" ht="15.75" customHeight="1">
      <c r="C637" s="191"/>
    </row>
    <row r="638" ht="15.75" customHeight="1">
      <c r="C638" s="191"/>
    </row>
    <row r="639" ht="15.75" customHeight="1">
      <c r="C639" s="191"/>
    </row>
    <row r="640" ht="15.75" customHeight="1">
      <c r="C640" s="191"/>
    </row>
    <row r="641" ht="15.75" customHeight="1">
      <c r="C641" s="191"/>
    </row>
    <row r="642" ht="15.75" customHeight="1">
      <c r="C642" s="191"/>
    </row>
    <row r="643" ht="15.75" customHeight="1">
      <c r="C643" s="191"/>
    </row>
    <row r="644" ht="15.75" customHeight="1">
      <c r="C644" s="191"/>
    </row>
    <row r="645" ht="15.75" customHeight="1">
      <c r="C645" s="191"/>
    </row>
    <row r="646" ht="15.75" customHeight="1">
      <c r="C646" s="191"/>
    </row>
    <row r="647" ht="15.75" customHeight="1">
      <c r="C647" s="191"/>
    </row>
    <row r="648" ht="15.75" customHeight="1">
      <c r="C648" s="191"/>
    </row>
    <row r="649" ht="15.75" customHeight="1">
      <c r="C649" s="191"/>
    </row>
    <row r="650" ht="15.75" customHeight="1">
      <c r="C650" s="191"/>
    </row>
    <row r="651" ht="15.75" customHeight="1">
      <c r="C651" s="191"/>
    </row>
    <row r="652" ht="15.75" customHeight="1">
      <c r="C652" s="191"/>
    </row>
    <row r="653" ht="15.75" customHeight="1">
      <c r="C653" s="191"/>
    </row>
    <row r="654" ht="15.75" customHeight="1">
      <c r="C654" s="191"/>
    </row>
    <row r="655" ht="15.75" customHeight="1">
      <c r="C655" s="191"/>
    </row>
    <row r="656" ht="15.75" customHeight="1">
      <c r="C656" s="191"/>
    </row>
    <row r="657" ht="15.75" customHeight="1">
      <c r="C657" s="191"/>
    </row>
    <row r="658" ht="15.75" customHeight="1">
      <c r="C658" s="191"/>
    </row>
    <row r="659" ht="15.75" customHeight="1">
      <c r="C659" s="191"/>
    </row>
    <row r="660" ht="15.75" customHeight="1">
      <c r="C660" s="191"/>
    </row>
    <row r="661" ht="15.75" customHeight="1">
      <c r="C661" s="191"/>
    </row>
    <row r="662" ht="15.75" customHeight="1">
      <c r="C662" s="191"/>
    </row>
    <row r="663" ht="15.75" customHeight="1">
      <c r="C663" s="191"/>
    </row>
    <row r="664" ht="15.75" customHeight="1">
      <c r="C664" s="191"/>
    </row>
    <row r="665" ht="15.75" customHeight="1">
      <c r="C665" s="191"/>
    </row>
    <row r="666" ht="15.75" customHeight="1">
      <c r="C666" s="191"/>
    </row>
    <row r="667" ht="15.75" customHeight="1">
      <c r="C667" s="191"/>
    </row>
    <row r="668" ht="15.75" customHeight="1">
      <c r="C668" s="191"/>
    </row>
    <row r="669" ht="15.75" customHeight="1">
      <c r="C669" s="191"/>
    </row>
    <row r="670" ht="15.75" customHeight="1">
      <c r="C670" s="191"/>
    </row>
    <row r="671" ht="15.75" customHeight="1">
      <c r="C671" s="191"/>
    </row>
    <row r="672" ht="15.75" customHeight="1">
      <c r="C672" s="191"/>
    </row>
    <row r="673" ht="15.75" customHeight="1">
      <c r="C673" s="191"/>
    </row>
    <row r="674" ht="15.75" customHeight="1">
      <c r="C674" s="191"/>
    </row>
    <row r="675" ht="15.75" customHeight="1">
      <c r="C675" s="191"/>
    </row>
    <row r="676" ht="15.75" customHeight="1">
      <c r="C676" s="191"/>
    </row>
    <row r="677" ht="15.75" customHeight="1">
      <c r="C677" s="191"/>
    </row>
    <row r="678" ht="15.75" customHeight="1">
      <c r="C678" s="191"/>
    </row>
    <row r="679" ht="15.75" customHeight="1">
      <c r="C679" s="191"/>
    </row>
    <row r="680" ht="15.75" customHeight="1">
      <c r="C680" s="191"/>
    </row>
    <row r="681" ht="15.75" customHeight="1">
      <c r="C681" s="191"/>
    </row>
    <row r="682" ht="15.75" customHeight="1">
      <c r="C682" s="191"/>
    </row>
    <row r="683" ht="15.75" customHeight="1">
      <c r="C683" s="191"/>
    </row>
    <row r="684" ht="15.75" customHeight="1">
      <c r="C684" s="191"/>
    </row>
    <row r="685" ht="15.75" customHeight="1">
      <c r="C685" s="191"/>
    </row>
    <row r="686" ht="15.75" customHeight="1">
      <c r="C686" s="191"/>
    </row>
    <row r="687" ht="15.75" customHeight="1">
      <c r="C687" s="191"/>
    </row>
    <row r="688" ht="15.75" customHeight="1">
      <c r="C688" s="191"/>
    </row>
    <row r="689" ht="15.75" customHeight="1">
      <c r="C689" s="191"/>
    </row>
    <row r="690" ht="15.75" customHeight="1">
      <c r="C690" s="191"/>
    </row>
    <row r="691" ht="15.75" customHeight="1">
      <c r="C691" s="191"/>
    </row>
    <row r="692" ht="15.75" customHeight="1">
      <c r="C692" s="191"/>
    </row>
    <row r="693" ht="15.75" customHeight="1">
      <c r="C693" s="191"/>
    </row>
    <row r="694" ht="15.75" customHeight="1">
      <c r="C694" s="191"/>
    </row>
    <row r="695" ht="15.75" customHeight="1">
      <c r="C695" s="191"/>
    </row>
    <row r="696" ht="15.75" customHeight="1">
      <c r="C696" s="191"/>
    </row>
    <row r="697" ht="15.75" customHeight="1">
      <c r="C697" s="191"/>
    </row>
    <row r="698" ht="15.75" customHeight="1">
      <c r="C698" s="191"/>
    </row>
    <row r="699" ht="15.75" customHeight="1">
      <c r="C699" s="191"/>
    </row>
    <row r="700" ht="15.75" customHeight="1">
      <c r="C700" s="191"/>
    </row>
    <row r="701" ht="15.75" customHeight="1">
      <c r="C701" s="191"/>
    </row>
    <row r="702" ht="15.75" customHeight="1">
      <c r="C702" s="191"/>
    </row>
    <row r="703" ht="15.75" customHeight="1">
      <c r="C703" s="191"/>
    </row>
    <row r="704" ht="15.75" customHeight="1">
      <c r="C704" s="191"/>
    </row>
    <row r="705" ht="15.75" customHeight="1">
      <c r="C705" s="191"/>
    </row>
    <row r="706" ht="15.75" customHeight="1">
      <c r="C706" s="191"/>
    </row>
    <row r="707" ht="15.75" customHeight="1">
      <c r="C707" s="191"/>
    </row>
    <row r="708" ht="15.75" customHeight="1">
      <c r="C708" s="191"/>
    </row>
    <row r="709" ht="15.75" customHeight="1">
      <c r="C709" s="191"/>
    </row>
    <row r="710" ht="15.75" customHeight="1">
      <c r="C710" s="191"/>
    </row>
    <row r="711" ht="15.75" customHeight="1">
      <c r="C711" s="191"/>
    </row>
    <row r="712" ht="15.75" customHeight="1">
      <c r="C712" s="191"/>
    </row>
    <row r="713" ht="15.75" customHeight="1">
      <c r="C713" s="191"/>
    </row>
    <row r="714" ht="15.75" customHeight="1">
      <c r="C714" s="191"/>
    </row>
    <row r="715" ht="15.75" customHeight="1">
      <c r="C715" s="191"/>
    </row>
    <row r="716" ht="15.75" customHeight="1">
      <c r="C716" s="191"/>
    </row>
    <row r="717" ht="15.75" customHeight="1">
      <c r="C717" s="191"/>
    </row>
    <row r="718" ht="15.75" customHeight="1">
      <c r="C718" s="191"/>
    </row>
    <row r="719" ht="15.75" customHeight="1">
      <c r="C719" s="191"/>
    </row>
    <row r="720" ht="15.75" customHeight="1">
      <c r="C720" s="191"/>
    </row>
    <row r="721" ht="15.75" customHeight="1">
      <c r="C721" s="191"/>
    </row>
    <row r="722" ht="15.75" customHeight="1">
      <c r="C722" s="191"/>
    </row>
    <row r="723" ht="15.75" customHeight="1">
      <c r="C723" s="191"/>
    </row>
    <row r="724" ht="15.75" customHeight="1">
      <c r="C724" s="191"/>
    </row>
    <row r="725" ht="15.75" customHeight="1">
      <c r="C725" s="191"/>
    </row>
    <row r="726" ht="15.75" customHeight="1">
      <c r="C726" s="191"/>
    </row>
    <row r="727" ht="15.75" customHeight="1">
      <c r="C727" s="191"/>
    </row>
    <row r="728" ht="15.75" customHeight="1">
      <c r="C728" s="191"/>
    </row>
    <row r="729" ht="15.75" customHeight="1">
      <c r="C729" s="191"/>
    </row>
    <row r="730" ht="15.75" customHeight="1">
      <c r="C730" s="191"/>
    </row>
    <row r="731" ht="15.75" customHeight="1">
      <c r="C731" s="191"/>
    </row>
    <row r="732" ht="15.75" customHeight="1">
      <c r="C732" s="191"/>
    </row>
    <row r="733" ht="15.75" customHeight="1">
      <c r="C733" s="191"/>
    </row>
    <row r="734" ht="15.75" customHeight="1">
      <c r="C734" s="191"/>
    </row>
    <row r="735" ht="15.75" customHeight="1">
      <c r="C735" s="191"/>
    </row>
    <row r="736" ht="15.75" customHeight="1">
      <c r="C736" s="191"/>
    </row>
    <row r="737" ht="15.75" customHeight="1">
      <c r="C737" s="191"/>
    </row>
    <row r="738" ht="15.75" customHeight="1">
      <c r="C738" s="191"/>
    </row>
    <row r="739" ht="15.75" customHeight="1">
      <c r="C739" s="191"/>
    </row>
    <row r="740" ht="15.75" customHeight="1">
      <c r="C740" s="191"/>
    </row>
    <row r="741" ht="15.75" customHeight="1">
      <c r="C741" s="191"/>
    </row>
    <row r="742" ht="15.75" customHeight="1">
      <c r="C742" s="191"/>
    </row>
    <row r="743" ht="15.75" customHeight="1">
      <c r="C743" s="191"/>
    </row>
    <row r="744" ht="15.75" customHeight="1">
      <c r="C744" s="191"/>
    </row>
    <row r="745" ht="15.75" customHeight="1">
      <c r="C745" s="191"/>
    </row>
    <row r="746" ht="15.75" customHeight="1">
      <c r="C746" s="191"/>
    </row>
    <row r="747" ht="15.75" customHeight="1">
      <c r="C747" s="191"/>
    </row>
    <row r="748" ht="15.75" customHeight="1">
      <c r="C748" s="191"/>
    </row>
    <row r="749" ht="15.75" customHeight="1">
      <c r="C749" s="191"/>
    </row>
    <row r="750" ht="15.75" customHeight="1">
      <c r="C750" s="191"/>
    </row>
    <row r="751" ht="15.75" customHeight="1">
      <c r="C751" s="191"/>
    </row>
    <row r="752" ht="15.75" customHeight="1">
      <c r="C752" s="191"/>
    </row>
    <row r="753" ht="15.75" customHeight="1">
      <c r="C753" s="191"/>
    </row>
    <row r="754" ht="15.75" customHeight="1">
      <c r="C754" s="191"/>
    </row>
    <row r="755" ht="15.75" customHeight="1">
      <c r="C755" s="191"/>
    </row>
    <row r="756" ht="15.75" customHeight="1">
      <c r="C756" s="191"/>
    </row>
    <row r="757" ht="15.75" customHeight="1">
      <c r="C757" s="191"/>
    </row>
    <row r="758" ht="15.75" customHeight="1">
      <c r="C758" s="191"/>
    </row>
    <row r="759" ht="15.75" customHeight="1">
      <c r="C759" s="191"/>
    </row>
    <row r="760" ht="15.75" customHeight="1">
      <c r="C760" s="191"/>
    </row>
    <row r="761" ht="15.75" customHeight="1">
      <c r="C761" s="191"/>
    </row>
    <row r="762" ht="15.75" customHeight="1">
      <c r="C762" s="191"/>
    </row>
    <row r="763" ht="15.75" customHeight="1">
      <c r="C763" s="191"/>
    </row>
    <row r="764" ht="15.75" customHeight="1">
      <c r="C764" s="191"/>
    </row>
    <row r="765" ht="15.75" customHeight="1">
      <c r="C765" s="191"/>
    </row>
    <row r="766" ht="15.75" customHeight="1">
      <c r="C766" s="191"/>
    </row>
    <row r="767" ht="15.75" customHeight="1">
      <c r="C767" s="191"/>
    </row>
    <row r="768" ht="15.75" customHeight="1">
      <c r="C768" s="191"/>
    </row>
    <row r="769" ht="15.75" customHeight="1">
      <c r="C769" s="191"/>
    </row>
    <row r="770" ht="15.75" customHeight="1">
      <c r="C770" s="191"/>
    </row>
    <row r="771" ht="15.75" customHeight="1">
      <c r="C771" s="191"/>
    </row>
    <row r="772" ht="15.75" customHeight="1">
      <c r="C772" s="191"/>
    </row>
    <row r="773" ht="15.75" customHeight="1">
      <c r="C773" s="191"/>
    </row>
    <row r="774" ht="15.75" customHeight="1">
      <c r="C774" s="191"/>
    </row>
    <row r="775" ht="15.75" customHeight="1">
      <c r="C775" s="191"/>
    </row>
    <row r="776" ht="15.75" customHeight="1">
      <c r="C776" s="191"/>
    </row>
    <row r="777" ht="15.75" customHeight="1">
      <c r="C777" s="191"/>
    </row>
    <row r="778" ht="15.75" customHeight="1">
      <c r="C778" s="191"/>
    </row>
    <row r="779" ht="15.75" customHeight="1">
      <c r="C779" s="191"/>
    </row>
    <row r="780" ht="15.75" customHeight="1">
      <c r="C780" s="191"/>
    </row>
    <row r="781" ht="15.75" customHeight="1">
      <c r="C781" s="191"/>
    </row>
    <row r="782" ht="15.75" customHeight="1">
      <c r="C782" s="191"/>
    </row>
    <row r="783" ht="15.75" customHeight="1">
      <c r="C783" s="191"/>
    </row>
    <row r="784" ht="15.75" customHeight="1">
      <c r="C784" s="191"/>
    </row>
    <row r="785" ht="15.75" customHeight="1">
      <c r="C785" s="191"/>
    </row>
    <row r="786" ht="15.75" customHeight="1">
      <c r="C786" s="191"/>
    </row>
    <row r="787" ht="15.75" customHeight="1">
      <c r="C787" s="191"/>
    </row>
    <row r="788" ht="15.75" customHeight="1">
      <c r="C788" s="191"/>
    </row>
    <row r="789" ht="15.75" customHeight="1">
      <c r="C789" s="191"/>
    </row>
    <row r="790" ht="15.75" customHeight="1">
      <c r="C790" s="191"/>
    </row>
    <row r="791" ht="15.75" customHeight="1">
      <c r="C791" s="191"/>
    </row>
    <row r="792" ht="15.75" customHeight="1">
      <c r="C792" s="191"/>
    </row>
    <row r="793" ht="15.75" customHeight="1">
      <c r="C793" s="191"/>
    </row>
    <row r="794" ht="15.75" customHeight="1">
      <c r="C794" s="191"/>
    </row>
    <row r="795" ht="15.75" customHeight="1">
      <c r="C795" s="191"/>
    </row>
    <row r="796" ht="15.75" customHeight="1">
      <c r="C796" s="191"/>
    </row>
    <row r="797" ht="15.75" customHeight="1">
      <c r="C797" s="191"/>
    </row>
    <row r="798" ht="15.75" customHeight="1">
      <c r="C798" s="191"/>
    </row>
    <row r="799" ht="15.75" customHeight="1">
      <c r="C799" s="191"/>
    </row>
    <row r="800" ht="15.75" customHeight="1">
      <c r="C800" s="191"/>
    </row>
    <row r="801" ht="15.75" customHeight="1">
      <c r="C801" s="191"/>
    </row>
    <row r="802" ht="15.75" customHeight="1">
      <c r="C802" s="191"/>
    </row>
    <row r="803" ht="15.75" customHeight="1">
      <c r="C803" s="191"/>
    </row>
    <row r="804" ht="15.75" customHeight="1">
      <c r="C804" s="191"/>
    </row>
    <row r="805" ht="15.75" customHeight="1">
      <c r="C805" s="191"/>
    </row>
    <row r="806" ht="15.75" customHeight="1">
      <c r="C806" s="191"/>
    </row>
    <row r="807" ht="15.75" customHeight="1">
      <c r="C807" s="191"/>
    </row>
    <row r="808" ht="15.75" customHeight="1">
      <c r="C808" s="191"/>
    </row>
    <row r="809" ht="15.75" customHeight="1">
      <c r="C809" s="191"/>
    </row>
    <row r="810" ht="15.75" customHeight="1">
      <c r="C810" s="191"/>
    </row>
    <row r="811" ht="15.75" customHeight="1">
      <c r="C811" s="191"/>
    </row>
    <row r="812" ht="15.75" customHeight="1">
      <c r="C812" s="191"/>
    </row>
    <row r="813" ht="15.75" customHeight="1">
      <c r="C813" s="191"/>
    </row>
    <row r="814" ht="15.75" customHeight="1">
      <c r="C814" s="191"/>
    </row>
    <row r="815" ht="15.75" customHeight="1">
      <c r="C815" s="191"/>
    </row>
    <row r="816" ht="15.75" customHeight="1">
      <c r="C816" s="191"/>
    </row>
    <row r="817" ht="15.75" customHeight="1">
      <c r="C817" s="191"/>
    </row>
    <row r="818" ht="15.75" customHeight="1">
      <c r="C818" s="191"/>
    </row>
    <row r="819" ht="15.75" customHeight="1">
      <c r="C819" s="191"/>
    </row>
    <row r="820" ht="15.75" customHeight="1">
      <c r="C820" s="191"/>
    </row>
    <row r="821" ht="15.75" customHeight="1">
      <c r="C821" s="191"/>
    </row>
    <row r="822" ht="15.75" customHeight="1">
      <c r="C822" s="191"/>
    </row>
    <row r="823" ht="15.75" customHeight="1">
      <c r="C823" s="191"/>
    </row>
    <row r="824" ht="15.75" customHeight="1">
      <c r="C824" s="191"/>
    </row>
    <row r="825" ht="15.75" customHeight="1">
      <c r="C825" s="191"/>
    </row>
    <row r="826" ht="15.75" customHeight="1">
      <c r="C826" s="191"/>
    </row>
    <row r="827" ht="15.75" customHeight="1">
      <c r="C827" s="191"/>
    </row>
    <row r="828" ht="15.75" customHeight="1">
      <c r="C828" s="191"/>
    </row>
    <row r="829" ht="15.75" customHeight="1">
      <c r="C829" s="191"/>
    </row>
    <row r="830" ht="15.75" customHeight="1">
      <c r="C830" s="191"/>
    </row>
    <row r="831" ht="15.75" customHeight="1">
      <c r="C831" s="191"/>
    </row>
    <row r="832" ht="15.75" customHeight="1">
      <c r="C832" s="191"/>
    </row>
    <row r="833" ht="15.75" customHeight="1">
      <c r="C833" s="191"/>
    </row>
    <row r="834" ht="15.75" customHeight="1">
      <c r="C834" s="191"/>
    </row>
    <row r="835" ht="15.75" customHeight="1">
      <c r="C835" s="191"/>
    </row>
    <row r="836" ht="15.75" customHeight="1">
      <c r="C836" s="191"/>
    </row>
    <row r="837" ht="15.75" customHeight="1">
      <c r="C837" s="191"/>
    </row>
    <row r="838" ht="15.75" customHeight="1">
      <c r="C838" s="191"/>
    </row>
    <row r="839" ht="15.75" customHeight="1">
      <c r="C839" s="191"/>
    </row>
    <row r="840" ht="15.75" customHeight="1">
      <c r="C840" s="191"/>
    </row>
    <row r="841" ht="15.75" customHeight="1">
      <c r="C841" s="191"/>
    </row>
    <row r="842" ht="15.75" customHeight="1">
      <c r="C842" s="191"/>
    </row>
    <row r="843" ht="15.75" customHeight="1">
      <c r="C843" s="191"/>
    </row>
    <row r="844" ht="15.75" customHeight="1">
      <c r="C844" s="191"/>
    </row>
    <row r="845" ht="15.75" customHeight="1">
      <c r="C845" s="191"/>
    </row>
    <row r="846" ht="15.75" customHeight="1">
      <c r="C846" s="191"/>
    </row>
    <row r="847" ht="15.75" customHeight="1">
      <c r="C847" s="191"/>
    </row>
    <row r="848" ht="15.75" customHeight="1">
      <c r="C848" s="191"/>
    </row>
    <row r="849" ht="15.75" customHeight="1">
      <c r="C849" s="191"/>
    </row>
    <row r="850" ht="15.75" customHeight="1">
      <c r="C850" s="191"/>
    </row>
    <row r="851" ht="15.75" customHeight="1">
      <c r="C851" s="191"/>
    </row>
    <row r="852" ht="15.75" customHeight="1">
      <c r="C852" s="191"/>
    </row>
    <row r="853" ht="15.75" customHeight="1">
      <c r="C853" s="191"/>
    </row>
    <row r="854" ht="15.75" customHeight="1">
      <c r="C854" s="191"/>
    </row>
    <row r="855" ht="15.75" customHeight="1">
      <c r="C855" s="191"/>
    </row>
    <row r="856" ht="15.75" customHeight="1">
      <c r="C856" s="191"/>
    </row>
    <row r="857" ht="15.75" customHeight="1">
      <c r="C857" s="191"/>
    </row>
    <row r="858" ht="15.75" customHeight="1">
      <c r="C858" s="191"/>
    </row>
    <row r="859" ht="15.75" customHeight="1">
      <c r="C859" s="191"/>
    </row>
    <row r="860" ht="15.75" customHeight="1">
      <c r="C860" s="191"/>
    </row>
    <row r="861" ht="15.75" customHeight="1">
      <c r="C861" s="191"/>
    </row>
    <row r="862" ht="15.75" customHeight="1">
      <c r="C862" s="191"/>
    </row>
    <row r="863" ht="15.75" customHeight="1">
      <c r="C863" s="191"/>
    </row>
    <row r="864" ht="15.75" customHeight="1">
      <c r="C864" s="191"/>
    </row>
    <row r="865" ht="15.75" customHeight="1">
      <c r="C865" s="191"/>
    </row>
    <row r="866" ht="15.75" customHeight="1">
      <c r="C866" s="191"/>
    </row>
    <row r="867" ht="15.75" customHeight="1">
      <c r="C867" s="191"/>
    </row>
    <row r="868" ht="15.75" customHeight="1">
      <c r="C868" s="191"/>
    </row>
    <row r="869" ht="15.75" customHeight="1">
      <c r="C869" s="191"/>
    </row>
    <row r="870" ht="15.75" customHeight="1">
      <c r="C870" s="191"/>
    </row>
    <row r="871" ht="15.75" customHeight="1">
      <c r="C871" s="191"/>
    </row>
    <row r="872" ht="15.75" customHeight="1">
      <c r="C872" s="191"/>
    </row>
    <row r="873" ht="15.75" customHeight="1">
      <c r="C873" s="191"/>
    </row>
    <row r="874" ht="15.75" customHeight="1">
      <c r="C874" s="191"/>
    </row>
    <row r="875" ht="15.75" customHeight="1">
      <c r="C875" s="191"/>
    </row>
    <row r="876" ht="15.75" customHeight="1">
      <c r="C876" s="191"/>
    </row>
    <row r="877" ht="15.75" customHeight="1">
      <c r="C877" s="191"/>
    </row>
    <row r="878" ht="15.75" customHeight="1">
      <c r="C878" s="191"/>
    </row>
    <row r="879" ht="15.75" customHeight="1">
      <c r="C879" s="191"/>
    </row>
    <row r="880" ht="15.75" customHeight="1">
      <c r="C880" s="191"/>
    </row>
    <row r="881" ht="15.75" customHeight="1">
      <c r="C881" s="191"/>
    </row>
    <row r="882" ht="15.75" customHeight="1">
      <c r="C882" s="191"/>
    </row>
    <row r="883" ht="15.75" customHeight="1">
      <c r="C883" s="191"/>
    </row>
    <row r="884" ht="15.75" customHeight="1">
      <c r="C884" s="191"/>
    </row>
    <row r="885" ht="15.75" customHeight="1">
      <c r="C885" s="191"/>
    </row>
    <row r="886" ht="15.75" customHeight="1">
      <c r="C886" s="191"/>
    </row>
    <row r="887" ht="15.75" customHeight="1">
      <c r="C887" s="191"/>
    </row>
    <row r="888" ht="15.75" customHeight="1">
      <c r="C888" s="191"/>
    </row>
    <row r="889" ht="15.75" customHeight="1">
      <c r="C889" s="191"/>
    </row>
    <row r="890" ht="15.75" customHeight="1">
      <c r="C890" s="191"/>
    </row>
    <row r="891" ht="15.75" customHeight="1">
      <c r="C891" s="191"/>
    </row>
    <row r="892" ht="15.75" customHeight="1">
      <c r="C892" s="191"/>
    </row>
    <row r="893" ht="15.75" customHeight="1">
      <c r="C893" s="191"/>
    </row>
    <row r="894" ht="15.75" customHeight="1">
      <c r="C894" s="191"/>
    </row>
    <row r="895" ht="15.75" customHeight="1">
      <c r="C895" s="191"/>
    </row>
    <row r="896" ht="15.75" customHeight="1">
      <c r="C896" s="191"/>
    </row>
    <row r="897" ht="15.75" customHeight="1">
      <c r="C897" s="191"/>
    </row>
    <row r="898" ht="15.75" customHeight="1">
      <c r="C898" s="191"/>
    </row>
    <row r="899" ht="15.75" customHeight="1">
      <c r="C899" s="191"/>
    </row>
    <row r="900" ht="15.75" customHeight="1">
      <c r="C900" s="191"/>
    </row>
    <row r="901" ht="15.75" customHeight="1">
      <c r="C901" s="191"/>
    </row>
    <row r="902" ht="15.75" customHeight="1">
      <c r="C902" s="191"/>
    </row>
    <row r="903" ht="15.75" customHeight="1">
      <c r="C903" s="191"/>
    </row>
    <row r="904" ht="15.75" customHeight="1">
      <c r="C904" s="191"/>
    </row>
    <row r="905" ht="15.75" customHeight="1">
      <c r="C905" s="191"/>
    </row>
    <row r="906" ht="15.75" customHeight="1">
      <c r="C906" s="191"/>
    </row>
    <row r="907" ht="15.75" customHeight="1">
      <c r="C907" s="191"/>
    </row>
    <row r="908" ht="15.75" customHeight="1">
      <c r="C908" s="191"/>
    </row>
    <row r="909" ht="15.75" customHeight="1">
      <c r="C909" s="191"/>
    </row>
    <row r="910" ht="15.75" customHeight="1">
      <c r="C910" s="191"/>
    </row>
    <row r="911" ht="15.75" customHeight="1">
      <c r="C911" s="191"/>
    </row>
    <row r="912" ht="15.75" customHeight="1">
      <c r="C912" s="191"/>
    </row>
    <row r="913" ht="15.75" customHeight="1">
      <c r="C913" s="191"/>
    </row>
    <row r="914" ht="15.75" customHeight="1">
      <c r="C914" s="191"/>
    </row>
    <row r="915" ht="15.75" customHeight="1">
      <c r="C915" s="191"/>
    </row>
    <row r="916" ht="15.75" customHeight="1">
      <c r="C916" s="191"/>
    </row>
    <row r="917" ht="15.75" customHeight="1">
      <c r="C917" s="191"/>
    </row>
    <row r="918" ht="15.75" customHeight="1">
      <c r="C918" s="191"/>
    </row>
    <row r="919" ht="15.75" customHeight="1">
      <c r="C919" s="191"/>
    </row>
    <row r="920" ht="15.75" customHeight="1">
      <c r="C920" s="191"/>
    </row>
    <row r="921" ht="15.75" customHeight="1">
      <c r="C921" s="191"/>
    </row>
    <row r="922" ht="15.75" customHeight="1">
      <c r="C922" s="191"/>
    </row>
    <row r="923" ht="15.75" customHeight="1">
      <c r="C923" s="191"/>
    </row>
    <row r="924" ht="15.75" customHeight="1">
      <c r="C924" s="191"/>
    </row>
    <row r="925" ht="15.75" customHeight="1">
      <c r="C925" s="191"/>
    </row>
    <row r="926" ht="15.75" customHeight="1">
      <c r="C926" s="191"/>
    </row>
    <row r="927" ht="15.75" customHeight="1">
      <c r="C927" s="191"/>
    </row>
    <row r="928" ht="15.75" customHeight="1">
      <c r="C928" s="191"/>
    </row>
    <row r="929" ht="15.75" customHeight="1">
      <c r="C929" s="191"/>
    </row>
    <row r="930" ht="15.75" customHeight="1">
      <c r="C930" s="191"/>
    </row>
    <row r="931" ht="15.75" customHeight="1">
      <c r="C931" s="191"/>
    </row>
    <row r="932" ht="15.75" customHeight="1">
      <c r="C932" s="191"/>
    </row>
    <row r="933" ht="15.75" customHeight="1">
      <c r="C933" s="191"/>
    </row>
    <row r="934" ht="15.75" customHeight="1">
      <c r="C934" s="191"/>
    </row>
    <row r="935" ht="15.75" customHeight="1">
      <c r="C935" s="191"/>
    </row>
    <row r="936" ht="15.75" customHeight="1">
      <c r="C936" s="191"/>
    </row>
    <row r="937" ht="15.75" customHeight="1">
      <c r="C937" s="191"/>
    </row>
    <row r="938" ht="15.75" customHeight="1">
      <c r="C938" s="191"/>
    </row>
    <row r="939" ht="15.75" customHeight="1">
      <c r="C939" s="191"/>
    </row>
    <row r="940" ht="15.75" customHeight="1">
      <c r="C940" s="191"/>
    </row>
    <row r="941" ht="15.75" customHeight="1">
      <c r="C941" s="191"/>
    </row>
    <row r="942" ht="15.75" customHeight="1">
      <c r="C942" s="191"/>
    </row>
    <row r="943" ht="15.75" customHeight="1">
      <c r="C943" s="191"/>
    </row>
    <row r="944" ht="15.75" customHeight="1">
      <c r="C944" s="191"/>
    </row>
    <row r="945" ht="15.75" customHeight="1">
      <c r="C945" s="191"/>
    </row>
    <row r="946" ht="15.75" customHeight="1">
      <c r="C946" s="191"/>
    </row>
    <row r="947" ht="15.75" customHeight="1">
      <c r="C947" s="191"/>
    </row>
    <row r="948" ht="15.75" customHeight="1">
      <c r="C948" s="191"/>
    </row>
    <row r="949" ht="15.75" customHeight="1">
      <c r="C949" s="191"/>
    </row>
    <row r="950" ht="15.75" customHeight="1">
      <c r="C950" s="191"/>
    </row>
    <row r="951" ht="15.75" customHeight="1">
      <c r="C951" s="191"/>
    </row>
    <row r="952" ht="15.75" customHeight="1">
      <c r="C952" s="191"/>
    </row>
    <row r="953" ht="15.75" customHeight="1">
      <c r="C953" s="191"/>
    </row>
    <row r="954" ht="15.75" customHeight="1">
      <c r="C954" s="191"/>
    </row>
    <row r="955" ht="15.75" customHeight="1">
      <c r="C955" s="191"/>
    </row>
    <row r="956" ht="15.75" customHeight="1">
      <c r="C956" s="191"/>
    </row>
    <row r="957" ht="15.75" customHeight="1">
      <c r="C957" s="191"/>
    </row>
    <row r="958" ht="15.75" customHeight="1">
      <c r="C958" s="191"/>
    </row>
    <row r="959" ht="15.75" customHeight="1">
      <c r="C959" s="191"/>
    </row>
    <row r="960" ht="15.75" customHeight="1">
      <c r="C960" s="191"/>
    </row>
    <row r="961" ht="15.75" customHeight="1">
      <c r="C961" s="191"/>
    </row>
    <row r="962" ht="15.75" customHeight="1">
      <c r="C962" s="191"/>
    </row>
    <row r="963" ht="15.75" customHeight="1">
      <c r="C963" s="191"/>
    </row>
    <row r="964" ht="15.75" customHeight="1">
      <c r="C964" s="191"/>
    </row>
    <row r="965" ht="15.75" customHeight="1">
      <c r="C965" s="191"/>
    </row>
    <row r="966" ht="15.75" customHeight="1">
      <c r="C966" s="191"/>
    </row>
    <row r="967" ht="15.75" customHeight="1">
      <c r="C967" s="191"/>
    </row>
    <row r="968" ht="15.75" customHeight="1">
      <c r="C968" s="191"/>
    </row>
    <row r="969" ht="15.75" customHeight="1">
      <c r="C969" s="191"/>
    </row>
    <row r="970" ht="15.75" customHeight="1">
      <c r="C970" s="191"/>
    </row>
    <row r="971" ht="15.75" customHeight="1">
      <c r="C971" s="191"/>
    </row>
    <row r="972" ht="15.75" customHeight="1">
      <c r="C972" s="191"/>
    </row>
    <row r="973" ht="15.75" customHeight="1">
      <c r="C973" s="191"/>
    </row>
    <row r="974" ht="15.75" customHeight="1">
      <c r="C974" s="191"/>
    </row>
    <row r="975" ht="15.75" customHeight="1">
      <c r="C975" s="191"/>
    </row>
    <row r="976" ht="15.75" customHeight="1">
      <c r="C976" s="191"/>
    </row>
    <row r="977" ht="15.75" customHeight="1">
      <c r="C977" s="191"/>
    </row>
    <row r="978" ht="15.75" customHeight="1">
      <c r="C978" s="191"/>
    </row>
    <row r="979" ht="15.75" customHeight="1">
      <c r="C979" s="191"/>
    </row>
    <row r="980" ht="15.75" customHeight="1">
      <c r="C980" s="191"/>
    </row>
    <row r="981" ht="15.75" customHeight="1">
      <c r="C981" s="191"/>
    </row>
    <row r="982" ht="15.75" customHeight="1">
      <c r="C982" s="191"/>
    </row>
    <row r="983" ht="15.75" customHeight="1">
      <c r="C983" s="191"/>
    </row>
    <row r="984" ht="15.75" customHeight="1">
      <c r="C984" s="191"/>
    </row>
    <row r="985" ht="15.75" customHeight="1">
      <c r="C985" s="191"/>
    </row>
    <row r="986" ht="15.75" customHeight="1">
      <c r="C986" s="191"/>
    </row>
    <row r="987" ht="15.75" customHeight="1">
      <c r="C987" s="191"/>
    </row>
    <row r="988" ht="15.75" customHeight="1">
      <c r="C988" s="191"/>
    </row>
    <row r="989" ht="15.75" customHeight="1">
      <c r="C989" s="191"/>
    </row>
    <row r="990" ht="15.75" customHeight="1">
      <c r="C990" s="191"/>
    </row>
    <row r="991" ht="15.75" customHeight="1">
      <c r="C991" s="191"/>
    </row>
    <row r="992" ht="15.75" customHeight="1">
      <c r="C992" s="191"/>
    </row>
    <row r="993" ht="15.75" customHeight="1">
      <c r="C993" s="191"/>
    </row>
    <row r="994" ht="15.75" customHeight="1">
      <c r="C994" s="191"/>
    </row>
    <row r="995" ht="15.75" customHeight="1">
      <c r="C995" s="191"/>
    </row>
    <row r="996" ht="15.75" customHeight="1">
      <c r="C996" s="191"/>
    </row>
    <row r="997" ht="15.75" customHeight="1">
      <c r="C997" s="191"/>
    </row>
    <row r="998" ht="15.75" customHeight="1">
      <c r="C998" s="191"/>
    </row>
    <row r="999" ht="15.75" customHeight="1">
      <c r="C999" s="191"/>
    </row>
    <row r="1000" ht="15.75" customHeight="1">
      <c r="C1000" s="191"/>
    </row>
    <row r="1001" ht="15.75" customHeight="1">
      <c r="C1001" s="191"/>
    </row>
    <row r="1002" ht="15.75" customHeight="1">
      <c r="C1002" s="191"/>
    </row>
  </sheetData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3.88"/>
    <col customWidth="1" min="2" max="14" width="9.75"/>
    <col customWidth="1" min="15" max="29" width="19.75"/>
  </cols>
  <sheetData>
    <row r="1" ht="15.75" hidden="1" customHeight="1">
      <c r="A1" s="84" t="s">
        <v>96</v>
      </c>
      <c r="B1" s="85">
        <v>2025.0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</row>
    <row r="2" ht="15.75" customHeight="1">
      <c r="A2" s="84"/>
      <c r="B2" s="85" t="s">
        <v>77</v>
      </c>
      <c r="C2" s="85" t="s">
        <v>78</v>
      </c>
      <c r="D2" s="85" t="s">
        <v>79</v>
      </c>
      <c r="E2" s="85" t="s">
        <v>80</v>
      </c>
      <c r="F2" s="85" t="s">
        <v>81</v>
      </c>
      <c r="G2" s="85" t="s">
        <v>82</v>
      </c>
      <c r="H2" s="85" t="s">
        <v>83</v>
      </c>
      <c r="I2" s="85" t="s">
        <v>84</v>
      </c>
      <c r="J2" s="85" t="s">
        <v>85</v>
      </c>
      <c r="K2" s="85" t="s">
        <v>86</v>
      </c>
      <c r="L2" s="85" t="s">
        <v>87</v>
      </c>
      <c r="M2" s="85" t="s">
        <v>88</v>
      </c>
      <c r="N2" s="85" t="s">
        <v>27</v>
      </c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</row>
    <row r="3" ht="15.75" customHeight="1">
      <c r="A3" s="88" t="s">
        <v>98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90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</row>
    <row r="4" ht="15.75" customHeight="1">
      <c r="A4" s="92"/>
      <c r="B4" s="93">
        <v>1.0</v>
      </c>
      <c r="C4" s="93">
        <v>2.0</v>
      </c>
      <c r="D4" s="93">
        <v>3.0</v>
      </c>
      <c r="E4" s="93">
        <v>4.0</v>
      </c>
      <c r="F4" s="93">
        <v>5.0</v>
      </c>
      <c r="G4" s="93">
        <v>6.0</v>
      </c>
      <c r="H4" s="93">
        <v>7.0</v>
      </c>
      <c r="I4" s="93">
        <v>8.0</v>
      </c>
      <c r="J4" s="93">
        <v>9.0</v>
      </c>
      <c r="K4" s="93">
        <v>10.0</v>
      </c>
      <c r="L4" s="93">
        <v>11.0</v>
      </c>
      <c r="M4" s="93">
        <v>12.0</v>
      </c>
      <c r="N4" s="94" t="s">
        <v>27</v>
      </c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</row>
    <row r="5" ht="15.75" customHeight="1">
      <c r="A5" s="95" t="s">
        <v>28</v>
      </c>
      <c r="B5" s="96" t="str">
        <f>'Monthly cash flow'!B7</f>
        <v/>
      </c>
      <c r="C5" s="96" t="str">
        <f>'Monthly cash flow'!C7</f>
        <v/>
      </c>
      <c r="D5" s="96" t="str">
        <f>'Monthly cash flow'!D7</f>
        <v/>
      </c>
      <c r="E5" s="96" t="str">
        <f>'Monthly cash flow'!E7</f>
        <v/>
      </c>
      <c r="F5" s="96">
        <f>'Receptor by pay'!F5</f>
        <v>0</v>
      </c>
      <c r="G5" s="96">
        <f>'Receptor by pay'!G5</f>
        <v>6419.64</v>
      </c>
      <c r="H5" s="96">
        <f>'Receptor by pay'!H5</f>
        <v>8072.45</v>
      </c>
      <c r="I5" s="96">
        <f>'Receptor by pay'!I5</f>
        <v>8751.41</v>
      </c>
      <c r="J5" s="96">
        <f>'Receptor by pay'!J5</f>
        <v>0</v>
      </c>
      <c r="K5" s="96">
        <f>'Receptor by pay'!K5</f>
        <v>0</v>
      </c>
      <c r="L5" s="96">
        <f>'Receptor by pay'!L5</f>
        <v>0</v>
      </c>
      <c r="M5" s="96">
        <f>'Receptor by pay'!M5</f>
        <v>0</v>
      </c>
      <c r="N5" s="96">
        <f t="shared" ref="N5:N6" si="1">SUM(B5:M5)</f>
        <v>23243.5</v>
      </c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</row>
    <row r="6" ht="15.75" customHeight="1">
      <c r="A6" s="98" t="s">
        <v>38</v>
      </c>
      <c r="B6" s="96" t="str">
        <f>'Monthly cash flow'!B8</f>
        <v/>
      </c>
      <c r="C6" s="96" t="str">
        <f>'Monthly cash flow'!C8</f>
        <v/>
      </c>
      <c r="D6" s="96" t="str">
        <f>'Monthly cash flow'!D8</f>
        <v/>
      </c>
      <c r="E6" s="96" t="str">
        <f>'Monthly cash flow'!E8</f>
        <v/>
      </c>
      <c r="F6" s="96">
        <f>'Receptor by pay'!F6</f>
        <v>2470.5</v>
      </c>
      <c r="G6" s="96">
        <f>'Receptor by pay'!G6</f>
        <v>5610</v>
      </c>
      <c r="H6" s="96">
        <f>'Receptor by pay'!H6</f>
        <v>7634.7</v>
      </c>
      <c r="I6" s="96">
        <f>'Receptor by pay'!I6</f>
        <v>667.25</v>
      </c>
      <c r="J6" s="96">
        <f>'Receptor by pay'!J6</f>
        <v>0</v>
      </c>
      <c r="K6" s="96">
        <f>'Receptor by pay'!K6</f>
        <v>0</v>
      </c>
      <c r="L6" s="96">
        <f>'Receptor by pay'!L6</f>
        <v>0</v>
      </c>
      <c r="M6" s="96">
        <f>'Receptor by pay'!M6</f>
        <v>0</v>
      </c>
      <c r="N6" s="96">
        <f t="shared" si="1"/>
        <v>16382.45</v>
      </c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</row>
    <row r="7" ht="15.75" customHeight="1">
      <c r="A7" s="95" t="s">
        <v>43</v>
      </c>
      <c r="B7" s="96"/>
      <c r="C7" s="96"/>
      <c r="D7" s="96"/>
      <c r="E7" s="96"/>
      <c r="F7" s="96">
        <f>'Receptor by pay'!F7</f>
        <v>4244.358881</v>
      </c>
      <c r="G7" s="96">
        <f>'Receptor by pay'!G7</f>
        <v>7211.42</v>
      </c>
      <c r="H7" s="96">
        <f>'Receptor by pay'!H7</f>
        <v>5127.72</v>
      </c>
      <c r="I7" s="96">
        <f>'Receptor by pay'!I7</f>
        <v>0</v>
      </c>
      <c r="J7" s="96">
        <f>'Receptor by pay'!J7</f>
        <v>0</v>
      </c>
      <c r="K7" s="96">
        <f>'Receptor by pay'!K7</f>
        <v>0</v>
      </c>
      <c r="L7" s="96">
        <f>'Receptor by pay'!L7</f>
        <v>0</v>
      </c>
      <c r="M7" s="96">
        <f>'Receptor by pay'!M7</f>
        <v>0</v>
      </c>
      <c r="N7" s="96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</row>
    <row r="8" ht="15.75" customHeight="1">
      <c r="A8" s="98" t="s">
        <v>49</v>
      </c>
      <c r="B8" s="96" t="str">
        <f>'Monthly cash flow'!B9</f>
        <v/>
      </c>
      <c r="C8" s="96" t="str">
        <f>'Monthly cash flow'!C9</f>
        <v/>
      </c>
      <c r="D8" s="96" t="str">
        <f>'Monthly cash flow'!D9</f>
        <v/>
      </c>
      <c r="E8" s="96" t="str">
        <f>'Monthly cash flow'!E9</f>
        <v/>
      </c>
      <c r="F8" s="96">
        <f>'Receptor by pay'!F8</f>
        <v>0</v>
      </c>
      <c r="G8" s="96">
        <f>'Receptor by pay'!G8</f>
        <v>450</v>
      </c>
      <c r="H8" s="96">
        <f>'Receptor by pay'!H8</f>
        <v>257.76</v>
      </c>
      <c r="I8" s="96">
        <f>'Receptor by pay'!I8</f>
        <v>0</v>
      </c>
      <c r="J8" s="96">
        <f>'Receptor by pay'!J8</f>
        <v>0</v>
      </c>
      <c r="K8" s="96" t="str">
        <f>'Receptor by pay'!K8</f>
        <v/>
      </c>
      <c r="L8" s="96" t="str">
        <f>'Receptor by pay'!L8</f>
        <v/>
      </c>
      <c r="M8" s="96" t="str">
        <f>'Receptor by pay'!M8</f>
        <v/>
      </c>
      <c r="N8" s="96">
        <f t="shared" ref="N8:N14" si="2">SUM(B8:M8)</f>
        <v>707.76</v>
      </c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</row>
    <row r="9" ht="15.75" hidden="1" customHeight="1">
      <c r="A9" s="95" t="s">
        <v>52</v>
      </c>
      <c r="B9" s="96" t="str">
        <f>'Monthly cash flow'!B10</f>
        <v/>
      </c>
      <c r="C9" s="96" t="str">
        <f>'Monthly cash flow'!C10</f>
        <v/>
      </c>
      <c r="D9" s="96" t="str">
        <f>'Monthly cash flow'!D10</f>
        <v/>
      </c>
      <c r="E9" s="96" t="str">
        <f>'Monthly cash flow'!E10</f>
        <v/>
      </c>
      <c r="F9" s="96">
        <f>'Receptor by pay'!F9</f>
        <v>6714.858881</v>
      </c>
      <c r="G9" s="96">
        <f>'Receptor by pay'!G9</f>
        <v>19691.06</v>
      </c>
      <c r="H9" s="96">
        <f>'Receptor by pay'!H9</f>
        <v>21092.63</v>
      </c>
      <c r="I9" s="96">
        <f>'Receptor by pay'!I9</f>
        <v>9418.66</v>
      </c>
      <c r="J9" s="96">
        <f>'Receptor by pay'!J9</f>
        <v>0</v>
      </c>
      <c r="K9" s="96">
        <f>'Receptor by pay'!K9</f>
        <v>0</v>
      </c>
      <c r="L9" s="96">
        <f>'Receptor by pay'!L9</f>
        <v>0</v>
      </c>
      <c r="M9" s="96">
        <f>'Receptor by pay'!M9</f>
        <v>0</v>
      </c>
      <c r="N9" s="96">
        <f t="shared" si="2"/>
        <v>56917.20888</v>
      </c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</row>
    <row r="10" ht="15.75" customHeight="1">
      <c r="A10" s="98" t="s">
        <v>54</v>
      </c>
      <c r="B10" s="96" t="str">
        <f>'Monthly cash flow'!B11</f>
        <v/>
      </c>
      <c r="C10" s="96" t="str">
        <f>'Monthly cash flow'!C11</f>
        <v/>
      </c>
      <c r="D10" s="96" t="str">
        <f>'Monthly cash flow'!D11</f>
        <v/>
      </c>
      <c r="E10" s="96" t="str">
        <f>'Monthly cash flow'!E11</f>
        <v/>
      </c>
      <c r="F10" s="96">
        <f>'Receptor by pay'!F10</f>
        <v>0</v>
      </c>
      <c r="G10" s="96">
        <f>'Receptor by pay'!G10</f>
        <v>32</v>
      </c>
      <c r="H10" s="96">
        <f>'Receptor by pay'!H10</f>
        <v>0</v>
      </c>
      <c r="I10" s="96">
        <f>'Receptor by pay'!I10</f>
        <v>0</v>
      </c>
      <c r="J10" s="96" t="str">
        <f>'Receptor by pay'!J10</f>
        <v/>
      </c>
      <c r="K10" s="96" t="str">
        <f>'Receptor by pay'!K10</f>
        <v/>
      </c>
      <c r="L10" s="96" t="str">
        <f>'Receptor by pay'!L10</f>
        <v/>
      </c>
      <c r="M10" s="96" t="str">
        <f>'Receptor by pay'!M10</f>
        <v/>
      </c>
      <c r="N10" s="96">
        <f t="shared" si="2"/>
        <v>32</v>
      </c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</row>
    <row r="11" ht="15.75" customHeight="1">
      <c r="A11" s="98" t="s">
        <v>55</v>
      </c>
      <c r="B11" s="96" t="str">
        <f>'Monthly cash flow'!B12</f>
        <v/>
      </c>
      <c r="C11" s="96" t="str">
        <f>'Monthly cash flow'!C12</f>
        <v/>
      </c>
      <c r="D11" s="96" t="str">
        <f>'Monthly cash flow'!D12</f>
        <v/>
      </c>
      <c r="E11" s="96" t="str">
        <f>'Monthly cash flow'!E12</f>
        <v/>
      </c>
      <c r="F11" s="96">
        <f>'Receptor by pay'!F11</f>
        <v>0</v>
      </c>
      <c r="G11" s="96">
        <f>'Receptor by pay'!G11</f>
        <v>214.5</v>
      </c>
      <c r="H11" s="96">
        <f>'Receptor by pay'!H11</f>
        <v>220</v>
      </c>
      <c r="I11" s="96">
        <f>'Receptor by pay'!I11</f>
        <v>0</v>
      </c>
      <c r="J11" s="96">
        <f>'Receptor by pay'!J11</f>
        <v>0</v>
      </c>
      <c r="K11" s="96">
        <f>'Receptor by pay'!K11</f>
        <v>0</v>
      </c>
      <c r="L11" s="96">
        <f>'Receptor by pay'!L11</f>
        <v>0</v>
      </c>
      <c r="M11" s="96">
        <f>'Receptor by pay'!M11</f>
        <v>0</v>
      </c>
      <c r="N11" s="96">
        <f t="shared" si="2"/>
        <v>434.5</v>
      </c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</row>
    <row r="12" ht="15.75" customHeight="1">
      <c r="A12" s="98" t="s">
        <v>55</v>
      </c>
      <c r="B12" s="96"/>
      <c r="C12" s="96"/>
      <c r="D12" s="96"/>
      <c r="E12" s="96"/>
      <c r="F12" s="96">
        <f>'Receptor by pay'!F12</f>
        <v>1331</v>
      </c>
      <c r="G12" s="96">
        <f>'Receptor by pay'!G12</f>
        <v>2027</v>
      </c>
      <c r="H12" s="96">
        <f>'Receptor by pay'!H12</f>
        <v>2825</v>
      </c>
      <c r="I12" s="96">
        <f>'Receptor by pay'!I12</f>
        <v>0</v>
      </c>
      <c r="J12" s="96">
        <f>'Receptor by pay'!J12</f>
        <v>0</v>
      </c>
      <c r="K12" s="96">
        <f>'Receptor by pay'!K12</f>
        <v>0</v>
      </c>
      <c r="L12" s="96">
        <f>'Receptor by pay'!L12</f>
        <v>0</v>
      </c>
      <c r="M12" s="96">
        <f>'Receptor by pay'!M12</f>
        <v>82</v>
      </c>
      <c r="N12" s="96">
        <f t="shared" si="2"/>
        <v>6265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</row>
    <row r="13" ht="15.75" hidden="1" customHeight="1">
      <c r="A13" s="95" t="s">
        <v>57</v>
      </c>
      <c r="B13" s="96"/>
      <c r="C13" s="96"/>
      <c r="D13" s="96"/>
      <c r="E13" s="96"/>
      <c r="F13" s="96">
        <f>'Receptor by pay'!F14</f>
        <v>1331</v>
      </c>
      <c r="G13" s="96">
        <f>'Receptor by pay'!G14</f>
        <v>2273.5</v>
      </c>
      <c r="H13" s="96">
        <f>'Receptor by pay'!H14</f>
        <v>3045</v>
      </c>
      <c r="I13" s="96">
        <f>'Receptor by pay'!I14</f>
        <v>0</v>
      </c>
      <c r="J13" s="96">
        <f>'Receptor by pay'!J14</f>
        <v>0</v>
      </c>
      <c r="K13" s="96">
        <f>'Receptor by pay'!K14</f>
        <v>0</v>
      </c>
      <c r="L13" s="96">
        <f>'Receptor by pay'!L14</f>
        <v>0</v>
      </c>
      <c r="M13" s="96">
        <f>'Receptor by pay'!M14</f>
        <v>82</v>
      </c>
      <c r="N13" s="96">
        <f t="shared" si="2"/>
        <v>6731.5</v>
      </c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</row>
    <row r="14" ht="15.75" customHeight="1">
      <c r="A14" s="95" t="s">
        <v>58</v>
      </c>
      <c r="B14" s="96"/>
      <c r="C14" s="96"/>
      <c r="D14" s="96"/>
      <c r="E14" s="96"/>
      <c r="F14" s="96">
        <f>'Receptor by pay'!F16</f>
        <v>260</v>
      </c>
      <c r="G14" s="96">
        <f>'Receptor by pay'!G16</f>
        <v>1094</v>
      </c>
      <c r="H14" s="96">
        <f>'Receptor by pay'!H16</f>
        <v>1156</v>
      </c>
      <c r="I14" s="96">
        <f>'Receptor by pay'!I16</f>
        <v>526</v>
      </c>
      <c r="J14" s="96">
        <f>'Receptor by pay'!J16</f>
        <v>0</v>
      </c>
      <c r="K14" s="96">
        <f>'Receptor by pay'!K16</f>
        <v>0</v>
      </c>
      <c r="L14" s="96">
        <f>'Receptor by pay'!L16</f>
        <v>0</v>
      </c>
      <c r="M14" s="96">
        <f>'Receptor by pay'!M16</f>
        <v>0</v>
      </c>
      <c r="N14" s="96">
        <f t="shared" si="2"/>
        <v>3036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</row>
    <row r="15" ht="15.75" customHeight="1">
      <c r="A15" s="95" t="s">
        <v>59</v>
      </c>
      <c r="B15" s="105">
        <f t="shared" ref="B15:N15" si="3">B9+B13+B14</f>
        <v>0</v>
      </c>
      <c r="C15" s="105">
        <f t="shared" si="3"/>
        <v>0</v>
      </c>
      <c r="D15" s="105">
        <f t="shared" si="3"/>
        <v>0</v>
      </c>
      <c r="E15" s="105">
        <f t="shared" si="3"/>
        <v>0</v>
      </c>
      <c r="F15" s="105">
        <f t="shared" si="3"/>
        <v>8305.858881</v>
      </c>
      <c r="G15" s="105">
        <f t="shared" si="3"/>
        <v>23058.56</v>
      </c>
      <c r="H15" s="105">
        <f t="shared" si="3"/>
        <v>25293.63</v>
      </c>
      <c r="I15" s="105">
        <f t="shared" si="3"/>
        <v>9944.66</v>
      </c>
      <c r="J15" s="105">
        <f t="shared" si="3"/>
        <v>0</v>
      </c>
      <c r="K15" s="105">
        <f t="shared" si="3"/>
        <v>0</v>
      </c>
      <c r="L15" s="105">
        <f t="shared" si="3"/>
        <v>0</v>
      </c>
      <c r="M15" s="105">
        <f t="shared" si="3"/>
        <v>82</v>
      </c>
      <c r="N15" s="105">
        <f t="shared" si="3"/>
        <v>66684.70888</v>
      </c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</row>
    <row r="16" ht="15.75" customHeight="1">
      <c r="A16" s="106" t="s">
        <v>109</v>
      </c>
      <c r="B16" s="107">
        <f>'Analysis OUT by pay'!E239</f>
        <v>0</v>
      </c>
      <c r="C16" s="107">
        <f>'Analysis OUT by pay'!F239</f>
        <v>0</v>
      </c>
      <c r="D16" s="107">
        <f>'Analysis OUT by pay'!G239</f>
        <v>0</v>
      </c>
      <c r="E16" s="107">
        <f>'Analysis OUT by pay'!H239</f>
        <v>0</v>
      </c>
      <c r="F16" s="107">
        <f>'Analysis OUT by pay'!I239</f>
        <v>0</v>
      </c>
      <c r="G16" s="107">
        <f>'Analysis OUT by pay'!J239</f>
        <v>183.66</v>
      </c>
      <c r="H16" s="107">
        <f>'Analysis OUT by pay'!K239</f>
        <v>0</v>
      </c>
      <c r="I16" s="107">
        <f>'Analysis OUT by pay'!L239</f>
        <v>0</v>
      </c>
      <c r="J16" s="107">
        <f>'Analysis OUT by pay'!M239</f>
        <v>0</v>
      </c>
      <c r="K16" s="107">
        <f>'Analysis OUT by pay'!N239</f>
        <v>0</v>
      </c>
      <c r="L16" s="107">
        <f>'Analysis OUT by pay'!O239</f>
        <v>0</v>
      </c>
      <c r="M16" s="107">
        <f>'Analysis OUT by pay'!P239</f>
        <v>0</v>
      </c>
      <c r="N16" s="107" t="str">
        <f>'Analysis OUT by pay'!Q239</f>
        <v/>
      </c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</row>
    <row r="17" ht="15.75" customHeight="1">
      <c r="A17" s="98" t="s">
        <v>111</v>
      </c>
      <c r="B17" s="96" t="str">
        <f>'Monthly cash flow'!B6</f>
        <v/>
      </c>
      <c r="C17" s="96" t="str">
        <f>'Monthly cash flow'!C6</f>
        <v/>
      </c>
      <c r="D17" s="96" t="str">
        <f>'Monthly cash flow'!D6</f>
        <v/>
      </c>
      <c r="E17" s="96" t="str">
        <f>'Monthly cash flow'!E6</f>
        <v/>
      </c>
      <c r="F17" s="96" t="str">
        <f>'Monthly cash flow'!F6</f>
        <v/>
      </c>
      <c r="G17" s="96">
        <f>'Monthly cash flow'!G6</f>
        <v>639.65</v>
      </c>
      <c r="H17" s="96">
        <f>'Monthly cash flow'!H6</f>
        <v>356.4</v>
      </c>
      <c r="I17" s="96" t="str">
        <f>'Monthly cash flow'!I6</f>
        <v/>
      </c>
      <c r="J17" s="96" t="str">
        <f>'Monthly cash flow'!J6</f>
        <v/>
      </c>
      <c r="K17" s="96" t="str">
        <f>'Monthly cash flow'!K6</f>
        <v/>
      </c>
      <c r="L17" s="96" t="str">
        <f>'Monthly cash flow'!L6</f>
        <v/>
      </c>
      <c r="M17" s="96" t="str">
        <f>'Monthly cash flow'!M6</f>
        <v/>
      </c>
      <c r="N17" s="96">
        <f t="shared" ref="N17:N19" si="4">SUM(B17:M17)</f>
        <v>996.05</v>
      </c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</row>
    <row r="18" ht="15.75" customHeight="1">
      <c r="A18" s="98" t="s">
        <v>114</v>
      </c>
      <c r="B18" s="96">
        <f>'Monthly cash flow'!B28+'Monthly cash flow'!B45+'Monthly cash flow'!B61</f>
        <v>0</v>
      </c>
      <c r="C18" s="96">
        <f>'Monthly cash flow'!C28+'Monthly cash flow'!C45+'Monthly cash flow'!C61</f>
        <v>0</v>
      </c>
      <c r="D18" s="96">
        <f>'Monthly cash flow'!D28+'Monthly cash flow'!D45+'Monthly cash flow'!D61</f>
        <v>0</v>
      </c>
      <c r="E18" s="96">
        <f>'Monthly cash flow'!E28+'Monthly cash flow'!E45+'Monthly cash flow'!E61</f>
        <v>0</v>
      </c>
      <c r="F18" s="96">
        <f>'Monthly cash flow'!F28+'Monthly cash flow'!F45+'Monthly cash flow'!F61</f>
        <v>605.5</v>
      </c>
      <c r="G18" s="96">
        <f>'Monthly cash flow'!G28+'Monthly cash flow'!G45+'Monthly cash flow'!G61</f>
        <v>547</v>
      </c>
      <c r="H18" s="96">
        <f>'Monthly cash flow'!H28+'Monthly cash flow'!H45+'Monthly cash flow'!H61</f>
        <v>1014.9</v>
      </c>
      <c r="I18" s="96">
        <f>'Monthly cash flow'!I28+'Monthly cash flow'!I45+'Monthly cash flow'!I61</f>
        <v>0</v>
      </c>
      <c r="J18" s="96">
        <f>'Monthly cash flow'!J28+'Monthly cash flow'!J45+'Monthly cash flow'!J61</f>
        <v>0</v>
      </c>
      <c r="K18" s="96">
        <f>'Monthly cash flow'!K28+'Monthly cash flow'!K45+'Monthly cash flow'!K61</f>
        <v>0</v>
      </c>
      <c r="L18" s="96">
        <f>'Monthly cash flow'!L28+'Monthly cash flow'!L45+'Monthly cash flow'!L61</f>
        <v>0</v>
      </c>
      <c r="M18" s="96">
        <f>'Monthly cash flow'!M28+'Monthly cash flow'!M45+'Monthly cash flow'!M61</f>
        <v>0</v>
      </c>
      <c r="N18" s="96">
        <f t="shared" si="4"/>
        <v>2167.4</v>
      </c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</row>
    <row r="19" ht="15.75" customHeight="1">
      <c r="A19" s="95" t="s">
        <v>115</v>
      </c>
      <c r="B19" s="105">
        <f t="shared" ref="B19:M19" si="5">SUM(B17:B18)</f>
        <v>0</v>
      </c>
      <c r="C19" s="105">
        <f t="shared" si="5"/>
        <v>0</v>
      </c>
      <c r="D19" s="105">
        <f t="shared" si="5"/>
        <v>0</v>
      </c>
      <c r="E19" s="105">
        <f t="shared" si="5"/>
        <v>0</v>
      </c>
      <c r="F19" s="105">
        <f t="shared" si="5"/>
        <v>605.5</v>
      </c>
      <c r="G19" s="105">
        <f t="shared" si="5"/>
        <v>1186.65</v>
      </c>
      <c r="H19" s="105">
        <f t="shared" si="5"/>
        <v>1371.3</v>
      </c>
      <c r="I19" s="105">
        <f t="shared" si="5"/>
        <v>0</v>
      </c>
      <c r="J19" s="105">
        <f t="shared" si="5"/>
        <v>0</v>
      </c>
      <c r="K19" s="105">
        <f t="shared" si="5"/>
        <v>0</v>
      </c>
      <c r="L19" s="105">
        <f t="shared" si="5"/>
        <v>0</v>
      </c>
      <c r="M19" s="105">
        <f t="shared" si="5"/>
        <v>0</v>
      </c>
      <c r="N19" s="105">
        <f t="shared" si="4"/>
        <v>3163.45</v>
      </c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</row>
    <row r="20" ht="15.75" customHeight="1">
      <c r="A20" s="110" t="s">
        <v>116</v>
      </c>
      <c r="B20" s="111">
        <f t="shared" ref="B20:N20" si="6">B15-B16+B19</f>
        <v>0</v>
      </c>
      <c r="C20" s="111">
        <f t="shared" si="6"/>
        <v>0</v>
      </c>
      <c r="D20" s="111">
        <f t="shared" si="6"/>
        <v>0</v>
      </c>
      <c r="E20" s="111">
        <f t="shared" si="6"/>
        <v>0</v>
      </c>
      <c r="F20" s="111">
        <f t="shared" si="6"/>
        <v>8911.358881</v>
      </c>
      <c r="G20" s="111">
        <f t="shared" si="6"/>
        <v>24061.55</v>
      </c>
      <c r="H20" s="111">
        <f t="shared" si="6"/>
        <v>26664.93</v>
      </c>
      <c r="I20" s="111">
        <f t="shared" si="6"/>
        <v>9944.66</v>
      </c>
      <c r="J20" s="111">
        <f t="shared" si="6"/>
        <v>0</v>
      </c>
      <c r="K20" s="111">
        <f t="shared" si="6"/>
        <v>0</v>
      </c>
      <c r="L20" s="111">
        <f t="shared" si="6"/>
        <v>0</v>
      </c>
      <c r="M20" s="111">
        <f t="shared" si="6"/>
        <v>82</v>
      </c>
      <c r="N20" s="111">
        <f t="shared" si="6"/>
        <v>69848.15888</v>
      </c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</row>
    <row r="21" ht="15.75" customHeight="1">
      <c r="A21" s="113" t="s">
        <v>118</v>
      </c>
      <c r="B21" s="114">
        <f>'Final Result'!B20</f>
        <v>0</v>
      </c>
      <c r="C21" s="114">
        <f>'Final Result'!C20</f>
        <v>0</v>
      </c>
      <c r="D21" s="114">
        <f>'Final Result'!D20</f>
        <v>0</v>
      </c>
      <c r="E21" s="114">
        <f>'Final Result'!E20</f>
        <v>0</v>
      </c>
      <c r="F21" s="114">
        <f>'Final Result'!F20</f>
        <v>17723.85888</v>
      </c>
      <c r="G21" s="114">
        <f>'Final Result'!G20</f>
        <v>25400.35</v>
      </c>
      <c r="H21" s="114">
        <f>'Final Result'!H20</f>
        <v>26458.29</v>
      </c>
      <c r="I21" s="114">
        <f>'Final Result'!I20</f>
        <v>0</v>
      </c>
      <c r="J21" s="114">
        <f>'Final Result'!J20</f>
        <v>0</v>
      </c>
      <c r="K21" s="114">
        <f>'Final Result'!K20</f>
        <v>0</v>
      </c>
      <c r="L21" s="114">
        <f>'Final Result'!L20</f>
        <v>0</v>
      </c>
      <c r="M21" s="114">
        <f>'Final Result'!M20</f>
        <v>82</v>
      </c>
      <c r="N21" s="114">
        <f>'Final Result'!N20</f>
        <v>69848.15888</v>
      </c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</row>
    <row r="22" ht="15.75" customHeight="1">
      <c r="A22" s="115" t="s">
        <v>72</v>
      </c>
      <c r="B22" s="116">
        <f t="shared" ref="B22:N22" si="7">B20-B21</f>
        <v>0</v>
      </c>
      <c r="C22" s="116">
        <f t="shared" si="7"/>
        <v>0</v>
      </c>
      <c r="D22" s="116">
        <f t="shared" si="7"/>
        <v>0</v>
      </c>
      <c r="E22" s="116">
        <f t="shared" si="7"/>
        <v>0</v>
      </c>
      <c r="F22" s="116">
        <f t="shared" si="7"/>
        <v>-8812.5</v>
      </c>
      <c r="G22" s="116">
        <f t="shared" si="7"/>
        <v>-1338.8</v>
      </c>
      <c r="H22" s="116">
        <f t="shared" si="7"/>
        <v>206.64</v>
      </c>
      <c r="I22" s="116">
        <f t="shared" si="7"/>
        <v>9944.66</v>
      </c>
      <c r="J22" s="116">
        <f t="shared" si="7"/>
        <v>0</v>
      </c>
      <c r="K22" s="116">
        <f t="shared" si="7"/>
        <v>0</v>
      </c>
      <c r="L22" s="116">
        <f t="shared" si="7"/>
        <v>0</v>
      </c>
      <c r="M22" s="116">
        <f t="shared" si="7"/>
        <v>0</v>
      </c>
      <c r="N22" s="116">
        <f t="shared" si="7"/>
        <v>0</v>
      </c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</row>
    <row r="23" ht="15.75" customHeight="1">
      <c r="A23" s="117"/>
      <c r="B23" s="118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9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</row>
    <row r="24" ht="15.75" customHeight="1">
      <c r="A24" s="120" t="s">
        <v>120</v>
      </c>
      <c r="B24" s="121">
        <f>'Analysis OUT by pay'!E137</f>
        <v>1550.8</v>
      </c>
      <c r="C24" s="121">
        <f>'Analysis OUT by pay'!F137</f>
        <v>942.43</v>
      </c>
      <c r="D24" s="121">
        <f>'Analysis OUT by pay'!G137</f>
        <v>825.3</v>
      </c>
      <c r="E24" s="121">
        <f>'Analysis OUT by pay'!H137</f>
        <v>2259.88</v>
      </c>
      <c r="F24" s="121">
        <f>'Analysis OUT by pay'!I137</f>
        <v>5285.08</v>
      </c>
      <c r="G24" s="121">
        <f>'Analysis OUT by pay'!J137</f>
        <v>13305.5</v>
      </c>
      <c r="H24" s="121">
        <f>'Analysis OUT by pay'!K137</f>
        <v>14550</v>
      </c>
      <c r="I24" s="121">
        <f>'Analysis OUT by pay'!L137</f>
        <v>2410.8</v>
      </c>
      <c r="J24" s="121">
        <f>'Analysis OUT by pay'!M137</f>
        <v>0</v>
      </c>
      <c r="K24" s="121">
        <f>'Analysis OUT by pay'!N137</f>
        <v>0</v>
      </c>
      <c r="L24" s="121">
        <f>'Analysis OUT by pay'!O137</f>
        <v>0</v>
      </c>
      <c r="M24" s="121">
        <f>'Analysis OUT by pay'!P137</f>
        <v>0</v>
      </c>
      <c r="N24" s="121">
        <f t="shared" ref="N24:N25" si="8">SUM(B24:M24)</f>
        <v>41129.79</v>
      </c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</row>
    <row r="25" ht="24.0" customHeight="1">
      <c r="A25" s="122" t="s">
        <v>123</v>
      </c>
      <c r="B25" s="121">
        <f>'Analysis OUT by pay'!E221+'Analysis OUT by pay'!E219+'Analysis OUT by pay'!E215+'Analysis OUT by pay'!E198+'Analysis OUT by pay'!E187+'Analysis OUT by pay'!E178+'Analysis OUT by pay'!E176+'Analysis OUT by pay'!E174+'Analysis OUT by pay'!E167+'Analysis OUT by pay'!E162+'Analysis OUT by pay'!E157+'Analysis OUT by pay'!E144</f>
        <v>0</v>
      </c>
      <c r="C25" s="121">
        <f>'Analysis OUT by pay'!F221+'Analysis OUT by pay'!F219+'Analysis OUT by pay'!F215+'Analysis OUT by pay'!F198+'Analysis OUT by pay'!F187+'Analysis OUT by pay'!F178+'Analysis OUT by pay'!F176+'Analysis OUT by pay'!F174+'Analysis OUT by pay'!F167+'Analysis OUT by pay'!F162+'Analysis OUT by pay'!F157+'Analysis OUT by pay'!F144</f>
        <v>0</v>
      </c>
      <c r="D25" s="121">
        <f>'Analysis OUT by pay'!G221+'Analysis OUT by pay'!G219+'Analysis OUT by pay'!G215+'Analysis OUT by pay'!G198+'Analysis OUT by pay'!G187+'Analysis OUT by pay'!G178+'Analysis OUT by pay'!G176+'Analysis OUT by pay'!G174+'Analysis OUT by pay'!G167+'Analysis OUT by pay'!G162+'Analysis OUT by pay'!G157+'Analysis OUT by pay'!G144</f>
        <v>0</v>
      </c>
      <c r="E25" s="121">
        <f>'Analysis OUT by pay'!H221+'Analysis OUT by pay'!H219+'Analysis OUT by pay'!H215+'Analysis OUT by pay'!H198+'Analysis OUT by pay'!H187+'Analysis OUT by pay'!H178+'Analysis OUT by pay'!H176+'Analysis OUT by pay'!H174+'Analysis OUT by pay'!H167+'Analysis OUT by pay'!H162+'Analysis OUT by pay'!H157+'Analysis OUT by pay'!H144</f>
        <v>206.89</v>
      </c>
      <c r="F25" s="121">
        <f>'Analysis OUT by pay'!I221+'Analysis OUT by pay'!I219+'Analysis OUT by pay'!I215+'Analysis OUT by pay'!I198+'Analysis OUT by pay'!I187+'Analysis OUT by pay'!I178+'Analysis OUT by pay'!I176+'Analysis OUT by pay'!I174+'Analysis OUT by pay'!I167+'Analysis OUT by pay'!I162+'Analysis OUT by pay'!I157+'Analysis OUT by pay'!I144</f>
        <v>513.94</v>
      </c>
      <c r="G25" s="121">
        <f>'Analysis OUT by pay'!J221+'Analysis OUT by pay'!J219+'Analysis OUT by pay'!J215+'Analysis OUT by pay'!J198+'Analysis OUT by pay'!J187+'Analysis OUT by pay'!J178+'Analysis OUT by pay'!J176+'Analysis OUT by pay'!J174+'Analysis OUT by pay'!J167+'Analysis OUT by pay'!J162+'Analysis OUT by pay'!J157+'Analysis OUT by pay'!J144</f>
        <v>179.47</v>
      </c>
      <c r="H25" s="121">
        <f>'Analysis OUT by pay'!K221+'Analysis OUT by pay'!K219+'Analysis OUT by pay'!K215+'Analysis OUT by pay'!K198+'Analysis OUT by pay'!K187+'Analysis OUT by pay'!K178+'Analysis OUT by pay'!K176+'Analysis OUT by pay'!K174+'Analysis OUT by pay'!K167+'Analysis OUT by pay'!K162+'Analysis OUT by pay'!K157+'Analysis OUT by pay'!K144</f>
        <v>260.97</v>
      </c>
      <c r="I25" s="121">
        <f>'Analysis OUT by pay'!L221+'Analysis OUT by pay'!L219+'Analysis OUT by pay'!L215+'Analysis OUT by pay'!L198+'Analysis OUT by pay'!L187+'Analysis OUT by pay'!L178+'Analysis OUT by pay'!L176+'Analysis OUT by pay'!L174+'Analysis OUT by pay'!L167+'Analysis OUT by pay'!L162+'Analysis OUT by pay'!L157+'Analysis OUT by pay'!L144</f>
        <v>0</v>
      </c>
      <c r="J25" s="121">
        <f>'Analysis OUT by pay'!M221+'Analysis OUT by pay'!M219+'Analysis OUT by pay'!M215+'Analysis OUT by pay'!M198+'Analysis OUT by pay'!M187+'Analysis OUT by pay'!M178+'Analysis OUT by pay'!M176+'Analysis OUT by pay'!M174+'Analysis OUT by pay'!M167+'Analysis OUT by pay'!M162+'Analysis OUT by pay'!M157+'Analysis OUT by pay'!M144</f>
        <v>0</v>
      </c>
      <c r="K25" s="121">
        <f>'Analysis OUT by pay'!N221+'Analysis OUT by pay'!N219+'Analysis OUT by pay'!N215+'Analysis OUT by pay'!N198+'Analysis OUT by pay'!N187+'Analysis OUT by pay'!N178+'Analysis OUT by pay'!N176+'Analysis OUT by pay'!N174+'Analysis OUT by pay'!N167+'Analysis OUT by pay'!N162+'Analysis OUT by pay'!N157+'Analysis OUT by pay'!N144</f>
        <v>0</v>
      </c>
      <c r="L25" s="121">
        <f>'Analysis OUT by pay'!O221+'Analysis OUT by pay'!O219+'Analysis OUT by pay'!O215+'Analysis OUT by pay'!O198+'Analysis OUT by pay'!O187+'Analysis OUT by pay'!O178+'Analysis OUT by pay'!O176+'Analysis OUT by pay'!O174+'Analysis OUT by pay'!O167+'Analysis OUT by pay'!O162+'Analysis OUT by pay'!O157+'Analysis OUT by pay'!O144</f>
        <v>0</v>
      </c>
      <c r="M25" s="121">
        <f>'Analysis OUT by pay'!P221+'Analysis OUT by pay'!P219+'Analysis OUT by pay'!P215+'Analysis OUT by pay'!P198+'Analysis OUT by pay'!P187+'Analysis OUT by pay'!P178+'Analysis OUT by pay'!P176+'Analysis OUT by pay'!P174+'Analysis OUT by pay'!P167+'Analysis OUT by pay'!P162+'Analysis OUT by pay'!P157+'Analysis OUT by pay'!P144</f>
        <v>0</v>
      </c>
      <c r="N25" s="121">
        <f t="shared" si="8"/>
        <v>1161.27</v>
      </c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</row>
    <row r="26" ht="15.75" customHeight="1">
      <c r="A26" s="123"/>
      <c r="B26" s="124"/>
      <c r="C26" s="124"/>
      <c r="D26" s="124"/>
      <c r="E26" s="124"/>
      <c r="F26" s="125"/>
      <c r="G26" s="125"/>
      <c r="H26" s="124"/>
      <c r="I26" s="124"/>
      <c r="J26" s="124"/>
      <c r="K26" s="124"/>
      <c r="L26" s="124"/>
      <c r="M26" s="124"/>
      <c r="N26" s="126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  <c r="AA26" s="127"/>
      <c r="AB26" s="127"/>
      <c r="AC26" s="127"/>
    </row>
    <row r="27" ht="15.75" customHeight="1">
      <c r="A27" s="128" t="s">
        <v>127</v>
      </c>
      <c r="B27" s="129">
        <f t="shared" ref="B27:M27" si="9">B20-B24-B25</f>
        <v>-1550.8</v>
      </c>
      <c r="C27" s="129">
        <f t="shared" si="9"/>
        <v>-942.43</v>
      </c>
      <c r="D27" s="129">
        <f t="shared" si="9"/>
        <v>-825.3</v>
      </c>
      <c r="E27" s="129">
        <f t="shared" si="9"/>
        <v>-2466.77</v>
      </c>
      <c r="F27" s="129">
        <f t="shared" si="9"/>
        <v>3112.338881</v>
      </c>
      <c r="G27" s="129">
        <f t="shared" si="9"/>
        <v>10576.58</v>
      </c>
      <c r="H27" s="129">
        <f t="shared" si="9"/>
        <v>11853.96</v>
      </c>
      <c r="I27" s="129">
        <f t="shared" si="9"/>
        <v>7533.86</v>
      </c>
      <c r="J27" s="129">
        <f t="shared" si="9"/>
        <v>0</v>
      </c>
      <c r="K27" s="129">
        <f t="shared" si="9"/>
        <v>0</v>
      </c>
      <c r="L27" s="129">
        <f t="shared" si="9"/>
        <v>0</v>
      </c>
      <c r="M27" s="129">
        <f t="shared" si="9"/>
        <v>82</v>
      </c>
      <c r="N27" s="105">
        <f>SUM(B27:M27)</f>
        <v>27373.43888</v>
      </c>
      <c r="O27" s="130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</row>
    <row r="28" ht="15.75" customHeight="1">
      <c r="A28" s="131" t="s">
        <v>128</v>
      </c>
      <c r="B28" s="114">
        <f>'Final Result'!B25</f>
        <v>-2003.85</v>
      </c>
      <c r="C28" s="114">
        <f>'Final Result'!C25</f>
        <v>-780.18</v>
      </c>
      <c r="D28" s="114">
        <f>'Final Result'!D25</f>
        <v>-1059.03</v>
      </c>
      <c r="E28" s="114">
        <f>'Final Result'!E25</f>
        <v>-2068.23</v>
      </c>
      <c r="F28" s="114">
        <f>'Final Result'!F25</f>
        <v>7446.448881</v>
      </c>
      <c r="G28" s="114">
        <f>'Final Result'!G25</f>
        <v>10774.99</v>
      </c>
      <c r="H28" s="114">
        <f>'Final Result'!H25</f>
        <v>15280.44</v>
      </c>
      <c r="I28" s="114">
        <f>'Final Result'!I25</f>
        <v>0</v>
      </c>
      <c r="J28" s="114">
        <f>'Final Result'!J25</f>
        <v>0</v>
      </c>
      <c r="K28" s="114">
        <f>'Final Result'!K25</f>
        <v>0</v>
      </c>
      <c r="L28" s="114">
        <f>'Final Result'!L25</f>
        <v>0</v>
      </c>
      <c r="M28" s="114">
        <f>'Final Result'!M25</f>
        <v>82</v>
      </c>
      <c r="N28" s="114">
        <f>'Final Result'!N25</f>
        <v>27672.58888</v>
      </c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</row>
    <row r="29" ht="15.75" customHeight="1">
      <c r="A29" s="132" t="s">
        <v>72</v>
      </c>
      <c r="B29" s="116">
        <f t="shared" ref="B29:N29" si="10">B27-B28</f>
        <v>453.05</v>
      </c>
      <c r="C29" s="116">
        <f t="shared" si="10"/>
        <v>-162.25</v>
      </c>
      <c r="D29" s="116">
        <f t="shared" si="10"/>
        <v>233.73</v>
      </c>
      <c r="E29" s="116">
        <f t="shared" si="10"/>
        <v>-398.54</v>
      </c>
      <c r="F29" s="116">
        <f t="shared" si="10"/>
        <v>-4334.11</v>
      </c>
      <c r="G29" s="116">
        <f t="shared" si="10"/>
        <v>-198.41</v>
      </c>
      <c r="H29" s="116">
        <f t="shared" si="10"/>
        <v>-3426.48</v>
      </c>
      <c r="I29" s="116">
        <f t="shared" si="10"/>
        <v>7533.86</v>
      </c>
      <c r="J29" s="116">
        <f t="shared" si="10"/>
        <v>0</v>
      </c>
      <c r="K29" s="116">
        <f t="shared" si="10"/>
        <v>0</v>
      </c>
      <c r="L29" s="116">
        <f t="shared" si="10"/>
        <v>0</v>
      </c>
      <c r="M29" s="116">
        <f t="shared" si="10"/>
        <v>0</v>
      </c>
      <c r="N29" s="116">
        <f t="shared" si="10"/>
        <v>-299.15</v>
      </c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  <c r="AA29" s="127"/>
      <c r="AB29" s="127"/>
      <c r="AC29" s="127"/>
    </row>
    <row r="30" ht="15.75" customHeight="1">
      <c r="A30" s="123"/>
      <c r="B30" s="124"/>
      <c r="C30" s="124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6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  <c r="AA30" s="127"/>
      <c r="AB30" s="127"/>
      <c r="AC30" s="127"/>
    </row>
    <row r="31" ht="15.75" customHeight="1">
      <c r="A31" s="98" t="s">
        <v>131</v>
      </c>
      <c r="B31" s="133">
        <f>'Analysis OUT by pay'!E229</f>
        <v>1771.23</v>
      </c>
      <c r="C31" s="133">
        <f>'Analysis OUT by pay'!F229</f>
        <v>16391.4</v>
      </c>
      <c r="D31" s="133">
        <f>'Analysis OUT by pay'!G229</f>
        <v>3855.94</v>
      </c>
      <c r="E31" s="133">
        <f>'Analysis OUT by pay'!H229</f>
        <v>939.7</v>
      </c>
      <c r="F31" s="133">
        <f>'Analysis OUT by pay'!I229</f>
        <v>2243.34</v>
      </c>
      <c r="G31" s="133">
        <f>'Analysis OUT by pay'!J229</f>
        <v>5608.1</v>
      </c>
      <c r="H31" s="133">
        <f>'Analysis OUT by pay'!K229</f>
        <v>3950.45</v>
      </c>
      <c r="I31" s="133">
        <f>'Analysis OUT by pay'!L229</f>
        <v>0</v>
      </c>
      <c r="J31" s="133">
        <f>'Analysis OUT by pay'!M229</f>
        <v>0</v>
      </c>
      <c r="K31" s="133">
        <f>'Analysis OUT by pay'!N229</f>
        <v>0</v>
      </c>
      <c r="L31" s="133">
        <f>'Analysis OUT by pay'!O229</f>
        <v>0</v>
      </c>
      <c r="M31" s="133">
        <f>'Analysis OUT by pay'!P229</f>
        <v>0</v>
      </c>
      <c r="N31" s="133">
        <f>SUM(B31:M31)</f>
        <v>34760.16</v>
      </c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</row>
    <row r="32" ht="13.5" customHeight="1">
      <c r="A32" s="134" t="s">
        <v>133</v>
      </c>
      <c r="B32" s="135">
        <f t="shared" ref="B32:N32" si="11">B27-B31</f>
        <v>-3322.03</v>
      </c>
      <c r="C32" s="135">
        <f t="shared" si="11"/>
        <v>-17333.83</v>
      </c>
      <c r="D32" s="135">
        <f t="shared" si="11"/>
        <v>-4681.24</v>
      </c>
      <c r="E32" s="135">
        <f t="shared" si="11"/>
        <v>-3406.47</v>
      </c>
      <c r="F32" s="135">
        <f t="shared" si="11"/>
        <v>868.9988812</v>
      </c>
      <c r="G32" s="135">
        <f t="shared" si="11"/>
        <v>4968.48</v>
      </c>
      <c r="H32" s="135">
        <f t="shared" si="11"/>
        <v>7903.51</v>
      </c>
      <c r="I32" s="135">
        <f t="shared" si="11"/>
        <v>7533.86</v>
      </c>
      <c r="J32" s="135">
        <f t="shared" si="11"/>
        <v>0</v>
      </c>
      <c r="K32" s="135">
        <f t="shared" si="11"/>
        <v>0</v>
      </c>
      <c r="L32" s="135">
        <f t="shared" si="11"/>
        <v>0</v>
      </c>
      <c r="M32" s="135">
        <f t="shared" si="11"/>
        <v>82</v>
      </c>
      <c r="N32" s="135">
        <f t="shared" si="11"/>
        <v>-7386.721119</v>
      </c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  <c r="AA32" s="127"/>
      <c r="AB32" s="127"/>
      <c r="AC32" s="127"/>
    </row>
    <row r="33" ht="15.75" customHeight="1">
      <c r="A33" s="114"/>
      <c r="B33" s="114"/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36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</row>
    <row r="34" ht="15.75" customHeight="1">
      <c r="A34" s="98" t="s">
        <v>135</v>
      </c>
      <c r="B34" s="133">
        <f>'Analysis OUT by pay'!E208</f>
        <v>7290.9</v>
      </c>
      <c r="C34" s="133">
        <f>'Analysis OUT by pay'!F208</f>
        <v>29492.94</v>
      </c>
      <c r="D34" s="133">
        <f>'Analysis OUT by pay'!G208</f>
        <v>10287.06</v>
      </c>
      <c r="E34" s="133">
        <f>'Analysis OUT by pay'!H208</f>
        <v>11176.86</v>
      </c>
      <c r="F34" s="133">
        <f>'Analysis OUT by pay'!I208</f>
        <v>7458.32</v>
      </c>
      <c r="G34" s="133">
        <f>'Analysis OUT by pay'!J208</f>
        <v>5892.24</v>
      </c>
      <c r="H34" s="133">
        <f>'Analysis OUT by pay'!K208</f>
        <v>1902.3</v>
      </c>
      <c r="I34" s="133">
        <f>'Analysis OUT by pay'!L208</f>
        <v>3180</v>
      </c>
      <c r="J34" s="133">
        <f>'Analysis OUT by pay'!M208</f>
        <v>0</v>
      </c>
      <c r="K34" s="133">
        <f>'Analysis OUT by pay'!N208</f>
        <v>0</v>
      </c>
      <c r="L34" s="133">
        <f>'Analysis OUT by pay'!O208</f>
        <v>0</v>
      </c>
      <c r="M34" s="133">
        <f>'Analysis OUT by pay'!P208</f>
        <v>0</v>
      </c>
      <c r="N34" s="133">
        <f>SUM(B34:M34)</f>
        <v>76680.62</v>
      </c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</row>
    <row r="35" ht="15.75" customHeight="1">
      <c r="A35" s="98" t="s">
        <v>137</v>
      </c>
      <c r="B35" s="133">
        <f>'Analysis OUT by pay'!E212</f>
        <v>0</v>
      </c>
      <c r="C35" s="133">
        <f>'Analysis OUT by pay'!F212</f>
        <v>0</v>
      </c>
      <c r="D35" s="133">
        <f>'Analysis OUT by pay'!G212</f>
        <v>0</v>
      </c>
      <c r="E35" s="133">
        <f>'Analysis OUT by pay'!H212</f>
        <v>0</v>
      </c>
      <c r="F35" s="133">
        <f>'Analysis OUT by pay'!I212</f>
        <v>0</v>
      </c>
      <c r="G35" s="133">
        <f>'Analysis OUT by pay'!J212</f>
        <v>0</v>
      </c>
      <c r="H35" s="133">
        <f>'Analysis OUT by pay'!K212</f>
        <v>0</v>
      </c>
      <c r="I35" s="133">
        <f>'Analysis OUT by pay'!L212</f>
        <v>0</v>
      </c>
      <c r="J35" s="133">
        <f>'Analysis OUT by pay'!M212</f>
        <v>0</v>
      </c>
      <c r="K35" s="133">
        <f>'Analysis OUT by pay'!N212</f>
        <v>0</v>
      </c>
      <c r="L35" s="133">
        <f>'Analysis OUT by pay'!O212</f>
        <v>0</v>
      </c>
      <c r="M35" s="133">
        <f>'Analysis OUT by pay'!P212</f>
        <v>0</v>
      </c>
      <c r="N35" s="133" t="str">
        <f>'Analysis OUT by pay'!Q212</f>
        <v/>
      </c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</row>
    <row r="36" ht="15.0" customHeight="1">
      <c r="A36" s="134" t="s">
        <v>139</v>
      </c>
      <c r="B36" s="135">
        <f t="shared" ref="B36:N36" si="12">B32-B34-B35</f>
        <v>-10612.93</v>
      </c>
      <c r="C36" s="135">
        <f t="shared" si="12"/>
        <v>-46826.77</v>
      </c>
      <c r="D36" s="135">
        <f t="shared" si="12"/>
        <v>-14968.3</v>
      </c>
      <c r="E36" s="135">
        <f t="shared" si="12"/>
        <v>-14583.33</v>
      </c>
      <c r="F36" s="135">
        <f t="shared" si="12"/>
        <v>-6589.321119</v>
      </c>
      <c r="G36" s="135">
        <f t="shared" si="12"/>
        <v>-923.76</v>
      </c>
      <c r="H36" s="135">
        <f t="shared" si="12"/>
        <v>6001.21</v>
      </c>
      <c r="I36" s="135">
        <f t="shared" si="12"/>
        <v>4353.86</v>
      </c>
      <c r="J36" s="135">
        <f t="shared" si="12"/>
        <v>0</v>
      </c>
      <c r="K36" s="135">
        <f t="shared" si="12"/>
        <v>0</v>
      </c>
      <c r="L36" s="135">
        <f t="shared" si="12"/>
        <v>0</v>
      </c>
      <c r="M36" s="135">
        <f t="shared" si="12"/>
        <v>82</v>
      </c>
      <c r="N36" s="135">
        <f t="shared" si="12"/>
        <v>-84067.34112</v>
      </c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  <c r="AA36" s="127"/>
      <c r="AB36" s="127"/>
      <c r="AC36" s="127"/>
    </row>
    <row r="37" ht="15.75" customHeight="1">
      <c r="A37" s="124"/>
      <c r="B37" s="124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</row>
    <row r="38" ht="15.75" customHeight="1">
      <c r="A38" s="137" t="s">
        <v>128</v>
      </c>
      <c r="B38" s="114">
        <f>'Final Result'!B32</f>
        <v>-15345.98</v>
      </c>
      <c r="C38" s="114">
        <f>'Final Result'!C32</f>
        <v>-42384.52</v>
      </c>
      <c r="D38" s="114">
        <f>'Final Result'!D32</f>
        <v>-15202.03</v>
      </c>
      <c r="E38" s="114">
        <f>'Final Result'!E32</f>
        <v>-15334.79</v>
      </c>
      <c r="F38" s="114">
        <f>'Final Result'!F32</f>
        <v>-2255.211119</v>
      </c>
      <c r="G38" s="114">
        <f>'Final Result'!G32</f>
        <v>424.65</v>
      </c>
      <c r="H38" s="114">
        <f>'Final Result'!H32</f>
        <v>10577.69</v>
      </c>
      <c r="I38" s="114">
        <f>'Final Result'!I32</f>
        <v>-4330</v>
      </c>
      <c r="J38" s="114">
        <f>'Final Result'!J32</f>
        <v>0</v>
      </c>
      <c r="K38" s="114">
        <f>'Final Result'!K32</f>
        <v>0</v>
      </c>
      <c r="L38" s="114">
        <f>'Final Result'!L32</f>
        <v>0</v>
      </c>
      <c r="M38" s="114">
        <f>'Final Result'!M32</f>
        <v>82</v>
      </c>
      <c r="N38" s="114">
        <f>'Final Result'!N32</f>
        <v>-83768.19112</v>
      </c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  <c r="AA38" s="130"/>
      <c r="AB38" s="130"/>
      <c r="AC38" s="130"/>
    </row>
    <row r="39" ht="15.75" customHeight="1">
      <c r="A39" s="138" t="s">
        <v>72</v>
      </c>
      <c r="B39" s="116">
        <f t="shared" ref="B39:N39" si="13">B36-B38</f>
        <v>4733.05</v>
      </c>
      <c r="C39" s="116">
        <f t="shared" si="13"/>
        <v>-4442.25</v>
      </c>
      <c r="D39" s="116">
        <f t="shared" si="13"/>
        <v>233.73</v>
      </c>
      <c r="E39" s="116">
        <f t="shared" si="13"/>
        <v>751.46</v>
      </c>
      <c r="F39" s="116">
        <f t="shared" si="13"/>
        <v>-4334.11</v>
      </c>
      <c r="G39" s="116">
        <f t="shared" si="13"/>
        <v>-1348.41</v>
      </c>
      <c r="H39" s="116">
        <f t="shared" si="13"/>
        <v>-4576.48</v>
      </c>
      <c r="I39" s="116">
        <f t="shared" si="13"/>
        <v>8683.86</v>
      </c>
      <c r="J39" s="116">
        <f t="shared" si="13"/>
        <v>0</v>
      </c>
      <c r="K39" s="116">
        <f t="shared" si="13"/>
        <v>0</v>
      </c>
      <c r="L39" s="116">
        <f t="shared" si="13"/>
        <v>0</v>
      </c>
      <c r="M39" s="116">
        <f t="shared" si="13"/>
        <v>0</v>
      </c>
      <c r="N39" s="116">
        <f t="shared" si="13"/>
        <v>-299.15</v>
      </c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130"/>
      <c r="Z39" s="130"/>
      <c r="AA39" s="130"/>
      <c r="AB39" s="130"/>
      <c r="AC39" s="130"/>
    </row>
    <row r="40" ht="15.75" customHeight="1">
      <c r="A40" s="124"/>
      <c r="B40" s="124"/>
      <c r="C40" s="124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139">
        <v>299.15</v>
      </c>
      <c r="O40" s="139" t="s">
        <v>142</v>
      </c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  <c r="AA40" s="130"/>
      <c r="AB40" s="130"/>
      <c r="AC40" s="130"/>
    </row>
    <row r="41" ht="15.75" customHeight="1">
      <c r="A41" s="124"/>
      <c r="B41" s="124"/>
      <c r="C41" s="124"/>
      <c r="D41" s="124"/>
      <c r="E41" s="124"/>
      <c r="F41" s="124"/>
      <c r="G41" s="124"/>
      <c r="H41" s="124"/>
      <c r="I41" s="124"/>
      <c r="J41" s="124"/>
      <c r="K41" s="124"/>
      <c r="L41" s="124"/>
      <c r="M41" s="124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130"/>
      <c r="AB41" s="130"/>
      <c r="AC41" s="130"/>
    </row>
    <row r="42" ht="15.75" customHeight="1">
      <c r="A42" s="124"/>
      <c r="B42" s="124"/>
      <c r="C42" s="124"/>
      <c r="D42" s="124"/>
      <c r="E42" s="124"/>
      <c r="F42" s="124"/>
      <c r="G42" s="124"/>
      <c r="H42" s="124"/>
      <c r="I42" s="124"/>
      <c r="J42" s="124"/>
      <c r="K42" s="124"/>
      <c r="L42" s="124"/>
      <c r="M42" s="124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  <c r="AA42" s="130"/>
      <c r="AB42" s="130"/>
      <c r="AC42" s="130"/>
    </row>
    <row r="43" ht="15.75" customHeight="1">
      <c r="A43" s="124"/>
      <c r="B43" s="124"/>
      <c r="C43" s="124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</row>
    <row r="44" ht="15.75" customHeight="1">
      <c r="A44" s="124"/>
      <c r="B44" s="124"/>
      <c r="C44" s="124"/>
      <c r="D44" s="124"/>
      <c r="E44" s="124"/>
      <c r="F44" s="124"/>
      <c r="G44" s="124"/>
      <c r="H44" s="124"/>
      <c r="I44" s="124"/>
      <c r="J44" s="124"/>
      <c r="K44" s="124"/>
      <c r="L44" s="124"/>
      <c r="M44" s="124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  <c r="Y44" s="130"/>
      <c r="Z44" s="130"/>
      <c r="AA44" s="130"/>
      <c r="AB44" s="130"/>
      <c r="AC44" s="130"/>
    </row>
    <row r="45" ht="15.75" customHeight="1">
      <c r="A45" s="124"/>
      <c r="B45" s="124"/>
      <c r="C45" s="124"/>
      <c r="D45" s="124"/>
      <c r="E45" s="124"/>
      <c r="F45" s="124"/>
      <c r="G45" s="124"/>
      <c r="H45" s="124"/>
      <c r="I45" s="124"/>
      <c r="J45" s="124"/>
      <c r="K45" s="124"/>
      <c r="L45" s="124"/>
      <c r="M45" s="124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30"/>
      <c r="AC45" s="130"/>
    </row>
    <row r="46" ht="15.75" customHeight="1">
      <c r="A46" s="124"/>
      <c r="B46" s="124"/>
      <c r="C46" s="124"/>
      <c r="D46" s="124"/>
      <c r="E46" s="124"/>
      <c r="F46" s="124"/>
      <c r="G46" s="124"/>
      <c r="H46" s="124"/>
      <c r="I46" s="124"/>
      <c r="J46" s="124"/>
      <c r="K46" s="124"/>
      <c r="L46" s="124"/>
      <c r="M46" s="124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  <c r="AA46" s="130"/>
      <c r="AB46" s="130"/>
      <c r="AC46" s="130"/>
    </row>
    <row r="47" ht="15.75" customHeight="1">
      <c r="A47" s="124"/>
      <c r="B47" s="124"/>
      <c r="C47" s="124"/>
      <c r="D47" s="124"/>
      <c r="E47" s="124"/>
      <c r="F47" s="124"/>
      <c r="G47" s="124"/>
      <c r="H47" s="124"/>
      <c r="I47" s="124"/>
      <c r="J47" s="124"/>
      <c r="K47" s="124"/>
      <c r="L47" s="124"/>
      <c r="M47" s="124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A47" s="130"/>
      <c r="AB47" s="130"/>
      <c r="AC47" s="130"/>
    </row>
    <row r="48" ht="15.75" customHeight="1">
      <c r="A48" s="124"/>
      <c r="B48" s="124"/>
      <c r="C48" s="124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  <c r="AA48" s="130"/>
      <c r="AB48" s="130"/>
      <c r="AC48" s="130"/>
    </row>
    <row r="49" ht="15.75" customHeight="1">
      <c r="A49" s="124"/>
      <c r="B49" s="124"/>
      <c r="C49" s="124"/>
      <c r="D49" s="124"/>
      <c r="E49" s="124"/>
      <c r="F49" s="124"/>
      <c r="G49" s="124"/>
      <c r="H49" s="124"/>
      <c r="I49" s="124"/>
      <c r="J49" s="124"/>
      <c r="K49" s="124"/>
      <c r="L49" s="124"/>
      <c r="M49" s="124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  <c r="Z49" s="130"/>
      <c r="AA49" s="130"/>
      <c r="AB49" s="130"/>
      <c r="AC49" s="130"/>
    </row>
    <row r="50" ht="15.75" customHeight="1">
      <c r="A50" s="124"/>
      <c r="B50" s="124"/>
      <c r="C50" s="124"/>
      <c r="D50" s="124"/>
      <c r="E50" s="124"/>
      <c r="F50" s="124"/>
      <c r="G50" s="124"/>
      <c r="H50" s="124"/>
      <c r="I50" s="124"/>
      <c r="J50" s="124"/>
      <c r="K50" s="124"/>
      <c r="L50" s="124"/>
      <c r="M50" s="124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  <c r="AA50" s="130"/>
      <c r="AB50" s="130"/>
      <c r="AC50" s="130"/>
    </row>
    <row r="51" ht="15.75" customHeight="1">
      <c r="A51" s="124"/>
      <c r="B51" s="124"/>
      <c r="C51" s="124"/>
      <c r="D51" s="124"/>
      <c r="E51" s="124"/>
      <c r="F51" s="124"/>
      <c r="G51" s="124"/>
      <c r="H51" s="124"/>
      <c r="I51" s="124"/>
      <c r="J51" s="124"/>
      <c r="K51" s="124"/>
      <c r="L51" s="124"/>
      <c r="M51" s="124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  <c r="AA51" s="130"/>
      <c r="AB51" s="130"/>
      <c r="AC51" s="130"/>
    </row>
    <row r="52" ht="15.75" customHeight="1">
      <c r="A52" s="124"/>
      <c r="B52" s="124"/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  <c r="AA52" s="130"/>
      <c r="AB52" s="130"/>
      <c r="AC52" s="130"/>
    </row>
    <row r="53" ht="15.75" customHeight="1">
      <c r="A53" s="124"/>
      <c r="B53" s="124"/>
      <c r="C53" s="124"/>
      <c r="D53" s="124"/>
      <c r="E53" s="124"/>
      <c r="F53" s="124"/>
      <c r="G53" s="124"/>
      <c r="H53" s="124"/>
      <c r="I53" s="124"/>
      <c r="J53" s="124"/>
      <c r="K53" s="124"/>
      <c r="L53" s="124"/>
      <c r="M53" s="124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  <c r="Z53" s="130"/>
      <c r="AA53" s="130"/>
      <c r="AB53" s="130"/>
      <c r="AC53" s="130"/>
    </row>
    <row r="54" ht="15.75" customHeight="1">
      <c r="A54" s="124"/>
      <c r="B54" s="124"/>
      <c r="C54" s="124"/>
      <c r="D54" s="124"/>
      <c r="E54" s="124"/>
      <c r="F54" s="124"/>
      <c r="G54" s="124"/>
      <c r="H54" s="124"/>
      <c r="I54" s="124"/>
      <c r="J54" s="124"/>
      <c r="K54" s="124"/>
      <c r="L54" s="124"/>
      <c r="M54" s="124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  <c r="AA54" s="130"/>
      <c r="AB54" s="130"/>
      <c r="AC54" s="130"/>
    </row>
    <row r="55" ht="15.75" customHeight="1">
      <c r="A55" s="124"/>
      <c r="B55" s="124"/>
      <c r="C55" s="124"/>
      <c r="D55" s="124"/>
      <c r="E55" s="124"/>
      <c r="F55" s="124"/>
      <c r="G55" s="124"/>
      <c r="H55" s="124"/>
      <c r="I55" s="124"/>
      <c r="J55" s="124"/>
      <c r="K55" s="124"/>
      <c r="L55" s="124"/>
      <c r="M55" s="124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  <c r="AA55" s="130"/>
      <c r="AB55" s="130"/>
      <c r="AC55" s="130"/>
    </row>
    <row r="56" ht="15.75" customHeight="1">
      <c r="A56" s="124"/>
      <c r="B56" s="124"/>
      <c r="C56" s="124"/>
      <c r="D56" s="124"/>
      <c r="E56" s="124"/>
      <c r="F56" s="124"/>
      <c r="G56" s="124"/>
      <c r="H56" s="124"/>
      <c r="I56" s="124"/>
      <c r="J56" s="124"/>
      <c r="K56" s="124"/>
      <c r="L56" s="124"/>
      <c r="M56" s="124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  <c r="Z56" s="130"/>
      <c r="AA56" s="130"/>
      <c r="AB56" s="130"/>
      <c r="AC56" s="130"/>
    </row>
    <row r="57" ht="15.75" customHeight="1">
      <c r="A57" s="124"/>
      <c r="B57" s="124"/>
      <c r="C57" s="124"/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130"/>
      <c r="Y57" s="130"/>
      <c r="Z57" s="130"/>
      <c r="AA57" s="130"/>
      <c r="AB57" s="130"/>
      <c r="AC57" s="130"/>
    </row>
    <row r="58" ht="15.75" customHeight="1">
      <c r="A58" s="124"/>
      <c r="B58" s="124"/>
      <c r="C58" s="124"/>
      <c r="D58" s="124"/>
      <c r="E58" s="124"/>
      <c r="F58" s="124"/>
      <c r="G58" s="124"/>
      <c r="H58" s="124"/>
      <c r="I58" s="124"/>
      <c r="J58" s="124"/>
      <c r="K58" s="124"/>
      <c r="L58" s="124"/>
      <c r="M58" s="124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  <c r="AA58" s="130"/>
      <c r="AB58" s="130"/>
      <c r="AC58" s="130"/>
    </row>
    <row r="59" ht="15.75" customHeight="1">
      <c r="A59" s="124"/>
      <c r="B59" s="124"/>
      <c r="C59" s="124"/>
      <c r="D59" s="124"/>
      <c r="E59" s="124"/>
      <c r="F59" s="124"/>
      <c r="G59" s="124"/>
      <c r="H59" s="124"/>
      <c r="I59" s="124"/>
      <c r="J59" s="124"/>
      <c r="K59" s="124"/>
      <c r="L59" s="124"/>
      <c r="M59" s="124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130"/>
      <c r="AB59" s="130"/>
      <c r="AC59" s="130"/>
    </row>
    <row r="60" ht="15.75" customHeight="1">
      <c r="A60" s="124"/>
      <c r="B60" s="124"/>
      <c r="C60" s="124"/>
      <c r="D60" s="124"/>
      <c r="E60" s="124"/>
      <c r="F60" s="124"/>
      <c r="G60" s="124"/>
      <c r="H60" s="124"/>
      <c r="I60" s="124"/>
      <c r="J60" s="124"/>
      <c r="K60" s="124"/>
      <c r="L60" s="124"/>
      <c r="M60" s="124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Y60" s="130"/>
      <c r="Z60" s="130"/>
      <c r="AA60" s="130"/>
      <c r="AB60" s="130"/>
      <c r="AC60" s="130"/>
    </row>
    <row r="61" ht="15.75" customHeight="1">
      <c r="A61" s="124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  <c r="AA61" s="130"/>
      <c r="AB61" s="130"/>
      <c r="AC61" s="130"/>
    </row>
    <row r="62" ht="15.75" customHeight="1">
      <c r="A62" s="124"/>
      <c r="B62" s="124"/>
      <c r="C62" s="124"/>
      <c r="D62" s="124"/>
      <c r="E62" s="124"/>
      <c r="F62" s="124"/>
      <c r="G62" s="124"/>
      <c r="H62" s="124"/>
      <c r="I62" s="124"/>
      <c r="J62" s="124"/>
      <c r="K62" s="124"/>
      <c r="L62" s="124"/>
      <c r="M62" s="124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  <c r="Z62" s="130"/>
      <c r="AA62" s="130"/>
      <c r="AB62" s="130"/>
      <c r="AC62" s="130"/>
    </row>
    <row r="63" ht="15.75" customHeight="1">
      <c r="A63" s="124"/>
      <c r="B63" s="124"/>
      <c r="C63" s="124"/>
      <c r="D63" s="124"/>
      <c r="E63" s="124"/>
      <c r="F63" s="124"/>
      <c r="G63" s="124"/>
      <c r="H63" s="124"/>
      <c r="I63" s="124"/>
      <c r="J63" s="124"/>
      <c r="K63" s="124"/>
      <c r="L63" s="124"/>
      <c r="M63" s="124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  <c r="AA63" s="130"/>
      <c r="AB63" s="130"/>
      <c r="AC63" s="130"/>
    </row>
    <row r="64" ht="15.75" customHeight="1">
      <c r="A64" s="124"/>
      <c r="B64" s="124"/>
      <c r="C64" s="124"/>
      <c r="D64" s="124"/>
      <c r="E64" s="124"/>
      <c r="F64" s="124"/>
      <c r="G64" s="124"/>
      <c r="H64" s="124"/>
      <c r="I64" s="124"/>
      <c r="J64" s="124"/>
      <c r="K64" s="124"/>
      <c r="L64" s="124"/>
      <c r="M64" s="124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  <c r="AA64" s="130"/>
      <c r="AB64" s="130"/>
      <c r="AC64" s="130"/>
    </row>
    <row r="65" ht="15.75" customHeight="1">
      <c r="A65" s="124"/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4"/>
      <c r="M65" s="124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  <c r="AA65" s="130"/>
      <c r="AB65" s="130"/>
      <c r="AC65" s="130"/>
    </row>
    <row r="66" ht="15.75" customHeight="1">
      <c r="A66" s="124"/>
      <c r="B66" s="124"/>
      <c r="C66" s="124"/>
      <c r="D66" s="124"/>
      <c r="E66" s="124"/>
      <c r="F66" s="124"/>
      <c r="G66" s="124"/>
      <c r="H66" s="124"/>
      <c r="I66" s="124"/>
      <c r="J66" s="124"/>
      <c r="K66" s="124"/>
      <c r="L66" s="124"/>
      <c r="M66" s="124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  <c r="AA66" s="130"/>
      <c r="AB66" s="130"/>
      <c r="AC66" s="130"/>
    </row>
    <row r="67" ht="15.75" customHeight="1">
      <c r="A67" s="124"/>
      <c r="B67" s="124"/>
      <c r="C67" s="124"/>
      <c r="D67" s="124"/>
      <c r="E67" s="124"/>
      <c r="F67" s="124"/>
      <c r="G67" s="124"/>
      <c r="H67" s="124"/>
      <c r="I67" s="124"/>
      <c r="J67" s="124"/>
      <c r="K67" s="124"/>
      <c r="L67" s="124"/>
      <c r="M67" s="124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</row>
    <row r="68" ht="15.75" customHeight="1">
      <c r="A68" s="124"/>
      <c r="B68" s="124"/>
      <c r="C68" s="124"/>
      <c r="D68" s="124"/>
      <c r="E68" s="124"/>
      <c r="F68" s="124"/>
      <c r="G68" s="124"/>
      <c r="H68" s="124"/>
      <c r="I68" s="124"/>
      <c r="J68" s="124"/>
      <c r="K68" s="124"/>
      <c r="L68" s="124"/>
      <c r="M68" s="124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/>
      <c r="AC68" s="130"/>
    </row>
    <row r="69" ht="15.75" customHeight="1">
      <c r="A69" s="124"/>
      <c r="B69" s="124"/>
      <c r="C69" s="124"/>
      <c r="D69" s="124"/>
      <c r="E69" s="124"/>
      <c r="F69" s="124"/>
      <c r="G69" s="124"/>
      <c r="H69" s="124"/>
      <c r="I69" s="124"/>
      <c r="J69" s="124"/>
      <c r="K69" s="124"/>
      <c r="L69" s="124"/>
      <c r="M69" s="124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  <c r="AC69" s="130"/>
    </row>
    <row r="70" ht="15.75" customHeight="1">
      <c r="A70" s="124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</row>
    <row r="71" ht="15.75" customHeight="1">
      <c r="A71" s="124"/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130"/>
      <c r="Y71" s="130"/>
      <c r="Z71" s="130"/>
      <c r="AA71" s="130"/>
      <c r="AB71" s="130"/>
      <c r="AC71" s="130"/>
    </row>
    <row r="72" ht="15.75" customHeight="1">
      <c r="A72" s="124"/>
      <c r="B72" s="124"/>
      <c r="C72" s="124"/>
      <c r="D72" s="124"/>
      <c r="E72" s="124"/>
      <c r="F72" s="124"/>
      <c r="G72" s="124"/>
      <c r="H72" s="124"/>
      <c r="I72" s="124"/>
      <c r="J72" s="124"/>
      <c r="K72" s="124"/>
      <c r="L72" s="124"/>
      <c r="M72" s="124"/>
      <c r="N72" s="130"/>
      <c r="O72" s="130"/>
      <c r="P72" s="130"/>
      <c r="Q72" s="130"/>
      <c r="R72" s="130"/>
      <c r="S72" s="130"/>
      <c r="T72" s="130"/>
      <c r="U72" s="130"/>
      <c r="V72" s="130"/>
      <c r="W72" s="130"/>
      <c r="X72" s="130"/>
      <c r="Y72" s="130"/>
      <c r="Z72" s="130"/>
      <c r="AA72" s="130"/>
      <c r="AB72" s="130"/>
      <c r="AC72" s="130"/>
    </row>
    <row r="73" ht="15.75" customHeight="1">
      <c r="A73" s="124"/>
      <c r="B73" s="124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130"/>
      <c r="Y73" s="130"/>
      <c r="Z73" s="130"/>
      <c r="AA73" s="130"/>
      <c r="AB73" s="130"/>
      <c r="AC73" s="130"/>
    </row>
    <row r="74" ht="15.75" customHeight="1">
      <c r="A74" s="124"/>
      <c r="B74" s="124"/>
      <c r="C74" s="124"/>
      <c r="D74" s="124"/>
      <c r="E74" s="124"/>
      <c r="F74" s="124"/>
      <c r="G74" s="124"/>
      <c r="H74" s="124"/>
      <c r="I74" s="124"/>
      <c r="J74" s="124"/>
      <c r="K74" s="124"/>
      <c r="L74" s="124"/>
      <c r="M74" s="124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  <c r="AA74" s="130"/>
      <c r="AB74" s="130"/>
      <c r="AC74" s="130"/>
    </row>
    <row r="75" ht="15.75" customHeight="1">
      <c r="A75" s="124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0"/>
      <c r="Z75" s="130"/>
      <c r="AA75" s="130"/>
      <c r="AB75" s="130"/>
      <c r="AC75" s="130"/>
    </row>
    <row r="76" ht="15.75" customHeight="1">
      <c r="A76" s="124"/>
      <c r="B76" s="124"/>
      <c r="C76" s="124"/>
      <c r="D76" s="124"/>
      <c r="E76" s="124"/>
      <c r="F76" s="124"/>
      <c r="G76" s="124"/>
      <c r="H76" s="124"/>
      <c r="I76" s="124"/>
      <c r="J76" s="124"/>
      <c r="K76" s="124"/>
      <c r="L76" s="124"/>
      <c r="M76" s="124"/>
      <c r="N76" s="130"/>
      <c r="O76" s="130"/>
      <c r="P76" s="130"/>
      <c r="Q76" s="130"/>
      <c r="R76" s="130"/>
      <c r="S76" s="130"/>
      <c r="T76" s="130"/>
      <c r="U76" s="130"/>
      <c r="V76" s="130"/>
      <c r="W76" s="130"/>
      <c r="X76" s="130"/>
      <c r="Y76" s="130"/>
      <c r="Z76" s="130"/>
      <c r="AA76" s="130"/>
      <c r="AB76" s="130"/>
      <c r="AC76" s="130"/>
    </row>
    <row r="77" ht="15.75" customHeight="1">
      <c r="A77" s="124"/>
      <c r="B77" s="124"/>
      <c r="C77" s="124"/>
      <c r="D77" s="124"/>
      <c r="E77" s="124"/>
      <c r="F77" s="124"/>
      <c r="G77" s="124"/>
      <c r="H77" s="124"/>
      <c r="I77" s="124"/>
      <c r="J77" s="124"/>
      <c r="K77" s="124"/>
      <c r="L77" s="124"/>
      <c r="M77" s="124"/>
      <c r="N77" s="130"/>
      <c r="O77" s="130"/>
      <c r="P77" s="130"/>
      <c r="Q77" s="130"/>
      <c r="R77" s="130"/>
      <c r="S77" s="130"/>
      <c r="T77" s="130"/>
      <c r="U77" s="130"/>
      <c r="V77" s="130"/>
      <c r="W77" s="130"/>
      <c r="X77" s="130"/>
      <c r="Y77" s="130"/>
      <c r="Z77" s="130"/>
      <c r="AA77" s="130"/>
      <c r="AB77" s="130"/>
      <c r="AC77" s="130"/>
    </row>
    <row r="78" ht="15.75" customHeight="1">
      <c r="A78" s="124"/>
      <c r="B78" s="124"/>
      <c r="C78" s="124"/>
      <c r="D78" s="124"/>
      <c r="E78" s="124"/>
      <c r="F78" s="124"/>
      <c r="G78" s="124"/>
      <c r="H78" s="124"/>
      <c r="I78" s="124"/>
      <c r="J78" s="124"/>
      <c r="K78" s="124"/>
      <c r="L78" s="124"/>
      <c r="M78" s="124"/>
      <c r="N78" s="130"/>
      <c r="O78" s="130"/>
      <c r="P78" s="130"/>
      <c r="Q78" s="130"/>
      <c r="R78" s="130"/>
      <c r="S78" s="130"/>
      <c r="T78" s="130"/>
      <c r="U78" s="130"/>
      <c r="V78" s="130"/>
      <c r="W78" s="130"/>
      <c r="X78" s="130"/>
      <c r="Y78" s="130"/>
      <c r="Z78" s="130"/>
      <c r="AA78" s="130"/>
      <c r="AB78" s="130"/>
      <c r="AC78" s="130"/>
    </row>
    <row r="79" ht="15.75" customHeight="1">
      <c r="A79" s="124"/>
      <c r="B79" s="124"/>
      <c r="C79" s="124"/>
      <c r="D79" s="124"/>
      <c r="E79" s="124"/>
      <c r="F79" s="124"/>
      <c r="G79" s="124"/>
      <c r="H79" s="124"/>
      <c r="I79" s="124"/>
      <c r="J79" s="124"/>
      <c r="K79" s="124"/>
      <c r="L79" s="124"/>
      <c r="M79" s="124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0"/>
      <c r="Y79" s="130"/>
      <c r="Z79" s="130"/>
      <c r="AA79" s="130"/>
      <c r="AB79" s="130"/>
      <c r="AC79" s="130"/>
    </row>
    <row r="80" ht="15.75" customHeight="1">
      <c r="A80" s="124"/>
      <c r="B80" s="124"/>
      <c r="C80" s="124"/>
      <c r="D80" s="124"/>
      <c r="E80" s="124"/>
      <c r="F80" s="124"/>
      <c r="G80" s="124"/>
      <c r="H80" s="124"/>
      <c r="I80" s="124"/>
      <c r="J80" s="124"/>
      <c r="K80" s="124"/>
      <c r="L80" s="124"/>
      <c r="M80" s="124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0"/>
      <c r="Z80" s="130"/>
      <c r="AA80" s="130"/>
      <c r="AB80" s="130"/>
      <c r="AC80" s="130"/>
    </row>
    <row r="81" ht="15.75" customHeight="1">
      <c r="A81" s="124"/>
      <c r="B81" s="124"/>
      <c r="C81" s="124"/>
      <c r="D81" s="124"/>
      <c r="E81" s="124"/>
      <c r="F81" s="124"/>
      <c r="G81" s="124"/>
      <c r="H81" s="124"/>
      <c r="I81" s="124"/>
      <c r="J81" s="124"/>
      <c r="K81" s="124"/>
      <c r="L81" s="124"/>
      <c r="M81" s="124"/>
      <c r="N81" s="130"/>
      <c r="O81" s="130"/>
      <c r="P81" s="130"/>
      <c r="Q81" s="130"/>
      <c r="R81" s="130"/>
      <c r="S81" s="130"/>
      <c r="T81" s="130"/>
      <c r="U81" s="130"/>
      <c r="V81" s="130"/>
      <c r="W81" s="130"/>
      <c r="X81" s="130"/>
      <c r="Y81" s="130"/>
      <c r="Z81" s="130"/>
      <c r="AA81" s="130"/>
      <c r="AB81" s="130"/>
      <c r="AC81" s="130"/>
    </row>
    <row r="82" ht="15.75" customHeight="1">
      <c r="A82" s="124"/>
      <c r="B82" s="124"/>
      <c r="C82" s="124"/>
      <c r="D82" s="124"/>
      <c r="E82" s="124"/>
      <c r="F82" s="124"/>
      <c r="G82" s="124"/>
      <c r="H82" s="124"/>
      <c r="I82" s="124"/>
      <c r="J82" s="124"/>
      <c r="K82" s="124"/>
      <c r="L82" s="124"/>
      <c r="M82" s="124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130"/>
      <c r="AA82" s="130"/>
      <c r="AB82" s="130"/>
      <c r="AC82" s="130"/>
    </row>
    <row r="83" ht="15.75" customHeight="1">
      <c r="A83" s="124"/>
      <c r="B83" s="124"/>
      <c r="C83" s="124"/>
      <c r="D83" s="124"/>
      <c r="E83" s="124"/>
      <c r="F83" s="124"/>
      <c r="G83" s="124"/>
      <c r="H83" s="124"/>
      <c r="I83" s="124"/>
      <c r="J83" s="124"/>
      <c r="K83" s="124"/>
      <c r="L83" s="124"/>
      <c r="M83" s="124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  <c r="AA83" s="130"/>
      <c r="AB83" s="130"/>
      <c r="AC83" s="130"/>
    </row>
    <row r="84" ht="15.75" customHeight="1">
      <c r="A84" s="124"/>
      <c r="B84" s="124"/>
      <c r="C84" s="124"/>
      <c r="D84" s="124"/>
      <c r="E84" s="124"/>
      <c r="F84" s="124"/>
      <c r="G84" s="124"/>
      <c r="H84" s="124"/>
      <c r="I84" s="124"/>
      <c r="J84" s="124"/>
      <c r="K84" s="124"/>
      <c r="L84" s="124"/>
      <c r="M84" s="124"/>
      <c r="N84" s="130"/>
      <c r="O84" s="130"/>
      <c r="P84" s="130"/>
      <c r="Q84" s="130"/>
      <c r="R84" s="130"/>
      <c r="S84" s="130"/>
      <c r="T84" s="130"/>
      <c r="U84" s="130"/>
      <c r="V84" s="130"/>
      <c r="W84" s="130"/>
      <c r="X84" s="130"/>
      <c r="Y84" s="130"/>
      <c r="Z84" s="130"/>
      <c r="AA84" s="130"/>
      <c r="AB84" s="130"/>
      <c r="AC84" s="130"/>
    </row>
    <row r="85" ht="15.75" customHeight="1">
      <c r="A85" s="124"/>
      <c r="B85" s="124"/>
      <c r="C85" s="124"/>
      <c r="D85" s="124"/>
      <c r="E85" s="124"/>
      <c r="F85" s="124"/>
      <c r="G85" s="124"/>
      <c r="H85" s="124"/>
      <c r="I85" s="124"/>
      <c r="J85" s="124"/>
      <c r="K85" s="124"/>
      <c r="L85" s="124"/>
      <c r="M85" s="124"/>
      <c r="N85" s="130"/>
      <c r="O85" s="130"/>
      <c r="P85" s="130"/>
      <c r="Q85" s="130"/>
      <c r="R85" s="130"/>
      <c r="S85" s="130"/>
      <c r="T85" s="130"/>
      <c r="U85" s="130"/>
      <c r="V85" s="130"/>
      <c r="W85" s="130"/>
      <c r="X85" s="130"/>
      <c r="Y85" s="130"/>
      <c r="Z85" s="130"/>
      <c r="AA85" s="130"/>
      <c r="AB85" s="130"/>
      <c r="AC85" s="130"/>
    </row>
    <row r="86" ht="15.75" customHeight="1">
      <c r="A86" s="124"/>
      <c r="B86" s="124"/>
      <c r="C86" s="124"/>
      <c r="D86" s="124"/>
      <c r="E86" s="124"/>
      <c r="F86" s="124"/>
      <c r="G86" s="124"/>
      <c r="H86" s="124"/>
      <c r="I86" s="124"/>
      <c r="J86" s="124"/>
      <c r="K86" s="124"/>
      <c r="L86" s="124"/>
      <c r="M86" s="124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  <c r="AA86" s="130"/>
      <c r="AB86" s="130"/>
      <c r="AC86" s="130"/>
    </row>
    <row r="87" ht="15.75" customHeight="1">
      <c r="A87" s="124"/>
      <c r="B87" s="124"/>
      <c r="C87" s="124"/>
      <c r="D87" s="124"/>
      <c r="E87" s="124"/>
      <c r="F87" s="124"/>
      <c r="G87" s="124"/>
      <c r="H87" s="124"/>
      <c r="I87" s="124"/>
      <c r="J87" s="124"/>
      <c r="K87" s="124"/>
      <c r="L87" s="124"/>
      <c r="M87" s="124"/>
      <c r="N87" s="130"/>
      <c r="O87" s="130"/>
      <c r="P87" s="130"/>
      <c r="Q87" s="130"/>
      <c r="R87" s="130"/>
      <c r="S87" s="130"/>
      <c r="T87" s="130"/>
      <c r="U87" s="130"/>
      <c r="V87" s="130"/>
      <c r="W87" s="130"/>
      <c r="X87" s="130"/>
      <c r="Y87" s="130"/>
      <c r="Z87" s="130"/>
      <c r="AA87" s="130"/>
      <c r="AB87" s="130"/>
      <c r="AC87" s="130"/>
    </row>
    <row r="88" ht="15.75" customHeight="1">
      <c r="A88" s="124"/>
      <c r="B88" s="124"/>
      <c r="C88" s="124"/>
      <c r="D88" s="124"/>
      <c r="E88" s="124"/>
      <c r="F88" s="124"/>
      <c r="G88" s="124"/>
      <c r="H88" s="124"/>
      <c r="I88" s="124"/>
      <c r="J88" s="124"/>
      <c r="K88" s="124"/>
      <c r="L88" s="124"/>
      <c r="M88" s="124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130"/>
      <c r="AA88" s="130"/>
      <c r="AB88" s="130"/>
      <c r="AC88" s="130"/>
    </row>
    <row r="89" ht="15.75" customHeight="1">
      <c r="A89" s="124"/>
      <c r="B89" s="124"/>
      <c r="C89" s="124"/>
      <c r="D89" s="124"/>
      <c r="E89" s="124"/>
      <c r="F89" s="124"/>
      <c r="G89" s="124"/>
      <c r="H89" s="124"/>
      <c r="I89" s="124"/>
      <c r="J89" s="124"/>
      <c r="K89" s="124"/>
      <c r="L89" s="124"/>
      <c r="M89" s="124"/>
      <c r="N89" s="130"/>
      <c r="O89" s="130"/>
      <c r="P89" s="130"/>
      <c r="Q89" s="130"/>
      <c r="R89" s="130"/>
      <c r="S89" s="130"/>
      <c r="T89" s="130"/>
      <c r="U89" s="130"/>
      <c r="V89" s="130"/>
      <c r="W89" s="130"/>
      <c r="X89" s="130"/>
      <c r="Y89" s="130"/>
      <c r="Z89" s="130"/>
      <c r="AA89" s="130"/>
      <c r="AB89" s="130"/>
      <c r="AC89" s="130"/>
    </row>
    <row r="90" ht="15.75" customHeight="1">
      <c r="A90" s="124"/>
      <c r="B90" s="124"/>
      <c r="C90" s="124"/>
      <c r="D90" s="124"/>
      <c r="E90" s="124"/>
      <c r="F90" s="124"/>
      <c r="G90" s="124"/>
      <c r="H90" s="124"/>
      <c r="I90" s="124"/>
      <c r="J90" s="124"/>
      <c r="K90" s="124"/>
      <c r="L90" s="124"/>
      <c r="M90" s="124"/>
      <c r="N90" s="130"/>
      <c r="O90" s="130"/>
      <c r="P90" s="130"/>
      <c r="Q90" s="130"/>
      <c r="R90" s="130"/>
      <c r="S90" s="130"/>
      <c r="T90" s="130"/>
      <c r="U90" s="130"/>
      <c r="V90" s="130"/>
      <c r="W90" s="130"/>
      <c r="X90" s="130"/>
      <c r="Y90" s="130"/>
      <c r="Z90" s="130"/>
      <c r="AA90" s="130"/>
      <c r="AB90" s="130"/>
      <c r="AC90" s="130"/>
    </row>
    <row r="91" ht="15.75" customHeight="1">
      <c r="A91" s="124"/>
      <c r="B91" s="124"/>
      <c r="C91" s="124"/>
      <c r="D91" s="124"/>
      <c r="E91" s="124"/>
      <c r="F91" s="124"/>
      <c r="G91" s="124"/>
      <c r="H91" s="124"/>
      <c r="I91" s="124"/>
      <c r="J91" s="124"/>
      <c r="K91" s="124"/>
      <c r="L91" s="124"/>
      <c r="M91" s="124"/>
      <c r="N91" s="130"/>
      <c r="O91" s="130"/>
      <c r="P91" s="130"/>
      <c r="Q91" s="130"/>
      <c r="R91" s="130"/>
      <c r="S91" s="130"/>
      <c r="T91" s="130"/>
      <c r="U91" s="130"/>
      <c r="V91" s="130"/>
      <c r="W91" s="130"/>
      <c r="X91" s="130"/>
      <c r="Y91" s="130"/>
      <c r="Z91" s="130"/>
      <c r="AA91" s="130"/>
      <c r="AB91" s="130"/>
      <c r="AC91" s="130"/>
    </row>
    <row r="92" ht="15.75" customHeight="1">
      <c r="A92" s="124"/>
      <c r="B92" s="124"/>
      <c r="C92" s="124"/>
      <c r="D92" s="124"/>
      <c r="E92" s="124"/>
      <c r="F92" s="124"/>
      <c r="G92" s="124"/>
      <c r="H92" s="124"/>
      <c r="I92" s="124"/>
      <c r="J92" s="124"/>
      <c r="K92" s="124"/>
      <c r="L92" s="124"/>
      <c r="M92" s="124"/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  <c r="AA92" s="130"/>
      <c r="AB92" s="130"/>
      <c r="AC92" s="130"/>
    </row>
    <row r="93" ht="15.75" customHeight="1">
      <c r="A93" s="124"/>
      <c r="B93" s="124"/>
      <c r="C93" s="124"/>
      <c r="D93" s="124"/>
      <c r="E93" s="124"/>
      <c r="F93" s="124"/>
      <c r="G93" s="124"/>
      <c r="H93" s="124"/>
      <c r="I93" s="124"/>
      <c r="J93" s="124"/>
      <c r="K93" s="124"/>
      <c r="L93" s="124"/>
      <c r="M93" s="124"/>
      <c r="N93" s="130"/>
      <c r="O93" s="130"/>
      <c r="P93" s="130"/>
      <c r="Q93" s="130"/>
      <c r="R93" s="130"/>
      <c r="S93" s="130"/>
      <c r="T93" s="130"/>
      <c r="U93" s="130"/>
      <c r="V93" s="130"/>
      <c r="W93" s="130"/>
      <c r="X93" s="130"/>
      <c r="Y93" s="130"/>
      <c r="Z93" s="130"/>
      <c r="AA93" s="130"/>
      <c r="AB93" s="130"/>
      <c r="AC93" s="130"/>
    </row>
    <row r="94" ht="15.75" customHeight="1">
      <c r="A94" s="124"/>
      <c r="B94" s="124"/>
      <c r="C94" s="124"/>
      <c r="D94" s="124"/>
      <c r="E94" s="124"/>
      <c r="F94" s="124"/>
      <c r="G94" s="124"/>
      <c r="H94" s="124"/>
      <c r="I94" s="124"/>
      <c r="J94" s="124"/>
      <c r="K94" s="124"/>
      <c r="L94" s="124"/>
      <c r="M94" s="124"/>
      <c r="N94" s="130"/>
      <c r="O94" s="130"/>
      <c r="P94" s="130"/>
      <c r="Q94" s="130"/>
      <c r="R94" s="130"/>
      <c r="S94" s="130"/>
      <c r="T94" s="130"/>
      <c r="U94" s="130"/>
      <c r="V94" s="130"/>
      <c r="W94" s="130"/>
      <c r="X94" s="130"/>
      <c r="Y94" s="130"/>
      <c r="Z94" s="130"/>
      <c r="AA94" s="130"/>
      <c r="AB94" s="130"/>
      <c r="AC94" s="130"/>
    </row>
    <row r="95" ht="15.75" customHeight="1">
      <c r="A95" s="124"/>
      <c r="B95" s="124"/>
      <c r="C95" s="124"/>
      <c r="D95" s="124"/>
      <c r="E95" s="124"/>
      <c r="F95" s="124"/>
      <c r="G95" s="124"/>
      <c r="H95" s="124"/>
      <c r="I95" s="124"/>
      <c r="J95" s="124"/>
      <c r="K95" s="124"/>
      <c r="L95" s="124"/>
      <c r="M95" s="124"/>
      <c r="N95" s="130"/>
      <c r="O95" s="130"/>
      <c r="P95" s="130"/>
      <c r="Q95" s="130"/>
      <c r="R95" s="130"/>
      <c r="S95" s="130"/>
      <c r="T95" s="130"/>
      <c r="U95" s="130"/>
      <c r="V95" s="130"/>
      <c r="W95" s="130"/>
      <c r="X95" s="130"/>
      <c r="Y95" s="130"/>
      <c r="Z95" s="130"/>
      <c r="AA95" s="130"/>
      <c r="AB95" s="130"/>
      <c r="AC95" s="130"/>
    </row>
    <row r="96" ht="15.75" customHeight="1">
      <c r="A96" s="124"/>
      <c r="B96" s="124"/>
      <c r="C96" s="124"/>
      <c r="D96" s="124"/>
      <c r="E96" s="124"/>
      <c r="F96" s="124"/>
      <c r="G96" s="124"/>
      <c r="H96" s="124"/>
      <c r="I96" s="124"/>
      <c r="J96" s="124"/>
      <c r="K96" s="124"/>
      <c r="L96" s="124"/>
      <c r="M96" s="124"/>
      <c r="N96" s="130"/>
      <c r="O96" s="130"/>
      <c r="P96" s="130"/>
      <c r="Q96" s="130"/>
      <c r="R96" s="130"/>
      <c r="S96" s="130"/>
      <c r="T96" s="130"/>
      <c r="U96" s="130"/>
      <c r="V96" s="130"/>
      <c r="W96" s="130"/>
      <c r="X96" s="130"/>
      <c r="Y96" s="130"/>
      <c r="Z96" s="130"/>
      <c r="AA96" s="130"/>
      <c r="AB96" s="130"/>
      <c r="AC96" s="130"/>
    </row>
    <row r="97" ht="15.75" customHeight="1">
      <c r="A97" s="124"/>
      <c r="B97" s="124"/>
      <c r="C97" s="124"/>
      <c r="D97" s="124"/>
      <c r="E97" s="124"/>
      <c r="F97" s="124"/>
      <c r="G97" s="124"/>
      <c r="H97" s="124"/>
      <c r="I97" s="124"/>
      <c r="J97" s="124"/>
      <c r="K97" s="124"/>
      <c r="L97" s="124"/>
      <c r="M97" s="124"/>
      <c r="N97" s="130"/>
      <c r="O97" s="130"/>
      <c r="P97" s="130"/>
      <c r="Q97" s="130"/>
      <c r="R97" s="130"/>
      <c r="S97" s="130"/>
      <c r="T97" s="130"/>
      <c r="U97" s="130"/>
      <c r="V97" s="130"/>
      <c r="W97" s="130"/>
      <c r="X97" s="130"/>
      <c r="Y97" s="130"/>
      <c r="Z97" s="130"/>
      <c r="AA97" s="130"/>
      <c r="AB97" s="130"/>
      <c r="AC97" s="130"/>
    </row>
    <row r="98" ht="15.75" customHeight="1">
      <c r="A98" s="124"/>
      <c r="B98" s="124"/>
      <c r="C98" s="124"/>
      <c r="D98" s="124"/>
      <c r="E98" s="124"/>
      <c r="F98" s="124"/>
      <c r="G98" s="124"/>
      <c r="H98" s="124"/>
      <c r="I98" s="124"/>
      <c r="J98" s="124"/>
      <c r="K98" s="124"/>
      <c r="L98" s="124"/>
      <c r="M98" s="124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  <c r="AA98" s="130"/>
      <c r="AB98" s="130"/>
      <c r="AC98" s="130"/>
    </row>
    <row r="99" ht="15.75" customHeight="1">
      <c r="A99" s="124"/>
      <c r="B99" s="124"/>
      <c r="C99" s="124"/>
      <c r="D99" s="124"/>
      <c r="E99" s="124"/>
      <c r="F99" s="124"/>
      <c r="G99" s="124"/>
      <c r="H99" s="124"/>
      <c r="I99" s="124"/>
      <c r="J99" s="124"/>
      <c r="K99" s="124"/>
      <c r="L99" s="124"/>
      <c r="M99" s="124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  <c r="AA99" s="130"/>
      <c r="AB99" s="130"/>
      <c r="AC99" s="130"/>
    </row>
    <row r="100" ht="15.75" customHeight="1">
      <c r="A100" s="124"/>
      <c r="B100" s="124"/>
      <c r="C100" s="124"/>
      <c r="D100" s="124"/>
      <c r="E100" s="124"/>
      <c r="F100" s="124"/>
      <c r="G100" s="124"/>
      <c r="H100" s="124"/>
      <c r="I100" s="124"/>
      <c r="J100" s="124"/>
      <c r="K100" s="124"/>
      <c r="L100" s="124"/>
      <c r="M100" s="124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</row>
    <row r="101" ht="15.75" customHeight="1">
      <c r="A101" s="124"/>
      <c r="B101" s="124"/>
      <c r="C101" s="124"/>
      <c r="D101" s="124"/>
      <c r="E101" s="124"/>
      <c r="F101" s="124"/>
      <c r="G101" s="124"/>
      <c r="H101" s="124"/>
      <c r="I101" s="124"/>
      <c r="J101" s="124"/>
      <c r="K101" s="124"/>
      <c r="L101" s="124"/>
      <c r="M101" s="124"/>
      <c r="N101" s="130"/>
      <c r="O101" s="130"/>
      <c r="P101" s="130"/>
      <c r="Q101" s="130"/>
      <c r="R101" s="130"/>
      <c r="S101" s="130"/>
      <c r="T101" s="130"/>
      <c r="U101" s="130"/>
      <c r="V101" s="130"/>
      <c r="W101" s="130"/>
      <c r="X101" s="130"/>
      <c r="Y101" s="130"/>
      <c r="Z101" s="130"/>
      <c r="AA101" s="130"/>
      <c r="AB101" s="130"/>
      <c r="AC101" s="130"/>
    </row>
    <row r="102" ht="15.75" customHeight="1">
      <c r="A102" s="124"/>
      <c r="B102" s="124"/>
      <c r="C102" s="124"/>
      <c r="D102" s="124"/>
      <c r="E102" s="124"/>
      <c r="F102" s="124"/>
      <c r="G102" s="124"/>
      <c r="H102" s="124"/>
      <c r="I102" s="124"/>
      <c r="J102" s="124"/>
      <c r="K102" s="124"/>
      <c r="L102" s="124"/>
      <c r="M102" s="124"/>
      <c r="N102" s="130"/>
      <c r="O102" s="130"/>
      <c r="P102" s="130"/>
      <c r="Q102" s="130"/>
      <c r="R102" s="130"/>
      <c r="S102" s="130"/>
      <c r="T102" s="130"/>
      <c r="U102" s="130"/>
      <c r="V102" s="130"/>
      <c r="W102" s="130"/>
      <c r="X102" s="130"/>
      <c r="Y102" s="130"/>
      <c r="Z102" s="130"/>
      <c r="AA102" s="130"/>
      <c r="AB102" s="130"/>
      <c r="AC102" s="130"/>
    </row>
    <row r="103" ht="15.75" customHeight="1">
      <c r="A103" s="124"/>
      <c r="B103" s="124"/>
      <c r="C103" s="124"/>
      <c r="D103" s="124"/>
      <c r="E103" s="124"/>
      <c r="F103" s="124"/>
      <c r="G103" s="124"/>
      <c r="H103" s="124"/>
      <c r="I103" s="124"/>
      <c r="J103" s="124"/>
      <c r="K103" s="124"/>
      <c r="L103" s="124"/>
      <c r="M103" s="124"/>
      <c r="N103" s="130"/>
      <c r="O103" s="130"/>
      <c r="P103" s="130"/>
      <c r="Q103" s="130"/>
      <c r="R103" s="130"/>
      <c r="S103" s="130"/>
      <c r="T103" s="130"/>
      <c r="U103" s="130"/>
      <c r="V103" s="130"/>
      <c r="W103" s="130"/>
      <c r="X103" s="130"/>
      <c r="Y103" s="130"/>
      <c r="Z103" s="130"/>
      <c r="AA103" s="130"/>
      <c r="AB103" s="130"/>
      <c r="AC103" s="130"/>
    </row>
    <row r="104" ht="15.75" customHeight="1">
      <c r="A104" s="124"/>
      <c r="B104" s="124"/>
      <c r="C104" s="124"/>
      <c r="D104" s="124"/>
      <c r="E104" s="124"/>
      <c r="F104" s="124"/>
      <c r="G104" s="124"/>
      <c r="H104" s="124"/>
      <c r="I104" s="124"/>
      <c r="J104" s="124"/>
      <c r="K104" s="124"/>
      <c r="L104" s="124"/>
      <c r="M104" s="124"/>
      <c r="N104" s="130"/>
      <c r="O104" s="130"/>
      <c r="P104" s="130"/>
      <c r="Q104" s="130"/>
      <c r="R104" s="130"/>
      <c r="S104" s="130"/>
      <c r="T104" s="130"/>
      <c r="U104" s="130"/>
      <c r="V104" s="130"/>
      <c r="W104" s="130"/>
      <c r="X104" s="130"/>
      <c r="Y104" s="130"/>
      <c r="Z104" s="130"/>
      <c r="AA104" s="130"/>
      <c r="AB104" s="130"/>
      <c r="AC104" s="130"/>
    </row>
    <row r="105" ht="15.75" customHeight="1">
      <c r="A105" s="124"/>
      <c r="B105" s="124"/>
      <c r="C105" s="124"/>
      <c r="D105" s="124"/>
      <c r="E105" s="124"/>
      <c r="F105" s="124"/>
      <c r="G105" s="124"/>
      <c r="H105" s="124"/>
      <c r="I105" s="124"/>
      <c r="J105" s="124"/>
      <c r="K105" s="124"/>
      <c r="L105" s="124"/>
      <c r="M105" s="124"/>
      <c r="N105" s="130"/>
      <c r="O105" s="130"/>
      <c r="P105" s="130"/>
      <c r="Q105" s="130"/>
      <c r="R105" s="130"/>
      <c r="S105" s="130"/>
      <c r="T105" s="130"/>
      <c r="U105" s="130"/>
      <c r="V105" s="130"/>
      <c r="W105" s="130"/>
      <c r="X105" s="130"/>
      <c r="Y105" s="130"/>
      <c r="Z105" s="130"/>
      <c r="AA105" s="130"/>
      <c r="AB105" s="130"/>
      <c r="AC105" s="130"/>
    </row>
    <row r="106" ht="15.75" customHeight="1">
      <c r="A106" s="124"/>
      <c r="B106" s="124"/>
      <c r="C106" s="124"/>
      <c r="D106" s="124"/>
      <c r="E106" s="124"/>
      <c r="F106" s="124"/>
      <c r="G106" s="124"/>
      <c r="H106" s="124"/>
      <c r="I106" s="124"/>
      <c r="J106" s="124"/>
      <c r="K106" s="124"/>
      <c r="L106" s="124"/>
      <c r="M106" s="124"/>
      <c r="N106" s="130"/>
      <c r="O106" s="130"/>
      <c r="P106" s="130"/>
      <c r="Q106" s="130"/>
      <c r="R106" s="130"/>
      <c r="S106" s="130"/>
      <c r="T106" s="130"/>
      <c r="U106" s="130"/>
      <c r="V106" s="130"/>
      <c r="W106" s="130"/>
      <c r="X106" s="130"/>
      <c r="Y106" s="130"/>
      <c r="Z106" s="130"/>
      <c r="AA106" s="130"/>
      <c r="AB106" s="130"/>
      <c r="AC106" s="130"/>
    </row>
    <row r="107" ht="15.75" customHeight="1">
      <c r="A107" s="124"/>
      <c r="B107" s="124"/>
      <c r="C107" s="124"/>
      <c r="D107" s="124"/>
      <c r="E107" s="124"/>
      <c r="F107" s="124"/>
      <c r="G107" s="124"/>
      <c r="H107" s="124"/>
      <c r="I107" s="124"/>
      <c r="J107" s="124"/>
      <c r="K107" s="124"/>
      <c r="L107" s="124"/>
      <c r="M107" s="124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  <c r="AA107" s="130"/>
      <c r="AB107" s="130"/>
      <c r="AC107" s="130"/>
    </row>
    <row r="108" ht="15.75" customHeight="1">
      <c r="A108" s="124"/>
      <c r="B108" s="124"/>
      <c r="C108" s="124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30"/>
      <c r="O108" s="130"/>
      <c r="P108" s="130"/>
      <c r="Q108" s="130"/>
      <c r="R108" s="130"/>
      <c r="S108" s="130"/>
      <c r="T108" s="130"/>
      <c r="U108" s="130"/>
      <c r="V108" s="130"/>
      <c r="W108" s="130"/>
      <c r="X108" s="130"/>
      <c r="Y108" s="130"/>
      <c r="Z108" s="130"/>
      <c r="AA108" s="130"/>
      <c r="AB108" s="130"/>
      <c r="AC108" s="130"/>
    </row>
    <row r="109" ht="15.75" customHeight="1">
      <c r="A109" s="124"/>
      <c r="B109" s="124"/>
      <c r="C109" s="124"/>
      <c r="D109" s="124"/>
      <c r="E109" s="124"/>
      <c r="F109" s="124"/>
      <c r="G109" s="124"/>
      <c r="H109" s="124"/>
      <c r="I109" s="124"/>
      <c r="J109" s="124"/>
      <c r="K109" s="124"/>
      <c r="L109" s="124"/>
      <c r="M109" s="124"/>
      <c r="N109" s="130"/>
      <c r="O109" s="130"/>
      <c r="P109" s="130"/>
      <c r="Q109" s="130"/>
      <c r="R109" s="130"/>
      <c r="S109" s="130"/>
      <c r="T109" s="130"/>
      <c r="U109" s="130"/>
      <c r="V109" s="130"/>
      <c r="W109" s="130"/>
      <c r="X109" s="130"/>
      <c r="Y109" s="130"/>
      <c r="Z109" s="130"/>
      <c r="AA109" s="130"/>
      <c r="AB109" s="130"/>
      <c r="AC109" s="130"/>
    </row>
    <row r="110" ht="15.75" customHeight="1">
      <c r="A110" s="124"/>
      <c r="B110" s="124"/>
      <c r="C110" s="124"/>
      <c r="D110" s="124"/>
      <c r="E110" s="124"/>
      <c r="F110" s="124"/>
      <c r="G110" s="124"/>
      <c r="H110" s="124"/>
      <c r="I110" s="124"/>
      <c r="J110" s="124"/>
      <c r="K110" s="124"/>
      <c r="L110" s="124"/>
      <c r="M110" s="124"/>
      <c r="N110" s="130"/>
      <c r="O110" s="130"/>
      <c r="P110" s="130"/>
      <c r="Q110" s="130"/>
      <c r="R110" s="130"/>
      <c r="S110" s="130"/>
      <c r="T110" s="130"/>
      <c r="U110" s="130"/>
      <c r="V110" s="130"/>
      <c r="W110" s="130"/>
      <c r="X110" s="130"/>
      <c r="Y110" s="130"/>
      <c r="Z110" s="130"/>
      <c r="AA110" s="130"/>
      <c r="AB110" s="130"/>
      <c r="AC110" s="130"/>
    </row>
    <row r="111" ht="15.75" customHeight="1">
      <c r="A111" s="124"/>
      <c r="B111" s="124"/>
      <c r="C111" s="124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30"/>
      <c r="O111" s="130"/>
      <c r="P111" s="130"/>
      <c r="Q111" s="130"/>
      <c r="R111" s="130"/>
      <c r="S111" s="130"/>
      <c r="T111" s="130"/>
      <c r="U111" s="130"/>
      <c r="V111" s="130"/>
      <c r="W111" s="130"/>
      <c r="X111" s="130"/>
      <c r="Y111" s="130"/>
      <c r="Z111" s="130"/>
      <c r="AA111" s="130"/>
      <c r="AB111" s="130"/>
      <c r="AC111" s="130"/>
    </row>
    <row r="112" ht="15.75" customHeight="1">
      <c r="A112" s="124"/>
      <c r="B112" s="124"/>
      <c r="C112" s="124"/>
      <c r="D112" s="124"/>
      <c r="E112" s="124"/>
      <c r="F112" s="124"/>
      <c r="G112" s="124"/>
      <c r="H112" s="124"/>
      <c r="I112" s="124"/>
      <c r="J112" s="124"/>
      <c r="K112" s="124"/>
      <c r="L112" s="124"/>
      <c r="M112" s="124"/>
      <c r="N112" s="130"/>
      <c r="O112" s="130"/>
      <c r="P112" s="130"/>
      <c r="Q112" s="130"/>
      <c r="R112" s="130"/>
      <c r="S112" s="130"/>
      <c r="T112" s="130"/>
      <c r="U112" s="130"/>
      <c r="V112" s="130"/>
      <c r="W112" s="130"/>
      <c r="X112" s="130"/>
      <c r="Y112" s="130"/>
      <c r="Z112" s="130"/>
      <c r="AA112" s="130"/>
      <c r="AB112" s="130"/>
      <c r="AC112" s="130"/>
    </row>
    <row r="113" ht="15.75" customHeight="1">
      <c r="A113" s="124"/>
      <c r="B113" s="124"/>
      <c r="C113" s="124"/>
      <c r="D113" s="124"/>
      <c r="E113" s="124"/>
      <c r="F113" s="124"/>
      <c r="G113" s="124"/>
      <c r="H113" s="124"/>
      <c r="I113" s="124"/>
      <c r="J113" s="124"/>
      <c r="K113" s="124"/>
      <c r="L113" s="124"/>
      <c r="M113" s="124"/>
      <c r="N113" s="130"/>
      <c r="O113" s="130"/>
      <c r="P113" s="130"/>
      <c r="Q113" s="130"/>
      <c r="R113" s="130"/>
      <c r="S113" s="130"/>
      <c r="T113" s="130"/>
      <c r="U113" s="130"/>
      <c r="V113" s="130"/>
      <c r="W113" s="130"/>
      <c r="X113" s="130"/>
      <c r="Y113" s="130"/>
      <c r="Z113" s="130"/>
      <c r="AA113" s="130"/>
      <c r="AB113" s="130"/>
      <c r="AC113" s="130"/>
    </row>
    <row r="114" ht="15.75" customHeight="1">
      <c r="A114" s="124"/>
      <c r="B114" s="124"/>
      <c r="C114" s="124"/>
      <c r="D114" s="124"/>
      <c r="E114" s="124"/>
      <c r="F114" s="124"/>
      <c r="G114" s="124"/>
      <c r="H114" s="124"/>
      <c r="I114" s="124"/>
      <c r="J114" s="124"/>
      <c r="K114" s="124"/>
      <c r="L114" s="124"/>
      <c r="M114" s="124"/>
      <c r="N114" s="130"/>
      <c r="O114" s="130"/>
      <c r="P114" s="130"/>
      <c r="Q114" s="130"/>
      <c r="R114" s="130"/>
      <c r="S114" s="130"/>
      <c r="T114" s="130"/>
      <c r="U114" s="130"/>
      <c r="V114" s="130"/>
      <c r="W114" s="130"/>
      <c r="X114" s="130"/>
      <c r="Y114" s="130"/>
      <c r="Z114" s="130"/>
      <c r="AA114" s="130"/>
      <c r="AB114" s="130"/>
      <c r="AC114" s="130"/>
    </row>
    <row r="115" ht="15.75" customHeight="1">
      <c r="A115" s="124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30"/>
      <c r="O115" s="130"/>
      <c r="P115" s="130"/>
      <c r="Q115" s="130"/>
      <c r="R115" s="130"/>
      <c r="S115" s="130"/>
      <c r="T115" s="130"/>
      <c r="U115" s="130"/>
      <c r="V115" s="130"/>
      <c r="W115" s="130"/>
      <c r="X115" s="130"/>
      <c r="Y115" s="130"/>
      <c r="Z115" s="130"/>
      <c r="AA115" s="130"/>
      <c r="AB115" s="130"/>
      <c r="AC115" s="130"/>
    </row>
    <row r="116" ht="15.75" customHeight="1">
      <c r="A116" s="124"/>
      <c r="B116" s="124"/>
      <c r="C116" s="124"/>
      <c r="D116" s="124"/>
      <c r="E116" s="124"/>
      <c r="F116" s="124"/>
      <c r="G116" s="124"/>
      <c r="H116" s="124"/>
      <c r="I116" s="124"/>
      <c r="J116" s="124"/>
      <c r="K116" s="124"/>
      <c r="L116" s="124"/>
      <c r="M116" s="124"/>
      <c r="N116" s="130"/>
      <c r="O116" s="130"/>
      <c r="P116" s="130"/>
      <c r="Q116" s="130"/>
      <c r="R116" s="130"/>
      <c r="S116" s="130"/>
      <c r="T116" s="130"/>
      <c r="U116" s="130"/>
      <c r="V116" s="130"/>
      <c r="W116" s="130"/>
      <c r="X116" s="130"/>
      <c r="Y116" s="130"/>
      <c r="Z116" s="130"/>
      <c r="AA116" s="130"/>
      <c r="AB116" s="130"/>
      <c r="AC116" s="130"/>
    </row>
    <row r="117" ht="15.75" customHeight="1">
      <c r="A117" s="124"/>
      <c r="B117" s="124"/>
      <c r="C117" s="124"/>
      <c r="D117" s="124"/>
      <c r="E117" s="124"/>
      <c r="F117" s="124"/>
      <c r="G117" s="124"/>
      <c r="H117" s="124"/>
      <c r="I117" s="124"/>
      <c r="J117" s="124"/>
      <c r="K117" s="124"/>
      <c r="L117" s="124"/>
      <c r="M117" s="124"/>
      <c r="N117" s="130"/>
      <c r="O117" s="130"/>
      <c r="P117" s="130"/>
      <c r="Q117" s="130"/>
      <c r="R117" s="130"/>
      <c r="S117" s="130"/>
      <c r="T117" s="130"/>
      <c r="U117" s="130"/>
      <c r="V117" s="130"/>
      <c r="W117" s="130"/>
      <c r="X117" s="130"/>
      <c r="Y117" s="130"/>
      <c r="Z117" s="130"/>
      <c r="AA117" s="130"/>
      <c r="AB117" s="130"/>
      <c r="AC117" s="130"/>
    </row>
    <row r="118" ht="15.75" customHeight="1">
      <c r="A118" s="124"/>
      <c r="B118" s="124"/>
      <c r="C118" s="124"/>
      <c r="D118" s="124"/>
      <c r="E118" s="124"/>
      <c r="F118" s="124"/>
      <c r="G118" s="124"/>
      <c r="H118" s="124"/>
      <c r="I118" s="124"/>
      <c r="J118" s="124"/>
      <c r="K118" s="124"/>
      <c r="L118" s="124"/>
      <c r="M118" s="124"/>
      <c r="N118" s="130"/>
      <c r="O118" s="130"/>
      <c r="P118" s="130"/>
      <c r="Q118" s="130"/>
      <c r="R118" s="130"/>
      <c r="S118" s="130"/>
      <c r="T118" s="130"/>
      <c r="U118" s="130"/>
      <c r="V118" s="130"/>
      <c r="W118" s="130"/>
      <c r="X118" s="130"/>
      <c r="Y118" s="130"/>
      <c r="Z118" s="130"/>
      <c r="AA118" s="130"/>
      <c r="AB118" s="130"/>
      <c r="AC118" s="130"/>
    </row>
    <row r="119" ht="15.75" customHeight="1">
      <c r="A119" s="124"/>
      <c r="B119" s="124"/>
      <c r="C119" s="124"/>
      <c r="D119" s="124"/>
      <c r="E119" s="124"/>
      <c r="F119" s="124"/>
      <c r="G119" s="124"/>
      <c r="H119" s="124"/>
      <c r="I119" s="124"/>
      <c r="J119" s="124"/>
      <c r="K119" s="124"/>
      <c r="L119" s="124"/>
      <c r="M119" s="124"/>
      <c r="N119" s="130"/>
      <c r="O119" s="130"/>
      <c r="P119" s="130"/>
      <c r="Q119" s="130"/>
      <c r="R119" s="130"/>
      <c r="S119" s="130"/>
      <c r="T119" s="130"/>
      <c r="U119" s="130"/>
      <c r="V119" s="130"/>
      <c r="W119" s="130"/>
      <c r="X119" s="130"/>
      <c r="Y119" s="130"/>
      <c r="Z119" s="130"/>
      <c r="AA119" s="130"/>
      <c r="AB119" s="130"/>
      <c r="AC119" s="130"/>
    </row>
    <row r="120" ht="15.75" customHeight="1">
      <c r="A120" s="124"/>
      <c r="B120" s="124"/>
      <c r="C120" s="124"/>
      <c r="D120" s="124"/>
      <c r="E120" s="124"/>
      <c r="F120" s="124"/>
      <c r="G120" s="124"/>
      <c r="H120" s="124"/>
      <c r="I120" s="124"/>
      <c r="J120" s="124"/>
      <c r="K120" s="124"/>
      <c r="L120" s="124"/>
      <c r="M120" s="124"/>
      <c r="N120" s="130"/>
      <c r="O120" s="130"/>
      <c r="P120" s="130"/>
      <c r="Q120" s="130"/>
      <c r="R120" s="130"/>
      <c r="S120" s="130"/>
      <c r="T120" s="130"/>
      <c r="U120" s="130"/>
      <c r="V120" s="130"/>
      <c r="W120" s="130"/>
      <c r="X120" s="130"/>
      <c r="Y120" s="130"/>
      <c r="Z120" s="130"/>
      <c r="AA120" s="130"/>
      <c r="AB120" s="130"/>
      <c r="AC120" s="130"/>
    </row>
    <row r="121" ht="15.75" customHeight="1">
      <c r="A121" s="124"/>
      <c r="B121" s="124"/>
      <c r="C121" s="124"/>
      <c r="D121" s="124"/>
      <c r="E121" s="124"/>
      <c r="F121" s="124"/>
      <c r="G121" s="124"/>
      <c r="H121" s="124"/>
      <c r="I121" s="124"/>
      <c r="J121" s="124"/>
      <c r="K121" s="124"/>
      <c r="L121" s="124"/>
      <c r="M121" s="124"/>
      <c r="N121" s="130"/>
      <c r="O121" s="130"/>
      <c r="P121" s="130"/>
      <c r="Q121" s="130"/>
      <c r="R121" s="130"/>
      <c r="S121" s="130"/>
      <c r="T121" s="130"/>
      <c r="U121" s="130"/>
      <c r="V121" s="130"/>
      <c r="W121" s="130"/>
      <c r="X121" s="130"/>
      <c r="Y121" s="130"/>
      <c r="Z121" s="130"/>
      <c r="AA121" s="130"/>
      <c r="AB121" s="130"/>
      <c r="AC121" s="130"/>
    </row>
    <row r="122" ht="15.75" customHeight="1">
      <c r="A122" s="124"/>
      <c r="B122" s="124"/>
      <c r="C122" s="124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30"/>
      <c r="O122" s="130"/>
      <c r="P122" s="130"/>
      <c r="Q122" s="130"/>
      <c r="R122" s="130"/>
      <c r="S122" s="130"/>
      <c r="T122" s="130"/>
      <c r="U122" s="130"/>
      <c r="V122" s="130"/>
      <c r="W122" s="130"/>
      <c r="X122" s="130"/>
      <c r="Y122" s="130"/>
      <c r="Z122" s="130"/>
      <c r="AA122" s="130"/>
      <c r="AB122" s="130"/>
      <c r="AC122" s="130"/>
    </row>
    <row r="123" ht="15.75" customHeight="1">
      <c r="A123" s="124"/>
      <c r="B123" s="124"/>
      <c r="C123" s="124"/>
      <c r="D123" s="124"/>
      <c r="E123" s="124"/>
      <c r="F123" s="124"/>
      <c r="G123" s="124"/>
      <c r="H123" s="124"/>
      <c r="I123" s="124"/>
      <c r="J123" s="124"/>
      <c r="K123" s="124"/>
      <c r="L123" s="124"/>
      <c r="M123" s="124"/>
      <c r="N123" s="130"/>
      <c r="O123" s="130"/>
      <c r="P123" s="130"/>
      <c r="Q123" s="130"/>
      <c r="R123" s="130"/>
      <c r="S123" s="130"/>
      <c r="T123" s="130"/>
      <c r="U123" s="130"/>
      <c r="V123" s="130"/>
      <c r="W123" s="130"/>
      <c r="X123" s="130"/>
      <c r="Y123" s="130"/>
      <c r="Z123" s="130"/>
      <c r="AA123" s="130"/>
      <c r="AB123" s="130"/>
      <c r="AC123" s="130"/>
    </row>
    <row r="124" ht="15.75" customHeight="1">
      <c r="A124" s="124"/>
      <c r="B124" s="124"/>
      <c r="C124" s="124"/>
      <c r="D124" s="124"/>
      <c r="E124" s="124"/>
      <c r="F124" s="124"/>
      <c r="G124" s="124"/>
      <c r="H124" s="124"/>
      <c r="I124" s="124"/>
      <c r="J124" s="124"/>
      <c r="K124" s="124"/>
      <c r="L124" s="124"/>
      <c r="M124" s="124"/>
      <c r="N124" s="130"/>
      <c r="O124" s="130"/>
      <c r="P124" s="130"/>
      <c r="Q124" s="130"/>
      <c r="R124" s="130"/>
      <c r="S124" s="130"/>
      <c r="T124" s="130"/>
      <c r="U124" s="130"/>
      <c r="V124" s="130"/>
      <c r="W124" s="130"/>
      <c r="X124" s="130"/>
      <c r="Y124" s="130"/>
      <c r="Z124" s="130"/>
      <c r="AA124" s="130"/>
      <c r="AB124" s="130"/>
      <c r="AC124" s="130"/>
    </row>
    <row r="125" ht="15.75" customHeight="1">
      <c r="A125" s="124"/>
      <c r="B125" s="124"/>
      <c r="C125" s="124"/>
      <c r="D125" s="124"/>
      <c r="E125" s="124"/>
      <c r="F125" s="124"/>
      <c r="G125" s="124"/>
      <c r="H125" s="124"/>
      <c r="I125" s="124"/>
      <c r="J125" s="124"/>
      <c r="K125" s="124"/>
      <c r="L125" s="124"/>
      <c r="M125" s="124"/>
      <c r="N125" s="130"/>
      <c r="O125" s="130"/>
      <c r="P125" s="130"/>
      <c r="Q125" s="130"/>
      <c r="R125" s="130"/>
      <c r="S125" s="130"/>
      <c r="T125" s="130"/>
      <c r="U125" s="130"/>
      <c r="V125" s="130"/>
      <c r="W125" s="130"/>
      <c r="X125" s="130"/>
      <c r="Y125" s="130"/>
      <c r="Z125" s="130"/>
      <c r="AA125" s="130"/>
      <c r="AB125" s="130"/>
      <c r="AC125" s="130"/>
    </row>
    <row r="126" ht="15.75" customHeight="1">
      <c r="A126" s="124"/>
      <c r="B126" s="124"/>
      <c r="C126" s="124"/>
      <c r="D126" s="124"/>
      <c r="E126" s="124"/>
      <c r="F126" s="124"/>
      <c r="G126" s="124"/>
      <c r="H126" s="124"/>
      <c r="I126" s="124"/>
      <c r="J126" s="124"/>
      <c r="K126" s="124"/>
      <c r="L126" s="124"/>
      <c r="M126" s="124"/>
      <c r="N126" s="130"/>
      <c r="O126" s="130"/>
      <c r="P126" s="130"/>
      <c r="Q126" s="130"/>
      <c r="R126" s="130"/>
      <c r="S126" s="130"/>
      <c r="T126" s="130"/>
      <c r="U126" s="130"/>
      <c r="V126" s="130"/>
      <c r="W126" s="130"/>
      <c r="X126" s="130"/>
      <c r="Y126" s="130"/>
      <c r="Z126" s="130"/>
      <c r="AA126" s="130"/>
      <c r="AB126" s="130"/>
      <c r="AC126" s="130"/>
    </row>
    <row r="127" ht="15.75" customHeight="1">
      <c r="A127" s="124"/>
      <c r="B127" s="124"/>
      <c r="C127" s="124"/>
      <c r="D127" s="124"/>
      <c r="E127" s="124"/>
      <c r="F127" s="124"/>
      <c r="G127" s="124"/>
      <c r="H127" s="124"/>
      <c r="I127" s="124"/>
      <c r="J127" s="124"/>
      <c r="K127" s="124"/>
      <c r="L127" s="124"/>
      <c r="M127" s="124"/>
      <c r="N127" s="130"/>
      <c r="O127" s="130"/>
      <c r="P127" s="130"/>
      <c r="Q127" s="130"/>
      <c r="R127" s="130"/>
      <c r="S127" s="130"/>
      <c r="T127" s="130"/>
      <c r="U127" s="130"/>
      <c r="V127" s="130"/>
      <c r="W127" s="130"/>
      <c r="X127" s="130"/>
      <c r="Y127" s="130"/>
      <c r="Z127" s="130"/>
      <c r="AA127" s="130"/>
      <c r="AB127" s="130"/>
      <c r="AC127" s="130"/>
    </row>
    <row r="128" ht="15.75" customHeight="1">
      <c r="A128" s="124"/>
      <c r="B128" s="124"/>
      <c r="C128" s="124"/>
      <c r="D128" s="124"/>
      <c r="E128" s="124"/>
      <c r="F128" s="124"/>
      <c r="G128" s="124"/>
      <c r="H128" s="124"/>
      <c r="I128" s="124"/>
      <c r="J128" s="124"/>
      <c r="K128" s="124"/>
      <c r="L128" s="124"/>
      <c r="M128" s="124"/>
      <c r="N128" s="130"/>
      <c r="O128" s="130"/>
      <c r="P128" s="130"/>
      <c r="Q128" s="130"/>
      <c r="R128" s="130"/>
      <c r="S128" s="130"/>
      <c r="T128" s="130"/>
      <c r="U128" s="130"/>
      <c r="V128" s="130"/>
      <c r="W128" s="130"/>
      <c r="X128" s="130"/>
      <c r="Y128" s="130"/>
      <c r="Z128" s="130"/>
      <c r="AA128" s="130"/>
      <c r="AB128" s="130"/>
      <c r="AC128" s="130"/>
    </row>
    <row r="129" ht="15.75" customHeight="1">
      <c r="A129" s="124"/>
      <c r="B129" s="124"/>
      <c r="C129" s="124"/>
      <c r="D129" s="124"/>
      <c r="E129" s="124"/>
      <c r="F129" s="124"/>
      <c r="G129" s="124"/>
      <c r="H129" s="124"/>
      <c r="I129" s="124"/>
      <c r="J129" s="124"/>
      <c r="K129" s="124"/>
      <c r="L129" s="124"/>
      <c r="M129" s="124"/>
      <c r="N129" s="130"/>
      <c r="O129" s="130"/>
      <c r="P129" s="130"/>
      <c r="Q129" s="130"/>
      <c r="R129" s="130"/>
      <c r="S129" s="130"/>
      <c r="T129" s="130"/>
      <c r="U129" s="130"/>
      <c r="V129" s="130"/>
      <c r="W129" s="130"/>
      <c r="X129" s="130"/>
      <c r="Y129" s="130"/>
      <c r="Z129" s="130"/>
      <c r="AA129" s="130"/>
      <c r="AB129" s="130"/>
      <c r="AC129" s="130"/>
    </row>
    <row r="130" ht="15.75" customHeight="1">
      <c r="A130" s="124"/>
      <c r="B130" s="124"/>
      <c r="C130" s="124"/>
      <c r="D130" s="124"/>
      <c r="E130" s="124"/>
      <c r="F130" s="124"/>
      <c r="G130" s="124"/>
      <c r="H130" s="124"/>
      <c r="I130" s="124"/>
      <c r="J130" s="124"/>
      <c r="K130" s="124"/>
      <c r="L130" s="124"/>
      <c r="M130" s="124"/>
      <c r="N130" s="130"/>
      <c r="O130" s="130"/>
      <c r="P130" s="130"/>
      <c r="Q130" s="130"/>
      <c r="R130" s="130"/>
      <c r="S130" s="130"/>
      <c r="T130" s="130"/>
      <c r="U130" s="130"/>
      <c r="V130" s="130"/>
      <c r="W130" s="130"/>
      <c r="X130" s="130"/>
      <c r="Y130" s="130"/>
      <c r="Z130" s="130"/>
      <c r="AA130" s="130"/>
      <c r="AB130" s="130"/>
      <c r="AC130" s="130"/>
    </row>
    <row r="131" ht="15.75" customHeight="1">
      <c r="A131" s="124"/>
      <c r="B131" s="124"/>
      <c r="C131" s="124"/>
      <c r="D131" s="124"/>
      <c r="E131" s="124"/>
      <c r="F131" s="124"/>
      <c r="G131" s="124"/>
      <c r="H131" s="124"/>
      <c r="I131" s="124"/>
      <c r="J131" s="124"/>
      <c r="K131" s="124"/>
      <c r="L131" s="124"/>
      <c r="M131" s="124"/>
      <c r="N131" s="130"/>
      <c r="O131" s="130"/>
      <c r="P131" s="130"/>
      <c r="Q131" s="130"/>
      <c r="R131" s="130"/>
      <c r="S131" s="130"/>
      <c r="T131" s="130"/>
      <c r="U131" s="130"/>
      <c r="V131" s="130"/>
      <c r="W131" s="130"/>
      <c r="X131" s="130"/>
      <c r="Y131" s="130"/>
      <c r="Z131" s="130"/>
      <c r="AA131" s="130"/>
      <c r="AB131" s="130"/>
      <c r="AC131" s="130"/>
    </row>
    <row r="132" ht="15.75" customHeight="1">
      <c r="A132" s="124"/>
      <c r="B132" s="124"/>
      <c r="C132" s="124"/>
      <c r="D132" s="124"/>
      <c r="E132" s="124"/>
      <c r="F132" s="124"/>
      <c r="G132" s="124"/>
      <c r="H132" s="124"/>
      <c r="I132" s="124"/>
      <c r="J132" s="124"/>
      <c r="K132" s="124"/>
      <c r="L132" s="124"/>
      <c r="M132" s="124"/>
      <c r="N132" s="130"/>
      <c r="O132" s="130"/>
      <c r="P132" s="130"/>
      <c r="Q132" s="130"/>
      <c r="R132" s="130"/>
      <c r="S132" s="130"/>
      <c r="T132" s="130"/>
      <c r="U132" s="130"/>
      <c r="V132" s="130"/>
      <c r="W132" s="130"/>
      <c r="X132" s="130"/>
      <c r="Y132" s="130"/>
      <c r="Z132" s="130"/>
      <c r="AA132" s="130"/>
      <c r="AB132" s="130"/>
      <c r="AC132" s="130"/>
    </row>
    <row r="133" ht="15.75" customHeight="1">
      <c r="A133" s="124"/>
      <c r="B133" s="124"/>
      <c r="C133" s="124"/>
      <c r="D133" s="124"/>
      <c r="E133" s="124"/>
      <c r="F133" s="124"/>
      <c r="G133" s="124"/>
      <c r="H133" s="124"/>
      <c r="I133" s="124"/>
      <c r="J133" s="124"/>
      <c r="K133" s="124"/>
      <c r="L133" s="124"/>
      <c r="M133" s="124"/>
      <c r="N133" s="130"/>
      <c r="O133" s="130"/>
      <c r="P133" s="130"/>
      <c r="Q133" s="130"/>
      <c r="R133" s="130"/>
      <c r="S133" s="130"/>
      <c r="T133" s="130"/>
      <c r="U133" s="130"/>
      <c r="V133" s="130"/>
      <c r="W133" s="130"/>
      <c r="X133" s="130"/>
      <c r="Y133" s="130"/>
      <c r="Z133" s="130"/>
      <c r="AA133" s="130"/>
      <c r="AB133" s="130"/>
      <c r="AC133" s="130"/>
    </row>
    <row r="134" ht="15.75" customHeight="1">
      <c r="A134" s="124"/>
      <c r="B134" s="124"/>
      <c r="C134" s="124"/>
      <c r="D134" s="124"/>
      <c r="E134" s="124"/>
      <c r="F134" s="124"/>
      <c r="G134" s="124"/>
      <c r="H134" s="124"/>
      <c r="I134" s="124"/>
      <c r="J134" s="124"/>
      <c r="K134" s="124"/>
      <c r="L134" s="124"/>
      <c r="M134" s="124"/>
      <c r="N134" s="130"/>
      <c r="O134" s="130"/>
      <c r="P134" s="130"/>
      <c r="Q134" s="130"/>
      <c r="R134" s="130"/>
      <c r="S134" s="130"/>
      <c r="T134" s="130"/>
      <c r="U134" s="130"/>
      <c r="V134" s="130"/>
      <c r="W134" s="130"/>
      <c r="X134" s="130"/>
      <c r="Y134" s="130"/>
      <c r="Z134" s="130"/>
      <c r="AA134" s="130"/>
      <c r="AB134" s="130"/>
      <c r="AC134" s="130"/>
    </row>
    <row r="135" ht="15.75" customHeight="1">
      <c r="A135" s="124"/>
      <c r="B135" s="124"/>
      <c r="C135" s="124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30"/>
      <c r="O135" s="130"/>
      <c r="P135" s="130"/>
      <c r="Q135" s="130"/>
      <c r="R135" s="130"/>
      <c r="S135" s="130"/>
      <c r="T135" s="130"/>
      <c r="U135" s="130"/>
      <c r="V135" s="130"/>
      <c r="W135" s="130"/>
      <c r="X135" s="130"/>
      <c r="Y135" s="130"/>
      <c r="Z135" s="130"/>
      <c r="AA135" s="130"/>
      <c r="AB135" s="130"/>
      <c r="AC135" s="130"/>
    </row>
    <row r="136" ht="15.75" customHeight="1">
      <c r="A136" s="124"/>
      <c r="B136" s="124"/>
      <c r="C136" s="124"/>
      <c r="D136" s="124"/>
      <c r="E136" s="124"/>
      <c r="F136" s="124"/>
      <c r="G136" s="124"/>
      <c r="H136" s="124"/>
      <c r="I136" s="124"/>
      <c r="J136" s="124"/>
      <c r="K136" s="124"/>
      <c r="L136" s="124"/>
      <c r="M136" s="124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</row>
    <row r="137" ht="15.75" customHeight="1">
      <c r="A137" s="124"/>
      <c r="B137" s="124"/>
      <c r="C137" s="124"/>
      <c r="D137" s="124"/>
      <c r="E137" s="124"/>
      <c r="F137" s="124"/>
      <c r="G137" s="124"/>
      <c r="H137" s="124"/>
      <c r="I137" s="124"/>
      <c r="J137" s="124"/>
      <c r="K137" s="124"/>
      <c r="L137" s="124"/>
      <c r="M137" s="124"/>
      <c r="N137" s="130"/>
      <c r="O137" s="130"/>
      <c r="P137" s="130"/>
      <c r="Q137" s="130"/>
      <c r="R137" s="130"/>
      <c r="S137" s="130"/>
      <c r="T137" s="130"/>
      <c r="U137" s="130"/>
      <c r="V137" s="130"/>
      <c r="W137" s="130"/>
      <c r="X137" s="130"/>
      <c r="Y137" s="130"/>
      <c r="Z137" s="130"/>
      <c r="AA137" s="130"/>
      <c r="AB137" s="130"/>
      <c r="AC137" s="130"/>
    </row>
    <row r="138" ht="15.75" customHeight="1">
      <c r="A138" s="124"/>
      <c r="B138" s="124"/>
      <c r="C138" s="124"/>
      <c r="D138" s="124"/>
      <c r="E138" s="124"/>
      <c r="F138" s="124"/>
      <c r="G138" s="124"/>
      <c r="H138" s="124"/>
      <c r="I138" s="124"/>
      <c r="J138" s="124"/>
      <c r="K138" s="124"/>
      <c r="L138" s="124"/>
      <c r="M138" s="124"/>
      <c r="N138" s="130"/>
      <c r="O138" s="130"/>
      <c r="P138" s="130"/>
      <c r="Q138" s="130"/>
      <c r="R138" s="130"/>
      <c r="S138" s="130"/>
      <c r="T138" s="130"/>
      <c r="U138" s="130"/>
      <c r="V138" s="130"/>
      <c r="W138" s="130"/>
      <c r="X138" s="130"/>
      <c r="Y138" s="130"/>
      <c r="Z138" s="130"/>
      <c r="AA138" s="130"/>
      <c r="AB138" s="130"/>
      <c r="AC138" s="130"/>
    </row>
    <row r="139" ht="15.75" customHeight="1">
      <c r="A139" s="124"/>
      <c r="B139" s="124"/>
      <c r="C139" s="124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30"/>
      <c r="O139" s="130"/>
      <c r="P139" s="130"/>
      <c r="Q139" s="130"/>
      <c r="R139" s="130"/>
      <c r="S139" s="130"/>
      <c r="T139" s="130"/>
      <c r="U139" s="130"/>
      <c r="V139" s="130"/>
      <c r="W139" s="130"/>
      <c r="X139" s="130"/>
      <c r="Y139" s="130"/>
      <c r="Z139" s="130"/>
      <c r="AA139" s="130"/>
      <c r="AB139" s="130"/>
      <c r="AC139" s="130"/>
    </row>
    <row r="140" ht="15.75" customHeight="1">
      <c r="A140" s="124"/>
      <c r="B140" s="124"/>
      <c r="C140" s="124"/>
      <c r="D140" s="124"/>
      <c r="E140" s="124"/>
      <c r="F140" s="124"/>
      <c r="G140" s="124"/>
      <c r="H140" s="124"/>
      <c r="I140" s="124"/>
      <c r="J140" s="124"/>
      <c r="K140" s="124"/>
      <c r="L140" s="124"/>
      <c r="M140" s="124"/>
      <c r="N140" s="130"/>
      <c r="O140" s="130"/>
      <c r="P140" s="130"/>
      <c r="Q140" s="130"/>
      <c r="R140" s="130"/>
      <c r="S140" s="130"/>
      <c r="T140" s="130"/>
      <c r="U140" s="130"/>
      <c r="V140" s="130"/>
      <c r="W140" s="130"/>
      <c r="X140" s="130"/>
      <c r="Y140" s="130"/>
      <c r="Z140" s="130"/>
      <c r="AA140" s="130"/>
      <c r="AB140" s="130"/>
      <c r="AC140" s="130"/>
    </row>
    <row r="141" ht="15.75" customHeight="1">
      <c r="A141" s="124"/>
      <c r="B141" s="124"/>
      <c r="C141" s="124"/>
      <c r="D141" s="124"/>
      <c r="E141" s="124"/>
      <c r="F141" s="124"/>
      <c r="G141" s="124"/>
      <c r="H141" s="124"/>
      <c r="I141" s="124"/>
      <c r="J141" s="124"/>
      <c r="K141" s="124"/>
      <c r="L141" s="124"/>
      <c r="M141" s="124"/>
      <c r="N141" s="130"/>
      <c r="O141" s="130"/>
      <c r="P141" s="130"/>
      <c r="Q141" s="130"/>
      <c r="R141" s="130"/>
      <c r="S141" s="130"/>
      <c r="T141" s="130"/>
      <c r="U141" s="130"/>
      <c r="V141" s="130"/>
      <c r="W141" s="130"/>
      <c r="X141" s="130"/>
      <c r="Y141" s="130"/>
      <c r="Z141" s="130"/>
      <c r="AA141" s="130"/>
      <c r="AB141" s="130"/>
      <c r="AC141" s="130"/>
    </row>
    <row r="142" ht="15.75" customHeight="1">
      <c r="A142" s="124"/>
      <c r="B142" s="124"/>
      <c r="C142" s="124"/>
      <c r="D142" s="124"/>
      <c r="E142" s="124"/>
      <c r="F142" s="124"/>
      <c r="G142" s="124"/>
      <c r="H142" s="124"/>
      <c r="I142" s="124"/>
      <c r="J142" s="124"/>
      <c r="K142" s="124"/>
      <c r="L142" s="124"/>
      <c r="M142" s="124"/>
      <c r="N142" s="130"/>
      <c r="O142" s="130"/>
      <c r="P142" s="130"/>
      <c r="Q142" s="130"/>
      <c r="R142" s="130"/>
      <c r="S142" s="130"/>
      <c r="T142" s="130"/>
      <c r="U142" s="130"/>
      <c r="V142" s="130"/>
      <c r="W142" s="130"/>
      <c r="X142" s="130"/>
      <c r="Y142" s="130"/>
      <c r="Z142" s="130"/>
      <c r="AA142" s="130"/>
      <c r="AB142" s="130"/>
      <c r="AC142" s="130"/>
    </row>
    <row r="143" ht="15.75" customHeight="1">
      <c r="A143" s="124"/>
      <c r="B143" s="124"/>
      <c r="C143" s="124"/>
      <c r="D143" s="124"/>
      <c r="E143" s="124"/>
      <c r="F143" s="124"/>
      <c r="G143" s="124"/>
      <c r="H143" s="124"/>
      <c r="I143" s="124"/>
      <c r="J143" s="124"/>
      <c r="K143" s="124"/>
      <c r="L143" s="124"/>
      <c r="M143" s="124"/>
      <c r="N143" s="130"/>
      <c r="O143" s="130"/>
      <c r="P143" s="130"/>
      <c r="Q143" s="130"/>
      <c r="R143" s="130"/>
      <c r="S143" s="130"/>
      <c r="T143" s="130"/>
      <c r="U143" s="130"/>
      <c r="V143" s="130"/>
      <c r="W143" s="130"/>
      <c r="X143" s="130"/>
      <c r="Y143" s="130"/>
      <c r="Z143" s="130"/>
      <c r="AA143" s="130"/>
      <c r="AB143" s="130"/>
      <c r="AC143" s="130"/>
    </row>
    <row r="144" ht="15.75" customHeight="1">
      <c r="A144" s="124"/>
      <c r="B144" s="124"/>
      <c r="C144" s="124"/>
      <c r="D144" s="124"/>
      <c r="E144" s="124"/>
      <c r="F144" s="124"/>
      <c r="G144" s="124"/>
      <c r="H144" s="124"/>
      <c r="I144" s="124"/>
      <c r="J144" s="124"/>
      <c r="K144" s="124"/>
      <c r="L144" s="124"/>
      <c r="M144" s="124"/>
      <c r="N144" s="130"/>
      <c r="O144" s="130"/>
      <c r="P144" s="130"/>
      <c r="Q144" s="130"/>
      <c r="R144" s="130"/>
      <c r="S144" s="130"/>
      <c r="T144" s="130"/>
      <c r="U144" s="130"/>
      <c r="V144" s="130"/>
      <c r="W144" s="130"/>
      <c r="X144" s="130"/>
      <c r="Y144" s="130"/>
      <c r="Z144" s="130"/>
      <c r="AA144" s="130"/>
      <c r="AB144" s="130"/>
      <c r="AC144" s="130"/>
    </row>
    <row r="145" ht="15.75" customHeight="1">
      <c r="A145" s="124"/>
      <c r="B145" s="124"/>
      <c r="C145" s="124"/>
      <c r="D145" s="124"/>
      <c r="E145" s="124"/>
      <c r="F145" s="124"/>
      <c r="G145" s="124"/>
      <c r="H145" s="124"/>
      <c r="I145" s="124"/>
      <c r="J145" s="124"/>
      <c r="K145" s="124"/>
      <c r="L145" s="124"/>
      <c r="M145" s="124"/>
      <c r="N145" s="130"/>
      <c r="O145" s="130"/>
      <c r="P145" s="130"/>
      <c r="Q145" s="130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  <c r="AB145" s="130"/>
      <c r="AC145" s="130"/>
    </row>
    <row r="146" ht="15.75" customHeight="1">
      <c r="A146" s="124"/>
      <c r="B146" s="124"/>
      <c r="C146" s="124"/>
      <c r="D146" s="124"/>
      <c r="E146" s="124"/>
      <c r="F146" s="124"/>
      <c r="G146" s="124"/>
      <c r="H146" s="124"/>
      <c r="I146" s="124"/>
      <c r="J146" s="124"/>
      <c r="K146" s="124"/>
      <c r="L146" s="124"/>
      <c r="M146" s="124"/>
      <c r="N146" s="130"/>
      <c r="O146" s="130"/>
      <c r="P146" s="130"/>
      <c r="Q146" s="130"/>
      <c r="R146" s="130"/>
      <c r="S146" s="130"/>
      <c r="T146" s="130"/>
      <c r="U146" s="130"/>
      <c r="V146" s="130"/>
      <c r="W146" s="130"/>
      <c r="X146" s="130"/>
      <c r="Y146" s="130"/>
      <c r="Z146" s="130"/>
      <c r="AA146" s="130"/>
      <c r="AB146" s="130"/>
      <c r="AC146" s="130"/>
    </row>
    <row r="147" ht="15.75" customHeight="1">
      <c r="A147" s="124"/>
      <c r="B147" s="124"/>
      <c r="C147" s="124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30"/>
      <c r="O147" s="130"/>
      <c r="P147" s="130"/>
      <c r="Q147" s="130"/>
      <c r="R147" s="130"/>
      <c r="S147" s="130"/>
      <c r="T147" s="130"/>
      <c r="U147" s="130"/>
      <c r="V147" s="130"/>
      <c r="W147" s="130"/>
      <c r="X147" s="130"/>
      <c r="Y147" s="130"/>
      <c r="Z147" s="130"/>
      <c r="AA147" s="130"/>
      <c r="AB147" s="130"/>
      <c r="AC147" s="130"/>
    </row>
    <row r="148" ht="15.75" customHeight="1">
      <c r="A148" s="124"/>
      <c r="B148" s="124"/>
      <c r="C148" s="124"/>
      <c r="D148" s="124"/>
      <c r="E148" s="124"/>
      <c r="F148" s="124"/>
      <c r="G148" s="124"/>
      <c r="H148" s="124"/>
      <c r="I148" s="124"/>
      <c r="J148" s="124"/>
      <c r="K148" s="124"/>
      <c r="L148" s="124"/>
      <c r="M148" s="124"/>
      <c r="N148" s="130"/>
      <c r="O148" s="130"/>
      <c r="P148" s="130"/>
      <c r="Q148" s="130"/>
      <c r="R148" s="130"/>
      <c r="S148" s="130"/>
      <c r="T148" s="130"/>
      <c r="U148" s="130"/>
      <c r="V148" s="130"/>
      <c r="W148" s="130"/>
      <c r="X148" s="130"/>
      <c r="Y148" s="130"/>
      <c r="Z148" s="130"/>
      <c r="AA148" s="130"/>
      <c r="AB148" s="130"/>
      <c r="AC148" s="130"/>
    </row>
    <row r="149" ht="15.75" customHeight="1">
      <c r="A149" s="124"/>
      <c r="B149" s="124"/>
      <c r="C149" s="124"/>
      <c r="D149" s="124"/>
      <c r="E149" s="124"/>
      <c r="F149" s="124"/>
      <c r="G149" s="124"/>
      <c r="H149" s="124"/>
      <c r="I149" s="124"/>
      <c r="J149" s="124"/>
      <c r="K149" s="124"/>
      <c r="L149" s="124"/>
      <c r="M149" s="124"/>
      <c r="N149" s="130"/>
      <c r="O149" s="130"/>
      <c r="P149" s="130"/>
      <c r="Q149" s="130"/>
      <c r="R149" s="130"/>
      <c r="S149" s="130"/>
      <c r="T149" s="130"/>
      <c r="U149" s="130"/>
      <c r="V149" s="130"/>
      <c r="W149" s="130"/>
      <c r="X149" s="130"/>
      <c r="Y149" s="130"/>
      <c r="Z149" s="130"/>
      <c r="AA149" s="130"/>
      <c r="AB149" s="130"/>
      <c r="AC149" s="130"/>
    </row>
    <row r="150" ht="15.75" customHeight="1">
      <c r="A150" s="124"/>
      <c r="B150" s="124"/>
      <c r="C150" s="124"/>
      <c r="D150" s="124"/>
      <c r="E150" s="124"/>
      <c r="F150" s="124"/>
      <c r="G150" s="124"/>
      <c r="H150" s="124"/>
      <c r="I150" s="124"/>
      <c r="J150" s="124"/>
      <c r="K150" s="124"/>
      <c r="L150" s="124"/>
      <c r="M150" s="124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130"/>
      <c r="AB150" s="130"/>
      <c r="AC150" s="130"/>
    </row>
    <row r="151" ht="15.75" customHeight="1">
      <c r="A151" s="124"/>
      <c r="B151" s="124"/>
      <c r="C151" s="124"/>
      <c r="D151" s="124"/>
      <c r="E151" s="124"/>
      <c r="F151" s="124"/>
      <c r="G151" s="124"/>
      <c r="H151" s="124"/>
      <c r="I151" s="124"/>
      <c r="J151" s="124"/>
      <c r="K151" s="124"/>
      <c r="L151" s="124"/>
      <c r="M151" s="124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  <c r="AA151" s="130"/>
      <c r="AB151" s="130"/>
      <c r="AC151" s="130"/>
    </row>
    <row r="152" ht="15.75" customHeight="1">
      <c r="A152" s="124"/>
      <c r="B152" s="124"/>
      <c r="C152" s="124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</row>
    <row r="153" ht="15.75" customHeight="1">
      <c r="A153" s="124"/>
      <c r="B153" s="124"/>
      <c r="C153" s="124"/>
      <c r="D153" s="124"/>
      <c r="E153" s="124"/>
      <c r="F153" s="124"/>
      <c r="G153" s="124"/>
      <c r="H153" s="124"/>
      <c r="I153" s="124"/>
      <c r="J153" s="124"/>
      <c r="K153" s="124"/>
      <c r="L153" s="124"/>
      <c r="M153" s="124"/>
      <c r="N153" s="130"/>
      <c r="O153" s="130"/>
      <c r="P153" s="130"/>
      <c r="Q153" s="130"/>
      <c r="R153" s="130"/>
      <c r="S153" s="130"/>
      <c r="T153" s="130"/>
      <c r="U153" s="130"/>
      <c r="V153" s="130"/>
      <c r="W153" s="130"/>
      <c r="X153" s="130"/>
      <c r="Y153" s="130"/>
      <c r="Z153" s="130"/>
      <c r="AA153" s="130"/>
      <c r="AB153" s="130"/>
      <c r="AC153" s="130"/>
    </row>
    <row r="154" ht="15.75" customHeight="1">
      <c r="A154" s="124"/>
      <c r="B154" s="124"/>
      <c r="C154" s="124"/>
      <c r="D154" s="124"/>
      <c r="E154" s="124"/>
      <c r="F154" s="124"/>
      <c r="G154" s="124"/>
      <c r="H154" s="124"/>
      <c r="I154" s="124"/>
      <c r="J154" s="124"/>
      <c r="K154" s="124"/>
      <c r="L154" s="124"/>
      <c r="M154" s="124"/>
      <c r="N154" s="130"/>
      <c r="O154" s="130"/>
      <c r="P154" s="130"/>
      <c r="Q154" s="130"/>
      <c r="R154" s="130"/>
      <c r="S154" s="130"/>
      <c r="T154" s="130"/>
      <c r="U154" s="130"/>
      <c r="V154" s="130"/>
      <c r="W154" s="130"/>
      <c r="X154" s="130"/>
      <c r="Y154" s="130"/>
      <c r="Z154" s="130"/>
      <c r="AA154" s="130"/>
      <c r="AB154" s="130"/>
      <c r="AC154" s="130"/>
    </row>
    <row r="155" ht="15.75" customHeight="1">
      <c r="A155" s="124"/>
      <c r="B155" s="124"/>
      <c r="C155" s="124"/>
      <c r="D155" s="124"/>
      <c r="E155" s="124"/>
      <c r="F155" s="124"/>
      <c r="G155" s="124"/>
      <c r="H155" s="124"/>
      <c r="I155" s="124"/>
      <c r="J155" s="124"/>
      <c r="K155" s="124"/>
      <c r="L155" s="124"/>
      <c r="M155" s="124"/>
      <c r="N155" s="130"/>
      <c r="O155" s="130"/>
      <c r="P155" s="130"/>
      <c r="Q155" s="130"/>
      <c r="R155" s="130"/>
      <c r="S155" s="130"/>
      <c r="T155" s="130"/>
      <c r="U155" s="130"/>
      <c r="V155" s="130"/>
      <c r="W155" s="130"/>
      <c r="X155" s="130"/>
      <c r="Y155" s="130"/>
      <c r="Z155" s="130"/>
      <c r="AA155" s="130"/>
      <c r="AB155" s="130"/>
      <c r="AC155" s="130"/>
    </row>
    <row r="156" ht="15.75" customHeight="1">
      <c r="A156" s="124"/>
      <c r="B156" s="124"/>
      <c r="C156" s="124"/>
      <c r="D156" s="124"/>
      <c r="E156" s="124"/>
      <c r="F156" s="124"/>
      <c r="G156" s="124"/>
      <c r="H156" s="124"/>
      <c r="I156" s="124"/>
      <c r="J156" s="124"/>
      <c r="K156" s="124"/>
      <c r="L156" s="124"/>
      <c r="M156" s="124"/>
      <c r="N156" s="130"/>
      <c r="O156" s="130"/>
      <c r="P156" s="130"/>
      <c r="Q156" s="130"/>
      <c r="R156" s="130"/>
      <c r="S156" s="130"/>
      <c r="T156" s="130"/>
      <c r="U156" s="130"/>
      <c r="V156" s="130"/>
      <c r="W156" s="130"/>
      <c r="X156" s="130"/>
      <c r="Y156" s="130"/>
      <c r="Z156" s="130"/>
      <c r="AA156" s="130"/>
      <c r="AB156" s="130"/>
      <c r="AC156" s="130"/>
    </row>
    <row r="157" ht="15.75" customHeight="1">
      <c r="A157" s="124"/>
      <c r="B157" s="124"/>
      <c r="C157" s="124"/>
      <c r="D157" s="124"/>
      <c r="E157" s="124"/>
      <c r="F157" s="124"/>
      <c r="G157" s="124"/>
      <c r="H157" s="124"/>
      <c r="I157" s="124"/>
      <c r="J157" s="124"/>
      <c r="K157" s="124"/>
      <c r="L157" s="124"/>
      <c r="M157" s="124"/>
      <c r="N157" s="130"/>
      <c r="O157" s="130"/>
      <c r="P157" s="130"/>
      <c r="Q157" s="130"/>
      <c r="R157" s="130"/>
      <c r="S157" s="130"/>
      <c r="T157" s="130"/>
      <c r="U157" s="130"/>
      <c r="V157" s="130"/>
      <c r="W157" s="130"/>
      <c r="X157" s="130"/>
      <c r="Y157" s="130"/>
      <c r="Z157" s="130"/>
      <c r="AA157" s="130"/>
      <c r="AB157" s="130"/>
      <c r="AC157" s="130"/>
    </row>
    <row r="158" ht="15.75" customHeight="1">
      <c r="A158" s="124"/>
      <c r="B158" s="124"/>
      <c r="C158" s="124"/>
      <c r="D158" s="124"/>
      <c r="E158" s="124"/>
      <c r="F158" s="124"/>
      <c r="G158" s="124"/>
      <c r="H158" s="124"/>
      <c r="I158" s="124"/>
      <c r="J158" s="124"/>
      <c r="K158" s="124"/>
      <c r="L158" s="124"/>
      <c r="M158" s="124"/>
      <c r="N158" s="130"/>
      <c r="O158" s="130"/>
      <c r="P158" s="130"/>
      <c r="Q158" s="130"/>
      <c r="R158" s="130"/>
      <c r="S158" s="130"/>
      <c r="T158" s="130"/>
      <c r="U158" s="130"/>
      <c r="V158" s="130"/>
      <c r="W158" s="130"/>
      <c r="X158" s="130"/>
      <c r="Y158" s="130"/>
      <c r="Z158" s="130"/>
      <c r="AA158" s="130"/>
      <c r="AB158" s="130"/>
      <c r="AC158" s="130"/>
    </row>
    <row r="159" ht="15.75" customHeight="1">
      <c r="A159" s="124"/>
      <c r="B159" s="124"/>
      <c r="C159" s="124"/>
      <c r="D159" s="124"/>
      <c r="E159" s="124"/>
      <c r="F159" s="124"/>
      <c r="G159" s="124"/>
      <c r="H159" s="124"/>
      <c r="I159" s="124"/>
      <c r="J159" s="124"/>
      <c r="K159" s="124"/>
      <c r="L159" s="124"/>
      <c r="M159" s="124"/>
      <c r="N159" s="130"/>
      <c r="O159" s="130"/>
      <c r="P159" s="130"/>
      <c r="Q159" s="130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</row>
    <row r="160" ht="15.75" customHeight="1">
      <c r="A160" s="124"/>
      <c r="B160" s="124"/>
      <c r="C160" s="124"/>
      <c r="D160" s="124"/>
      <c r="E160" s="124"/>
      <c r="F160" s="124"/>
      <c r="G160" s="124"/>
      <c r="H160" s="124"/>
      <c r="I160" s="124"/>
      <c r="J160" s="124"/>
      <c r="K160" s="124"/>
      <c r="L160" s="124"/>
      <c r="M160" s="124"/>
      <c r="N160" s="130"/>
      <c r="O160" s="130"/>
      <c r="P160" s="130"/>
      <c r="Q160" s="130"/>
      <c r="R160" s="130"/>
      <c r="S160" s="130"/>
      <c r="T160" s="130"/>
      <c r="U160" s="130"/>
      <c r="V160" s="130"/>
      <c r="W160" s="130"/>
      <c r="X160" s="130"/>
      <c r="Y160" s="130"/>
      <c r="Z160" s="130"/>
      <c r="AA160" s="130"/>
      <c r="AB160" s="130"/>
      <c r="AC160" s="130"/>
    </row>
    <row r="161" ht="15.75" customHeight="1">
      <c r="A161" s="124"/>
      <c r="B161" s="124"/>
      <c r="C161" s="124"/>
      <c r="D161" s="124"/>
      <c r="E161" s="124"/>
      <c r="F161" s="124"/>
      <c r="G161" s="124"/>
      <c r="H161" s="124"/>
      <c r="I161" s="124"/>
      <c r="J161" s="124"/>
      <c r="K161" s="124"/>
      <c r="L161" s="124"/>
      <c r="M161" s="124"/>
      <c r="N161" s="130"/>
      <c r="O161" s="130"/>
      <c r="P161" s="130"/>
      <c r="Q161" s="130"/>
      <c r="R161" s="130"/>
      <c r="S161" s="130"/>
      <c r="T161" s="130"/>
      <c r="U161" s="130"/>
      <c r="V161" s="130"/>
      <c r="W161" s="130"/>
      <c r="X161" s="130"/>
      <c r="Y161" s="130"/>
      <c r="Z161" s="130"/>
      <c r="AA161" s="130"/>
      <c r="AB161" s="130"/>
      <c r="AC161" s="130"/>
    </row>
    <row r="162" ht="15.75" customHeight="1">
      <c r="A162" s="124"/>
      <c r="B162" s="124"/>
      <c r="C162" s="124"/>
      <c r="D162" s="124"/>
      <c r="E162" s="124"/>
      <c r="F162" s="124"/>
      <c r="G162" s="124"/>
      <c r="H162" s="124"/>
      <c r="I162" s="124"/>
      <c r="J162" s="124"/>
      <c r="K162" s="124"/>
      <c r="L162" s="124"/>
      <c r="M162" s="124"/>
      <c r="N162" s="130"/>
      <c r="O162" s="130"/>
      <c r="P162" s="130"/>
      <c r="Q162" s="130"/>
      <c r="R162" s="130"/>
      <c r="S162" s="130"/>
      <c r="T162" s="130"/>
      <c r="U162" s="130"/>
      <c r="V162" s="130"/>
      <c r="W162" s="130"/>
      <c r="X162" s="130"/>
      <c r="Y162" s="130"/>
      <c r="Z162" s="130"/>
      <c r="AA162" s="130"/>
      <c r="AB162" s="130"/>
      <c r="AC162" s="130"/>
    </row>
    <row r="163" ht="15.75" customHeight="1">
      <c r="A163" s="124"/>
      <c r="B163" s="124"/>
      <c r="C163" s="124"/>
      <c r="D163" s="124"/>
      <c r="E163" s="124"/>
      <c r="F163" s="124"/>
      <c r="G163" s="124"/>
      <c r="H163" s="124"/>
      <c r="I163" s="124"/>
      <c r="J163" s="124"/>
      <c r="K163" s="124"/>
      <c r="L163" s="124"/>
      <c r="M163" s="124"/>
      <c r="N163" s="130"/>
      <c r="O163" s="130"/>
      <c r="P163" s="130"/>
      <c r="Q163" s="130"/>
      <c r="R163" s="130"/>
      <c r="S163" s="130"/>
      <c r="T163" s="130"/>
      <c r="U163" s="130"/>
      <c r="V163" s="130"/>
      <c r="W163" s="130"/>
      <c r="X163" s="130"/>
      <c r="Y163" s="130"/>
      <c r="Z163" s="130"/>
      <c r="AA163" s="130"/>
      <c r="AB163" s="130"/>
      <c r="AC163" s="130"/>
    </row>
    <row r="164" ht="15.75" customHeight="1">
      <c r="A164" s="124"/>
      <c r="B164" s="124"/>
      <c r="C164" s="124"/>
      <c r="D164" s="124"/>
      <c r="E164" s="124"/>
      <c r="F164" s="124"/>
      <c r="G164" s="124"/>
      <c r="H164" s="124"/>
      <c r="I164" s="124"/>
      <c r="J164" s="124"/>
      <c r="K164" s="124"/>
      <c r="L164" s="124"/>
      <c r="M164" s="124"/>
      <c r="N164" s="130"/>
      <c r="O164" s="130"/>
      <c r="P164" s="130"/>
      <c r="Q164" s="130"/>
      <c r="R164" s="130"/>
      <c r="S164" s="130"/>
      <c r="T164" s="130"/>
      <c r="U164" s="130"/>
      <c r="V164" s="130"/>
      <c r="W164" s="130"/>
      <c r="X164" s="130"/>
      <c r="Y164" s="130"/>
      <c r="Z164" s="130"/>
      <c r="AA164" s="130"/>
      <c r="AB164" s="130"/>
      <c r="AC164" s="130"/>
    </row>
    <row r="165" ht="15.75" customHeight="1">
      <c r="A165" s="124"/>
      <c r="B165" s="124"/>
      <c r="C165" s="124"/>
      <c r="D165" s="124"/>
      <c r="E165" s="124"/>
      <c r="F165" s="124"/>
      <c r="G165" s="124"/>
      <c r="H165" s="124"/>
      <c r="I165" s="124"/>
      <c r="J165" s="124"/>
      <c r="K165" s="124"/>
      <c r="L165" s="124"/>
      <c r="M165" s="124"/>
      <c r="N165" s="130"/>
      <c r="O165" s="130"/>
      <c r="P165" s="130"/>
      <c r="Q165" s="130"/>
      <c r="R165" s="130"/>
      <c r="S165" s="130"/>
      <c r="T165" s="130"/>
      <c r="U165" s="130"/>
      <c r="V165" s="130"/>
      <c r="W165" s="130"/>
      <c r="X165" s="130"/>
      <c r="Y165" s="130"/>
      <c r="Z165" s="130"/>
      <c r="AA165" s="130"/>
      <c r="AB165" s="130"/>
      <c r="AC165" s="130"/>
    </row>
    <row r="166" ht="15.75" customHeight="1">
      <c r="A166" s="124"/>
      <c r="B166" s="124"/>
      <c r="C166" s="124"/>
      <c r="D166" s="124"/>
      <c r="E166" s="124"/>
      <c r="F166" s="124"/>
      <c r="G166" s="124"/>
      <c r="H166" s="124"/>
      <c r="I166" s="124"/>
      <c r="J166" s="124"/>
      <c r="K166" s="124"/>
      <c r="L166" s="124"/>
      <c r="M166" s="124"/>
      <c r="N166" s="130"/>
      <c r="O166" s="130"/>
      <c r="P166" s="130"/>
      <c r="Q166" s="130"/>
      <c r="R166" s="130"/>
      <c r="S166" s="130"/>
      <c r="T166" s="130"/>
      <c r="U166" s="130"/>
      <c r="V166" s="130"/>
      <c r="W166" s="130"/>
      <c r="X166" s="130"/>
      <c r="Y166" s="130"/>
      <c r="Z166" s="130"/>
      <c r="AA166" s="130"/>
      <c r="AB166" s="130"/>
      <c r="AC166" s="130"/>
    </row>
    <row r="167" ht="15.75" customHeight="1">
      <c r="A167" s="124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30"/>
      <c r="O167" s="130"/>
      <c r="P167" s="130"/>
      <c r="Q167" s="130"/>
      <c r="R167" s="130"/>
      <c r="S167" s="130"/>
      <c r="T167" s="130"/>
      <c r="U167" s="130"/>
      <c r="V167" s="130"/>
      <c r="W167" s="130"/>
      <c r="X167" s="130"/>
      <c r="Y167" s="130"/>
      <c r="Z167" s="130"/>
      <c r="AA167" s="130"/>
      <c r="AB167" s="130"/>
      <c r="AC167" s="130"/>
    </row>
    <row r="168" ht="15.75" customHeight="1">
      <c r="A168" s="124"/>
      <c r="B168" s="124"/>
      <c r="C168" s="124"/>
      <c r="D168" s="124"/>
      <c r="E168" s="124"/>
      <c r="F168" s="124"/>
      <c r="G168" s="124"/>
      <c r="H168" s="124"/>
      <c r="I168" s="124"/>
      <c r="J168" s="124"/>
      <c r="K168" s="124"/>
      <c r="L168" s="124"/>
      <c r="M168" s="124"/>
      <c r="N168" s="130"/>
      <c r="O168" s="130"/>
      <c r="P168" s="130"/>
      <c r="Q168" s="130"/>
      <c r="R168" s="130"/>
      <c r="S168" s="130"/>
      <c r="T168" s="130"/>
      <c r="U168" s="130"/>
      <c r="V168" s="130"/>
      <c r="W168" s="130"/>
      <c r="X168" s="130"/>
      <c r="Y168" s="130"/>
      <c r="Z168" s="130"/>
      <c r="AA168" s="130"/>
      <c r="AB168" s="130"/>
      <c r="AC168" s="130"/>
    </row>
    <row r="169" ht="15.75" customHeight="1">
      <c r="A169" s="124"/>
      <c r="B169" s="124"/>
      <c r="C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30"/>
      <c r="O169" s="130"/>
      <c r="P169" s="130"/>
      <c r="Q169" s="130"/>
      <c r="R169" s="130"/>
      <c r="S169" s="130"/>
      <c r="T169" s="130"/>
      <c r="U169" s="130"/>
      <c r="V169" s="130"/>
      <c r="W169" s="130"/>
      <c r="X169" s="130"/>
      <c r="Y169" s="130"/>
      <c r="Z169" s="130"/>
      <c r="AA169" s="130"/>
      <c r="AB169" s="130"/>
      <c r="AC169" s="130"/>
    </row>
    <row r="170" ht="15.75" customHeight="1">
      <c r="A170" s="124"/>
      <c r="B170" s="124"/>
      <c r="C170" s="124"/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30"/>
      <c r="O170" s="130"/>
      <c r="P170" s="130"/>
      <c r="Q170" s="130"/>
      <c r="R170" s="130"/>
      <c r="S170" s="130"/>
      <c r="T170" s="130"/>
      <c r="U170" s="130"/>
      <c r="V170" s="130"/>
      <c r="W170" s="130"/>
      <c r="X170" s="130"/>
      <c r="Y170" s="130"/>
      <c r="Z170" s="130"/>
      <c r="AA170" s="130"/>
      <c r="AB170" s="130"/>
      <c r="AC170" s="130"/>
    </row>
    <row r="171" ht="15.75" customHeight="1">
      <c r="A171" s="124"/>
      <c r="B171" s="124"/>
      <c r="C171" s="124"/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30"/>
      <c r="O171" s="130"/>
      <c r="P171" s="130"/>
      <c r="Q171" s="130"/>
      <c r="R171" s="130"/>
      <c r="S171" s="130"/>
      <c r="T171" s="130"/>
      <c r="U171" s="130"/>
      <c r="V171" s="130"/>
      <c r="W171" s="130"/>
      <c r="X171" s="130"/>
      <c r="Y171" s="130"/>
      <c r="Z171" s="130"/>
      <c r="AA171" s="130"/>
      <c r="AB171" s="130"/>
      <c r="AC171" s="130"/>
    </row>
    <row r="172" ht="15.75" customHeight="1">
      <c r="A172" s="124"/>
      <c r="B172" s="124"/>
      <c r="C172" s="124"/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30"/>
      <c r="O172" s="130"/>
      <c r="P172" s="130"/>
      <c r="Q172" s="130"/>
      <c r="R172" s="130"/>
      <c r="S172" s="130"/>
      <c r="T172" s="130"/>
      <c r="U172" s="130"/>
      <c r="V172" s="130"/>
      <c r="W172" s="130"/>
      <c r="X172" s="130"/>
      <c r="Y172" s="130"/>
      <c r="Z172" s="130"/>
      <c r="AA172" s="130"/>
      <c r="AB172" s="130"/>
      <c r="AC172" s="130"/>
    </row>
    <row r="173" ht="15.75" customHeight="1">
      <c r="A173" s="124"/>
      <c r="B173" s="124"/>
      <c r="C173" s="124"/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30"/>
      <c r="O173" s="130"/>
      <c r="P173" s="130"/>
      <c r="Q173" s="130"/>
      <c r="R173" s="130"/>
      <c r="S173" s="130"/>
      <c r="T173" s="130"/>
      <c r="U173" s="130"/>
      <c r="V173" s="130"/>
      <c r="W173" s="130"/>
      <c r="X173" s="130"/>
      <c r="Y173" s="130"/>
      <c r="Z173" s="130"/>
      <c r="AA173" s="130"/>
      <c r="AB173" s="130"/>
      <c r="AC173" s="130"/>
    </row>
    <row r="174" ht="15.75" customHeight="1">
      <c r="A174" s="124"/>
      <c r="B174" s="124"/>
      <c r="C174" s="124"/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30"/>
      <c r="O174" s="130"/>
      <c r="P174" s="130"/>
      <c r="Q174" s="130"/>
      <c r="R174" s="130"/>
      <c r="S174" s="130"/>
      <c r="T174" s="130"/>
      <c r="U174" s="130"/>
      <c r="V174" s="130"/>
      <c r="W174" s="130"/>
      <c r="X174" s="130"/>
      <c r="Y174" s="130"/>
      <c r="Z174" s="130"/>
      <c r="AA174" s="130"/>
      <c r="AB174" s="130"/>
      <c r="AC174" s="130"/>
    </row>
    <row r="175" ht="15.75" customHeight="1">
      <c r="A175" s="124"/>
      <c r="B175" s="124"/>
      <c r="C175" s="124"/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30"/>
      <c r="O175" s="130"/>
      <c r="P175" s="130"/>
      <c r="Q175" s="130"/>
      <c r="R175" s="130"/>
      <c r="S175" s="130"/>
      <c r="T175" s="130"/>
      <c r="U175" s="130"/>
      <c r="V175" s="130"/>
      <c r="W175" s="130"/>
      <c r="X175" s="130"/>
      <c r="Y175" s="130"/>
      <c r="Z175" s="130"/>
      <c r="AA175" s="130"/>
      <c r="AB175" s="130"/>
      <c r="AC175" s="130"/>
    </row>
    <row r="176" ht="15.75" customHeight="1">
      <c r="A176" s="124"/>
      <c r="B176" s="124"/>
      <c r="C176" s="124"/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30"/>
      <c r="O176" s="130"/>
      <c r="P176" s="130"/>
      <c r="Q176" s="130"/>
      <c r="R176" s="130"/>
      <c r="S176" s="130"/>
      <c r="T176" s="130"/>
      <c r="U176" s="130"/>
      <c r="V176" s="130"/>
      <c r="W176" s="130"/>
      <c r="X176" s="130"/>
      <c r="Y176" s="130"/>
      <c r="Z176" s="130"/>
      <c r="AA176" s="130"/>
      <c r="AB176" s="130"/>
      <c r="AC176" s="130"/>
    </row>
    <row r="177" ht="15.75" customHeight="1">
      <c r="A177" s="124"/>
      <c r="B177" s="124"/>
      <c r="C177" s="124"/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30"/>
      <c r="O177" s="130"/>
      <c r="P177" s="130"/>
      <c r="Q177" s="130"/>
      <c r="R177" s="130"/>
      <c r="S177" s="130"/>
      <c r="T177" s="130"/>
      <c r="U177" s="130"/>
      <c r="V177" s="130"/>
      <c r="W177" s="130"/>
      <c r="X177" s="130"/>
      <c r="Y177" s="130"/>
      <c r="Z177" s="130"/>
      <c r="AA177" s="130"/>
      <c r="AB177" s="130"/>
      <c r="AC177" s="130"/>
    </row>
    <row r="178" ht="15.75" customHeight="1">
      <c r="A178" s="124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30"/>
      <c r="O178" s="130"/>
      <c r="P178" s="130"/>
      <c r="Q178" s="130"/>
      <c r="R178" s="130"/>
      <c r="S178" s="130"/>
      <c r="T178" s="130"/>
      <c r="U178" s="130"/>
      <c r="V178" s="130"/>
      <c r="W178" s="130"/>
      <c r="X178" s="130"/>
      <c r="Y178" s="130"/>
      <c r="Z178" s="130"/>
      <c r="AA178" s="130"/>
      <c r="AB178" s="130"/>
      <c r="AC178" s="130"/>
    </row>
    <row r="179" ht="15.75" customHeight="1">
      <c r="A179" s="124"/>
      <c r="B179" s="124"/>
      <c r="C179" s="124"/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30"/>
      <c r="O179" s="130"/>
      <c r="P179" s="130"/>
      <c r="Q179" s="130"/>
      <c r="R179" s="130"/>
      <c r="S179" s="130"/>
      <c r="T179" s="130"/>
      <c r="U179" s="130"/>
      <c r="V179" s="130"/>
      <c r="W179" s="130"/>
      <c r="X179" s="130"/>
      <c r="Y179" s="130"/>
      <c r="Z179" s="130"/>
      <c r="AA179" s="130"/>
      <c r="AB179" s="130"/>
      <c r="AC179" s="130"/>
    </row>
    <row r="180" ht="15.75" customHeight="1">
      <c r="A180" s="124"/>
      <c r="B180" s="124"/>
      <c r="C180" s="124"/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30"/>
      <c r="O180" s="130"/>
      <c r="P180" s="130"/>
      <c r="Q180" s="130"/>
      <c r="R180" s="130"/>
      <c r="S180" s="130"/>
      <c r="T180" s="130"/>
      <c r="U180" s="130"/>
      <c r="V180" s="130"/>
      <c r="W180" s="130"/>
      <c r="X180" s="130"/>
      <c r="Y180" s="130"/>
      <c r="Z180" s="130"/>
      <c r="AA180" s="130"/>
      <c r="AB180" s="130"/>
      <c r="AC180" s="130"/>
    </row>
    <row r="181" ht="15.75" customHeight="1">
      <c r="A181" s="124"/>
      <c r="B181" s="124"/>
      <c r="C181" s="124"/>
      <c r="D181" s="124"/>
      <c r="E181" s="124"/>
      <c r="F181" s="124"/>
      <c r="G181" s="124"/>
      <c r="H181" s="124"/>
      <c r="I181" s="124"/>
      <c r="J181" s="124"/>
      <c r="K181" s="124"/>
      <c r="L181" s="124"/>
      <c r="M181" s="124"/>
      <c r="N181" s="130"/>
      <c r="O181" s="130"/>
      <c r="P181" s="130"/>
      <c r="Q181" s="130"/>
      <c r="R181" s="130"/>
      <c r="S181" s="130"/>
      <c r="T181" s="130"/>
      <c r="U181" s="130"/>
      <c r="V181" s="130"/>
      <c r="W181" s="130"/>
      <c r="X181" s="130"/>
      <c r="Y181" s="130"/>
      <c r="Z181" s="130"/>
      <c r="AA181" s="130"/>
      <c r="AB181" s="130"/>
      <c r="AC181" s="130"/>
    </row>
    <row r="182" ht="15.75" customHeight="1">
      <c r="A182" s="124"/>
      <c r="B182" s="124"/>
      <c r="C182" s="124"/>
      <c r="D182" s="124"/>
      <c r="E182" s="124"/>
      <c r="F182" s="124"/>
      <c r="G182" s="124"/>
      <c r="H182" s="124"/>
      <c r="I182" s="124"/>
      <c r="J182" s="124"/>
      <c r="K182" s="124"/>
      <c r="L182" s="124"/>
      <c r="M182" s="124"/>
      <c r="N182" s="130"/>
      <c r="O182" s="130"/>
      <c r="P182" s="130"/>
      <c r="Q182" s="130"/>
      <c r="R182" s="130"/>
      <c r="S182" s="130"/>
      <c r="T182" s="130"/>
      <c r="U182" s="130"/>
      <c r="V182" s="130"/>
      <c r="W182" s="130"/>
      <c r="X182" s="130"/>
      <c r="Y182" s="130"/>
      <c r="Z182" s="130"/>
      <c r="AA182" s="130"/>
      <c r="AB182" s="130"/>
      <c r="AC182" s="130"/>
    </row>
    <row r="183" ht="15.75" customHeight="1">
      <c r="A183" s="124"/>
      <c r="B183" s="124"/>
      <c r="C183" s="124"/>
      <c r="D183" s="124"/>
      <c r="E183" s="124"/>
      <c r="F183" s="124"/>
      <c r="G183" s="124"/>
      <c r="H183" s="124"/>
      <c r="I183" s="124"/>
      <c r="J183" s="124"/>
      <c r="K183" s="124"/>
      <c r="L183" s="124"/>
      <c r="M183" s="124"/>
      <c r="N183" s="130"/>
      <c r="O183" s="130"/>
      <c r="P183" s="130"/>
      <c r="Q183" s="130"/>
      <c r="R183" s="130"/>
      <c r="S183" s="130"/>
      <c r="T183" s="130"/>
      <c r="U183" s="130"/>
      <c r="V183" s="130"/>
      <c r="W183" s="130"/>
      <c r="X183" s="130"/>
      <c r="Y183" s="130"/>
      <c r="Z183" s="130"/>
      <c r="AA183" s="130"/>
      <c r="AB183" s="130"/>
      <c r="AC183" s="130"/>
    </row>
    <row r="184" ht="15.75" customHeight="1">
      <c r="A184" s="124"/>
      <c r="B184" s="124"/>
      <c r="C184" s="124"/>
      <c r="D184" s="124"/>
      <c r="E184" s="124"/>
      <c r="F184" s="124"/>
      <c r="G184" s="124"/>
      <c r="H184" s="124"/>
      <c r="I184" s="124"/>
      <c r="J184" s="124"/>
      <c r="K184" s="124"/>
      <c r="L184" s="124"/>
      <c r="M184" s="124"/>
      <c r="N184" s="130"/>
      <c r="O184" s="130"/>
      <c r="P184" s="130"/>
      <c r="Q184" s="130"/>
      <c r="R184" s="130"/>
      <c r="S184" s="130"/>
      <c r="T184" s="130"/>
      <c r="U184" s="130"/>
      <c r="V184" s="130"/>
      <c r="W184" s="130"/>
      <c r="X184" s="130"/>
      <c r="Y184" s="130"/>
      <c r="Z184" s="130"/>
      <c r="AA184" s="130"/>
      <c r="AB184" s="130"/>
      <c r="AC184" s="130"/>
    </row>
    <row r="185" ht="15.75" customHeight="1">
      <c r="A185" s="124"/>
      <c r="B185" s="124"/>
      <c r="C185" s="124"/>
      <c r="D185" s="124"/>
      <c r="E185" s="124"/>
      <c r="F185" s="124"/>
      <c r="G185" s="124"/>
      <c r="H185" s="124"/>
      <c r="I185" s="124"/>
      <c r="J185" s="124"/>
      <c r="K185" s="124"/>
      <c r="L185" s="124"/>
      <c r="M185" s="124"/>
      <c r="N185" s="130"/>
      <c r="O185" s="130"/>
      <c r="P185" s="130"/>
      <c r="Q185" s="130"/>
      <c r="R185" s="130"/>
      <c r="S185" s="130"/>
      <c r="T185" s="130"/>
      <c r="U185" s="130"/>
      <c r="V185" s="130"/>
      <c r="W185" s="130"/>
      <c r="X185" s="130"/>
      <c r="Y185" s="130"/>
      <c r="Z185" s="130"/>
      <c r="AA185" s="130"/>
      <c r="AB185" s="130"/>
      <c r="AC185" s="130"/>
    </row>
    <row r="186" ht="15.75" customHeight="1">
      <c r="A186" s="124"/>
      <c r="B186" s="124"/>
      <c r="C186" s="124"/>
      <c r="D186" s="124"/>
      <c r="E186" s="124"/>
      <c r="F186" s="124"/>
      <c r="G186" s="124"/>
      <c r="H186" s="124"/>
      <c r="I186" s="124"/>
      <c r="J186" s="124"/>
      <c r="K186" s="124"/>
      <c r="L186" s="124"/>
      <c r="M186" s="124"/>
      <c r="N186" s="130"/>
      <c r="O186" s="130"/>
      <c r="P186" s="130"/>
      <c r="Q186" s="130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  <c r="AC186" s="130"/>
    </row>
    <row r="187" ht="15.75" customHeight="1">
      <c r="A187" s="124"/>
      <c r="B187" s="124"/>
      <c r="C187" s="124"/>
      <c r="D187" s="124"/>
      <c r="E187" s="124"/>
      <c r="F187" s="124"/>
      <c r="G187" s="124"/>
      <c r="H187" s="124"/>
      <c r="I187" s="124"/>
      <c r="J187" s="124"/>
      <c r="K187" s="124"/>
      <c r="L187" s="124"/>
      <c r="M187" s="124"/>
      <c r="N187" s="130"/>
      <c r="O187" s="130"/>
      <c r="P187" s="130"/>
      <c r="Q187" s="130"/>
      <c r="R187" s="130"/>
      <c r="S187" s="130"/>
      <c r="T187" s="130"/>
      <c r="U187" s="130"/>
      <c r="V187" s="130"/>
      <c r="W187" s="130"/>
      <c r="X187" s="130"/>
      <c r="Y187" s="130"/>
      <c r="Z187" s="130"/>
      <c r="AA187" s="130"/>
      <c r="AB187" s="130"/>
      <c r="AC187" s="130"/>
    </row>
    <row r="188" ht="15.75" customHeight="1">
      <c r="A188" s="124"/>
      <c r="B188" s="124"/>
      <c r="C188" s="124"/>
      <c r="D188" s="124"/>
      <c r="E188" s="124"/>
      <c r="F188" s="124"/>
      <c r="G188" s="124"/>
      <c r="H188" s="124"/>
      <c r="I188" s="124"/>
      <c r="J188" s="124"/>
      <c r="K188" s="124"/>
      <c r="L188" s="124"/>
      <c r="M188" s="124"/>
      <c r="N188" s="130"/>
      <c r="O188" s="130"/>
      <c r="P188" s="130"/>
      <c r="Q188" s="130"/>
      <c r="R188" s="130"/>
      <c r="S188" s="130"/>
      <c r="T188" s="130"/>
      <c r="U188" s="130"/>
      <c r="V188" s="130"/>
      <c r="W188" s="130"/>
      <c r="X188" s="130"/>
      <c r="Y188" s="130"/>
      <c r="Z188" s="130"/>
      <c r="AA188" s="130"/>
      <c r="AB188" s="130"/>
      <c r="AC188" s="130"/>
    </row>
    <row r="189" ht="15.75" customHeight="1">
      <c r="A189" s="124"/>
      <c r="B189" s="124"/>
      <c r="C189" s="124"/>
      <c r="D189" s="124"/>
      <c r="E189" s="124"/>
      <c r="F189" s="124"/>
      <c r="G189" s="124"/>
      <c r="H189" s="124"/>
      <c r="I189" s="124"/>
      <c r="J189" s="124"/>
      <c r="K189" s="124"/>
      <c r="L189" s="124"/>
      <c r="M189" s="124"/>
      <c r="N189" s="130"/>
      <c r="O189" s="130"/>
      <c r="P189" s="130"/>
      <c r="Q189" s="130"/>
      <c r="R189" s="130"/>
      <c r="S189" s="130"/>
      <c r="T189" s="130"/>
      <c r="U189" s="130"/>
      <c r="V189" s="130"/>
      <c r="W189" s="130"/>
      <c r="X189" s="130"/>
      <c r="Y189" s="130"/>
      <c r="Z189" s="130"/>
      <c r="AA189" s="130"/>
      <c r="AB189" s="130"/>
      <c r="AC189" s="130"/>
    </row>
    <row r="190" ht="15.75" customHeight="1">
      <c r="A190" s="124"/>
      <c r="B190" s="124"/>
      <c r="C190" s="124"/>
      <c r="D190" s="124"/>
      <c r="E190" s="124"/>
      <c r="F190" s="124"/>
      <c r="G190" s="124"/>
      <c r="H190" s="124"/>
      <c r="I190" s="124"/>
      <c r="J190" s="124"/>
      <c r="K190" s="124"/>
      <c r="L190" s="124"/>
      <c r="M190" s="124"/>
      <c r="N190" s="130"/>
      <c r="O190" s="130"/>
      <c r="P190" s="130"/>
      <c r="Q190" s="130"/>
      <c r="R190" s="130"/>
      <c r="S190" s="130"/>
      <c r="T190" s="130"/>
      <c r="U190" s="130"/>
      <c r="V190" s="130"/>
      <c r="W190" s="130"/>
      <c r="X190" s="130"/>
      <c r="Y190" s="130"/>
      <c r="Z190" s="130"/>
      <c r="AA190" s="130"/>
      <c r="AB190" s="130"/>
      <c r="AC190" s="130"/>
    </row>
    <row r="191" ht="15.75" customHeight="1">
      <c r="A191" s="124"/>
      <c r="B191" s="124"/>
      <c r="C191" s="124"/>
      <c r="D191" s="124"/>
      <c r="E191" s="124"/>
      <c r="F191" s="124"/>
      <c r="G191" s="124"/>
      <c r="H191" s="124"/>
      <c r="I191" s="124"/>
      <c r="J191" s="124"/>
      <c r="K191" s="124"/>
      <c r="L191" s="124"/>
      <c r="M191" s="124"/>
      <c r="N191" s="130"/>
      <c r="O191" s="130"/>
      <c r="P191" s="130"/>
      <c r="Q191" s="130"/>
      <c r="R191" s="130"/>
      <c r="S191" s="130"/>
      <c r="T191" s="130"/>
      <c r="U191" s="130"/>
      <c r="V191" s="130"/>
      <c r="W191" s="130"/>
      <c r="X191" s="130"/>
      <c r="Y191" s="130"/>
      <c r="Z191" s="130"/>
      <c r="AA191" s="130"/>
      <c r="AB191" s="130"/>
      <c r="AC191" s="130"/>
    </row>
    <row r="192" ht="15.75" customHeight="1">
      <c r="A192" s="124"/>
      <c r="B192" s="124"/>
      <c r="C192" s="124"/>
      <c r="D192" s="124"/>
      <c r="E192" s="124"/>
      <c r="F192" s="124"/>
      <c r="G192" s="124"/>
      <c r="H192" s="124"/>
      <c r="I192" s="124"/>
      <c r="J192" s="124"/>
      <c r="K192" s="124"/>
      <c r="L192" s="124"/>
      <c r="M192" s="124"/>
      <c r="N192" s="130"/>
      <c r="O192" s="130"/>
      <c r="P192" s="130"/>
      <c r="Q192" s="130"/>
      <c r="R192" s="130"/>
      <c r="S192" s="130"/>
      <c r="T192" s="130"/>
      <c r="U192" s="130"/>
      <c r="V192" s="130"/>
      <c r="W192" s="130"/>
      <c r="X192" s="130"/>
      <c r="Y192" s="130"/>
      <c r="Z192" s="130"/>
      <c r="AA192" s="130"/>
      <c r="AB192" s="130"/>
      <c r="AC192" s="130"/>
    </row>
    <row r="193" ht="15.75" customHeight="1">
      <c r="A193" s="124"/>
      <c r="B193" s="124"/>
      <c r="C193" s="124"/>
      <c r="D193" s="124"/>
      <c r="E193" s="124"/>
      <c r="F193" s="124"/>
      <c r="G193" s="124"/>
      <c r="H193" s="124"/>
      <c r="I193" s="124"/>
      <c r="J193" s="124"/>
      <c r="K193" s="124"/>
      <c r="L193" s="124"/>
      <c r="M193" s="124"/>
      <c r="N193" s="130"/>
      <c r="O193" s="130"/>
      <c r="P193" s="130"/>
      <c r="Q193" s="130"/>
      <c r="R193" s="130"/>
      <c r="S193" s="130"/>
      <c r="T193" s="130"/>
      <c r="U193" s="130"/>
      <c r="V193" s="130"/>
      <c r="W193" s="130"/>
      <c r="X193" s="130"/>
      <c r="Y193" s="130"/>
      <c r="Z193" s="130"/>
      <c r="AA193" s="130"/>
      <c r="AB193" s="130"/>
      <c r="AC193" s="130"/>
    </row>
    <row r="194" ht="15.75" customHeight="1">
      <c r="A194" s="124"/>
      <c r="B194" s="124"/>
      <c r="C194" s="124"/>
      <c r="D194" s="124"/>
      <c r="E194" s="124"/>
      <c r="F194" s="124"/>
      <c r="G194" s="124"/>
      <c r="H194" s="124"/>
      <c r="I194" s="124"/>
      <c r="J194" s="124"/>
      <c r="K194" s="124"/>
      <c r="L194" s="124"/>
      <c r="M194" s="124"/>
      <c r="N194" s="130"/>
      <c r="O194" s="130"/>
      <c r="P194" s="130"/>
      <c r="Q194" s="130"/>
      <c r="R194" s="130"/>
      <c r="S194" s="130"/>
      <c r="T194" s="130"/>
      <c r="U194" s="130"/>
      <c r="V194" s="130"/>
      <c r="W194" s="130"/>
      <c r="X194" s="130"/>
      <c r="Y194" s="130"/>
      <c r="Z194" s="130"/>
      <c r="AA194" s="130"/>
      <c r="AB194" s="130"/>
      <c r="AC194" s="130"/>
    </row>
    <row r="195" ht="15.75" customHeight="1">
      <c r="A195" s="124"/>
      <c r="B195" s="124"/>
      <c r="C195" s="124"/>
      <c r="D195" s="124"/>
      <c r="E195" s="124"/>
      <c r="F195" s="124"/>
      <c r="G195" s="124"/>
      <c r="H195" s="124"/>
      <c r="I195" s="124"/>
      <c r="J195" s="124"/>
      <c r="K195" s="124"/>
      <c r="L195" s="124"/>
      <c r="M195" s="124"/>
      <c r="N195" s="130"/>
      <c r="O195" s="130"/>
      <c r="P195" s="130"/>
      <c r="Q195" s="130"/>
      <c r="R195" s="130"/>
      <c r="S195" s="130"/>
      <c r="T195" s="130"/>
      <c r="U195" s="130"/>
      <c r="V195" s="130"/>
      <c r="W195" s="130"/>
      <c r="X195" s="130"/>
      <c r="Y195" s="130"/>
      <c r="Z195" s="130"/>
      <c r="AA195" s="130"/>
      <c r="AB195" s="130"/>
      <c r="AC195" s="130"/>
    </row>
    <row r="196" ht="15.75" customHeight="1">
      <c r="A196" s="124"/>
      <c r="B196" s="124"/>
      <c r="C196" s="124"/>
      <c r="D196" s="124"/>
      <c r="E196" s="124"/>
      <c r="F196" s="124"/>
      <c r="G196" s="124"/>
      <c r="H196" s="124"/>
      <c r="I196" s="124"/>
      <c r="J196" s="124"/>
      <c r="K196" s="124"/>
      <c r="L196" s="124"/>
      <c r="M196" s="124"/>
      <c r="N196" s="130"/>
      <c r="O196" s="130"/>
      <c r="P196" s="130"/>
      <c r="Q196" s="130"/>
      <c r="R196" s="130"/>
      <c r="S196" s="130"/>
      <c r="T196" s="130"/>
      <c r="U196" s="130"/>
      <c r="V196" s="130"/>
      <c r="W196" s="130"/>
      <c r="X196" s="130"/>
      <c r="Y196" s="130"/>
      <c r="Z196" s="130"/>
      <c r="AA196" s="130"/>
      <c r="AB196" s="130"/>
      <c r="AC196" s="130"/>
    </row>
    <row r="197" ht="15.75" customHeight="1">
      <c r="A197" s="124"/>
      <c r="B197" s="124"/>
      <c r="C197" s="124"/>
      <c r="D197" s="124"/>
      <c r="E197" s="124"/>
      <c r="F197" s="124"/>
      <c r="G197" s="124"/>
      <c r="H197" s="124"/>
      <c r="I197" s="124"/>
      <c r="J197" s="124"/>
      <c r="K197" s="124"/>
      <c r="L197" s="124"/>
      <c r="M197" s="124"/>
      <c r="N197" s="130"/>
      <c r="O197" s="130"/>
      <c r="P197" s="130"/>
      <c r="Q197" s="130"/>
      <c r="R197" s="130"/>
      <c r="S197" s="130"/>
      <c r="T197" s="130"/>
      <c r="U197" s="130"/>
      <c r="V197" s="130"/>
      <c r="W197" s="130"/>
      <c r="X197" s="130"/>
      <c r="Y197" s="130"/>
      <c r="Z197" s="130"/>
      <c r="AA197" s="130"/>
      <c r="AB197" s="130"/>
      <c r="AC197" s="130"/>
    </row>
    <row r="198" ht="15.75" customHeight="1">
      <c r="A198" s="124"/>
      <c r="B198" s="124"/>
      <c r="C198" s="124"/>
      <c r="D198" s="124"/>
      <c r="E198" s="124"/>
      <c r="F198" s="124"/>
      <c r="G198" s="124"/>
      <c r="H198" s="124"/>
      <c r="I198" s="124"/>
      <c r="J198" s="124"/>
      <c r="K198" s="124"/>
      <c r="L198" s="124"/>
      <c r="M198" s="124"/>
      <c r="N198" s="130"/>
      <c r="O198" s="130"/>
      <c r="P198" s="130"/>
      <c r="Q198" s="130"/>
      <c r="R198" s="130"/>
      <c r="S198" s="130"/>
      <c r="T198" s="130"/>
      <c r="U198" s="130"/>
      <c r="V198" s="130"/>
      <c r="W198" s="130"/>
      <c r="X198" s="130"/>
      <c r="Y198" s="130"/>
      <c r="Z198" s="130"/>
      <c r="AA198" s="130"/>
      <c r="AB198" s="130"/>
      <c r="AC198" s="130"/>
    </row>
    <row r="199" ht="15.75" customHeight="1">
      <c r="A199" s="124"/>
      <c r="B199" s="124"/>
      <c r="C199" s="124"/>
      <c r="D199" s="124"/>
      <c r="E199" s="124"/>
      <c r="F199" s="124"/>
      <c r="G199" s="124"/>
      <c r="H199" s="124"/>
      <c r="I199" s="124"/>
      <c r="J199" s="124"/>
      <c r="K199" s="124"/>
      <c r="L199" s="124"/>
      <c r="M199" s="124"/>
      <c r="N199" s="130"/>
      <c r="O199" s="130"/>
      <c r="P199" s="130"/>
      <c r="Q199" s="130"/>
      <c r="R199" s="130"/>
      <c r="S199" s="130"/>
      <c r="T199" s="130"/>
      <c r="U199" s="130"/>
      <c r="V199" s="130"/>
      <c r="W199" s="130"/>
      <c r="X199" s="130"/>
      <c r="Y199" s="130"/>
      <c r="Z199" s="130"/>
      <c r="AA199" s="130"/>
      <c r="AB199" s="130"/>
      <c r="AC199" s="130"/>
    </row>
    <row r="200" ht="15.75" customHeight="1">
      <c r="A200" s="124"/>
      <c r="B200" s="124"/>
      <c r="C200" s="124"/>
      <c r="D200" s="124"/>
      <c r="E200" s="124"/>
      <c r="F200" s="124"/>
      <c r="G200" s="124"/>
      <c r="H200" s="124"/>
      <c r="I200" s="124"/>
      <c r="J200" s="124"/>
      <c r="K200" s="124"/>
      <c r="L200" s="124"/>
      <c r="M200" s="124"/>
      <c r="N200" s="130"/>
      <c r="O200" s="130"/>
      <c r="P200" s="130"/>
      <c r="Q200" s="130"/>
      <c r="R200" s="130"/>
      <c r="S200" s="130"/>
      <c r="T200" s="130"/>
      <c r="U200" s="130"/>
      <c r="V200" s="130"/>
      <c r="W200" s="130"/>
      <c r="X200" s="130"/>
      <c r="Y200" s="130"/>
      <c r="Z200" s="130"/>
      <c r="AA200" s="130"/>
      <c r="AB200" s="130"/>
      <c r="AC200" s="130"/>
    </row>
    <row r="201" ht="15.75" customHeight="1">
      <c r="A201" s="124"/>
      <c r="B201" s="124"/>
      <c r="C201" s="124"/>
      <c r="D201" s="124"/>
      <c r="E201" s="124"/>
      <c r="F201" s="124"/>
      <c r="G201" s="124"/>
      <c r="H201" s="124"/>
      <c r="I201" s="124"/>
      <c r="J201" s="124"/>
      <c r="K201" s="124"/>
      <c r="L201" s="124"/>
      <c r="M201" s="124"/>
      <c r="N201" s="130"/>
      <c r="O201" s="130"/>
      <c r="P201" s="130"/>
      <c r="Q201" s="130"/>
      <c r="R201" s="130"/>
      <c r="S201" s="130"/>
      <c r="T201" s="130"/>
      <c r="U201" s="130"/>
      <c r="V201" s="130"/>
      <c r="W201" s="130"/>
      <c r="X201" s="130"/>
      <c r="Y201" s="130"/>
      <c r="Z201" s="130"/>
      <c r="AA201" s="130"/>
      <c r="AB201" s="130"/>
      <c r="AC201" s="130"/>
    </row>
    <row r="202" ht="15.75" customHeight="1">
      <c r="A202" s="124"/>
      <c r="B202" s="124"/>
      <c r="C202" s="124"/>
      <c r="D202" s="124"/>
      <c r="E202" s="124"/>
      <c r="F202" s="124"/>
      <c r="G202" s="124"/>
      <c r="H202" s="124"/>
      <c r="I202" s="124"/>
      <c r="J202" s="124"/>
      <c r="K202" s="124"/>
      <c r="L202" s="124"/>
      <c r="M202" s="124"/>
      <c r="N202" s="130"/>
      <c r="O202" s="130"/>
      <c r="P202" s="130"/>
      <c r="Q202" s="130"/>
      <c r="R202" s="130"/>
      <c r="S202" s="130"/>
      <c r="T202" s="130"/>
      <c r="U202" s="130"/>
      <c r="V202" s="130"/>
      <c r="W202" s="130"/>
      <c r="X202" s="130"/>
      <c r="Y202" s="130"/>
      <c r="Z202" s="130"/>
      <c r="AA202" s="130"/>
      <c r="AB202" s="130"/>
      <c r="AC202" s="130"/>
    </row>
    <row r="203" ht="15.75" customHeight="1">
      <c r="A203" s="124"/>
      <c r="B203" s="124"/>
      <c r="C203" s="124"/>
      <c r="D203" s="124"/>
      <c r="E203" s="124"/>
      <c r="F203" s="124"/>
      <c r="G203" s="124"/>
      <c r="H203" s="124"/>
      <c r="I203" s="124"/>
      <c r="J203" s="124"/>
      <c r="K203" s="124"/>
      <c r="L203" s="124"/>
      <c r="M203" s="124"/>
      <c r="N203" s="130"/>
      <c r="O203" s="130"/>
      <c r="P203" s="130"/>
      <c r="Q203" s="130"/>
      <c r="R203" s="130"/>
      <c r="S203" s="130"/>
      <c r="T203" s="130"/>
      <c r="U203" s="130"/>
      <c r="V203" s="130"/>
      <c r="W203" s="130"/>
      <c r="X203" s="130"/>
      <c r="Y203" s="130"/>
      <c r="Z203" s="130"/>
      <c r="AA203" s="130"/>
      <c r="AB203" s="130"/>
      <c r="AC203" s="130"/>
    </row>
    <row r="204" ht="15.75" customHeight="1">
      <c r="A204" s="124"/>
      <c r="B204" s="124"/>
      <c r="C204" s="124"/>
      <c r="D204" s="124"/>
      <c r="E204" s="124"/>
      <c r="F204" s="124"/>
      <c r="G204" s="124"/>
      <c r="H204" s="124"/>
      <c r="I204" s="124"/>
      <c r="J204" s="124"/>
      <c r="K204" s="124"/>
      <c r="L204" s="124"/>
      <c r="M204" s="124"/>
      <c r="N204" s="130"/>
      <c r="O204" s="130"/>
      <c r="P204" s="130"/>
      <c r="Q204" s="130"/>
      <c r="R204" s="130"/>
      <c r="S204" s="130"/>
      <c r="T204" s="130"/>
      <c r="U204" s="130"/>
      <c r="V204" s="130"/>
      <c r="W204" s="130"/>
      <c r="X204" s="130"/>
      <c r="Y204" s="130"/>
      <c r="Z204" s="130"/>
      <c r="AA204" s="130"/>
      <c r="AB204" s="130"/>
      <c r="AC204" s="130"/>
    </row>
    <row r="205" ht="15.75" customHeight="1">
      <c r="A205" s="124"/>
      <c r="B205" s="124"/>
      <c r="C205" s="124"/>
      <c r="D205" s="124"/>
      <c r="E205" s="124"/>
      <c r="F205" s="124"/>
      <c r="G205" s="124"/>
      <c r="H205" s="124"/>
      <c r="I205" s="124"/>
      <c r="J205" s="124"/>
      <c r="K205" s="124"/>
      <c r="L205" s="124"/>
      <c r="M205" s="124"/>
      <c r="N205" s="130"/>
      <c r="O205" s="130"/>
      <c r="P205" s="130"/>
      <c r="Q205" s="130"/>
      <c r="R205" s="130"/>
      <c r="S205" s="130"/>
      <c r="T205" s="130"/>
      <c r="U205" s="130"/>
      <c r="V205" s="130"/>
      <c r="W205" s="130"/>
      <c r="X205" s="130"/>
      <c r="Y205" s="130"/>
      <c r="Z205" s="130"/>
      <c r="AA205" s="130"/>
      <c r="AB205" s="130"/>
      <c r="AC205" s="130"/>
    </row>
    <row r="206" ht="15.75" customHeight="1">
      <c r="A206" s="124"/>
      <c r="B206" s="124"/>
      <c r="C206" s="124"/>
      <c r="D206" s="124"/>
      <c r="E206" s="124"/>
      <c r="F206" s="124"/>
      <c r="G206" s="124"/>
      <c r="H206" s="124"/>
      <c r="I206" s="124"/>
      <c r="J206" s="124"/>
      <c r="K206" s="124"/>
      <c r="L206" s="124"/>
      <c r="M206" s="124"/>
      <c r="N206" s="130"/>
      <c r="O206" s="130"/>
      <c r="P206" s="130"/>
      <c r="Q206" s="130"/>
      <c r="R206" s="130"/>
      <c r="S206" s="130"/>
      <c r="T206" s="130"/>
      <c r="U206" s="130"/>
      <c r="V206" s="130"/>
      <c r="W206" s="130"/>
      <c r="X206" s="130"/>
      <c r="Y206" s="130"/>
      <c r="Z206" s="130"/>
      <c r="AA206" s="130"/>
      <c r="AB206" s="130"/>
      <c r="AC206" s="130"/>
    </row>
    <row r="207" ht="15.75" customHeight="1">
      <c r="A207" s="124"/>
      <c r="B207" s="124"/>
      <c r="C207" s="124"/>
      <c r="D207" s="124"/>
      <c r="E207" s="124"/>
      <c r="F207" s="124"/>
      <c r="G207" s="124"/>
      <c r="H207" s="124"/>
      <c r="I207" s="124"/>
      <c r="J207" s="124"/>
      <c r="K207" s="124"/>
      <c r="L207" s="124"/>
      <c r="M207" s="124"/>
      <c r="N207" s="130"/>
      <c r="O207" s="130"/>
      <c r="P207" s="130"/>
      <c r="Q207" s="130"/>
      <c r="R207" s="130"/>
      <c r="S207" s="130"/>
      <c r="T207" s="130"/>
      <c r="U207" s="130"/>
      <c r="V207" s="130"/>
      <c r="W207" s="130"/>
      <c r="X207" s="130"/>
      <c r="Y207" s="130"/>
      <c r="Z207" s="130"/>
      <c r="AA207" s="130"/>
      <c r="AB207" s="130"/>
      <c r="AC207" s="130"/>
    </row>
    <row r="208" ht="15.75" customHeight="1">
      <c r="A208" s="124"/>
      <c r="B208" s="124"/>
      <c r="C208" s="124"/>
      <c r="D208" s="124"/>
      <c r="E208" s="124"/>
      <c r="F208" s="124"/>
      <c r="G208" s="124"/>
      <c r="H208" s="124"/>
      <c r="I208" s="124"/>
      <c r="J208" s="124"/>
      <c r="K208" s="124"/>
      <c r="L208" s="124"/>
      <c r="M208" s="124"/>
      <c r="N208" s="130"/>
      <c r="O208" s="130"/>
      <c r="P208" s="130"/>
      <c r="Q208" s="130"/>
      <c r="R208" s="130"/>
      <c r="S208" s="130"/>
      <c r="T208" s="130"/>
      <c r="U208" s="130"/>
      <c r="V208" s="130"/>
      <c r="W208" s="130"/>
      <c r="X208" s="130"/>
      <c r="Y208" s="130"/>
      <c r="Z208" s="130"/>
      <c r="AA208" s="130"/>
      <c r="AB208" s="130"/>
      <c r="AC208" s="130"/>
    </row>
    <row r="209" ht="15.75" customHeight="1">
      <c r="A209" s="124"/>
      <c r="B209" s="124"/>
      <c r="C209" s="124"/>
      <c r="D209" s="124"/>
      <c r="E209" s="124"/>
      <c r="F209" s="124"/>
      <c r="G209" s="124"/>
      <c r="H209" s="124"/>
      <c r="I209" s="124"/>
      <c r="J209" s="124"/>
      <c r="K209" s="124"/>
      <c r="L209" s="124"/>
      <c r="M209" s="124"/>
      <c r="N209" s="130"/>
      <c r="O209" s="130"/>
      <c r="P209" s="130"/>
      <c r="Q209" s="130"/>
      <c r="R209" s="130"/>
      <c r="S209" s="130"/>
      <c r="T209" s="130"/>
      <c r="U209" s="130"/>
      <c r="V209" s="130"/>
      <c r="W209" s="130"/>
      <c r="X209" s="130"/>
      <c r="Y209" s="130"/>
      <c r="Z209" s="130"/>
      <c r="AA209" s="130"/>
      <c r="AB209" s="130"/>
      <c r="AC209" s="130"/>
    </row>
    <row r="210" ht="15.75" customHeight="1">
      <c r="A210" s="124"/>
      <c r="B210" s="124"/>
      <c r="C210" s="124"/>
      <c r="D210" s="124"/>
      <c r="E210" s="124"/>
      <c r="F210" s="124"/>
      <c r="G210" s="124"/>
      <c r="H210" s="124"/>
      <c r="I210" s="124"/>
      <c r="J210" s="124"/>
      <c r="K210" s="124"/>
      <c r="L210" s="124"/>
      <c r="M210" s="124"/>
      <c r="N210" s="130"/>
      <c r="O210" s="130"/>
      <c r="P210" s="130"/>
      <c r="Q210" s="130"/>
      <c r="R210" s="130"/>
      <c r="S210" s="130"/>
      <c r="T210" s="130"/>
      <c r="U210" s="130"/>
      <c r="V210" s="130"/>
      <c r="W210" s="130"/>
      <c r="X210" s="130"/>
      <c r="Y210" s="130"/>
      <c r="Z210" s="130"/>
      <c r="AA210" s="130"/>
      <c r="AB210" s="130"/>
      <c r="AC210" s="130"/>
    </row>
    <row r="211" ht="15.75" customHeight="1">
      <c r="A211" s="124"/>
      <c r="B211" s="124"/>
      <c r="C211" s="124"/>
      <c r="D211" s="124"/>
      <c r="E211" s="124"/>
      <c r="F211" s="124"/>
      <c r="G211" s="124"/>
      <c r="H211" s="124"/>
      <c r="I211" s="124"/>
      <c r="J211" s="124"/>
      <c r="K211" s="124"/>
      <c r="L211" s="124"/>
      <c r="M211" s="124"/>
      <c r="N211" s="130"/>
      <c r="O211" s="130"/>
      <c r="P211" s="130"/>
      <c r="Q211" s="130"/>
      <c r="R211" s="130"/>
      <c r="S211" s="130"/>
      <c r="T211" s="130"/>
      <c r="U211" s="130"/>
      <c r="V211" s="130"/>
      <c r="W211" s="130"/>
      <c r="X211" s="130"/>
      <c r="Y211" s="130"/>
      <c r="Z211" s="130"/>
      <c r="AA211" s="130"/>
      <c r="AB211" s="130"/>
      <c r="AC211" s="130"/>
    </row>
    <row r="212" ht="15.75" customHeight="1">
      <c r="A212" s="124"/>
      <c r="B212" s="124"/>
      <c r="C212" s="124"/>
      <c r="D212" s="124"/>
      <c r="E212" s="124"/>
      <c r="F212" s="124"/>
      <c r="G212" s="124"/>
      <c r="H212" s="124"/>
      <c r="I212" s="124"/>
      <c r="J212" s="124"/>
      <c r="K212" s="124"/>
      <c r="L212" s="124"/>
      <c r="M212" s="124"/>
      <c r="N212" s="130"/>
      <c r="O212" s="130"/>
      <c r="P212" s="130"/>
      <c r="Q212" s="130"/>
      <c r="R212" s="130"/>
      <c r="S212" s="130"/>
      <c r="T212" s="130"/>
      <c r="U212" s="130"/>
      <c r="V212" s="130"/>
      <c r="W212" s="130"/>
      <c r="X212" s="130"/>
      <c r="Y212" s="130"/>
      <c r="Z212" s="130"/>
      <c r="AA212" s="130"/>
      <c r="AB212" s="130"/>
      <c r="AC212" s="130"/>
    </row>
    <row r="213" ht="15.75" customHeight="1">
      <c r="A213" s="124"/>
      <c r="B213" s="124"/>
      <c r="C213" s="124"/>
      <c r="D213" s="124"/>
      <c r="E213" s="124"/>
      <c r="F213" s="124"/>
      <c r="G213" s="124"/>
      <c r="H213" s="124"/>
      <c r="I213" s="124"/>
      <c r="J213" s="124"/>
      <c r="K213" s="124"/>
      <c r="L213" s="124"/>
      <c r="M213" s="124"/>
      <c r="N213" s="130"/>
      <c r="O213" s="130"/>
      <c r="P213" s="130"/>
      <c r="Q213" s="130"/>
      <c r="R213" s="130"/>
      <c r="S213" s="130"/>
      <c r="T213" s="130"/>
      <c r="U213" s="130"/>
      <c r="V213" s="130"/>
      <c r="W213" s="130"/>
      <c r="X213" s="130"/>
      <c r="Y213" s="130"/>
      <c r="Z213" s="130"/>
      <c r="AA213" s="130"/>
      <c r="AB213" s="130"/>
      <c r="AC213" s="130"/>
    </row>
    <row r="214" ht="15.75" customHeight="1">
      <c r="A214" s="124"/>
      <c r="B214" s="124"/>
      <c r="C214" s="124"/>
      <c r="D214" s="124"/>
      <c r="E214" s="124"/>
      <c r="F214" s="124"/>
      <c r="G214" s="124"/>
      <c r="H214" s="124"/>
      <c r="I214" s="124"/>
      <c r="J214" s="124"/>
      <c r="K214" s="124"/>
      <c r="L214" s="124"/>
      <c r="M214" s="124"/>
      <c r="N214" s="130"/>
      <c r="O214" s="130"/>
      <c r="P214" s="130"/>
      <c r="Q214" s="130"/>
      <c r="R214" s="130"/>
      <c r="S214" s="130"/>
      <c r="T214" s="130"/>
      <c r="U214" s="130"/>
      <c r="V214" s="130"/>
      <c r="W214" s="130"/>
      <c r="X214" s="130"/>
      <c r="Y214" s="130"/>
      <c r="Z214" s="130"/>
      <c r="AA214" s="130"/>
      <c r="AB214" s="130"/>
      <c r="AC214" s="130"/>
    </row>
    <row r="215" ht="15.75" customHeight="1">
      <c r="A215" s="124"/>
      <c r="B215" s="124"/>
      <c r="C215" s="124"/>
      <c r="D215" s="124"/>
      <c r="E215" s="124"/>
      <c r="F215" s="124"/>
      <c r="G215" s="124"/>
      <c r="H215" s="124"/>
      <c r="I215" s="124"/>
      <c r="J215" s="124"/>
      <c r="K215" s="124"/>
      <c r="L215" s="124"/>
      <c r="M215" s="124"/>
      <c r="N215" s="130"/>
      <c r="O215" s="130"/>
      <c r="P215" s="130"/>
      <c r="Q215" s="130"/>
      <c r="R215" s="130"/>
      <c r="S215" s="130"/>
      <c r="T215" s="130"/>
      <c r="U215" s="130"/>
      <c r="V215" s="130"/>
      <c r="W215" s="130"/>
      <c r="X215" s="130"/>
      <c r="Y215" s="130"/>
      <c r="Z215" s="130"/>
      <c r="AA215" s="130"/>
      <c r="AB215" s="130"/>
      <c r="AC215" s="130"/>
    </row>
    <row r="216" ht="15.75" customHeight="1">
      <c r="A216" s="124"/>
      <c r="B216" s="124"/>
      <c r="C216" s="124"/>
      <c r="D216" s="124"/>
      <c r="E216" s="124"/>
      <c r="F216" s="124"/>
      <c r="G216" s="124"/>
      <c r="H216" s="124"/>
      <c r="I216" s="124"/>
      <c r="J216" s="124"/>
      <c r="K216" s="124"/>
      <c r="L216" s="124"/>
      <c r="M216" s="124"/>
      <c r="N216" s="130"/>
      <c r="O216" s="130"/>
      <c r="P216" s="130"/>
      <c r="Q216" s="130"/>
      <c r="R216" s="130"/>
      <c r="S216" s="130"/>
      <c r="T216" s="130"/>
      <c r="U216" s="130"/>
      <c r="V216" s="130"/>
      <c r="W216" s="130"/>
      <c r="X216" s="130"/>
      <c r="Y216" s="130"/>
      <c r="Z216" s="130"/>
      <c r="AA216" s="130"/>
      <c r="AB216" s="130"/>
      <c r="AC216" s="130"/>
    </row>
    <row r="217" ht="15.75" customHeight="1">
      <c r="A217" s="124"/>
      <c r="B217" s="124"/>
      <c r="C217" s="124"/>
      <c r="D217" s="124"/>
      <c r="E217" s="124"/>
      <c r="F217" s="124"/>
      <c r="G217" s="124"/>
      <c r="H217" s="124"/>
      <c r="I217" s="124"/>
      <c r="J217" s="124"/>
      <c r="K217" s="124"/>
      <c r="L217" s="124"/>
      <c r="M217" s="124"/>
      <c r="N217" s="130"/>
      <c r="O217" s="130"/>
      <c r="P217" s="130"/>
      <c r="Q217" s="130"/>
      <c r="R217" s="130"/>
      <c r="S217" s="130"/>
      <c r="T217" s="130"/>
      <c r="U217" s="130"/>
      <c r="V217" s="130"/>
      <c r="W217" s="130"/>
      <c r="X217" s="130"/>
      <c r="Y217" s="130"/>
      <c r="Z217" s="130"/>
      <c r="AA217" s="130"/>
      <c r="AB217" s="130"/>
      <c r="AC217" s="130"/>
    </row>
    <row r="218" ht="15.75" customHeight="1">
      <c r="A218" s="124"/>
      <c r="B218" s="124"/>
      <c r="C218" s="124"/>
      <c r="D218" s="124"/>
      <c r="E218" s="124"/>
      <c r="F218" s="124"/>
      <c r="G218" s="124"/>
      <c r="H218" s="124"/>
      <c r="I218" s="124"/>
      <c r="J218" s="124"/>
      <c r="K218" s="124"/>
      <c r="L218" s="124"/>
      <c r="M218" s="124"/>
      <c r="N218" s="130"/>
      <c r="O218" s="130"/>
      <c r="P218" s="130"/>
      <c r="Q218" s="130"/>
      <c r="R218" s="130"/>
      <c r="S218" s="130"/>
      <c r="T218" s="130"/>
      <c r="U218" s="130"/>
      <c r="V218" s="130"/>
      <c r="W218" s="130"/>
      <c r="X218" s="130"/>
      <c r="Y218" s="130"/>
      <c r="Z218" s="130"/>
      <c r="AA218" s="130"/>
      <c r="AB218" s="130"/>
      <c r="AC218" s="130"/>
    </row>
    <row r="219" ht="15.75" customHeight="1">
      <c r="A219" s="124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30"/>
      <c r="O219" s="130"/>
      <c r="P219" s="130"/>
      <c r="Q219" s="130"/>
      <c r="R219" s="130"/>
      <c r="S219" s="130"/>
      <c r="T219" s="130"/>
      <c r="U219" s="130"/>
      <c r="V219" s="130"/>
      <c r="W219" s="130"/>
      <c r="X219" s="130"/>
      <c r="Y219" s="130"/>
      <c r="Z219" s="130"/>
      <c r="AA219" s="130"/>
      <c r="AB219" s="130"/>
      <c r="AC219" s="130"/>
    </row>
    <row r="220" ht="15.75" customHeight="1">
      <c r="A220" s="124"/>
      <c r="B220" s="124"/>
      <c r="C220" s="124"/>
      <c r="D220" s="124"/>
      <c r="E220" s="124"/>
      <c r="F220" s="124"/>
      <c r="G220" s="124"/>
      <c r="H220" s="124"/>
      <c r="I220" s="124"/>
      <c r="J220" s="124"/>
      <c r="K220" s="124"/>
      <c r="L220" s="124"/>
      <c r="M220" s="124"/>
      <c r="N220" s="130"/>
      <c r="O220" s="130"/>
      <c r="P220" s="130"/>
      <c r="Q220" s="130"/>
      <c r="R220" s="130"/>
      <c r="S220" s="130"/>
      <c r="T220" s="130"/>
      <c r="U220" s="130"/>
      <c r="V220" s="130"/>
      <c r="W220" s="130"/>
      <c r="X220" s="130"/>
      <c r="Y220" s="130"/>
      <c r="Z220" s="130"/>
      <c r="AA220" s="130"/>
      <c r="AB220" s="130"/>
      <c r="AC220" s="130"/>
    </row>
    <row r="221" ht="15.75" customHeight="1">
      <c r="A221" s="127"/>
      <c r="B221" s="127"/>
      <c r="C221" s="127"/>
      <c r="D221" s="127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  <c r="AA221" s="127"/>
      <c r="AB221" s="127"/>
      <c r="AC221" s="127"/>
    </row>
    <row r="222" ht="15.75" customHeight="1">
      <c r="A222" s="127"/>
      <c r="B222" s="127"/>
      <c r="C222" s="127"/>
      <c r="D222" s="127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  <c r="AA222" s="127"/>
      <c r="AB222" s="127"/>
      <c r="AC222" s="127"/>
    </row>
    <row r="223" ht="15.75" customHeight="1">
      <c r="A223" s="127"/>
      <c r="B223" s="127"/>
      <c r="C223" s="127"/>
      <c r="D223" s="127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  <c r="AA223" s="127"/>
      <c r="AB223" s="127"/>
      <c r="AC223" s="127"/>
    </row>
    <row r="224" ht="15.75" customHeight="1">
      <c r="A224" s="127"/>
      <c r="B224" s="127"/>
      <c r="C224" s="127"/>
      <c r="D224" s="127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  <c r="AA224" s="127"/>
      <c r="AB224" s="127"/>
      <c r="AC224" s="127"/>
    </row>
    <row r="225" ht="15.75" customHeight="1">
      <c r="A225" s="127"/>
      <c r="B225" s="127"/>
      <c r="C225" s="127"/>
      <c r="D225" s="127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  <c r="AA225" s="127"/>
      <c r="AB225" s="127"/>
      <c r="AC225" s="127"/>
    </row>
    <row r="226" ht="15.75" customHeight="1">
      <c r="A226" s="127"/>
      <c r="B226" s="127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  <c r="AA226" s="127"/>
      <c r="AB226" s="127"/>
      <c r="AC226" s="127"/>
    </row>
    <row r="227" ht="15.75" customHeight="1">
      <c r="A227" s="127"/>
      <c r="B227" s="127"/>
      <c r="C227" s="127"/>
      <c r="D227" s="127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  <c r="AA227" s="127"/>
      <c r="AB227" s="127"/>
      <c r="AC227" s="127"/>
    </row>
    <row r="228" ht="15.75" customHeight="1">
      <c r="A228" s="127"/>
      <c r="B228" s="127"/>
      <c r="C228" s="127"/>
      <c r="D228" s="127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  <c r="AA228" s="127"/>
      <c r="AB228" s="127"/>
      <c r="AC228" s="127"/>
    </row>
    <row r="229" ht="15.75" customHeight="1">
      <c r="A229" s="127"/>
      <c r="B229" s="127"/>
      <c r="C229" s="127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  <c r="AA229" s="127"/>
      <c r="AB229" s="127"/>
      <c r="AC229" s="127"/>
    </row>
    <row r="230" ht="15.75" customHeight="1">
      <c r="A230" s="127"/>
      <c r="B230" s="12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  <c r="AA230" s="127"/>
      <c r="AB230" s="127"/>
      <c r="AC230" s="127"/>
    </row>
    <row r="231" ht="15.75" customHeight="1">
      <c r="A231" s="127"/>
      <c r="B231" s="12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  <c r="AA231" s="127"/>
      <c r="AB231" s="127"/>
      <c r="AC231" s="127"/>
    </row>
    <row r="232" ht="15.75" customHeight="1">
      <c r="A232" s="127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  <c r="AA232" s="127"/>
      <c r="AB232" s="127"/>
      <c r="AC232" s="127"/>
    </row>
    <row r="233" ht="15.75" customHeight="1">
      <c r="A233" s="127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  <c r="AA233" s="127"/>
      <c r="AB233" s="127"/>
      <c r="AC233" s="127"/>
    </row>
    <row r="234" ht="15.75" customHeight="1">
      <c r="A234" s="12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  <c r="AA234" s="127"/>
      <c r="AB234" s="127"/>
      <c r="AC234" s="127"/>
    </row>
    <row r="235" ht="15.75" customHeight="1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  <c r="AA235" s="127"/>
      <c r="AB235" s="127"/>
      <c r="AC235" s="127"/>
    </row>
    <row r="236" ht="15.75" customHeight="1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  <c r="AA236" s="127"/>
      <c r="AB236" s="127"/>
      <c r="AC236" s="127"/>
    </row>
    <row r="237" ht="15.75" customHeight="1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  <c r="AA237" s="127"/>
      <c r="AB237" s="127"/>
      <c r="AC237" s="127"/>
    </row>
    <row r="238" ht="15.75" customHeight="1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  <c r="AA238" s="127"/>
      <c r="AB238" s="127"/>
      <c r="AC238" s="127"/>
    </row>
    <row r="239" ht="15.75" customHeight="1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  <c r="AA239" s="127"/>
      <c r="AB239" s="127"/>
      <c r="AC239" s="127"/>
    </row>
    <row r="240" ht="15.75" customHeight="1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  <c r="AA240" s="127"/>
      <c r="AB240" s="127"/>
      <c r="AC240" s="127"/>
    </row>
    <row r="241" ht="15.75" customHeight="1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  <c r="AA241" s="127"/>
      <c r="AB241" s="127"/>
      <c r="AC241" s="127"/>
    </row>
    <row r="242" ht="15.75" customHeight="1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  <c r="AA242" s="127"/>
      <c r="AB242" s="127"/>
      <c r="AC242" s="127"/>
    </row>
    <row r="243" ht="15.75" customHeight="1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  <c r="AA243" s="127"/>
      <c r="AB243" s="127"/>
      <c r="AC243" s="127"/>
    </row>
    <row r="244" ht="15.75" customHeight="1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  <c r="AA244" s="127"/>
      <c r="AB244" s="127"/>
      <c r="AC244" s="127"/>
    </row>
    <row r="245" ht="15.75" customHeight="1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  <c r="AA245" s="127"/>
      <c r="AB245" s="127"/>
      <c r="AC245" s="127"/>
    </row>
    <row r="246" ht="15.75" customHeight="1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  <c r="AA246" s="127"/>
      <c r="AB246" s="127"/>
      <c r="AC246" s="127"/>
    </row>
    <row r="247" ht="15.75" customHeight="1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  <c r="AA247" s="127"/>
      <c r="AB247" s="127"/>
      <c r="AC247" s="127"/>
    </row>
    <row r="248" ht="15.75" customHeight="1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  <c r="AA248" s="127"/>
      <c r="AB248" s="127"/>
      <c r="AC248" s="127"/>
    </row>
    <row r="249" ht="15.75" customHeight="1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  <c r="AA249" s="127"/>
      <c r="AB249" s="127"/>
      <c r="AC249" s="127"/>
    </row>
    <row r="250" ht="15.75" customHeight="1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  <c r="AA250" s="127"/>
      <c r="AB250" s="127"/>
      <c r="AC250" s="127"/>
    </row>
    <row r="251" ht="15.75" customHeight="1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  <c r="AA251" s="127"/>
      <c r="AB251" s="127"/>
      <c r="AC251" s="127"/>
    </row>
    <row r="252" ht="15.75" customHeight="1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  <c r="AA252" s="127"/>
      <c r="AB252" s="127"/>
      <c r="AC252" s="127"/>
    </row>
    <row r="253" ht="15.75" customHeight="1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  <c r="AA253" s="127"/>
      <c r="AB253" s="127"/>
      <c r="AC253" s="127"/>
    </row>
    <row r="254" ht="15.75" customHeight="1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  <c r="AA254" s="127"/>
      <c r="AB254" s="127"/>
      <c r="AC254" s="127"/>
    </row>
    <row r="255" ht="15.75" customHeight="1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  <c r="AA255" s="127"/>
      <c r="AB255" s="127"/>
      <c r="AC255" s="127"/>
    </row>
    <row r="256" ht="15.75" customHeight="1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  <c r="AA256" s="127"/>
      <c r="AB256" s="127"/>
      <c r="AC256" s="127"/>
    </row>
    <row r="257" ht="15.75" customHeight="1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  <c r="AA257" s="127"/>
      <c r="AB257" s="127"/>
      <c r="AC257" s="127"/>
    </row>
    <row r="258" ht="15.75" customHeight="1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  <c r="AA258" s="127"/>
      <c r="AB258" s="127"/>
      <c r="AC258" s="127"/>
    </row>
    <row r="259" ht="15.75" customHeight="1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  <c r="AA259" s="127"/>
      <c r="AB259" s="127"/>
      <c r="AC259" s="127"/>
    </row>
    <row r="260" ht="15.75" customHeight="1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  <c r="AA260" s="127"/>
      <c r="AB260" s="127"/>
      <c r="AC260" s="127"/>
    </row>
    <row r="261" ht="15.75" customHeight="1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  <c r="AA261" s="127"/>
      <c r="AB261" s="127"/>
      <c r="AC261" s="127"/>
    </row>
    <row r="262" ht="15.75" customHeight="1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  <c r="AA262" s="127"/>
      <c r="AB262" s="127"/>
      <c r="AC262" s="127"/>
    </row>
    <row r="263" ht="15.75" customHeight="1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  <c r="AA263" s="127"/>
      <c r="AB263" s="127"/>
      <c r="AC263" s="127"/>
    </row>
    <row r="264" ht="15.75" customHeight="1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  <c r="AA264" s="127"/>
      <c r="AB264" s="127"/>
      <c r="AC264" s="127"/>
    </row>
    <row r="265" ht="15.75" customHeight="1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  <c r="AA265" s="127"/>
      <c r="AB265" s="127"/>
      <c r="AC265" s="127"/>
    </row>
    <row r="266" ht="15.75" customHeight="1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  <c r="AA266" s="127"/>
      <c r="AB266" s="127"/>
      <c r="AC266" s="127"/>
    </row>
    <row r="267" ht="15.75" customHeight="1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  <c r="AA267" s="127"/>
      <c r="AB267" s="127"/>
      <c r="AC267" s="127"/>
    </row>
    <row r="268" ht="15.75" customHeight="1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  <c r="AA268" s="127"/>
      <c r="AB268" s="127"/>
      <c r="AC268" s="127"/>
    </row>
    <row r="269" ht="15.75" customHeight="1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  <c r="AA269" s="127"/>
      <c r="AB269" s="127"/>
      <c r="AC269" s="127"/>
    </row>
    <row r="270" ht="15.75" customHeight="1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  <c r="AA270" s="127"/>
      <c r="AB270" s="127"/>
      <c r="AC270" s="127"/>
    </row>
    <row r="271" ht="15.75" customHeight="1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  <c r="AA271" s="127"/>
      <c r="AB271" s="127"/>
      <c r="AC271" s="127"/>
    </row>
    <row r="272" ht="15.75" customHeight="1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  <c r="AA272" s="127"/>
      <c r="AB272" s="127"/>
      <c r="AC272" s="127"/>
    </row>
    <row r="273" ht="15.75" customHeight="1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  <c r="AA273" s="127"/>
      <c r="AB273" s="127"/>
      <c r="AC273" s="127"/>
    </row>
    <row r="274" ht="15.75" customHeight="1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  <c r="AA274" s="127"/>
      <c r="AB274" s="127"/>
      <c r="AC274" s="127"/>
    </row>
    <row r="275" ht="15.75" customHeight="1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  <c r="AA275" s="127"/>
      <c r="AB275" s="127"/>
      <c r="AC275" s="127"/>
    </row>
    <row r="276" ht="15.75" customHeight="1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  <c r="AA276" s="127"/>
      <c r="AB276" s="127"/>
      <c r="AC276" s="127"/>
    </row>
    <row r="277" ht="15.75" customHeight="1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  <c r="AA277" s="127"/>
      <c r="AB277" s="127"/>
      <c r="AC277" s="127"/>
    </row>
    <row r="278" ht="15.75" customHeight="1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  <c r="AA278" s="127"/>
      <c r="AB278" s="127"/>
      <c r="AC278" s="127"/>
    </row>
    <row r="279" ht="15.75" customHeight="1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  <c r="AA279" s="127"/>
      <c r="AB279" s="127"/>
      <c r="AC279" s="127"/>
    </row>
    <row r="280" ht="15.75" customHeight="1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  <c r="AA280" s="127"/>
      <c r="AB280" s="127"/>
      <c r="AC280" s="127"/>
    </row>
    <row r="281" ht="15.75" customHeight="1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  <c r="AA281" s="127"/>
      <c r="AB281" s="127"/>
      <c r="AC281" s="127"/>
    </row>
    <row r="282" ht="15.75" customHeight="1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  <c r="AA282" s="127"/>
      <c r="AB282" s="127"/>
      <c r="AC282" s="127"/>
    </row>
    <row r="283" ht="15.75" customHeight="1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  <c r="AA283" s="127"/>
      <c r="AB283" s="127"/>
      <c r="AC283" s="127"/>
    </row>
    <row r="284" ht="15.75" customHeight="1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  <c r="AA284" s="127"/>
      <c r="AB284" s="127"/>
      <c r="AC284" s="127"/>
    </row>
    <row r="285" ht="15.75" customHeight="1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  <c r="AA285" s="127"/>
      <c r="AB285" s="127"/>
      <c r="AC285" s="127"/>
    </row>
    <row r="286" ht="15.75" customHeight="1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  <c r="AA286" s="127"/>
      <c r="AB286" s="127"/>
      <c r="AC286" s="127"/>
    </row>
    <row r="287" ht="15.75" customHeight="1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  <c r="AA287" s="127"/>
      <c r="AB287" s="127"/>
      <c r="AC287" s="127"/>
    </row>
    <row r="288" ht="15.75" customHeight="1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  <c r="AA288" s="127"/>
      <c r="AB288" s="127"/>
      <c r="AC288" s="127"/>
    </row>
    <row r="289" ht="15.75" customHeight="1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  <c r="AA289" s="127"/>
      <c r="AB289" s="127"/>
      <c r="AC289" s="127"/>
    </row>
    <row r="290" ht="15.75" customHeight="1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  <c r="AA290" s="127"/>
      <c r="AB290" s="127"/>
      <c r="AC290" s="127"/>
    </row>
    <row r="291" ht="15.75" customHeight="1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  <c r="AA291" s="127"/>
      <c r="AB291" s="127"/>
      <c r="AC291" s="127"/>
    </row>
    <row r="292" ht="15.75" customHeight="1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  <c r="AA292" s="127"/>
      <c r="AB292" s="127"/>
      <c r="AC292" s="127"/>
    </row>
    <row r="293" ht="15.75" customHeight="1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  <c r="AA293" s="127"/>
      <c r="AB293" s="127"/>
      <c r="AC293" s="127"/>
    </row>
    <row r="294" ht="15.75" customHeight="1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  <c r="AA294" s="127"/>
      <c r="AB294" s="127"/>
      <c r="AC294" s="127"/>
    </row>
    <row r="295" ht="15.75" customHeight="1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  <c r="AA295" s="127"/>
      <c r="AB295" s="127"/>
      <c r="AC295" s="127"/>
    </row>
    <row r="296" ht="15.75" customHeight="1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  <c r="AA296" s="127"/>
      <c r="AB296" s="127"/>
      <c r="AC296" s="127"/>
    </row>
    <row r="297" ht="15.75" customHeight="1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  <c r="AA297" s="127"/>
      <c r="AB297" s="127"/>
      <c r="AC297" s="127"/>
    </row>
    <row r="298" ht="15.75" customHeight="1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  <c r="AA298" s="127"/>
      <c r="AB298" s="127"/>
      <c r="AC298" s="127"/>
    </row>
    <row r="299" ht="15.75" customHeight="1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  <c r="AA299" s="127"/>
      <c r="AB299" s="127"/>
      <c r="AC299" s="127"/>
    </row>
    <row r="300" ht="15.75" customHeight="1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  <c r="AA300" s="127"/>
      <c r="AB300" s="127"/>
      <c r="AC300" s="127"/>
    </row>
    <row r="301" ht="15.75" customHeight="1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  <c r="AA301" s="127"/>
      <c r="AB301" s="127"/>
      <c r="AC301" s="127"/>
    </row>
    <row r="302" ht="15.75" customHeight="1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  <c r="AA302" s="127"/>
      <c r="AB302" s="127"/>
      <c r="AC302" s="127"/>
    </row>
    <row r="303" ht="15.75" customHeight="1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  <c r="AA303" s="127"/>
      <c r="AB303" s="127"/>
      <c r="AC303" s="127"/>
    </row>
    <row r="304" ht="15.75" customHeight="1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  <c r="AA304" s="127"/>
      <c r="AB304" s="127"/>
      <c r="AC304" s="127"/>
    </row>
    <row r="305" ht="15.75" customHeight="1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  <c r="AA305" s="127"/>
      <c r="AB305" s="127"/>
      <c r="AC305" s="127"/>
    </row>
    <row r="306" ht="15.75" customHeight="1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  <c r="AA306" s="127"/>
      <c r="AB306" s="127"/>
      <c r="AC306" s="127"/>
    </row>
    <row r="307" ht="15.75" customHeight="1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  <c r="AA307" s="127"/>
      <c r="AB307" s="127"/>
      <c r="AC307" s="127"/>
    </row>
    <row r="308" ht="15.75" customHeight="1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  <c r="AA308" s="127"/>
      <c r="AB308" s="127"/>
      <c r="AC308" s="127"/>
    </row>
    <row r="309" ht="15.75" customHeight="1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  <c r="AA309" s="127"/>
      <c r="AB309" s="127"/>
      <c r="AC309" s="127"/>
    </row>
    <row r="310" ht="15.75" customHeight="1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  <c r="AA310" s="127"/>
      <c r="AB310" s="127"/>
      <c r="AC310" s="127"/>
    </row>
    <row r="311" ht="15.75" customHeight="1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  <c r="AA311" s="127"/>
      <c r="AB311" s="127"/>
      <c r="AC311" s="127"/>
    </row>
    <row r="312" ht="15.75" customHeight="1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  <c r="AA312" s="127"/>
      <c r="AB312" s="127"/>
      <c r="AC312" s="127"/>
    </row>
    <row r="313" ht="15.75" customHeight="1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  <c r="AA313" s="127"/>
      <c r="AB313" s="127"/>
      <c r="AC313" s="127"/>
    </row>
    <row r="314" ht="15.75" customHeight="1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  <c r="AA314" s="127"/>
      <c r="AB314" s="127"/>
      <c r="AC314" s="127"/>
    </row>
    <row r="315" ht="15.75" customHeight="1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  <c r="AA315" s="127"/>
      <c r="AB315" s="127"/>
      <c r="AC315" s="127"/>
    </row>
    <row r="316" ht="15.75" customHeight="1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  <c r="AA316" s="127"/>
      <c r="AB316" s="127"/>
      <c r="AC316" s="127"/>
    </row>
    <row r="317" ht="15.75" customHeight="1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  <c r="AA317" s="127"/>
      <c r="AB317" s="127"/>
      <c r="AC317" s="127"/>
    </row>
    <row r="318" ht="15.75" customHeight="1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  <c r="AA318" s="127"/>
      <c r="AB318" s="127"/>
      <c r="AC318" s="127"/>
    </row>
    <row r="319" ht="15.75" customHeight="1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  <c r="AA319" s="127"/>
      <c r="AB319" s="127"/>
      <c r="AC319" s="127"/>
    </row>
    <row r="320" ht="15.75" customHeight="1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  <c r="AA320" s="127"/>
      <c r="AB320" s="127"/>
      <c r="AC320" s="127"/>
    </row>
    <row r="321" ht="15.75" customHeight="1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  <c r="AA321" s="127"/>
      <c r="AB321" s="127"/>
      <c r="AC321" s="127"/>
    </row>
    <row r="322" ht="15.75" customHeight="1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  <c r="AA322" s="127"/>
      <c r="AB322" s="127"/>
      <c r="AC322" s="127"/>
    </row>
    <row r="323" ht="15.75" customHeight="1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  <c r="AA323" s="127"/>
      <c r="AB323" s="127"/>
      <c r="AC323" s="127"/>
    </row>
    <row r="324" ht="15.75" customHeight="1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  <c r="AA324" s="127"/>
      <c r="AB324" s="127"/>
      <c r="AC324" s="127"/>
    </row>
    <row r="325" ht="15.75" customHeight="1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  <c r="AA325" s="127"/>
      <c r="AB325" s="127"/>
      <c r="AC325" s="127"/>
    </row>
    <row r="326" ht="15.75" customHeight="1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  <c r="AA326" s="127"/>
      <c r="AB326" s="127"/>
      <c r="AC326" s="127"/>
    </row>
    <row r="327" ht="15.75" customHeight="1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  <c r="AA327" s="127"/>
      <c r="AB327" s="127"/>
      <c r="AC327" s="127"/>
    </row>
    <row r="328" ht="15.75" customHeight="1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  <c r="AA328" s="127"/>
      <c r="AB328" s="127"/>
      <c r="AC328" s="127"/>
    </row>
    <row r="329" ht="15.75" customHeight="1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  <c r="AA329" s="127"/>
      <c r="AB329" s="127"/>
      <c r="AC329" s="127"/>
    </row>
    <row r="330" ht="15.75" customHeight="1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  <c r="AA330" s="127"/>
      <c r="AB330" s="127"/>
      <c r="AC330" s="127"/>
    </row>
    <row r="331" ht="15.75" customHeight="1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  <c r="AA331" s="127"/>
      <c r="AB331" s="127"/>
      <c r="AC331" s="127"/>
    </row>
    <row r="332" ht="15.75" customHeight="1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  <c r="AA332" s="127"/>
      <c r="AB332" s="127"/>
      <c r="AC332" s="127"/>
    </row>
    <row r="333" ht="15.75" customHeight="1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  <c r="AA333" s="127"/>
      <c r="AB333" s="127"/>
      <c r="AC333" s="127"/>
    </row>
    <row r="334" ht="15.75" customHeight="1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  <c r="AA334" s="127"/>
      <c r="AB334" s="127"/>
      <c r="AC334" s="127"/>
    </row>
    <row r="335" ht="15.75" customHeight="1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  <c r="AA335" s="127"/>
      <c r="AB335" s="127"/>
      <c r="AC335" s="127"/>
    </row>
    <row r="336" ht="15.75" customHeight="1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  <c r="AA336" s="127"/>
      <c r="AB336" s="127"/>
      <c r="AC336" s="127"/>
    </row>
    <row r="337" ht="15.75" customHeight="1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  <c r="AA337" s="127"/>
      <c r="AB337" s="127"/>
      <c r="AC337" s="127"/>
    </row>
    <row r="338" ht="15.75" customHeight="1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  <c r="AA338" s="127"/>
      <c r="AB338" s="127"/>
      <c r="AC338" s="127"/>
    </row>
    <row r="339" ht="15.75" customHeight="1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  <c r="AA339" s="127"/>
      <c r="AB339" s="127"/>
      <c r="AC339" s="127"/>
    </row>
    <row r="340" ht="15.75" customHeight="1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  <c r="AA340" s="127"/>
      <c r="AB340" s="127"/>
      <c r="AC340" s="127"/>
    </row>
    <row r="341" ht="15.75" customHeight="1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  <c r="AA341" s="127"/>
      <c r="AB341" s="127"/>
      <c r="AC341" s="127"/>
    </row>
    <row r="342" ht="15.75" customHeight="1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  <c r="AA342" s="127"/>
      <c r="AB342" s="127"/>
      <c r="AC342" s="127"/>
    </row>
    <row r="343" ht="15.75" customHeight="1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  <c r="AA343" s="127"/>
      <c r="AB343" s="127"/>
      <c r="AC343" s="127"/>
    </row>
    <row r="344" ht="15.75" customHeight="1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  <c r="AA344" s="127"/>
      <c r="AB344" s="127"/>
      <c r="AC344" s="127"/>
    </row>
    <row r="345" ht="15.75" customHeight="1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  <c r="AA345" s="127"/>
      <c r="AB345" s="127"/>
      <c r="AC345" s="127"/>
    </row>
    <row r="346" ht="15.75" customHeight="1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  <c r="AA346" s="127"/>
      <c r="AB346" s="127"/>
      <c r="AC346" s="127"/>
    </row>
    <row r="347" ht="15.75" customHeight="1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  <c r="AA347" s="127"/>
      <c r="AB347" s="127"/>
      <c r="AC347" s="127"/>
    </row>
    <row r="348" ht="15.75" customHeight="1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  <c r="AA348" s="127"/>
      <c r="AB348" s="127"/>
      <c r="AC348" s="127"/>
    </row>
    <row r="349" ht="15.75" customHeight="1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  <c r="AA349" s="127"/>
      <c r="AB349" s="127"/>
      <c r="AC349" s="127"/>
    </row>
    <row r="350" ht="15.75" customHeight="1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  <c r="AA350" s="127"/>
      <c r="AB350" s="127"/>
      <c r="AC350" s="127"/>
    </row>
    <row r="351" ht="15.75" customHeight="1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  <c r="AA351" s="127"/>
      <c r="AB351" s="127"/>
      <c r="AC351" s="127"/>
    </row>
    <row r="352" ht="15.75" customHeight="1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  <c r="AA352" s="127"/>
      <c r="AB352" s="127"/>
      <c r="AC352" s="127"/>
    </row>
    <row r="353" ht="15.75" customHeight="1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  <c r="AA353" s="127"/>
      <c r="AB353" s="127"/>
      <c r="AC353" s="127"/>
    </row>
    <row r="354" ht="15.75" customHeight="1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  <c r="AA354" s="127"/>
      <c r="AB354" s="127"/>
      <c r="AC354" s="127"/>
    </row>
    <row r="355" ht="15.75" customHeight="1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  <c r="AA355" s="127"/>
      <c r="AB355" s="127"/>
      <c r="AC355" s="127"/>
    </row>
    <row r="356" ht="15.75" customHeight="1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  <c r="AA356" s="127"/>
      <c r="AB356" s="127"/>
      <c r="AC356" s="127"/>
    </row>
    <row r="357" ht="15.75" customHeight="1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  <c r="AA357" s="127"/>
      <c r="AB357" s="127"/>
      <c r="AC357" s="127"/>
    </row>
    <row r="358" ht="15.75" customHeight="1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  <c r="AA358" s="127"/>
      <c r="AB358" s="127"/>
      <c r="AC358" s="127"/>
    </row>
    <row r="359" ht="15.75" customHeight="1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  <c r="AA359" s="127"/>
      <c r="AB359" s="127"/>
      <c r="AC359" s="127"/>
    </row>
    <row r="360" ht="15.75" customHeight="1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  <c r="AA360" s="127"/>
      <c r="AB360" s="127"/>
      <c r="AC360" s="127"/>
    </row>
    <row r="361" ht="15.75" customHeight="1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  <c r="AA361" s="127"/>
      <c r="AB361" s="127"/>
      <c r="AC361" s="127"/>
    </row>
    <row r="362" ht="15.75" customHeight="1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  <c r="AA362" s="127"/>
      <c r="AB362" s="127"/>
      <c r="AC362" s="127"/>
    </row>
    <row r="363" ht="15.75" customHeight="1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  <c r="AA363" s="127"/>
      <c r="AB363" s="127"/>
      <c r="AC363" s="127"/>
    </row>
    <row r="364" ht="15.75" customHeight="1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  <c r="AA364" s="127"/>
      <c r="AB364" s="127"/>
      <c r="AC364" s="127"/>
    </row>
    <row r="365" ht="15.75" customHeight="1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  <c r="AA365" s="127"/>
      <c r="AB365" s="127"/>
      <c r="AC365" s="127"/>
    </row>
    <row r="366" ht="15.75" customHeight="1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  <c r="AA366" s="127"/>
      <c r="AB366" s="127"/>
      <c r="AC366" s="127"/>
    </row>
    <row r="367" ht="15.75" customHeight="1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  <c r="AA367" s="127"/>
      <c r="AB367" s="127"/>
      <c r="AC367" s="127"/>
    </row>
    <row r="368" ht="15.75" customHeight="1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  <c r="AA368" s="127"/>
      <c r="AB368" s="127"/>
      <c r="AC368" s="127"/>
    </row>
    <row r="369" ht="15.75" customHeight="1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  <c r="AA369" s="127"/>
      <c r="AB369" s="127"/>
      <c r="AC369" s="127"/>
    </row>
    <row r="370" ht="15.75" customHeight="1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  <c r="AA370" s="127"/>
      <c r="AB370" s="127"/>
      <c r="AC370" s="127"/>
    </row>
    <row r="371" ht="15.75" customHeight="1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  <c r="AA371" s="127"/>
      <c r="AB371" s="127"/>
      <c r="AC371" s="127"/>
    </row>
    <row r="372" ht="15.75" customHeight="1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  <c r="AA372" s="127"/>
      <c r="AB372" s="127"/>
      <c r="AC372" s="127"/>
    </row>
    <row r="373" ht="15.75" customHeight="1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  <c r="AA373" s="127"/>
      <c r="AB373" s="127"/>
      <c r="AC373" s="127"/>
    </row>
    <row r="374" ht="15.75" customHeight="1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  <c r="AA374" s="127"/>
      <c r="AB374" s="127"/>
      <c r="AC374" s="127"/>
    </row>
    <row r="375" ht="15.75" customHeight="1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  <c r="AA375" s="127"/>
      <c r="AB375" s="127"/>
      <c r="AC375" s="127"/>
    </row>
    <row r="376" ht="15.75" customHeight="1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  <c r="AA376" s="127"/>
      <c r="AB376" s="127"/>
      <c r="AC376" s="127"/>
    </row>
    <row r="377" ht="15.75" customHeight="1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  <c r="AA377" s="127"/>
      <c r="AB377" s="127"/>
      <c r="AC377" s="127"/>
    </row>
    <row r="378" ht="15.75" customHeight="1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  <c r="AA378" s="127"/>
      <c r="AB378" s="127"/>
      <c r="AC378" s="127"/>
    </row>
    <row r="379" ht="15.75" customHeight="1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  <c r="AA379" s="127"/>
      <c r="AB379" s="127"/>
      <c r="AC379" s="127"/>
    </row>
    <row r="380" ht="15.75" customHeight="1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  <c r="AA380" s="127"/>
      <c r="AB380" s="127"/>
      <c r="AC380" s="127"/>
    </row>
    <row r="381" ht="15.75" customHeight="1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  <c r="AA381" s="127"/>
      <c r="AB381" s="127"/>
      <c r="AC381" s="127"/>
    </row>
    <row r="382" ht="15.75" customHeight="1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  <c r="AA382" s="127"/>
      <c r="AB382" s="127"/>
      <c r="AC382" s="127"/>
    </row>
    <row r="383" ht="15.75" customHeight="1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  <c r="AA383" s="127"/>
      <c r="AB383" s="127"/>
      <c r="AC383" s="127"/>
    </row>
    <row r="384" ht="15.75" customHeight="1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  <c r="AA384" s="127"/>
      <c r="AB384" s="127"/>
      <c r="AC384" s="127"/>
    </row>
    <row r="385" ht="15.75" customHeight="1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  <c r="AA385" s="127"/>
      <c r="AB385" s="127"/>
      <c r="AC385" s="127"/>
    </row>
    <row r="386" ht="15.75" customHeight="1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  <c r="AA386" s="127"/>
      <c r="AB386" s="127"/>
      <c r="AC386" s="127"/>
    </row>
    <row r="387" ht="15.75" customHeight="1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  <c r="AA387" s="127"/>
      <c r="AB387" s="127"/>
      <c r="AC387" s="127"/>
    </row>
    <row r="388" ht="15.75" customHeight="1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  <c r="AA388" s="127"/>
      <c r="AB388" s="127"/>
      <c r="AC388" s="127"/>
    </row>
    <row r="389" ht="15.75" customHeight="1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  <c r="AA389" s="127"/>
      <c r="AB389" s="127"/>
      <c r="AC389" s="127"/>
    </row>
    <row r="390" ht="15.75" customHeight="1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  <c r="AA390" s="127"/>
      <c r="AB390" s="127"/>
      <c r="AC390" s="127"/>
    </row>
    <row r="391" ht="15.75" customHeight="1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  <c r="AA391" s="127"/>
      <c r="AB391" s="127"/>
      <c r="AC391" s="127"/>
    </row>
    <row r="392" ht="15.75" customHeight="1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  <c r="AA392" s="127"/>
      <c r="AB392" s="127"/>
      <c r="AC392" s="127"/>
    </row>
    <row r="393" ht="15.75" customHeight="1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  <c r="AA393" s="127"/>
      <c r="AB393" s="127"/>
      <c r="AC393" s="127"/>
    </row>
    <row r="394" ht="15.75" customHeight="1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  <c r="AA394" s="127"/>
      <c r="AB394" s="127"/>
      <c r="AC394" s="127"/>
    </row>
    <row r="395" ht="15.75" customHeight="1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  <c r="AA395" s="127"/>
      <c r="AB395" s="127"/>
      <c r="AC395" s="127"/>
    </row>
    <row r="396" ht="15.75" customHeight="1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  <c r="AA396" s="127"/>
      <c r="AB396" s="127"/>
      <c r="AC396" s="127"/>
    </row>
    <row r="397" ht="15.75" customHeight="1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  <c r="AA397" s="127"/>
      <c r="AB397" s="127"/>
      <c r="AC397" s="127"/>
    </row>
    <row r="398" ht="15.75" customHeight="1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  <c r="AA398" s="127"/>
      <c r="AB398" s="127"/>
      <c r="AC398" s="127"/>
    </row>
    <row r="399" ht="15.75" customHeight="1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  <c r="AA399" s="127"/>
      <c r="AB399" s="127"/>
      <c r="AC399" s="127"/>
    </row>
    <row r="400" ht="15.75" customHeight="1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  <c r="AA400" s="127"/>
      <c r="AB400" s="127"/>
      <c r="AC400" s="127"/>
    </row>
    <row r="401" ht="15.75" customHeight="1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  <c r="AA401" s="127"/>
      <c r="AB401" s="127"/>
      <c r="AC401" s="127"/>
    </row>
    <row r="402" ht="15.75" customHeight="1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  <c r="AA402" s="127"/>
      <c r="AB402" s="127"/>
      <c r="AC402" s="127"/>
    </row>
    <row r="403" ht="15.75" customHeight="1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  <c r="AA403" s="127"/>
      <c r="AB403" s="127"/>
      <c r="AC403" s="127"/>
    </row>
    <row r="404" ht="15.75" customHeight="1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  <c r="AA404" s="127"/>
      <c r="AB404" s="127"/>
      <c r="AC404" s="127"/>
    </row>
    <row r="405" ht="15.75" customHeight="1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  <c r="AA405" s="127"/>
      <c r="AB405" s="127"/>
      <c r="AC405" s="127"/>
    </row>
    <row r="406" ht="15.75" customHeight="1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  <c r="AA406" s="127"/>
      <c r="AB406" s="127"/>
      <c r="AC406" s="127"/>
    </row>
    <row r="407" ht="15.75" customHeight="1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  <c r="AA407" s="127"/>
      <c r="AB407" s="127"/>
      <c r="AC407" s="127"/>
    </row>
    <row r="408" ht="15.75" customHeight="1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  <c r="AA408" s="127"/>
      <c r="AB408" s="127"/>
      <c r="AC408" s="127"/>
    </row>
    <row r="409" ht="15.75" customHeight="1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  <c r="AA409" s="127"/>
      <c r="AB409" s="127"/>
      <c r="AC409" s="127"/>
    </row>
    <row r="410" ht="15.75" customHeight="1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  <c r="AA410" s="127"/>
      <c r="AB410" s="127"/>
      <c r="AC410" s="127"/>
    </row>
    <row r="411" ht="15.75" customHeight="1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  <c r="AA411" s="127"/>
      <c r="AB411" s="127"/>
      <c r="AC411" s="127"/>
    </row>
    <row r="412" ht="15.75" customHeight="1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  <c r="AA412" s="127"/>
      <c r="AB412" s="127"/>
      <c r="AC412" s="127"/>
    </row>
    <row r="413" ht="15.75" customHeight="1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  <c r="AA413" s="127"/>
      <c r="AB413" s="127"/>
      <c r="AC413" s="127"/>
    </row>
    <row r="414" ht="15.75" customHeight="1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  <c r="AA414" s="127"/>
      <c r="AB414" s="127"/>
      <c r="AC414" s="127"/>
    </row>
    <row r="415" ht="15.75" customHeight="1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  <c r="AA415" s="127"/>
      <c r="AB415" s="127"/>
      <c r="AC415" s="127"/>
    </row>
    <row r="416" ht="15.75" customHeight="1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  <c r="AA416" s="127"/>
      <c r="AB416" s="127"/>
      <c r="AC416" s="127"/>
    </row>
    <row r="417" ht="15.75" customHeight="1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  <c r="AA417" s="127"/>
      <c r="AB417" s="127"/>
      <c r="AC417" s="127"/>
    </row>
    <row r="418" ht="15.75" customHeight="1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  <c r="AA418" s="127"/>
      <c r="AB418" s="127"/>
      <c r="AC418" s="127"/>
    </row>
    <row r="419" ht="15.75" customHeight="1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  <c r="AA419" s="127"/>
      <c r="AB419" s="127"/>
      <c r="AC419" s="127"/>
    </row>
    <row r="420" ht="15.75" customHeight="1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  <c r="AA420" s="127"/>
      <c r="AB420" s="127"/>
      <c r="AC420" s="127"/>
    </row>
    <row r="421" ht="15.75" customHeight="1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  <c r="AA421" s="127"/>
      <c r="AB421" s="127"/>
      <c r="AC421" s="127"/>
    </row>
    <row r="422" ht="15.75" customHeight="1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  <c r="AA422" s="127"/>
      <c r="AB422" s="127"/>
      <c r="AC422" s="127"/>
    </row>
    <row r="423" ht="15.75" customHeight="1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  <c r="AA423" s="127"/>
      <c r="AB423" s="127"/>
      <c r="AC423" s="127"/>
    </row>
    <row r="424" ht="15.75" customHeight="1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  <c r="AA424" s="127"/>
      <c r="AB424" s="127"/>
      <c r="AC424" s="127"/>
    </row>
    <row r="425" ht="15.75" customHeight="1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  <c r="AA425" s="127"/>
      <c r="AB425" s="127"/>
      <c r="AC425" s="127"/>
    </row>
    <row r="426" ht="15.75" customHeight="1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  <c r="AA426" s="127"/>
      <c r="AB426" s="127"/>
      <c r="AC426" s="127"/>
    </row>
    <row r="427" ht="15.75" customHeight="1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  <c r="AA427" s="127"/>
      <c r="AB427" s="127"/>
      <c r="AC427" s="127"/>
    </row>
    <row r="428" ht="15.75" customHeight="1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  <c r="AA428" s="127"/>
      <c r="AB428" s="127"/>
      <c r="AC428" s="127"/>
    </row>
    <row r="429" ht="15.75" customHeight="1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  <c r="AA429" s="127"/>
      <c r="AB429" s="127"/>
      <c r="AC429" s="127"/>
    </row>
    <row r="430" ht="15.75" customHeight="1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  <c r="AA430" s="127"/>
      <c r="AB430" s="127"/>
      <c r="AC430" s="127"/>
    </row>
    <row r="431" ht="15.75" customHeight="1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  <c r="AA431" s="127"/>
      <c r="AB431" s="127"/>
      <c r="AC431" s="127"/>
    </row>
    <row r="432" ht="15.75" customHeight="1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  <c r="AA432" s="127"/>
      <c r="AB432" s="127"/>
      <c r="AC432" s="127"/>
    </row>
    <row r="433" ht="15.75" customHeight="1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  <c r="AA433" s="127"/>
      <c r="AB433" s="127"/>
      <c r="AC433" s="127"/>
    </row>
    <row r="434" ht="15.75" customHeight="1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  <c r="AA434" s="127"/>
      <c r="AB434" s="127"/>
      <c r="AC434" s="127"/>
    </row>
    <row r="435" ht="15.75" customHeight="1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  <c r="AA435" s="127"/>
      <c r="AB435" s="127"/>
      <c r="AC435" s="127"/>
    </row>
    <row r="436" ht="15.75" customHeight="1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  <c r="AA436" s="127"/>
      <c r="AB436" s="127"/>
      <c r="AC436" s="127"/>
    </row>
    <row r="437" ht="15.75" customHeight="1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  <c r="AA437" s="127"/>
      <c r="AB437" s="127"/>
      <c r="AC437" s="127"/>
    </row>
    <row r="438" ht="15.75" customHeight="1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  <c r="AA438" s="127"/>
      <c r="AB438" s="127"/>
      <c r="AC438" s="127"/>
    </row>
    <row r="439" ht="15.75" customHeight="1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  <c r="AA439" s="127"/>
      <c r="AB439" s="127"/>
      <c r="AC439" s="127"/>
    </row>
    <row r="440" ht="15.75" customHeight="1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  <c r="AA440" s="127"/>
      <c r="AB440" s="127"/>
      <c r="AC440" s="127"/>
    </row>
    <row r="441" ht="15.75" customHeight="1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  <c r="AA441" s="127"/>
      <c r="AB441" s="127"/>
      <c r="AC441" s="127"/>
    </row>
    <row r="442" ht="15.75" customHeight="1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  <c r="AA442" s="127"/>
      <c r="AB442" s="127"/>
      <c r="AC442" s="127"/>
    </row>
    <row r="443" ht="15.75" customHeight="1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  <c r="AA443" s="127"/>
      <c r="AB443" s="127"/>
      <c r="AC443" s="127"/>
    </row>
    <row r="444" ht="15.75" customHeight="1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  <c r="AA444" s="127"/>
      <c r="AB444" s="127"/>
      <c r="AC444" s="127"/>
    </row>
    <row r="445" ht="15.75" customHeight="1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  <c r="AA445" s="127"/>
      <c r="AB445" s="127"/>
      <c r="AC445" s="127"/>
    </row>
    <row r="446" ht="15.75" customHeight="1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  <c r="AA446" s="127"/>
      <c r="AB446" s="127"/>
      <c r="AC446" s="127"/>
    </row>
    <row r="447" ht="15.75" customHeight="1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  <c r="AA447" s="127"/>
      <c r="AB447" s="127"/>
      <c r="AC447" s="127"/>
    </row>
    <row r="448" ht="15.75" customHeight="1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  <c r="AA448" s="127"/>
      <c r="AB448" s="127"/>
      <c r="AC448" s="127"/>
    </row>
    <row r="449" ht="15.75" customHeight="1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  <c r="AA449" s="127"/>
      <c r="AB449" s="127"/>
      <c r="AC449" s="127"/>
    </row>
    <row r="450" ht="15.75" customHeight="1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  <c r="AA450" s="127"/>
      <c r="AB450" s="127"/>
      <c r="AC450" s="127"/>
    </row>
    <row r="451" ht="15.75" customHeight="1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  <c r="AA451" s="127"/>
      <c r="AB451" s="127"/>
      <c r="AC451" s="127"/>
    </row>
    <row r="452" ht="15.75" customHeight="1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  <c r="AA452" s="127"/>
      <c r="AB452" s="127"/>
      <c r="AC452" s="127"/>
    </row>
    <row r="453" ht="15.75" customHeight="1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  <c r="AA453" s="127"/>
      <c r="AB453" s="127"/>
      <c r="AC453" s="127"/>
    </row>
    <row r="454" ht="15.75" customHeight="1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  <c r="AA454" s="127"/>
      <c r="AB454" s="127"/>
      <c r="AC454" s="127"/>
    </row>
    <row r="455" ht="15.75" customHeight="1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  <c r="AA455" s="127"/>
      <c r="AB455" s="127"/>
      <c r="AC455" s="127"/>
    </row>
    <row r="456" ht="15.75" customHeight="1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  <c r="AA456" s="127"/>
      <c r="AB456" s="127"/>
      <c r="AC456" s="127"/>
    </row>
    <row r="457" ht="15.75" customHeight="1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  <c r="AA457" s="127"/>
      <c r="AB457" s="127"/>
      <c r="AC457" s="127"/>
    </row>
    <row r="458" ht="15.75" customHeight="1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  <c r="AA458" s="127"/>
      <c r="AB458" s="127"/>
      <c r="AC458" s="127"/>
    </row>
    <row r="459" ht="15.75" customHeight="1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  <c r="AA459" s="127"/>
      <c r="AB459" s="127"/>
      <c r="AC459" s="127"/>
    </row>
    <row r="460" ht="15.75" customHeight="1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  <c r="AA460" s="127"/>
      <c r="AB460" s="127"/>
      <c r="AC460" s="127"/>
    </row>
    <row r="461" ht="15.75" customHeight="1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  <c r="AA461" s="127"/>
      <c r="AB461" s="127"/>
      <c r="AC461" s="127"/>
    </row>
    <row r="462" ht="15.75" customHeight="1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  <c r="AA462" s="127"/>
      <c r="AB462" s="127"/>
      <c r="AC462" s="127"/>
    </row>
    <row r="463" ht="15.75" customHeight="1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  <c r="AA463" s="127"/>
      <c r="AB463" s="127"/>
      <c r="AC463" s="127"/>
    </row>
    <row r="464" ht="15.75" customHeight="1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  <c r="AA464" s="127"/>
      <c r="AB464" s="127"/>
      <c r="AC464" s="127"/>
    </row>
    <row r="465" ht="15.75" customHeight="1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  <c r="AA465" s="127"/>
      <c r="AB465" s="127"/>
      <c r="AC465" s="127"/>
    </row>
    <row r="466" ht="15.75" customHeight="1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  <c r="AA466" s="127"/>
      <c r="AB466" s="127"/>
      <c r="AC466" s="127"/>
    </row>
    <row r="467" ht="15.75" customHeight="1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  <c r="AA467" s="127"/>
      <c r="AB467" s="127"/>
      <c r="AC467" s="127"/>
    </row>
    <row r="468" ht="15.75" customHeight="1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  <c r="AA468" s="127"/>
      <c r="AB468" s="127"/>
      <c r="AC468" s="127"/>
    </row>
    <row r="469" ht="15.75" customHeight="1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  <c r="AA469" s="127"/>
      <c r="AB469" s="127"/>
      <c r="AC469" s="127"/>
    </row>
    <row r="470" ht="15.75" customHeight="1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  <c r="AA470" s="127"/>
      <c r="AB470" s="127"/>
      <c r="AC470" s="127"/>
    </row>
    <row r="471" ht="15.75" customHeight="1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  <c r="AA471" s="127"/>
      <c r="AB471" s="127"/>
      <c r="AC471" s="127"/>
    </row>
    <row r="472" ht="15.75" customHeight="1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  <c r="AA472" s="127"/>
      <c r="AB472" s="127"/>
      <c r="AC472" s="127"/>
    </row>
    <row r="473" ht="15.75" customHeight="1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  <c r="AA473" s="127"/>
      <c r="AB473" s="127"/>
      <c r="AC473" s="127"/>
    </row>
    <row r="474" ht="15.75" customHeight="1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  <c r="AA474" s="127"/>
      <c r="AB474" s="127"/>
      <c r="AC474" s="127"/>
    </row>
    <row r="475" ht="15.75" customHeight="1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  <c r="AA475" s="127"/>
      <c r="AB475" s="127"/>
      <c r="AC475" s="127"/>
    </row>
    <row r="476" ht="15.75" customHeight="1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  <c r="AA476" s="127"/>
      <c r="AB476" s="127"/>
      <c r="AC476" s="127"/>
    </row>
    <row r="477" ht="15.75" customHeight="1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  <c r="AA477" s="127"/>
      <c r="AB477" s="127"/>
      <c r="AC477" s="127"/>
    </row>
    <row r="478" ht="15.75" customHeight="1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  <c r="AA478" s="127"/>
      <c r="AB478" s="127"/>
      <c r="AC478" s="127"/>
    </row>
    <row r="479" ht="15.75" customHeight="1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  <c r="AA479" s="127"/>
      <c r="AB479" s="127"/>
      <c r="AC479" s="127"/>
    </row>
    <row r="480" ht="15.75" customHeight="1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  <c r="AA480" s="127"/>
      <c r="AB480" s="127"/>
      <c r="AC480" s="127"/>
    </row>
    <row r="481" ht="15.75" customHeight="1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  <c r="AA481" s="127"/>
      <c r="AB481" s="127"/>
      <c r="AC481" s="127"/>
    </row>
    <row r="482" ht="15.75" customHeight="1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  <c r="AA482" s="127"/>
      <c r="AB482" s="127"/>
      <c r="AC482" s="127"/>
    </row>
    <row r="483" ht="15.75" customHeight="1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  <c r="AA483" s="127"/>
      <c r="AB483" s="127"/>
      <c r="AC483" s="127"/>
    </row>
    <row r="484" ht="15.75" customHeight="1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  <c r="AA484" s="127"/>
      <c r="AB484" s="127"/>
      <c r="AC484" s="127"/>
    </row>
    <row r="485" ht="15.75" customHeight="1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  <c r="AA485" s="127"/>
      <c r="AB485" s="127"/>
      <c r="AC485" s="127"/>
    </row>
    <row r="486" ht="15.75" customHeight="1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  <c r="AA486" s="127"/>
      <c r="AB486" s="127"/>
      <c r="AC486" s="127"/>
    </row>
    <row r="487" ht="15.75" customHeight="1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  <c r="AA487" s="127"/>
      <c r="AB487" s="127"/>
      <c r="AC487" s="127"/>
    </row>
    <row r="488" ht="15.75" customHeight="1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  <c r="AA488" s="127"/>
      <c r="AB488" s="127"/>
      <c r="AC488" s="127"/>
    </row>
    <row r="489" ht="15.75" customHeight="1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  <c r="AA489" s="127"/>
      <c r="AB489" s="127"/>
      <c r="AC489" s="127"/>
    </row>
    <row r="490" ht="15.75" customHeight="1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  <c r="AA490" s="127"/>
      <c r="AB490" s="127"/>
      <c r="AC490" s="127"/>
    </row>
    <row r="491" ht="15.75" customHeight="1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  <c r="AA491" s="127"/>
      <c r="AB491" s="127"/>
      <c r="AC491" s="127"/>
    </row>
    <row r="492" ht="15.75" customHeight="1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  <c r="AA492" s="127"/>
      <c r="AB492" s="127"/>
      <c r="AC492" s="127"/>
    </row>
    <row r="493" ht="15.75" customHeight="1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  <c r="AA493" s="127"/>
      <c r="AB493" s="127"/>
      <c r="AC493" s="127"/>
    </row>
    <row r="494" ht="15.75" customHeight="1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  <c r="AA494" s="127"/>
      <c r="AB494" s="127"/>
      <c r="AC494" s="127"/>
    </row>
    <row r="495" ht="15.75" customHeight="1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  <c r="AA495" s="127"/>
      <c r="AB495" s="127"/>
      <c r="AC495" s="127"/>
    </row>
    <row r="496" ht="15.75" customHeight="1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  <c r="AA496" s="127"/>
      <c r="AB496" s="127"/>
      <c r="AC496" s="127"/>
    </row>
    <row r="497" ht="15.75" customHeight="1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  <c r="AA497" s="127"/>
      <c r="AB497" s="127"/>
      <c r="AC497" s="127"/>
    </row>
    <row r="498" ht="15.75" customHeight="1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  <c r="AA498" s="127"/>
      <c r="AB498" s="127"/>
      <c r="AC498" s="127"/>
    </row>
    <row r="499" ht="15.75" customHeight="1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  <c r="AA499" s="127"/>
      <c r="AB499" s="127"/>
      <c r="AC499" s="127"/>
    </row>
    <row r="500" ht="15.75" customHeight="1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  <c r="AA500" s="127"/>
      <c r="AB500" s="127"/>
      <c r="AC500" s="127"/>
    </row>
    <row r="501" ht="15.75" customHeight="1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  <c r="AA501" s="127"/>
      <c r="AB501" s="127"/>
      <c r="AC501" s="127"/>
    </row>
    <row r="502" ht="15.75" customHeight="1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  <c r="AA502" s="127"/>
      <c r="AB502" s="127"/>
      <c r="AC502" s="127"/>
    </row>
    <row r="503" ht="15.75" customHeight="1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  <c r="AA503" s="127"/>
      <c r="AB503" s="127"/>
      <c r="AC503" s="127"/>
    </row>
    <row r="504" ht="15.75" customHeight="1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  <c r="AA504" s="127"/>
      <c r="AB504" s="127"/>
      <c r="AC504" s="127"/>
    </row>
    <row r="505" ht="15.75" customHeight="1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  <c r="AA505" s="127"/>
      <c r="AB505" s="127"/>
      <c r="AC505" s="127"/>
    </row>
    <row r="506" ht="15.75" customHeight="1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  <c r="AA506" s="127"/>
      <c r="AB506" s="127"/>
      <c r="AC506" s="127"/>
    </row>
    <row r="507" ht="15.75" customHeight="1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  <c r="AA507" s="127"/>
      <c r="AB507" s="127"/>
      <c r="AC507" s="127"/>
    </row>
    <row r="508" ht="15.75" customHeight="1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  <c r="AA508" s="127"/>
      <c r="AB508" s="127"/>
      <c r="AC508" s="127"/>
    </row>
    <row r="509" ht="15.75" customHeight="1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  <c r="AA509" s="127"/>
      <c r="AB509" s="127"/>
      <c r="AC509" s="127"/>
    </row>
    <row r="510" ht="15.75" customHeight="1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  <c r="AA510" s="127"/>
      <c r="AB510" s="127"/>
      <c r="AC510" s="127"/>
    </row>
    <row r="511" ht="15.75" customHeight="1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  <c r="AA511" s="127"/>
      <c r="AB511" s="127"/>
      <c r="AC511" s="127"/>
    </row>
    <row r="512" ht="15.75" customHeight="1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  <c r="AA512" s="127"/>
      <c r="AB512" s="127"/>
      <c r="AC512" s="127"/>
    </row>
    <row r="513" ht="15.75" customHeight="1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  <c r="AA513" s="127"/>
      <c r="AB513" s="127"/>
      <c r="AC513" s="127"/>
    </row>
    <row r="514" ht="15.75" customHeight="1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  <c r="AA514" s="127"/>
      <c r="AB514" s="127"/>
      <c r="AC514" s="127"/>
    </row>
    <row r="515" ht="15.75" customHeight="1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  <c r="AA515" s="127"/>
      <c r="AB515" s="127"/>
      <c r="AC515" s="127"/>
    </row>
    <row r="516" ht="15.75" customHeight="1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  <c r="AA516" s="127"/>
      <c r="AB516" s="127"/>
      <c r="AC516" s="127"/>
    </row>
    <row r="517" ht="15.75" customHeight="1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  <c r="AA517" s="127"/>
      <c r="AB517" s="127"/>
      <c r="AC517" s="127"/>
    </row>
    <row r="518" ht="15.75" customHeight="1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  <c r="AA518" s="127"/>
      <c r="AB518" s="127"/>
      <c r="AC518" s="127"/>
    </row>
    <row r="519" ht="15.75" customHeight="1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  <c r="AA519" s="127"/>
      <c r="AB519" s="127"/>
      <c r="AC519" s="127"/>
    </row>
    <row r="520" ht="15.75" customHeight="1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  <c r="AA520" s="127"/>
      <c r="AB520" s="127"/>
      <c r="AC520" s="127"/>
    </row>
    <row r="521" ht="15.75" customHeight="1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  <c r="AA521" s="127"/>
      <c r="AB521" s="127"/>
      <c r="AC521" s="127"/>
    </row>
    <row r="522" ht="15.75" customHeight="1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  <c r="AA522" s="127"/>
      <c r="AB522" s="127"/>
      <c r="AC522" s="127"/>
    </row>
    <row r="523" ht="15.75" customHeight="1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  <c r="AA523" s="127"/>
      <c r="AB523" s="127"/>
      <c r="AC523" s="127"/>
    </row>
    <row r="524" ht="15.75" customHeight="1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  <c r="AA524" s="127"/>
      <c r="AB524" s="127"/>
      <c r="AC524" s="127"/>
    </row>
    <row r="525" ht="15.75" customHeight="1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  <c r="AA525" s="127"/>
      <c r="AB525" s="127"/>
      <c r="AC525" s="127"/>
    </row>
    <row r="526" ht="15.75" customHeight="1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  <c r="AA526" s="127"/>
      <c r="AB526" s="127"/>
      <c r="AC526" s="127"/>
    </row>
    <row r="527" ht="15.75" customHeight="1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  <c r="AA527" s="127"/>
      <c r="AB527" s="127"/>
      <c r="AC527" s="127"/>
    </row>
    <row r="528" ht="15.75" customHeight="1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  <c r="AA528" s="127"/>
      <c r="AB528" s="127"/>
      <c r="AC528" s="127"/>
    </row>
    <row r="529" ht="15.75" customHeight="1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  <c r="AA529" s="127"/>
      <c r="AB529" s="127"/>
      <c r="AC529" s="127"/>
    </row>
    <row r="530" ht="15.75" customHeight="1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  <c r="AA530" s="127"/>
      <c r="AB530" s="127"/>
      <c r="AC530" s="127"/>
    </row>
    <row r="531" ht="15.75" customHeight="1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  <c r="AA531" s="127"/>
      <c r="AB531" s="127"/>
      <c r="AC531" s="127"/>
    </row>
    <row r="532" ht="15.75" customHeight="1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  <c r="AA532" s="127"/>
      <c r="AB532" s="127"/>
      <c r="AC532" s="127"/>
    </row>
    <row r="533" ht="15.75" customHeight="1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  <c r="AA533" s="127"/>
      <c r="AB533" s="127"/>
      <c r="AC533" s="127"/>
    </row>
    <row r="534" ht="15.75" customHeight="1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  <c r="AA534" s="127"/>
      <c r="AB534" s="127"/>
      <c r="AC534" s="127"/>
    </row>
    <row r="535" ht="15.75" customHeight="1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  <c r="AA535" s="127"/>
      <c r="AB535" s="127"/>
      <c r="AC535" s="127"/>
    </row>
    <row r="536" ht="15.75" customHeight="1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  <c r="AA536" s="127"/>
      <c r="AB536" s="127"/>
      <c r="AC536" s="127"/>
    </row>
    <row r="537" ht="15.75" customHeight="1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  <c r="AA537" s="127"/>
      <c r="AB537" s="127"/>
      <c r="AC537" s="127"/>
    </row>
    <row r="538" ht="15.75" customHeight="1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  <c r="AA538" s="127"/>
      <c r="AB538" s="127"/>
      <c r="AC538" s="127"/>
    </row>
    <row r="539" ht="15.75" customHeight="1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  <c r="AA539" s="127"/>
      <c r="AB539" s="127"/>
      <c r="AC539" s="127"/>
    </row>
    <row r="540" ht="15.75" customHeight="1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  <c r="AA540" s="127"/>
      <c r="AB540" s="127"/>
      <c r="AC540" s="127"/>
    </row>
    <row r="541" ht="15.75" customHeight="1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  <c r="AA541" s="127"/>
      <c r="AB541" s="127"/>
      <c r="AC541" s="127"/>
    </row>
    <row r="542" ht="15.75" customHeight="1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  <c r="AA542" s="127"/>
      <c r="AB542" s="127"/>
      <c r="AC542" s="127"/>
    </row>
    <row r="543" ht="15.75" customHeight="1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  <c r="AA543" s="127"/>
      <c r="AB543" s="127"/>
      <c r="AC543" s="127"/>
    </row>
    <row r="544" ht="15.75" customHeight="1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  <c r="AA544" s="127"/>
      <c r="AB544" s="127"/>
      <c r="AC544" s="127"/>
    </row>
    <row r="545" ht="15.75" customHeight="1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  <c r="AA545" s="127"/>
      <c r="AB545" s="127"/>
      <c r="AC545" s="127"/>
    </row>
    <row r="546" ht="15.75" customHeight="1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  <c r="AA546" s="127"/>
      <c r="AB546" s="127"/>
      <c r="AC546" s="127"/>
    </row>
    <row r="547" ht="15.75" customHeight="1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  <c r="AA547" s="127"/>
      <c r="AB547" s="127"/>
      <c r="AC547" s="127"/>
    </row>
    <row r="548" ht="15.75" customHeight="1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  <c r="AA548" s="127"/>
      <c r="AB548" s="127"/>
      <c r="AC548" s="127"/>
    </row>
    <row r="549" ht="15.75" customHeight="1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  <c r="AA549" s="127"/>
      <c r="AB549" s="127"/>
      <c r="AC549" s="127"/>
    </row>
    <row r="550" ht="15.75" customHeight="1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  <c r="AA550" s="127"/>
      <c r="AB550" s="127"/>
      <c r="AC550" s="127"/>
    </row>
    <row r="551" ht="15.75" customHeight="1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  <c r="AA551" s="127"/>
      <c r="AB551" s="127"/>
      <c r="AC551" s="127"/>
    </row>
    <row r="552" ht="15.75" customHeight="1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  <c r="AA552" s="127"/>
      <c r="AB552" s="127"/>
      <c r="AC552" s="127"/>
    </row>
    <row r="553" ht="15.75" customHeight="1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  <c r="AA553" s="127"/>
      <c r="AB553" s="127"/>
      <c r="AC553" s="127"/>
    </row>
    <row r="554" ht="15.75" customHeight="1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  <c r="AA554" s="127"/>
      <c r="AB554" s="127"/>
      <c r="AC554" s="127"/>
    </row>
    <row r="555" ht="15.75" customHeight="1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  <c r="AA555" s="127"/>
      <c r="AB555" s="127"/>
      <c r="AC555" s="127"/>
    </row>
    <row r="556" ht="15.75" customHeight="1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  <c r="AA556" s="127"/>
      <c r="AB556" s="127"/>
      <c r="AC556" s="127"/>
    </row>
    <row r="557" ht="15.75" customHeight="1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  <c r="AA557" s="127"/>
      <c r="AB557" s="127"/>
      <c r="AC557" s="127"/>
    </row>
    <row r="558" ht="15.75" customHeight="1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  <c r="AA558" s="127"/>
      <c r="AB558" s="127"/>
      <c r="AC558" s="127"/>
    </row>
    <row r="559" ht="15.75" customHeight="1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  <c r="AA559" s="127"/>
      <c r="AB559" s="127"/>
      <c r="AC559" s="127"/>
    </row>
    <row r="560" ht="15.75" customHeight="1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  <c r="AA560" s="127"/>
      <c r="AB560" s="127"/>
      <c r="AC560" s="127"/>
    </row>
    <row r="561" ht="15.75" customHeight="1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  <c r="AA561" s="127"/>
      <c r="AB561" s="127"/>
      <c r="AC561" s="127"/>
    </row>
    <row r="562" ht="15.75" customHeight="1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  <c r="AA562" s="127"/>
      <c r="AB562" s="127"/>
      <c r="AC562" s="127"/>
    </row>
    <row r="563" ht="15.75" customHeight="1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  <c r="AA563" s="127"/>
      <c r="AB563" s="127"/>
      <c r="AC563" s="127"/>
    </row>
    <row r="564" ht="15.75" customHeight="1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  <c r="AA564" s="127"/>
      <c r="AB564" s="127"/>
      <c r="AC564" s="127"/>
    </row>
    <row r="565" ht="15.75" customHeight="1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  <c r="AA565" s="127"/>
      <c r="AB565" s="127"/>
      <c r="AC565" s="127"/>
    </row>
    <row r="566" ht="15.75" customHeight="1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  <c r="AA566" s="127"/>
      <c r="AB566" s="127"/>
      <c r="AC566" s="127"/>
    </row>
    <row r="567" ht="15.75" customHeight="1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  <c r="AA567" s="127"/>
      <c r="AB567" s="127"/>
      <c r="AC567" s="127"/>
    </row>
    <row r="568" ht="15.75" customHeight="1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  <c r="AA568" s="127"/>
      <c r="AB568" s="127"/>
      <c r="AC568" s="127"/>
    </row>
    <row r="569" ht="15.75" customHeight="1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  <c r="AA569" s="127"/>
      <c r="AB569" s="127"/>
      <c r="AC569" s="127"/>
    </row>
    <row r="570" ht="15.75" customHeight="1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  <c r="AA570" s="127"/>
      <c r="AB570" s="127"/>
      <c r="AC570" s="127"/>
    </row>
    <row r="571" ht="15.75" customHeight="1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  <c r="AA571" s="127"/>
      <c r="AB571" s="127"/>
      <c r="AC571" s="127"/>
    </row>
    <row r="572" ht="15.75" customHeight="1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  <c r="AA572" s="127"/>
      <c r="AB572" s="127"/>
      <c r="AC572" s="127"/>
    </row>
    <row r="573" ht="15.75" customHeight="1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  <c r="AA573" s="127"/>
      <c r="AB573" s="127"/>
      <c r="AC573" s="127"/>
    </row>
    <row r="574" ht="15.75" customHeight="1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  <c r="AA574" s="127"/>
      <c r="AB574" s="127"/>
      <c r="AC574" s="127"/>
    </row>
    <row r="575" ht="15.75" customHeight="1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  <c r="AA575" s="127"/>
      <c r="AB575" s="127"/>
      <c r="AC575" s="127"/>
    </row>
    <row r="576" ht="15.75" customHeight="1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  <c r="AA576" s="127"/>
      <c r="AB576" s="127"/>
      <c r="AC576" s="127"/>
    </row>
    <row r="577" ht="15.75" customHeight="1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  <c r="AA577" s="127"/>
      <c r="AB577" s="127"/>
      <c r="AC577" s="127"/>
    </row>
    <row r="578" ht="15.75" customHeight="1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  <c r="AA578" s="127"/>
      <c r="AB578" s="127"/>
      <c r="AC578" s="127"/>
    </row>
    <row r="579" ht="15.75" customHeight="1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  <c r="AA579" s="127"/>
      <c r="AB579" s="127"/>
      <c r="AC579" s="127"/>
    </row>
    <row r="580" ht="15.75" customHeight="1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  <c r="AA580" s="127"/>
      <c r="AB580" s="127"/>
      <c r="AC580" s="127"/>
    </row>
    <row r="581" ht="15.75" customHeight="1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  <c r="AA581" s="127"/>
      <c r="AB581" s="127"/>
      <c r="AC581" s="127"/>
    </row>
    <row r="582" ht="15.75" customHeight="1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  <c r="AA582" s="127"/>
      <c r="AB582" s="127"/>
      <c r="AC582" s="127"/>
    </row>
    <row r="583" ht="15.75" customHeight="1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  <c r="AA583" s="127"/>
      <c r="AB583" s="127"/>
      <c r="AC583" s="127"/>
    </row>
    <row r="584" ht="15.75" customHeight="1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  <c r="AA584" s="127"/>
      <c r="AB584" s="127"/>
      <c r="AC584" s="127"/>
    </row>
    <row r="585" ht="15.75" customHeight="1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  <c r="AA585" s="127"/>
      <c r="AB585" s="127"/>
      <c r="AC585" s="127"/>
    </row>
    <row r="586" ht="15.75" customHeight="1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  <c r="AA586" s="127"/>
      <c r="AB586" s="127"/>
      <c r="AC586" s="127"/>
    </row>
    <row r="587" ht="15.75" customHeight="1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  <c r="AA587" s="127"/>
      <c r="AB587" s="127"/>
      <c r="AC587" s="127"/>
    </row>
    <row r="588" ht="15.75" customHeight="1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  <c r="AA588" s="127"/>
      <c r="AB588" s="127"/>
      <c r="AC588" s="127"/>
    </row>
    <row r="589" ht="15.75" customHeight="1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  <c r="AA589" s="127"/>
      <c r="AB589" s="127"/>
      <c r="AC589" s="127"/>
    </row>
    <row r="590" ht="15.75" customHeight="1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  <c r="AA590" s="127"/>
      <c r="AB590" s="127"/>
      <c r="AC590" s="127"/>
    </row>
    <row r="591" ht="15.75" customHeight="1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  <c r="AA591" s="127"/>
      <c r="AB591" s="127"/>
      <c r="AC591" s="127"/>
    </row>
    <row r="592" ht="15.75" customHeight="1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  <c r="AA592" s="127"/>
      <c r="AB592" s="127"/>
      <c r="AC592" s="127"/>
    </row>
    <row r="593" ht="15.75" customHeight="1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  <c r="AA593" s="127"/>
      <c r="AB593" s="127"/>
      <c r="AC593" s="127"/>
    </row>
    <row r="594" ht="15.75" customHeight="1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  <c r="AA594" s="127"/>
      <c r="AB594" s="127"/>
      <c r="AC594" s="127"/>
    </row>
    <row r="595" ht="15.75" customHeight="1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  <c r="AA595" s="127"/>
      <c r="AB595" s="127"/>
      <c r="AC595" s="127"/>
    </row>
    <row r="596" ht="15.75" customHeight="1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  <c r="AA596" s="127"/>
      <c r="AB596" s="127"/>
      <c r="AC596" s="127"/>
    </row>
    <row r="597" ht="15.75" customHeight="1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  <c r="AA597" s="127"/>
      <c r="AB597" s="127"/>
      <c r="AC597" s="127"/>
    </row>
    <row r="598" ht="15.75" customHeight="1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  <c r="AA598" s="127"/>
      <c r="AB598" s="127"/>
      <c r="AC598" s="127"/>
    </row>
    <row r="599" ht="15.75" customHeight="1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  <c r="AA599" s="127"/>
      <c r="AB599" s="127"/>
      <c r="AC599" s="127"/>
    </row>
    <row r="600" ht="15.75" customHeight="1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  <c r="AA600" s="127"/>
      <c r="AB600" s="127"/>
      <c r="AC600" s="127"/>
    </row>
    <row r="601" ht="15.75" customHeight="1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  <c r="AA601" s="127"/>
      <c r="AB601" s="127"/>
      <c r="AC601" s="127"/>
    </row>
    <row r="602" ht="15.75" customHeight="1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  <c r="AA602" s="127"/>
      <c r="AB602" s="127"/>
      <c r="AC602" s="127"/>
    </row>
    <row r="603" ht="15.75" customHeight="1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  <c r="AA603" s="127"/>
      <c r="AB603" s="127"/>
      <c r="AC603" s="127"/>
    </row>
    <row r="604" ht="15.75" customHeight="1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  <c r="AA604" s="127"/>
      <c r="AB604" s="127"/>
      <c r="AC604" s="127"/>
    </row>
    <row r="605" ht="15.75" customHeight="1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  <c r="AA605" s="127"/>
      <c r="AB605" s="127"/>
      <c r="AC605" s="127"/>
    </row>
    <row r="606" ht="15.75" customHeight="1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  <c r="AA606" s="127"/>
      <c r="AB606" s="127"/>
      <c r="AC606" s="127"/>
    </row>
    <row r="607" ht="15.75" customHeight="1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  <c r="AA607" s="127"/>
      <c r="AB607" s="127"/>
      <c r="AC607" s="127"/>
    </row>
    <row r="608" ht="15.75" customHeight="1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  <c r="AA608" s="127"/>
      <c r="AB608" s="127"/>
      <c r="AC608" s="127"/>
    </row>
    <row r="609" ht="15.75" customHeight="1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  <c r="AA609" s="127"/>
      <c r="AB609" s="127"/>
      <c r="AC609" s="127"/>
    </row>
    <row r="610" ht="15.75" customHeight="1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  <c r="AA610" s="127"/>
      <c r="AB610" s="127"/>
      <c r="AC610" s="127"/>
    </row>
    <row r="611" ht="15.75" customHeight="1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  <c r="AA611" s="127"/>
      <c r="AB611" s="127"/>
      <c r="AC611" s="127"/>
    </row>
    <row r="612" ht="15.75" customHeight="1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  <c r="AA612" s="127"/>
      <c r="AB612" s="127"/>
      <c r="AC612" s="127"/>
    </row>
    <row r="613" ht="15.75" customHeight="1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  <c r="AA613" s="127"/>
      <c r="AB613" s="127"/>
      <c r="AC613" s="127"/>
    </row>
    <row r="614" ht="15.75" customHeight="1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  <c r="AA614" s="127"/>
      <c r="AB614" s="127"/>
      <c r="AC614" s="127"/>
    </row>
    <row r="615" ht="15.75" customHeight="1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  <c r="AA615" s="127"/>
      <c r="AB615" s="127"/>
      <c r="AC615" s="127"/>
    </row>
    <row r="616" ht="15.75" customHeight="1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  <c r="AA616" s="127"/>
      <c r="AB616" s="127"/>
      <c r="AC616" s="127"/>
    </row>
    <row r="617" ht="15.75" customHeight="1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  <c r="AA617" s="127"/>
      <c r="AB617" s="127"/>
      <c r="AC617" s="127"/>
    </row>
    <row r="618" ht="15.75" customHeight="1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  <c r="AA618" s="127"/>
      <c r="AB618" s="127"/>
      <c r="AC618" s="127"/>
    </row>
    <row r="619" ht="15.75" customHeight="1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  <c r="AA619" s="127"/>
      <c r="AB619" s="127"/>
      <c r="AC619" s="127"/>
    </row>
    <row r="620" ht="15.75" customHeight="1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  <c r="AA620" s="127"/>
      <c r="AB620" s="127"/>
      <c r="AC620" s="127"/>
    </row>
    <row r="621" ht="15.75" customHeight="1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  <c r="AA621" s="127"/>
      <c r="AB621" s="127"/>
      <c r="AC621" s="127"/>
    </row>
    <row r="622" ht="15.75" customHeight="1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  <c r="AA622" s="127"/>
      <c r="AB622" s="127"/>
      <c r="AC622" s="127"/>
    </row>
    <row r="623" ht="15.75" customHeight="1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  <c r="AA623" s="127"/>
      <c r="AB623" s="127"/>
      <c r="AC623" s="127"/>
    </row>
    <row r="624" ht="15.75" customHeight="1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  <c r="AA624" s="127"/>
      <c r="AB624" s="127"/>
      <c r="AC624" s="127"/>
    </row>
    <row r="625" ht="15.75" customHeight="1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  <c r="AA625" s="127"/>
      <c r="AB625" s="127"/>
      <c r="AC625" s="127"/>
    </row>
    <row r="626" ht="15.75" customHeight="1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  <c r="AA626" s="127"/>
      <c r="AB626" s="127"/>
      <c r="AC626" s="127"/>
    </row>
    <row r="627" ht="15.75" customHeight="1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  <c r="AA627" s="127"/>
      <c r="AB627" s="127"/>
      <c r="AC627" s="127"/>
    </row>
    <row r="628" ht="15.75" customHeight="1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  <c r="AA628" s="127"/>
      <c r="AB628" s="127"/>
      <c r="AC628" s="127"/>
    </row>
    <row r="629" ht="15.75" customHeight="1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  <c r="AA629" s="127"/>
      <c r="AB629" s="127"/>
      <c r="AC629" s="127"/>
    </row>
    <row r="630" ht="15.75" customHeight="1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  <c r="AA630" s="127"/>
      <c r="AB630" s="127"/>
      <c r="AC630" s="127"/>
    </row>
    <row r="631" ht="15.75" customHeight="1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  <c r="AA631" s="127"/>
      <c r="AB631" s="127"/>
      <c r="AC631" s="127"/>
    </row>
    <row r="632" ht="15.75" customHeight="1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  <c r="AA632" s="127"/>
      <c r="AB632" s="127"/>
      <c r="AC632" s="127"/>
    </row>
    <row r="633" ht="15.75" customHeight="1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  <c r="AA633" s="127"/>
      <c r="AB633" s="127"/>
      <c r="AC633" s="127"/>
    </row>
    <row r="634" ht="15.75" customHeight="1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  <c r="AA634" s="127"/>
      <c r="AB634" s="127"/>
      <c r="AC634" s="127"/>
    </row>
    <row r="635" ht="15.75" customHeight="1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  <c r="AA635" s="127"/>
      <c r="AB635" s="127"/>
      <c r="AC635" s="127"/>
    </row>
    <row r="636" ht="15.75" customHeight="1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  <c r="AA636" s="127"/>
      <c r="AB636" s="127"/>
      <c r="AC636" s="127"/>
    </row>
    <row r="637" ht="15.75" customHeight="1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  <c r="AA637" s="127"/>
      <c r="AB637" s="127"/>
      <c r="AC637" s="127"/>
    </row>
    <row r="638" ht="15.75" customHeight="1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  <c r="AA638" s="127"/>
      <c r="AB638" s="127"/>
      <c r="AC638" s="127"/>
    </row>
    <row r="639" ht="15.75" customHeight="1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  <c r="AA639" s="127"/>
      <c r="AB639" s="127"/>
      <c r="AC639" s="127"/>
    </row>
    <row r="640" ht="15.75" customHeight="1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  <c r="AA640" s="127"/>
      <c r="AB640" s="127"/>
      <c r="AC640" s="127"/>
    </row>
    <row r="641" ht="15.75" customHeight="1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  <c r="AA641" s="127"/>
      <c r="AB641" s="127"/>
      <c r="AC641" s="127"/>
    </row>
    <row r="642" ht="15.75" customHeight="1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  <c r="AA642" s="127"/>
      <c r="AB642" s="127"/>
      <c r="AC642" s="127"/>
    </row>
    <row r="643" ht="15.75" customHeight="1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  <c r="AA643" s="127"/>
      <c r="AB643" s="127"/>
      <c r="AC643" s="127"/>
    </row>
    <row r="644" ht="15.75" customHeight="1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  <c r="AA644" s="127"/>
      <c r="AB644" s="127"/>
      <c r="AC644" s="127"/>
    </row>
    <row r="645" ht="15.75" customHeight="1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  <c r="AA645" s="127"/>
      <c r="AB645" s="127"/>
      <c r="AC645" s="127"/>
    </row>
    <row r="646" ht="15.75" customHeight="1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  <c r="AA646" s="127"/>
      <c r="AB646" s="127"/>
      <c r="AC646" s="127"/>
    </row>
    <row r="647" ht="15.75" customHeight="1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  <c r="AA647" s="127"/>
      <c r="AB647" s="127"/>
      <c r="AC647" s="127"/>
    </row>
    <row r="648" ht="15.75" customHeight="1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  <c r="AA648" s="127"/>
      <c r="AB648" s="127"/>
      <c r="AC648" s="127"/>
    </row>
    <row r="649" ht="15.75" customHeight="1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  <c r="AA649" s="127"/>
      <c r="AB649" s="127"/>
      <c r="AC649" s="127"/>
    </row>
    <row r="650" ht="15.75" customHeight="1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  <c r="AA650" s="127"/>
      <c r="AB650" s="127"/>
      <c r="AC650" s="127"/>
    </row>
    <row r="651" ht="15.75" customHeight="1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  <c r="AA651" s="127"/>
      <c r="AB651" s="127"/>
      <c r="AC651" s="127"/>
    </row>
    <row r="652" ht="15.75" customHeight="1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  <c r="AA652" s="127"/>
      <c r="AB652" s="127"/>
      <c r="AC652" s="127"/>
    </row>
    <row r="653" ht="15.75" customHeight="1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  <c r="AA653" s="127"/>
      <c r="AB653" s="127"/>
      <c r="AC653" s="127"/>
    </row>
    <row r="654" ht="15.75" customHeight="1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  <c r="AA654" s="127"/>
      <c r="AB654" s="127"/>
      <c r="AC654" s="127"/>
    </row>
    <row r="655" ht="15.75" customHeight="1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  <c r="AA655" s="127"/>
      <c r="AB655" s="127"/>
      <c r="AC655" s="127"/>
    </row>
    <row r="656" ht="15.75" customHeight="1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  <c r="AA656" s="127"/>
      <c r="AB656" s="127"/>
      <c r="AC656" s="127"/>
    </row>
    <row r="657" ht="15.75" customHeight="1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  <c r="AA657" s="127"/>
      <c r="AB657" s="127"/>
      <c r="AC657" s="127"/>
    </row>
    <row r="658" ht="15.75" customHeight="1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  <c r="AA658" s="127"/>
      <c r="AB658" s="127"/>
      <c r="AC658" s="127"/>
    </row>
    <row r="659" ht="15.75" customHeight="1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  <c r="AA659" s="127"/>
      <c r="AB659" s="127"/>
      <c r="AC659" s="127"/>
    </row>
    <row r="660" ht="15.75" customHeight="1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  <c r="AA660" s="127"/>
      <c r="AB660" s="127"/>
      <c r="AC660" s="127"/>
    </row>
    <row r="661" ht="15.75" customHeight="1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  <c r="AA661" s="127"/>
      <c r="AB661" s="127"/>
      <c r="AC661" s="127"/>
    </row>
    <row r="662" ht="15.75" customHeight="1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  <c r="AA662" s="127"/>
      <c r="AB662" s="127"/>
      <c r="AC662" s="127"/>
    </row>
    <row r="663" ht="15.75" customHeight="1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  <c r="AA663" s="127"/>
      <c r="AB663" s="127"/>
      <c r="AC663" s="127"/>
    </row>
    <row r="664" ht="15.75" customHeight="1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  <c r="AA664" s="127"/>
      <c r="AB664" s="127"/>
      <c r="AC664" s="127"/>
    </row>
    <row r="665" ht="15.75" customHeight="1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  <c r="AA665" s="127"/>
      <c r="AB665" s="127"/>
      <c r="AC665" s="127"/>
    </row>
    <row r="666" ht="15.75" customHeight="1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  <c r="AA666" s="127"/>
      <c r="AB666" s="127"/>
      <c r="AC666" s="127"/>
    </row>
    <row r="667" ht="15.75" customHeight="1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  <c r="AA667" s="127"/>
      <c r="AB667" s="127"/>
      <c r="AC667" s="127"/>
    </row>
    <row r="668" ht="15.75" customHeight="1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  <c r="AA668" s="127"/>
      <c r="AB668" s="127"/>
      <c r="AC668" s="127"/>
    </row>
    <row r="669" ht="15.75" customHeight="1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  <c r="AA669" s="127"/>
      <c r="AB669" s="127"/>
      <c r="AC669" s="127"/>
    </row>
    <row r="670" ht="15.75" customHeight="1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  <c r="AA670" s="127"/>
      <c r="AB670" s="127"/>
      <c r="AC670" s="127"/>
    </row>
    <row r="671" ht="15.75" customHeight="1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  <c r="AA671" s="127"/>
      <c r="AB671" s="127"/>
      <c r="AC671" s="127"/>
    </row>
    <row r="672" ht="15.75" customHeight="1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  <c r="AA672" s="127"/>
      <c r="AB672" s="127"/>
      <c r="AC672" s="127"/>
    </row>
    <row r="673" ht="15.75" customHeight="1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  <c r="AA673" s="127"/>
      <c r="AB673" s="127"/>
      <c r="AC673" s="127"/>
    </row>
    <row r="674" ht="15.75" customHeight="1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  <c r="AA674" s="127"/>
      <c r="AB674" s="127"/>
      <c r="AC674" s="127"/>
    </row>
    <row r="675" ht="15.75" customHeight="1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  <c r="AA675" s="127"/>
      <c r="AB675" s="127"/>
      <c r="AC675" s="127"/>
    </row>
    <row r="676" ht="15.75" customHeight="1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  <c r="AA676" s="127"/>
      <c r="AB676" s="127"/>
      <c r="AC676" s="127"/>
    </row>
    <row r="677" ht="15.75" customHeight="1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  <c r="AA677" s="127"/>
      <c r="AB677" s="127"/>
      <c r="AC677" s="127"/>
    </row>
    <row r="678" ht="15.75" customHeight="1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  <c r="AA678" s="127"/>
      <c r="AB678" s="127"/>
      <c r="AC678" s="127"/>
    </row>
    <row r="679" ht="15.75" customHeight="1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  <c r="AA679" s="127"/>
      <c r="AB679" s="127"/>
      <c r="AC679" s="127"/>
    </row>
    <row r="680" ht="15.75" customHeight="1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  <c r="AA680" s="127"/>
      <c r="AB680" s="127"/>
      <c r="AC680" s="127"/>
    </row>
    <row r="681" ht="15.75" customHeight="1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  <c r="AA681" s="127"/>
      <c r="AB681" s="127"/>
      <c r="AC681" s="127"/>
    </row>
    <row r="682" ht="15.75" customHeight="1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  <c r="AA682" s="127"/>
      <c r="AB682" s="127"/>
      <c r="AC682" s="127"/>
    </row>
    <row r="683" ht="15.75" customHeight="1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  <c r="AA683" s="127"/>
      <c r="AB683" s="127"/>
      <c r="AC683" s="127"/>
    </row>
    <row r="684" ht="15.75" customHeight="1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  <c r="AA684" s="127"/>
      <c r="AB684" s="127"/>
      <c r="AC684" s="127"/>
    </row>
    <row r="685" ht="15.75" customHeight="1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  <c r="AA685" s="127"/>
      <c r="AB685" s="127"/>
      <c r="AC685" s="127"/>
    </row>
    <row r="686" ht="15.75" customHeight="1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  <c r="AA686" s="127"/>
      <c r="AB686" s="127"/>
      <c r="AC686" s="127"/>
    </row>
    <row r="687" ht="15.75" customHeight="1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  <c r="AA687" s="127"/>
      <c r="AB687" s="127"/>
      <c r="AC687" s="127"/>
    </row>
    <row r="688" ht="15.75" customHeight="1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  <c r="AA688" s="127"/>
      <c r="AB688" s="127"/>
      <c r="AC688" s="127"/>
    </row>
    <row r="689" ht="15.75" customHeight="1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  <c r="AA689" s="127"/>
      <c r="AB689" s="127"/>
      <c r="AC689" s="127"/>
    </row>
    <row r="690" ht="15.75" customHeight="1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  <c r="AA690" s="127"/>
      <c r="AB690" s="127"/>
      <c r="AC690" s="127"/>
    </row>
    <row r="691" ht="15.75" customHeight="1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  <c r="AA691" s="127"/>
      <c r="AB691" s="127"/>
      <c r="AC691" s="127"/>
    </row>
    <row r="692" ht="15.75" customHeight="1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  <c r="AA692" s="127"/>
      <c r="AB692" s="127"/>
      <c r="AC692" s="127"/>
    </row>
    <row r="693" ht="15.75" customHeight="1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  <c r="AA693" s="127"/>
      <c r="AB693" s="127"/>
      <c r="AC693" s="127"/>
    </row>
    <row r="694" ht="15.75" customHeight="1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  <c r="AA694" s="127"/>
      <c r="AB694" s="127"/>
      <c r="AC694" s="127"/>
    </row>
    <row r="695" ht="15.75" customHeight="1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  <c r="AA695" s="127"/>
      <c r="AB695" s="127"/>
      <c r="AC695" s="127"/>
    </row>
    <row r="696" ht="15.75" customHeight="1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  <c r="AA696" s="127"/>
      <c r="AB696" s="127"/>
      <c r="AC696" s="127"/>
    </row>
    <row r="697" ht="15.75" customHeight="1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  <c r="AA697" s="127"/>
      <c r="AB697" s="127"/>
      <c r="AC697" s="127"/>
    </row>
    <row r="698" ht="15.75" customHeight="1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  <c r="AA698" s="127"/>
      <c r="AB698" s="127"/>
      <c r="AC698" s="127"/>
    </row>
    <row r="699" ht="15.75" customHeight="1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  <c r="AA699" s="127"/>
      <c r="AB699" s="127"/>
      <c r="AC699" s="127"/>
    </row>
    <row r="700" ht="15.75" customHeight="1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  <c r="AA700" s="127"/>
      <c r="AB700" s="127"/>
      <c r="AC700" s="127"/>
    </row>
    <row r="701" ht="15.75" customHeight="1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  <c r="AA701" s="127"/>
      <c r="AB701" s="127"/>
      <c r="AC701" s="127"/>
    </row>
    <row r="702" ht="15.75" customHeight="1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  <c r="AA702" s="127"/>
      <c r="AB702" s="127"/>
      <c r="AC702" s="127"/>
    </row>
    <row r="703" ht="15.75" customHeight="1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  <c r="AA703" s="127"/>
      <c r="AB703" s="127"/>
      <c r="AC703" s="127"/>
    </row>
    <row r="704" ht="15.75" customHeight="1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  <c r="AA704" s="127"/>
      <c r="AB704" s="127"/>
      <c r="AC704" s="127"/>
    </row>
    <row r="705" ht="15.75" customHeight="1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  <c r="AA705" s="127"/>
      <c r="AB705" s="127"/>
      <c r="AC705" s="127"/>
    </row>
    <row r="706" ht="15.75" customHeight="1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  <c r="AA706" s="127"/>
      <c r="AB706" s="127"/>
      <c r="AC706" s="127"/>
    </row>
    <row r="707" ht="15.75" customHeight="1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  <c r="AA707" s="127"/>
      <c r="AB707" s="127"/>
      <c r="AC707" s="127"/>
    </row>
    <row r="708" ht="15.75" customHeight="1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  <c r="AA708" s="127"/>
      <c r="AB708" s="127"/>
      <c r="AC708" s="127"/>
    </row>
    <row r="709" ht="15.75" customHeight="1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  <c r="AA709" s="127"/>
      <c r="AB709" s="127"/>
      <c r="AC709" s="127"/>
    </row>
    <row r="710" ht="15.75" customHeight="1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  <c r="AA710" s="127"/>
      <c r="AB710" s="127"/>
      <c r="AC710" s="127"/>
    </row>
    <row r="711" ht="15.75" customHeight="1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  <c r="AA711" s="127"/>
      <c r="AB711" s="127"/>
      <c r="AC711" s="127"/>
    </row>
    <row r="712" ht="15.75" customHeight="1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  <c r="AA712" s="127"/>
      <c r="AB712" s="127"/>
      <c r="AC712" s="127"/>
    </row>
    <row r="713" ht="15.75" customHeight="1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  <c r="AA713" s="127"/>
      <c r="AB713" s="127"/>
      <c r="AC713" s="127"/>
    </row>
    <row r="714" ht="15.75" customHeight="1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  <c r="AA714" s="127"/>
      <c r="AB714" s="127"/>
      <c r="AC714" s="127"/>
    </row>
    <row r="715" ht="15.75" customHeight="1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  <c r="AA715" s="127"/>
      <c r="AB715" s="127"/>
      <c r="AC715" s="127"/>
    </row>
    <row r="716" ht="15.75" customHeight="1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  <c r="AA716" s="127"/>
      <c r="AB716" s="127"/>
      <c r="AC716" s="127"/>
    </row>
    <row r="717" ht="15.75" customHeight="1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  <c r="AA717" s="127"/>
      <c r="AB717" s="127"/>
      <c r="AC717" s="127"/>
    </row>
    <row r="718" ht="15.75" customHeight="1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  <c r="AA718" s="127"/>
      <c r="AB718" s="127"/>
      <c r="AC718" s="127"/>
    </row>
    <row r="719" ht="15.75" customHeight="1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  <c r="AA719" s="127"/>
      <c r="AB719" s="127"/>
      <c r="AC719" s="127"/>
    </row>
    <row r="720" ht="15.75" customHeight="1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  <c r="AA720" s="127"/>
      <c r="AB720" s="127"/>
      <c r="AC720" s="127"/>
    </row>
    <row r="721" ht="15.75" customHeight="1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  <c r="AA721" s="127"/>
      <c r="AB721" s="127"/>
      <c r="AC721" s="127"/>
    </row>
    <row r="722" ht="15.75" customHeight="1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  <c r="AA722" s="127"/>
      <c r="AB722" s="127"/>
      <c r="AC722" s="127"/>
    </row>
    <row r="723" ht="15.75" customHeight="1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  <c r="AA723" s="127"/>
      <c r="AB723" s="127"/>
      <c r="AC723" s="127"/>
    </row>
    <row r="724" ht="15.75" customHeight="1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  <c r="AA724" s="127"/>
      <c r="AB724" s="127"/>
      <c r="AC724" s="127"/>
    </row>
    <row r="725" ht="15.75" customHeight="1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  <c r="AA725" s="127"/>
      <c r="AB725" s="127"/>
      <c r="AC725" s="127"/>
    </row>
    <row r="726" ht="15.75" customHeight="1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  <c r="AA726" s="127"/>
      <c r="AB726" s="127"/>
      <c r="AC726" s="127"/>
    </row>
    <row r="727" ht="15.75" customHeight="1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  <c r="AA727" s="127"/>
      <c r="AB727" s="127"/>
      <c r="AC727" s="127"/>
    </row>
    <row r="728" ht="15.75" customHeight="1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  <c r="AA728" s="127"/>
      <c r="AB728" s="127"/>
      <c r="AC728" s="127"/>
    </row>
    <row r="729" ht="15.75" customHeight="1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  <c r="AA729" s="127"/>
      <c r="AB729" s="127"/>
      <c r="AC729" s="127"/>
    </row>
    <row r="730" ht="15.75" customHeight="1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  <c r="AA730" s="127"/>
      <c r="AB730" s="127"/>
      <c r="AC730" s="127"/>
    </row>
    <row r="731" ht="15.75" customHeight="1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  <c r="AA731" s="127"/>
      <c r="AB731" s="127"/>
      <c r="AC731" s="127"/>
    </row>
    <row r="732" ht="15.75" customHeight="1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  <c r="AA732" s="127"/>
      <c r="AB732" s="127"/>
      <c r="AC732" s="127"/>
    </row>
    <row r="733" ht="15.75" customHeight="1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  <c r="AA733" s="127"/>
      <c r="AB733" s="127"/>
      <c r="AC733" s="127"/>
    </row>
    <row r="734" ht="15.75" customHeight="1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  <c r="AA734" s="127"/>
      <c r="AB734" s="127"/>
      <c r="AC734" s="127"/>
    </row>
    <row r="735" ht="15.75" customHeight="1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  <c r="AA735" s="127"/>
      <c r="AB735" s="127"/>
      <c r="AC735" s="127"/>
    </row>
    <row r="736" ht="15.75" customHeight="1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  <c r="AA736" s="127"/>
      <c r="AB736" s="127"/>
      <c r="AC736" s="127"/>
    </row>
    <row r="737" ht="15.75" customHeight="1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  <c r="AA737" s="127"/>
      <c r="AB737" s="127"/>
      <c r="AC737" s="127"/>
    </row>
    <row r="738" ht="15.75" customHeight="1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  <c r="AA738" s="127"/>
      <c r="AB738" s="127"/>
      <c r="AC738" s="127"/>
    </row>
    <row r="739" ht="15.75" customHeight="1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  <c r="AA739" s="127"/>
      <c r="AB739" s="127"/>
      <c r="AC739" s="127"/>
    </row>
    <row r="740" ht="15.75" customHeight="1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  <c r="AA740" s="127"/>
      <c r="AB740" s="127"/>
      <c r="AC740" s="127"/>
    </row>
    <row r="741" ht="15.75" customHeight="1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  <c r="AA741" s="127"/>
      <c r="AB741" s="127"/>
      <c r="AC741" s="127"/>
    </row>
    <row r="742" ht="15.75" customHeight="1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  <c r="AA742" s="127"/>
      <c r="AB742" s="127"/>
      <c r="AC742" s="127"/>
    </row>
    <row r="743" ht="15.75" customHeight="1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  <c r="AA743" s="127"/>
      <c r="AB743" s="127"/>
      <c r="AC743" s="127"/>
    </row>
    <row r="744" ht="15.75" customHeight="1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  <c r="AA744" s="127"/>
      <c r="AB744" s="127"/>
      <c r="AC744" s="127"/>
    </row>
    <row r="745" ht="15.75" customHeight="1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  <c r="AA745" s="127"/>
      <c r="AB745" s="127"/>
      <c r="AC745" s="127"/>
    </row>
    <row r="746" ht="15.75" customHeight="1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  <c r="AA746" s="127"/>
      <c r="AB746" s="127"/>
      <c r="AC746" s="127"/>
    </row>
    <row r="747" ht="15.75" customHeight="1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  <c r="AA747" s="127"/>
      <c r="AB747" s="127"/>
      <c r="AC747" s="127"/>
    </row>
    <row r="748" ht="15.75" customHeight="1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  <c r="AA748" s="127"/>
      <c r="AB748" s="127"/>
      <c r="AC748" s="127"/>
    </row>
    <row r="749" ht="15.75" customHeight="1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  <c r="AA749" s="127"/>
      <c r="AB749" s="127"/>
      <c r="AC749" s="127"/>
    </row>
    <row r="750" ht="15.75" customHeight="1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  <c r="AA750" s="127"/>
      <c r="AB750" s="127"/>
      <c r="AC750" s="127"/>
    </row>
    <row r="751" ht="15.75" customHeight="1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  <c r="AA751" s="127"/>
      <c r="AB751" s="127"/>
      <c r="AC751" s="127"/>
    </row>
    <row r="752" ht="15.75" customHeight="1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  <c r="AA752" s="127"/>
      <c r="AB752" s="127"/>
      <c r="AC752" s="127"/>
    </row>
    <row r="753" ht="15.75" customHeight="1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  <c r="AA753" s="127"/>
      <c r="AB753" s="127"/>
      <c r="AC753" s="127"/>
    </row>
    <row r="754" ht="15.75" customHeight="1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  <c r="AA754" s="127"/>
      <c r="AB754" s="127"/>
      <c r="AC754" s="127"/>
    </row>
    <row r="755" ht="15.75" customHeight="1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  <c r="AA755" s="127"/>
      <c r="AB755" s="127"/>
      <c r="AC755" s="127"/>
    </row>
    <row r="756" ht="15.75" customHeight="1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  <c r="AA756" s="127"/>
      <c r="AB756" s="127"/>
      <c r="AC756" s="127"/>
    </row>
    <row r="757" ht="15.75" customHeight="1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  <c r="AA757" s="127"/>
      <c r="AB757" s="127"/>
      <c r="AC757" s="127"/>
    </row>
    <row r="758" ht="15.75" customHeight="1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  <c r="AA758" s="127"/>
      <c r="AB758" s="127"/>
      <c r="AC758" s="127"/>
    </row>
    <row r="759" ht="15.75" customHeight="1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  <c r="AA759" s="127"/>
      <c r="AB759" s="127"/>
      <c r="AC759" s="127"/>
    </row>
    <row r="760" ht="15.75" customHeight="1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  <c r="AA760" s="127"/>
      <c r="AB760" s="127"/>
      <c r="AC760" s="127"/>
    </row>
    <row r="761" ht="15.75" customHeight="1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  <c r="AA761" s="127"/>
      <c r="AB761" s="127"/>
      <c r="AC761" s="127"/>
    </row>
    <row r="762" ht="15.75" customHeight="1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  <c r="AA762" s="127"/>
      <c r="AB762" s="127"/>
      <c r="AC762" s="127"/>
    </row>
    <row r="763" ht="15.75" customHeight="1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  <c r="AA763" s="127"/>
      <c r="AB763" s="127"/>
      <c r="AC763" s="127"/>
    </row>
    <row r="764" ht="15.75" customHeight="1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  <c r="AA764" s="127"/>
      <c r="AB764" s="127"/>
      <c r="AC764" s="127"/>
    </row>
    <row r="765" ht="15.75" customHeight="1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  <c r="AA765" s="127"/>
      <c r="AB765" s="127"/>
      <c r="AC765" s="127"/>
    </row>
    <row r="766" ht="15.75" customHeight="1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  <c r="AA766" s="127"/>
      <c r="AB766" s="127"/>
      <c r="AC766" s="127"/>
    </row>
    <row r="767" ht="15.75" customHeight="1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  <c r="AA767" s="127"/>
      <c r="AB767" s="127"/>
      <c r="AC767" s="127"/>
    </row>
    <row r="768" ht="15.75" customHeight="1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  <c r="AA768" s="127"/>
      <c r="AB768" s="127"/>
      <c r="AC768" s="127"/>
    </row>
    <row r="769" ht="15.75" customHeight="1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  <c r="AA769" s="127"/>
      <c r="AB769" s="127"/>
      <c r="AC769" s="127"/>
    </row>
    <row r="770" ht="15.75" customHeight="1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  <c r="AA770" s="127"/>
      <c r="AB770" s="127"/>
      <c r="AC770" s="127"/>
    </row>
    <row r="771" ht="15.75" customHeight="1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  <c r="AA771" s="127"/>
      <c r="AB771" s="127"/>
      <c r="AC771" s="127"/>
    </row>
    <row r="772" ht="15.75" customHeight="1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  <c r="AA772" s="127"/>
      <c r="AB772" s="127"/>
      <c r="AC772" s="127"/>
    </row>
    <row r="773" ht="15.75" customHeight="1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  <c r="AA773" s="127"/>
      <c r="AB773" s="127"/>
      <c r="AC773" s="127"/>
    </row>
    <row r="774" ht="15.75" customHeight="1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  <c r="AA774" s="127"/>
      <c r="AB774" s="127"/>
      <c r="AC774" s="127"/>
    </row>
    <row r="775" ht="15.75" customHeight="1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  <c r="AA775" s="127"/>
      <c r="AB775" s="127"/>
      <c r="AC775" s="127"/>
    </row>
    <row r="776" ht="15.75" customHeight="1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  <c r="AA776" s="127"/>
      <c r="AB776" s="127"/>
      <c r="AC776" s="127"/>
    </row>
    <row r="777" ht="15.75" customHeight="1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  <c r="AA777" s="127"/>
      <c r="AB777" s="127"/>
      <c r="AC777" s="127"/>
    </row>
    <row r="778" ht="15.75" customHeight="1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  <c r="AA778" s="127"/>
      <c r="AB778" s="127"/>
      <c r="AC778" s="127"/>
    </row>
    <row r="779" ht="15.75" customHeight="1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  <c r="AA779" s="127"/>
      <c r="AB779" s="127"/>
      <c r="AC779" s="127"/>
    </row>
    <row r="780" ht="15.75" customHeight="1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  <c r="AA780" s="127"/>
      <c r="AB780" s="127"/>
      <c r="AC780" s="127"/>
    </row>
    <row r="781" ht="15.75" customHeight="1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  <c r="AA781" s="127"/>
      <c r="AB781" s="127"/>
      <c r="AC781" s="127"/>
    </row>
    <row r="782" ht="15.75" customHeight="1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  <c r="AA782" s="127"/>
      <c r="AB782" s="127"/>
      <c r="AC782" s="127"/>
    </row>
    <row r="783" ht="15.75" customHeight="1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  <c r="AA783" s="127"/>
      <c r="AB783" s="127"/>
      <c r="AC783" s="127"/>
    </row>
    <row r="784" ht="15.75" customHeight="1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  <c r="AA784" s="127"/>
      <c r="AB784" s="127"/>
      <c r="AC784" s="127"/>
    </row>
    <row r="785" ht="15.75" customHeight="1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  <c r="AA785" s="127"/>
      <c r="AB785" s="127"/>
      <c r="AC785" s="127"/>
    </row>
    <row r="786" ht="15.75" customHeight="1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  <c r="AA786" s="127"/>
      <c r="AB786" s="127"/>
      <c r="AC786" s="127"/>
    </row>
    <row r="787" ht="15.75" customHeight="1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  <c r="AA787" s="127"/>
      <c r="AB787" s="127"/>
      <c r="AC787" s="127"/>
    </row>
    <row r="788" ht="15.75" customHeight="1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  <c r="AA788" s="127"/>
      <c r="AB788" s="127"/>
      <c r="AC788" s="127"/>
    </row>
    <row r="789" ht="15.75" customHeight="1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  <c r="AA789" s="127"/>
      <c r="AB789" s="127"/>
      <c r="AC789" s="127"/>
    </row>
    <row r="790" ht="15.75" customHeight="1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  <c r="AA790" s="127"/>
      <c r="AB790" s="127"/>
      <c r="AC790" s="127"/>
    </row>
    <row r="791" ht="15.75" customHeight="1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  <c r="AA791" s="127"/>
      <c r="AB791" s="127"/>
      <c r="AC791" s="127"/>
    </row>
    <row r="792" ht="15.75" customHeight="1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  <c r="AA792" s="127"/>
      <c r="AB792" s="127"/>
      <c r="AC792" s="127"/>
    </row>
    <row r="793" ht="15.75" customHeight="1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  <c r="AA793" s="127"/>
      <c r="AB793" s="127"/>
      <c r="AC793" s="127"/>
    </row>
    <row r="794" ht="15.75" customHeight="1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  <c r="AA794" s="127"/>
      <c r="AB794" s="127"/>
      <c r="AC794" s="127"/>
    </row>
    <row r="795" ht="15.75" customHeight="1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  <c r="AA795" s="127"/>
      <c r="AB795" s="127"/>
      <c r="AC795" s="127"/>
    </row>
    <row r="796" ht="15.75" customHeight="1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  <c r="AA796" s="127"/>
      <c r="AB796" s="127"/>
      <c r="AC796" s="127"/>
    </row>
    <row r="797" ht="15.75" customHeight="1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  <c r="AA797" s="127"/>
      <c r="AB797" s="127"/>
      <c r="AC797" s="127"/>
    </row>
    <row r="798" ht="15.75" customHeight="1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  <c r="AA798" s="127"/>
      <c r="AB798" s="127"/>
      <c r="AC798" s="127"/>
    </row>
    <row r="799" ht="15.75" customHeight="1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  <c r="AA799" s="127"/>
      <c r="AB799" s="127"/>
      <c r="AC799" s="127"/>
    </row>
    <row r="800" ht="15.75" customHeight="1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  <c r="AA800" s="127"/>
      <c r="AB800" s="127"/>
      <c r="AC800" s="127"/>
    </row>
    <row r="801" ht="15.75" customHeight="1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  <c r="AA801" s="127"/>
      <c r="AB801" s="127"/>
      <c r="AC801" s="127"/>
    </row>
    <row r="802" ht="15.75" customHeight="1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  <c r="AA802" s="127"/>
      <c r="AB802" s="127"/>
      <c r="AC802" s="127"/>
    </row>
    <row r="803" ht="15.75" customHeight="1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  <c r="AA803" s="127"/>
      <c r="AB803" s="127"/>
      <c r="AC803" s="127"/>
    </row>
    <row r="804" ht="15.75" customHeight="1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  <c r="AA804" s="127"/>
      <c r="AB804" s="127"/>
      <c r="AC804" s="127"/>
    </row>
    <row r="805" ht="15.75" customHeight="1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  <c r="AA805" s="127"/>
      <c r="AB805" s="127"/>
      <c r="AC805" s="127"/>
    </row>
    <row r="806" ht="15.75" customHeight="1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  <c r="AA806" s="127"/>
      <c r="AB806" s="127"/>
      <c r="AC806" s="127"/>
    </row>
    <row r="807" ht="15.75" customHeight="1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  <c r="AA807" s="127"/>
      <c r="AB807" s="127"/>
      <c r="AC807" s="127"/>
    </row>
    <row r="808" ht="15.75" customHeight="1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  <c r="AA808" s="127"/>
      <c r="AB808" s="127"/>
      <c r="AC808" s="127"/>
    </row>
    <row r="809" ht="15.75" customHeight="1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  <c r="AA809" s="127"/>
      <c r="AB809" s="127"/>
      <c r="AC809" s="127"/>
    </row>
    <row r="810" ht="15.75" customHeight="1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  <c r="AA810" s="127"/>
      <c r="AB810" s="127"/>
      <c r="AC810" s="127"/>
    </row>
    <row r="811" ht="15.75" customHeight="1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  <c r="AA811" s="127"/>
      <c r="AB811" s="127"/>
      <c r="AC811" s="127"/>
    </row>
    <row r="812" ht="15.75" customHeight="1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  <c r="AA812" s="127"/>
      <c r="AB812" s="127"/>
      <c r="AC812" s="127"/>
    </row>
    <row r="813" ht="15.75" customHeight="1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  <c r="AA813" s="127"/>
      <c r="AB813" s="127"/>
      <c r="AC813" s="127"/>
    </row>
    <row r="814" ht="15.75" customHeight="1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  <c r="AA814" s="127"/>
      <c r="AB814" s="127"/>
      <c r="AC814" s="127"/>
    </row>
    <row r="815" ht="15.75" customHeight="1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  <c r="AA815" s="127"/>
      <c r="AB815" s="127"/>
      <c r="AC815" s="127"/>
    </row>
    <row r="816" ht="15.75" customHeight="1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  <c r="AA816" s="127"/>
      <c r="AB816" s="127"/>
      <c r="AC816" s="127"/>
    </row>
    <row r="817" ht="15.75" customHeight="1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  <c r="AA817" s="127"/>
      <c r="AB817" s="127"/>
      <c r="AC817" s="127"/>
    </row>
    <row r="818" ht="15.75" customHeight="1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  <c r="AA818" s="127"/>
      <c r="AB818" s="127"/>
      <c r="AC818" s="127"/>
    </row>
    <row r="819" ht="15.75" customHeight="1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  <c r="AA819" s="127"/>
      <c r="AB819" s="127"/>
      <c r="AC819" s="127"/>
    </row>
    <row r="820" ht="15.75" customHeight="1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  <c r="AA820" s="127"/>
      <c r="AB820" s="127"/>
      <c r="AC820" s="127"/>
    </row>
    <row r="821" ht="15.75" customHeight="1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  <c r="AA821" s="127"/>
      <c r="AB821" s="127"/>
      <c r="AC821" s="127"/>
    </row>
    <row r="822" ht="15.75" customHeight="1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  <c r="AA822" s="127"/>
      <c r="AB822" s="127"/>
      <c r="AC822" s="127"/>
    </row>
    <row r="823" ht="15.75" customHeight="1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  <c r="AA823" s="127"/>
      <c r="AB823" s="127"/>
      <c r="AC823" s="127"/>
    </row>
    <row r="824" ht="15.75" customHeight="1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  <c r="AA824" s="127"/>
      <c r="AB824" s="127"/>
      <c r="AC824" s="127"/>
    </row>
    <row r="825" ht="15.75" customHeight="1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  <c r="AA825" s="127"/>
      <c r="AB825" s="127"/>
      <c r="AC825" s="127"/>
    </row>
    <row r="826" ht="15.75" customHeight="1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  <c r="AA826" s="127"/>
      <c r="AB826" s="127"/>
      <c r="AC826" s="127"/>
    </row>
    <row r="827" ht="15.75" customHeight="1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  <c r="AA827" s="127"/>
      <c r="AB827" s="127"/>
      <c r="AC827" s="127"/>
    </row>
    <row r="828" ht="15.75" customHeight="1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  <c r="AA828" s="127"/>
      <c r="AB828" s="127"/>
      <c r="AC828" s="127"/>
    </row>
    <row r="829" ht="15.75" customHeight="1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  <c r="AA829" s="127"/>
      <c r="AB829" s="127"/>
      <c r="AC829" s="127"/>
    </row>
    <row r="830" ht="15.75" customHeight="1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  <c r="AA830" s="127"/>
      <c r="AB830" s="127"/>
      <c r="AC830" s="127"/>
    </row>
    <row r="831" ht="15.75" customHeight="1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  <c r="AA831" s="127"/>
      <c r="AB831" s="127"/>
      <c r="AC831" s="127"/>
    </row>
    <row r="832" ht="15.75" customHeight="1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  <c r="AA832" s="127"/>
      <c r="AB832" s="127"/>
      <c r="AC832" s="127"/>
    </row>
    <row r="833" ht="15.75" customHeight="1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  <c r="AA833" s="127"/>
      <c r="AB833" s="127"/>
      <c r="AC833" s="127"/>
    </row>
    <row r="834" ht="15.75" customHeight="1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  <c r="AA834" s="127"/>
      <c r="AB834" s="127"/>
      <c r="AC834" s="127"/>
    </row>
    <row r="835" ht="15.75" customHeight="1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  <c r="AA835" s="127"/>
      <c r="AB835" s="127"/>
      <c r="AC835" s="127"/>
    </row>
    <row r="836" ht="15.75" customHeight="1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  <c r="AA836" s="127"/>
      <c r="AB836" s="127"/>
      <c r="AC836" s="127"/>
    </row>
    <row r="837" ht="15.75" customHeight="1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  <c r="AA837" s="127"/>
      <c r="AB837" s="127"/>
      <c r="AC837" s="127"/>
    </row>
    <row r="838" ht="15.75" customHeight="1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  <c r="AA838" s="127"/>
      <c r="AB838" s="127"/>
      <c r="AC838" s="127"/>
    </row>
    <row r="839" ht="15.75" customHeight="1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  <c r="AA839" s="127"/>
      <c r="AB839" s="127"/>
      <c r="AC839" s="127"/>
    </row>
    <row r="840" ht="15.75" customHeight="1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  <c r="AA840" s="127"/>
      <c r="AB840" s="127"/>
      <c r="AC840" s="127"/>
    </row>
    <row r="841" ht="15.75" customHeight="1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  <c r="AA841" s="127"/>
      <c r="AB841" s="127"/>
      <c r="AC841" s="127"/>
    </row>
    <row r="842" ht="15.75" customHeight="1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  <c r="AA842" s="127"/>
      <c r="AB842" s="127"/>
      <c r="AC842" s="127"/>
    </row>
    <row r="843" ht="15.75" customHeight="1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  <c r="AA843" s="127"/>
      <c r="AB843" s="127"/>
      <c r="AC843" s="127"/>
    </row>
    <row r="844" ht="15.75" customHeight="1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  <c r="AA844" s="127"/>
      <c r="AB844" s="127"/>
      <c r="AC844" s="127"/>
    </row>
    <row r="845" ht="15.75" customHeight="1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  <c r="AA845" s="127"/>
      <c r="AB845" s="127"/>
      <c r="AC845" s="127"/>
    </row>
    <row r="846" ht="15.75" customHeight="1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  <c r="AA846" s="127"/>
      <c r="AB846" s="127"/>
      <c r="AC846" s="127"/>
    </row>
    <row r="847" ht="15.75" customHeight="1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  <c r="AA847" s="127"/>
      <c r="AB847" s="127"/>
      <c r="AC847" s="127"/>
    </row>
    <row r="848" ht="15.75" customHeight="1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  <c r="AA848" s="127"/>
      <c r="AB848" s="127"/>
      <c r="AC848" s="127"/>
    </row>
    <row r="849" ht="15.75" customHeight="1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  <c r="AA849" s="127"/>
      <c r="AB849" s="127"/>
      <c r="AC849" s="127"/>
    </row>
    <row r="850" ht="15.75" customHeight="1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  <c r="AA850" s="127"/>
      <c r="AB850" s="127"/>
      <c r="AC850" s="127"/>
    </row>
    <row r="851" ht="15.75" customHeight="1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  <c r="AA851" s="127"/>
      <c r="AB851" s="127"/>
      <c r="AC851" s="127"/>
    </row>
    <row r="852" ht="15.75" customHeight="1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  <c r="AA852" s="127"/>
      <c r="AB852" s="127"/>
      <c r="AC852" s="127"/>
    </row>
    <row r="853" ht="15.75" customHeight="1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  <c r="AA853" s="127"/>
      <c r="AB853" s="127"/>
      <c r="AC853" s="127"/>
    </row>
    <row r="854" ht="15.75" customHeight="1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  <c r="AA854" s="127"/>
      <c r="AB854" s="127"/>
      <c r="AC854" s="127"/>
    </row>
    <row r="855" ht="15.75" customHeight="1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  <c r="AA855" s="127"/>
      <c r="AB855" s="127"/>
      <c r="AC855" s="127"/>
    </row>
    <row r="856" ht="15.75" customHeight="1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  <c r="AA856" s="127"/>
      <c r="AB856" s="127"/>
      <c r="AC856" s="127"/>
    </row>
    <row r="857" ht="15.75" customHeight="1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  <c r="AA857" s="127"/>
      <c r="AB857" s="127"/>
      <c r="AC857" s="127"/>
    </row>
    <row r="858" ht="15.75" customHeight="1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  <c r="AA858" s="127"/>
      <c r="AB858" s="127"/>
      <c r="AC858" s="127"/>
    </row>
    <row r="859" ht="15.75" customHeight="1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  <c r="AA859" s="127"/>
      <c r="AB859" s="127"/>
      <c r="AC859" s="127"/>
    </row>
    <row r="860" ht="15.75" customHeight="1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  <c r="AA860" s="127"/>
      <c r="AB860" s="127"/>
      <c r="AC860" s="127"/>
    </row>
    <row r="861" ht="15.75" customHeight="1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  <c r="AA861" s="127"/>
      <c r="AB861" s="127"/>
      <c r="AC861" s="127"/>
    </row>
    <row r="862" ht="15.75" customHeight="1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  <c r="AA862" s="127"/>
      <c r="AB862" s="127"/>
      <c r="AC862" s="127"/>
    </row>
    <row r="863" ht="15.75" customHeight="1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  <c r="AA863" s="127"/>
      <c r="AB863" s="127"/>
      <c r="AC863" s="127"/>
    </row>
    <row r="864" ht="15.75" customHeight="1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  <c r="AA864" s="127"/>
      <c r="AB864" s="127"/>
      <c r="AC864" s="127"/>
    </row>
    <row r="865" ht="15.75" customHeight="1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  <c r="AA865" s="127"/>
      <c r="AB865" s="127"/>
      <c r="AC865" s="127"/>
    </row>
    <row r="866" ht="15.75" customHeight="1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  <c r="AA866" s="127"/>
      <c r="AB866" s="127"/>
      <c r="AC866" s="127"/>
    </row>
    <row r="867" ht="15.75" customHeight="1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  <c r="AA867" s="127"/>
      <c r="AB867" s="127"/>
      <c r="AC867" s="127"/>
    </row>
    <row r="868" ht="15.75" customHeight="1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  <c r="AA868" s="127"/>
      <c r="AB868" s="127"/>
      <c r="AC868" s="127"/>
    </row>
    <row r="869" ht="15.75" customHeight="1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  <c r="AA869" s="127"/>
      <c r="AB869" s="127"/>
      <c r="AC869" s="127"/>
    </row>
    <row r="870" ht="15.75" customHeight="1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  <c r="AA870" s="127"/>
      <c r="AB870" s="127"/>
      <c r="AC870" s="127"/>
    </row>
    <row r="871" ht="15.75" customHeight="1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  <c r="AA871" s="127"/>
      <c r="AB871" s="127"/>
      <c r="AC871" s="127"/>
    </row>
    <row r="872" ht="15.75" customHeight="1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  <c r="AA872" s="127"/>
      <c r="AB872" s="127"/>
      <c r="AC872" s="127"/>
    </row>
    <row r="873" ht="15.75" customHeight="1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  <c r="AA873" s="127"/>
      <c r="AB873" s="127"/>
      <c r="AC873" s="127"/>
    </row>
    <row r="874" ht="15.75" customHeight="1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  <c r="AA874" s="127"/>
      <c r="AB874" s="127"/>
      <c r="AC874" s="127"/>
    </row>
    <row r="875" ht="15.75" customHeight="1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  <c r="AA875" s="127"/>
      <c r="AB875" s="127"/>
      <c r="AC875" s="127"/>
    </row>
    <row r="876" ht="15.75" customHeight="1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  <c r="AA876" s="127"/>
      <c r="AB876" s="127"/>
      <c r="AC876" s="127"/>
    </row>
  </sheetData>
  <mergeCells count="1">
    <mergeCell ref="A3:N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3.88"/>
    <col customWidth="1" min="2" max="14" width="9.75"/>
    <col customWidth="1" min="15" max="29" width="19.75"/>
  </cols>
  <sheetData>
    <row r="1" ht="15.75" hidden="1" customHeight="1">
      <c r="A1" s="84" t="s">
        <v>96</v>
      </c>
      <c r="B1" s="85">
        <v>2025.0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</row>
    <row r="2" ht="15.75" customHeight="1">
      <c r="A2" s="84"/>
      <c r="B2" s="85" t="s">
        <v>77</v>
      </c>
      <c r="C2" s="85" t="s">
        <v>78</v>
      </c>
      <c r="D2" s="85" t="s">
        <v>79</v>
      </c>
      <c r="E2" s="85" t="s">
        <v>80</v>
      </c>
      <c r="F2" s="85" t="s">
        <v>81</v>
      </c>
      <c r="G2" s="85" t="s">
        <v>82</v>
      </c>
      <c r="H2" s="85" t="s">
        <v>83</v>
      </c>
      <c r="I2" s="85" t="s">
        <v>84</v>
      </c>
      <c r="J2" s="85" t="s">
        <v>85</v>
      </c>
      <c r="K2" s="85" t="s">
        <v>86</v>
      </c>
      <c r="L2" s="85" t="s">
        <v>87</v>
      </c>
      <c r="M2" s="85" t="s">
        <v>88</v>
      </c>
      <c r="N2" s="85" t="s">
        <v>27</v>
      </c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</row>
    <row r="3" ht="15.75" customHeight="1">
      <c r="A3" s="88" t="s">
        <v>154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90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</row>
    <row r="4" ht="15.75" customHeight="1">
      <c r="A4" s="92"/>
      <c r="B4" s="93">
        <v>1.0</v>
      </c>
      <c r="C4" s="93">
        <v>2.0</v>
      </c>
      <c r="D4" s="93">
        <v>3.0</v>
      </c>
      <c r="E4" s="93">
        <v>4.0</v>
      </c>
      <c r="F4" s="93">
        <v>5.0</v>
      </c>
      <c r="G4" s="93">
        <v>6.0</v>
      </c>
      <c r="H4" s="93">
        <v>7.0</v>
      </c>
      <c r="I4" s="93">
        <v>8.0</v>
      </c>
      <c r="J4" s="93">
        <v>9.0</v>
      </c>
      <c r="K4" s="93">
        <v>10.0</v>
      </c>
      <c r="L4" s="93">
        <v>11.0</v>
      </c>
      <c r="M4" s="93">
        <v>12.0</v>
      </c>
      <c r="N4" s="94" t="s">
        <v>27</v>
      </c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</row>
    <row r="5" ht="15.75" customHeight="1">
      <c r="A5" s="95" t="s">
        <v>28</v>
      </c>
      <c r="B5" s="96" t="str">
        <f>'Monthly cash flow'!B7</f>
        <v/>
      </c>
      <c r="C5" s="96" t="str">
        <f>'Monthly cash flow'!C7</f>
        <v/>
      </c>
      <c r="D5" s="96" t="str">
        <f>'Monthly cash flow'!D7</f>
        <v/>
      </c>
      <c r="E5" s="96" t="str">
        <f>'Monthly cash flow'!E7</f>
        <v/>
      </c>
      <c r="F5" s="96">
        <f>Receptor!F5</f>
        <v>6758</v>
      </c>
      <c r="G5" s="96">
        <f>Receptor!G5</f>
        <v>8459.71</v>
      </c>
      <c r="H5" s="96">
        <f>Receptor!H5</f>
        <v>8025.79</v>
      </c>
      <c r="I5" s="96">
        <f>Receptor!I5</f>
        <v>0</v>
      </c>
      <c r="J5" s="96">
        <f>Receptor!J5</f>
        <v>0</v>
      </c>
      <c r="K5" s="96">
        <f>Receptor!K5</f>
        <v>0</v>
      </c>
      <c r="L5" s="96">
        <f>Receptor!L5</f>
        <v>0</v>
      </c>
      <c r="M5" s="96">
        <f>Receptor!M5</f>
        <v>0</v>
      </c>
      <c r="N5" s="96">
        <f>Receptor!N5</f>
        <v>23243.5</v>
      </c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</row>
    <row r="6" ht="15.75" customHeight="1">
      <c r="A6" s="98" t="s">
        <v>38</v>
      </c>
      <c r="B6" s="96" t="str">
        <f>'Monthly cash flow'!B8</f>
        <v/>
      </c>
      <c r="C6" s="96" t="str">
        <f>'Monthly cash flow'!C8</f>
        <v/>
      </c>
      <c r="D6" s="96" t="str">
        <f>'Monthly cash flow'!D8</f>
        <v/>
      </c>
      <c r="E6" s="96" t="str">
        <f>'Monthly cash flow'!E8</f>
        <v/>
      </c>
      <c r="F6" s="96">
        <f>Receptor!F6</f>
        <v>2470.5</v>
      </c>
      <c r="G6" s="96">
        <f>Receptor!G6</f>
        <v>5678</v>
      </c>
      <c r="H6" s="96">
        <f>Receptor!H6</f>
        <v>8233.95</v>
      </c>
      <c r="I6" s="96">
        <f>Receptor!I6</f>
        <v>0</v>
      </c>
      <c r="J6" s="96">
        <f>Receptor!J6</f>
        <v>0</v>
      </c>
      <c r="K6" s="96">
        <f>Receptor!K6</f>
        <v>0</v>
      </c>
      <c r="L6" s="96">
        <f>Receptor!L6</f>
        <v>0</v>
      </c>
      <c r="M6" s="96">
        <f>Receptor!M6</f>
        <v>0</v>
      </c>
      <c r="N6" s="96">
        <f>Receptor!N6</f>
        <v>16382.45</v>
      </c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</row>
    <row r="7" ht="15.75" customHeight="1">
      <c r="A7" s="95" t="s">
        <v>43</v>
      </c>
      <c r="B7" s="96"/>
      <c r="C7" s="96"/>
      <c r="D7" s="96"/>
      <c r="E7" s="96"/>
      <c r="F7" s="96">
        <f>Receptor!F7</f>
        <v>5253.208881</v>
      </c>
      <c r="G7" s="96">
        <f>Receptor!G7</f>
        <v>6570.14</v>
      </c>
      <c r="H7" s="96">
        <f>Receptor!H7</f>
        <v>4760.15</v>
      </c>
      <c r="I7" s="96">
        <f>Receptor!I7</f>
        <v>0</v>
      </c>
      <c r="J7" s="96">
        <f>Receptor!J7</f>
        <v>0</v>
      </c>
      <c r="K7" s="96">
        <f>Receptor!K7</f>
        <v>0</v>
      </c>
      <c r="L7" s="96">
        <f>Receptor!L7</f>
        <v>0</v>
      </c>
      <c r="M7" s="96">
        <f>Receptor!M7</f>
        <v>0</v>
      </c>
      <c r="N7" s="96">
        <f>Receptor!N7</f>
        <v>16583.49888</v>
      </c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</row>
    <row r="8" ht="15.75" customHeight="1">
      <c r="A8" s="98" t="s">
        <v>49</v>
      </c>
      <c r="B8" s="96" t="str">
        <f>'Monthly cash flow'!B9</f>
        <v/>
      </c>
      <c r="C8" s="96" t="str">
        <f>'Monthly cash flow'!C9</f>
        <v/>
      </c>
      <c r="D8" s="96" t="str">
        <f>'Monthly cash flow'!D9</f>
        <v/>
      </c>
      <c r="E8" s="96" t="str">
        <f>'Monthly cash flow'!E9</f>
        <v/>
      </c>
      <c r="F8" s="96">
        <f>Receptor!F8</f>
        <v>0</v>
      </c>
      <c r="G8" s="96">
        <f>Receptor!G8</f>
        <v>483.26</v>
      </c>
      <c r="H8" s="96">
        <f>Receptor!H8</f>
        <v>224.5</v>
      </c>
      <c r="I8" s="96">
        <f>Receptor!I8</f>
        <v>0</v>
      </c>
      <c r="J8" s="96">
        <f>Receptor!J8</f>
        <v>0</v>
      </c>
      <c r="K8" s="96" t="str">
        <f>Receptor!K8</f>
        <v/>
      </c>
      <c r="L8" s="96" t="str">
        <f>Receptor!L8</f>
        <v/>
      </c>
      <c r="M8" s="96" t="str">
        <f>Receptor!M8</f>
        <v/>
      </c>
      <c r="N8" s="96">
        <f>Receptor!N8</f>
        <v>707.76</v>
      </c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</row>
    <row r="9" ht="15.75" customHeight="1">
      <c r="A9" s="95" t="s">
        <v>52</v>
      </c>
      <c r="B9" s="96" t="str">
        <f>'Monthly cash flow'!B10</f>
        <v/>
      </c>
      <c r="C9" s="96" t="str">
        <f>'Monthly cash flow'!C10</f>
        <v/>
      </c>
      <c r="D9" s="96" t="str">
        <f>'Monthly cash flow'!D10</f>
        <v/>
      </c>
      <c r="E9" s="96" t="str">
        <f>'Monthly cash flow'!E10</f>
        <v/>
      </c>
      <c r="F9" s="96">
        <f>Receptor!F9</f>
        <v>14481.70888</v>
      </c>
      <c r="G9" s="96">
        <f>Receptor!G9</f>
        <v>21191.11</v>
      </c>
      <c r="H9" s="96">
        <f>Receptor!H9</f>
        <v>21244.39</v>
      </c>
      <c r="I9" s="96">
        <f>Receptor!I9</f>
        <v>0</v>
      </c>
      <c r="J9" s="96">
        <f>Receptor!J9</f>
        <v>0</v>
      </c>
      <c r="K9" s="96">
        <f>Receptor!K9</f>
        <v>0</v>
      </c>
      <c r="L9" s="96">
        <f>Receptor!L9</f>
        <v>0</v>
      </c>
      <c r="M9" s="96">
        <f>Receptor!M9</f>
        <v>0</v>
      </c>
      <c r="N9" s="96">
        <f>Receptor!N9</f>
        <v>56917.20888</v>
      </c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</row>
    <row r="10" ht="15.75" customHeight="1">
      <c r="A10" s="98" t="s">
        <v>54</v>
      </c>
      <c r="B10" s="96" t="str">
        <f>'Monthly cash flow'!B11</f>
        <v/>
      </c>
      <c r="C10" s="96" t="str">
        <f>'Monthly cash flow'!C11</f>
        <v/>
      </c>
      <c r="D10" s="96" t="str">
        <f>'Monthly cash flow'!D11</f>
        <v/>
      </c>
      <c r="E10" s="96" t="str">
        <f>'Monthly cash flow'!E11</f>
        <v/>
      </c>
      <c r="F10" s="96">
        <f>Receptor!F10</f>
        <v>0</v>
      </c>
      <c r="G10" s="96">
        <f>Receptor!G10</f>
        <v>32</v>
      </c>
      <c r="H10" s="96">
        <f>Receptor!H10</f>
        <v>0</v>
      </c>
      <c r="I10" s="96">
        <f>Receptor!I10</f>
        <v>0</v>
      </c>
      <c r="J10" s="96" t="str">
        <f>Receptor!J10</f>
        <v/>
      </c>
      <c r="K10" s="96" t="str">
        <f>Receptor!K10</f>
        <v/>
      </c>
      <c r="L10" s="96" t="str">
        <f>Receptor!L10</f>
        <v/>
      </c>
      <c r="M10" s="96" t="str">
        <f>Receptor!M10</f>
        <v/>
      </c>
      <c r="N10" s="96">
        <f>Receptor!N10</f>
        <v>32</v>
      </c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</row>
    <row r="11" ht="15.75" customHeight="1">
      <c r="A11" s="98" t="s">
        <v>55</v>
      </c>
      <c r="B11" s="96" t="str">
        <f>'Monthly cash flow'!B12</f>
        <v/>
      </c>
      <c r="C11" s="96" t="str">
        <f>'Monthly cash flow'!C12</f>
        <v/>
      </c>
      <c r="D11" s="96" t="str">
        <f>'Monthly cash flow'!D12</f>
        <v/>
      </c>
      <c r="E11" s="96" t="str">
        <f>'Monthly cash flow'!E12</f>
        <v/>
      </c>
      <c r="F11" s="96">
        <f>Receptor!F11</f>
        <v>0</v>
      </c>
      <c r="G11" s="96">
        <f>Receptor!G11</f>
        <v>214.5</v>
      </c>
      <c r="H11" s="96">
        <f>Receptor!H11</f>
        <v>220</v>
      </c>
      <c r="I11" s="96">
        <f>Receptor!I11</f>
        <v>0</v>
      </c>
      <c r="J11" s="96">
        <f>Receptor!J11</f>
        <v>0</v>
      </c>
      <c r="K11" s="96">
        <f>Receptor!K11</f>
        <v>0</v>
      </c>
      <c r="L11" s="96">
        <f>Receptor!L11</f>
        <v>0</v>
      </c>
      <c r="M11" s="96">
        <f>Receptor!M11</f>
        <v>82</v>
      </c>
      <c r="N11" s="96">
        <f>Receptor!N11</f>
        <v>516.5</v>
      </c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</row>
    <row r="12" ht="15.75" customHeight="1">
      <c r="A12" s="98" t="s">
        <v>55</v>
      </c>
      <c r="B12" s="96"/>
      <c r="C12" s="96"/>
      <c r="D12" s="96"/>
      <c r="E12" s="96"/>
      <c r="F12" s="96">
        <f>Receptor!F12</f>
        <v>1331</v>
      </c>
      <c r="G12" s="96">
        <f>Receptor!G12</f>
        <v>2027</v>
      </c>
      <c r="H12" s="96">
        <f>Receptor!H12</f>
        <v>2825</v>
      </c>
      <c r="I12" s="96">
        <f>Receptor!I12</f>
        <v>0</v>
      </c>
      <c r="J12" s="96">
        <f>Receptor!J12</f>
        <v>0</v>
      </c>
      <c r="K12" s="96" t="str">
        <f>Receptor!K12</f>
        <v/>
      </c>
      <c r="L12" s="96" t="str">
        <f>Receptor!L12</f>
        <v/>
      </c>
      <c r="M12" s="96" t="str">
        <f>Receptor!M12</f>
        <v/>
      </c>
      <c r="N12" s="96" t="str">
        <f>Receptor!N12</f>
        <v/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</row>
    <row r="13" ht="15.75" customHeight="1">
      <c r="A13" s="95" t="s">
        <v>57</v>
      </c>
      <c r="B13" s="96"/>
      <c r="C13" s="96"/>
      <c r="D13" s="96"/>
      <c r="E13" s="96"/>
      <c r="F13" s="96">
        <f>Receptor!F14</f>
        <v>1331</v>
      </c>
      <c r="G13" s="96">
        <f>Receptor!G14</f>
        <v>2273.5</v>
      </c>
      <c r="H13" s="96">
        <f>Receptor!H14</f>
        <v>3045</v>
      </c>
      <c r="I13" s="96">
        <f>Receptor!I14</f>
        <v>0</v>
      </c>
      <c r="J13" s="96">
        <f>Receptor!J14</f>
        <v>0</v>
      </c>
      <c r="K13" s="96">
        <f>Receptor!K14</f>
        <v>0</v>
      </c>
      <c r="L13" s="96">
        <f>Receptor!L14</f>
        <v>0</v>
      </c>
      <c r="M13" s="96">
        <f>Receptor!M14</f>
        <v>82</v>
      </c>
      <c r="N13" s="96">
        <f>Receptor!N14</f>
        <v>6731.5</v>
      </c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</row>
    <row r="14" ht="15.75" customHeight="1">
      <c r="A14" s="95" t="s">
        <v>58</v>
      </c>
      <c r="B14" s="96"/>
      <c r="C14" s="96"/>
      <c r="D14" s="96"/>
      <c r="E14" s="96"/>
      <c r="F14" s="96">
        <f>Receptor!F16</f>
        <v>666</v>
      </c>
      <c r="G14" s="96">
        <f>Receptor!G16</f>
        <v>1216</v>
      </c>
      <c r="H14" s="96">
        <f>Receptor!H16</f>
        <v>1154</v>
      </c>
      <c r="I14" s="96">
        <f>Receptor!I16</f>
        <v>0</v>
      </c>
      <c r="J14" s="96">
        <f>Receptor!J16</f>
        <v>0</v>
      </c>
      <c r="K14" s="96">
        <f>Receptor!K16</f>
        <v>0</v>
      </c>
      <c r="L14" s="96">
        <f>Receptor!L16</f>
        <v>0</v>
      </c>
      <c r="M14" s="96">
        <f>Receptor!M16</f>
        <v>0</v>
      </c>
      <c r="N14" s="96">
        <f>Receptor!N16</f>
        <v>3036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</row>
    <row r="15" ht="15.75" customHeight="1">
      <c r="A15" s="95" t="s">
        <v>59</v>
      </c>
      <c r="B15" s="105">
        <f t="shared" ref="B15:N15" si="1">B9+B13+B14</f>
        <v>0</v>
      </c>
      <c r="C15" s="105">
        <f t="shared" si="1"/>
        <v>0</v>
      </c>
      <c r="D15" s="105">
        <f t="shared" si="1"/>
        <v>0</v>
      </c>
      <c r="E15" s="105">
        <f t="shared" si="1"/>
        <v>0</v>
      </c>
      <c r="F15" s="105">
        <f t="shared" si="1"/>
        <v>16478.70888</v>
      </c>
      <c r="G15" s="105">
        <f t="shared" si="1"/>
        <v>24680.61</v>
      </c>
      <c r="H15" s="105">
        <f t="shared" si="1"/>
        <v>25443.39</v>
      </c>
      <c r="I15" s="105">
        <f t="shared" si="1"/>
        <v>0</v>
      </c>
      <c r="J15" s="105">
        <f t="shared" si="1"/>
        <v>0</v>
      </c>
      <c r="K15" s="105">
        <f t="shared" si="1"/>
        <v>0</v>
      </c>
      <c r="L15" s="105">
        <f t="shared" si="1"/>
        <v>0</v>
      </c>
      <c r="M15" s="105">
        <f t="shared" si="1"/>
        <v>82</v>
      </c>
      <c r="N15" s="105">
        <f t="shared" si="1"/>
        <v>66684.70888</v>
      </c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</row>
    <row r="16" ht="15.75" customHeight="1">
      <c r="A16" s="106" t="s">
        <v>109</v>
      </c>
      <c r="B16" s="107">
        <f>'Analysis OUT by pay'!E239</f>
        <v>0</v>
      </c>
      <c r="C16" s="107">
        <f>'Analysis OUT by pay'!F239</f>
        <v>0</v>
      </c>
      <c r="D16" s="107">
        <f>'Analysis OUT by pay'!G239</f>
        <v>0</v>
      </c>
      <c r="E16" s="107">
        <f>'Analysis OUT by pay'!H239</f>
        <v>0</v>
      </c>
      <c r="F16" s="107">
        <f>'Analysis OUT by pay'!I239</f>
        <v>0</v>
      </c>
      <c r="G16" s="107">
        <f>'Analysis OUT by pay'!J239</f>
        <v>183.66</v>
      </c>
      <c r="H16" s="107">
        <f>'Analysis OUT by pay'!K239</f>
        <v>0</v>
      </c>
      <c r="I16" s="107">
        <f>'Analysis OUT by pay'!L239</f>
        <v>0</v>
      </c>
      <c r="J16" s="107">
        <f>'Analysis OUT by pay'!M239</f>
        <v>0</v>
      </c>
      <c r="K16" s="107">
        <f>'Analysis OUT by pay'!N239</f>
        <v>0</v>
      </c>
      <c r="L16" s="107">
        <f>'Analysis OUT by pay'!O239</f>
        <v>0</v>
      </c>
      <c r="M16" s="107">
        <f>'Analysis OUT by pay'!P239</f>
        <v>0</v>
      </c>
      <c r="N16" s="107" t="str">
        <f>'Analysis OUT by pay'!Q239</f>
        <v/>
      </c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</row>
    <row r="17" ht="15.75" customHeight="1">
      <c r="A17" s="98" t="s">
        <v>111</v>
      </c>
      <c r="B17" s="96" t="str">
        <f>'Monthly cash flow'!C6</f>
        <v/>
      </c>
      <c r="C17" s="96" t="str">
        <f>'Monthly cash flow'!D6</f>
        <v/>
      </c>
      <c r="D17" s="96" t="str">
        <f>'Monthly cash flow'!E6</f>
        <v/>
      </c>
      <c r="E17" s="96" t="str">
        <f>'Monthly cash flow'!F6</f>
        <v/>
      </c>
      <c r="F17" s="96">
        <f>'Monthly cash flow'!G6</f>
        <v>639.65</v>
      </c>
      <c r="G17" s="96">
        <f>'Monthly cash flow'!H6</f>
        <v>356.4</v>
      </c>
      <c r="H17" s="96" t="str">
        <f>'Monthly cash flow'!I6</f>
        <v/>
      </c>
      <c r="I17" s="96" t="str">
        <f>'Monthly cash flow'!J6</f>
        <v/>
      </c>
      <c r="J17" s="96" t="str">
        <f>'Monthly cash flow'!K6</f>
        <v/>
      </c>
      <c r="K17" s="96" t="str">
        <f>'Monthly cash flow'!L6</f>
        <v/>
      </c>
      <c r="L17" s="96" t="str">
        <f>'Monthly cash flow'!M6</f>
        <v/>
      </c>
      <c r="M17" s="96" t="str">
        <f>'Monthly cash flow'!N6</f>
        <v/>
      </c>
      <c r="N17" s="96">
        <f t="shared" ref="N17:N19" si="2">SUM(B17:M17)</f>
        <v>996.05</v>
      </c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</row>
    <row r="18" ht="15.75" customHeight="1">
      <c r="A18" s="98" t="s">
        <v>114</v>
      </c>
      <c r="B18" s="96">
        <f>'Monthly cash flow'!B28+'Monthly cash flow'!B45+'Monthly cash flow'!B61</f>
        <v>0</v>
      </c>
      <c r="C18" s="96">
        <f>'Monthly cash flow'!C28+'Monthly cash flow'!C45+'Monthly cash flow'!C61</f>
        <v>0</v>
      </c>
      <c r="D18" s="96">
        <f>'Monthly cash flow'!D28+'Monthly cash flow'!D45+'Monthly cash flow'!D61</f>
        <v>0</v>
      </c>
      <c r="E18" s="96">
        <f>'Monthly cash flow'!E28+'Monthly cash flow'!E45+'Monthly cash flow'!E61</f>
        <v>0</v>
      </c>
      <c r="F18" s="96">
        <f>'Monthly cash flow'!F28+'Monthly cash flow'!F45+'Monthly cash flow'!F61</f>
        <v>605.5</v>
      </c>
      <c r="G18" s="96">
        <f>'Monthly cash flow'!G28+'Monthly cash flow'!G45+'Monthly cash flow'!G61</f>
        <v>547</v>
      </c>
      <c r="H18" s="96">
        <f>'Monthly cash flow'!H28+'Monthly cash flow'!H45+'Monthly cash flow'!H61</f>
        <v>1014.9</v>
      </c>
      <c r="I18" s="96">
        <f>'Monthly cash flow'!I28+'Monthly cash flow'!I45+'Monthly cash flow'!I61</f>
        <v>0</v>
      </c>
      <c r="J18" s="96">
        <f>'Monthly cash flow'!J28+'Monthly cash flow'!J45+'Monthly cash flow'!J61</f>
        <v>0</v>
      </c>
      <c r="K18" s="96">
        <f>'Monthly cash flow'!K28+'Monthly cash flow'!K45+'Monthly cash flow'!K61</f>
        <v>0</v>
      </c>
      <c r="L18" s="96">
        <f>'Monthly cash flow'!L28+'Monthly cash flow'!L45+'Monthly cash flow'!L61</f>
        <v>0</v>
      </c>
      <c r="M18" s="96">
        <f>'Monthly cash flow'!M28+'Monthly cash flow'!M45+'Monthly cash flow'!M61</f>
        <v>0</v>
      </c>
      <c r="N18" s="96">
        <f t="shared" si="2"/>
        <v>2167.4</v>
      </c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</row>
    <row r="19" ht="15.75" customHeight="1">
      <c r="A19" s="95" t="s">
        <v>115</v>
      </c>
      <c r="B19" s="105">
        <f t="shared" ref="B19:M19" si="3">SUM(B17:B18)</f>
        <v>0</v>
      </c>
      <c r="C19" s="105">
        <f t="shared" si="3"/>
        <v>0</v>
      </c>
      <c r="D19" s="105">
        <f t="shared" si="3"/>
        <v>0</v>
      </c>
      <c r="E19" s="105">
        <f t="shared" si="3"/>
        <v>0</v>
      </c>
      <c r="F19" s="105">
        <f t="shared" si="3"/>
        <v>1245.15</v>
      </c>
      <c r="G19" s="105">
        <f t="shared" si="3"/>
        <v>903.4</v>
      </c>
      <c r="H19" s="105">
        <f t="shared" si="3"/>
        <v>1014.9</v>
      </c>
      <c r="I19" s="105">
        <f t="shared" si="3"/>
        <v>0</v>
      </c>
      <c r="J19" s="105">
        <f t="shared" si="3"/>
        <v>0</v>
      </c>
      <c r="K19" s="105">
        <f t="shared" si="3"/>
        <v>0</v>
      </c>
      <c r="L19" s="105">
        <f t="shared" si="3"/>
        <v>0</v>
      </c>
      <c r="M19" s="105">
        <f t="shared" si="3"/>
        <v>0</v>
      </c>
      <c r="N19" s="105">
        <f t="shared" si="2"/>
        <v>3163.45</v>
      </c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</row>
    <row r="20" ht="15.75" customHeight="1">
      <c r="A20" s="110" t="s">
        <v>116</v>
      </c>
      <c r="B20" s="111">
        <f t="shared" ref="B20:N20" si="4">B15-B16+B19</f>
        <v>0</v>
      </c>
      <c r="C20" s="111">
        <f t="shared" si="4"/>
        <v>0</v>
      </c>
      <c r="D20" s="111">
        <f t="shared" si="4"/>
        <v>0</v>
      </c>
      <c r="E20" s="111">
        <f t="shared" si="4"/>
        <v>0</v>
      </c>
      <c r="F20" s="111">
        <f t="shared" si="4"/>
        <v>17723.85888</v>
      </c>
      <c r="G20" s="111">
        <f t="shared" si="4"/>
        <v>25400.35</v>
      </c>
      <c r="H20" s="111">
        <f t="shared" si="4"/>
        <v>26458.29</v>
      </c>
      <c r="I20" s="111">
        <f t="shared" si="4"/>
        <v>0</v>
      </c>
      <c r="J20" s="111">
        <f t="shared" si="4"/>
        <v>0</v>
      </c>
      <c r="K20" s="111">
        <f t="shared" si="4"/>
        <v>0</v>
      </c>
      <c r="L20" s="111">
        <f t="shared" si="4"/>
        <v>0</v>
      </c>
      <c r="M20" s="111">
        <f t="shared" si="4"/>
        <v>82</v>
      </c>
      <c r="N20" s="111">
        <f t="shared" si="4"/>
        <v>69848.15888</v>
      </c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</row>
    <row r="21" ht="15.75" customHeight="1">
      <c r="A21" s="117"/>
      <c r="B21" s="118"/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118"/>
      <c r="N21" s="119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</row>
    <row r="22" ht="15.75" customHeight="1">
      <c r="A22" s="120" t="s">
        <v>120</v>
      </c>
      <c r="B22" s="121">
        <f>'Analysis OUT'!E137</f>
        <v>2003.85</v>
      </c>
      <c r="C22" s="121">
        <f>'Analysis OUT'!F137</f>
        <v>780.18</v>
      </c>
      <c r="D22" s="121">
        <f>'Analysis OUT'!G137</f>
        <v>1059.03</v>
      </c>
      <c r="E22" s="121">
        <f>'Analysis OUT'!H137</f>
        <v>1861.34</v>
      </c>
      <c r="F22" s="121">
        <f>'Analysis OUT'!I137</f>
        <v>9763.47</v>
      </c>
      <c r="G22" s="121">
        <f>'Analysis OUT'!J137</f>
        <v>14445.89</v>
      </c>
      <c r="H22" s="121">
        <f>'Analysis OUT'!K137</f>
        <v>10916.88</v>
      </c>
      <c r="I22" s="121">
        <f>'Analysis OUT'!L137</f>
        <v>0</v>
      </c>
      <c r="J22" s="121">
        <f>'Analysis OUT'!M137</f>
        <v>0</v>
      </c>
      <c r="K22" s="121">
        <f>'Analysis OUT'!N137</f>
        <v>0</v>
      </c>
      <c r="L22" s="121">
        <f>'Analysis OUT'!O137</f>
        <v>0</v>
      </c>
      <c r="M22" s="121">
        <f>'Analysis OUT'!P137</f>
        <v>0</v>
      </c>
      <c r="N22" s="121">
        <f t="shared" ref="N22:N23" si="5">SUM(B22:M22)</f>
        <v>40830.64</v>
      </c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</row>
    <row r="23" ht="24.0" customHeight="1">
      <c r="A23" s="122" t="s">
        <v>123</v>
      </c>
      <c r="B23" s="121">
        <f>'Analysis OUT'!E144+'Analysis OUT'!E157+'Analysis OUT'!E162+'Analysis OUT'!E167+'Analysis OUT'!E174+'Analysis OUT'!E176+'Analysis OUT'!E178+'Analysis OUT'!E187+'Analysis OUT'!E198+'Analysis OUT'!E216+'Analysis OUT'!E220+'Analysis OUT'!E222</f>
        <v>0</v>
      </c>
      <c r="C23" s="121">
        <f>'Analysis OUT'!F144+'Analysis OUT'!F157+'Analysis OUT'!F162+'Analysis OUT'!F167+'Analysis OUT'!F174+'Analysis OUT'!F176+'Analysis OUT'!F178+'Analysis OUT'!F187+'Analysis OUT'!F198+'Analysis OUT'!F216+'Analysis OUT'!F220+'Analysis OUT'!F222</f>
        <v>0</v>
      </c>
      <c r="D23" s="121">
        <f>'Analysis OUT'!G144+'Analysis OUT'!G157+'Analysis OUT'!G162+'Analysis OUT'!G167+'Analysis OUT'!G174+'Analysis OUT'!G176+'Analysis OUT'!G178+'Analysis OUT'!G187+'Analysis OUT'!G198+'Analysis OUT'!G216+'Analysis OUT'!G220+'Analysis OUT'!G222</f>
        <v>0</v>
      </c>
      <c r="E23" s="121">
        <f>'Analysis OUT'!H144+'Analysis OUT'!H157+'Analysis OUT'!H162+'Analysis OUT'!H167+'Analysis OUT'!H174+'Analysis OUT'!H176+'Analysis OUT'!H178+'Analysis OUT'!H187+'Analysis OUT'!H198+'Analysis OUT'!H216+'Analysis OUT'!H220+'Analysis OUT'!H222</f>
        <v>206.89</v>
      </c>
      <c r="F23" s="121">
        <f>'Analysis OUT'!I144+'Analysis OUT'!I157+'Analysis OUT'!I162+'Analysis OUT'!I167+'Analysis OUT'!I174+'Analysis OUT'!I176+'Analysis OUT'!I178+'Analysis OUT'!I187+'Analysis OUT'!I198+'Analysis OUT'!I216+'Analysis OUT'!I220+'Analysis OUT'!I222</f>
        <v>513.94</v>
      </c>
      <c r="G23" s="121">
        <f>'Analysis OUT'!J144+'Analysis OUT'!J157+'Analysis OUT'!J162+'Analysis OUT'!J167+'Analysis OUT'!J174+'Analysis OUT'!J176+'Analysis OUT'!J178+'Analysis OUT'!J187+'Analysis OUT'!J198+'Analysis OUT'!J216+'Analysis OUT'!J220+'Analysis OUT'!J222</f>
        <v>179.47</v>
      </c>
      <c r="H23" s="121">
        <f>'Analysis OUT'!K144+'Analysis OUT'!K157+'Analysis OUT'!K162+'Analysis OUT'!K167+'Analysis OUT'!K174+'Analysis OUT'!K176+'Analysis OUT'!K178+'Analysis OUT'!K187+'Analysis OUT'!K198+'Analysis OUT'!K216+'Analysis OUT'!K220+'Analysis OUT'!K222</f>
        <v>260.97</v>
      </c>
      <c r="I23" s="121">
        <f>'Analysis OUT'!L144+'Analysis OUT'!L157+'Analysis OUT'!L162+'Analysis OUT'!L167+'Analysis OUT'!L174+'Analysis OUT'!L176+'Analysis OUT'!L178+'Analysis OUT'!L187+'Analysis OUT'!L198+'Analysis OUT'!L216+'Analysis OUT'!L220+'Analysis OUT'!L222</f>
        <v>0</v>
      </c>
      <c r="J23" s="121">
        <f>'Analysis OUT'!M144+'Analysis OUT'!M157+'Analysis OUT'!M162+'Analysis OUT'!M167+'Analysis OUT'!M174+'Analysis OUT'!M176+'Analysis OUT'!M178+'Analysis OUT'!M187+'Analysis OUT'!M198+'Analysis OUT'!M216+'Analysis OUT'!M220+'Analysis OUT'!M222</f>
        <v>0</v>
      </c>
      <c r="K23" s="121">
        <f>'Analysis OUT'!N144+'Analysis OUT'!N157+'Analysis OUT'!N162+'Analysis OUT'!N167+'Analysis OUT'!N174+'Analysis OUT'!N176+'Analysis OUT'!N178+'Analysis OUT'!N187+'Analysis OUT'!N198+'Analysis OUT'!N216+'Analysis OUT'!N220+'Analysis OUT'!N222</f>
        <v>0</v>
      </c>
      <c r="L23" s="121">
        <f>'Analysis OUT'!O144+'Analysis OUT'!O157+'Analysis OUT'!O162+'Analysis OUT'!O167+'Analysis OUT'!O174+'Analysis OUT'!O176+'Analysis OUT'!O178+'Analysis OUT'!O187+'Analysis OUT'!O198+'Analysis OUT'!O216+'Analysis OUT'!O220+'Analysis OUT'!O222</f>
        <v>0</v>
      </c>
      <c r="M23" s="121">
        <f>'Analysis OUT'!P144+'Analysis OUT'!P157+'Analysis OUT'!P162+'Analysis OUT'!P167+'Analysis OUT'!P174+'Analysis OUT'!P176+'Analysis OUT'!P178+'Analysis OUT'!P187+'Analysis OUT'!P198+'Analysis OUT'!P216+'Analysis OUT'!P220+'Analysis OUT'!P222</f>
        <v>0</v>
      </c>
      <c r="N23" s="121">
        <f t="shared" si="5"/>
        <v>1161.27</v>
      </c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</row>
    <row r="24" ht="15.75" customHeight="1">
      <c r="A24" s="123"/>
      <c r="B24" s="124"/>
      <c r="C24" s="124"/>
      <c r="D24" s="124"/>
      <c r="E24" s="124"/>
      <c r="F24" s="125"/>
      <c r="G24" s="125"/>
      <c r="H24" s="124"/>
      <c r="I24" s="124"/>
      <c r="J24" s="124"/>
      <c r="K24" s="124"/>
      <c r="L24" s="124"/>
      <c r="M24" s="124"/>
      <c r="N24" s="126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</row>
    <row r="25" ht="15.75" customHeight="1">
      <c r="A25" s="128" t="s">
        <v>127</v>
      </c>
      <c r="B25" s="129">
        <f t="shared" ref="B25:M25" si="6">B20-B22-B23</f>
        <v>-2003.85</v>
      </c>
      <c r="C25" s="129">
        <f t="shared" si="6"/>
        <v>-780.18</v>
      </c>
      <c r="D25" s="129">
        <f t="shared" si="6"/>
        <v>-1059.03</v>
      </c>
      <c r="E25" s="129">
        <f t="shared" si="6"/>
        <v>-2068.23</v>
      </c>
      <c r="F25" s="129">
        <f t="shared" si="6"/>
        <v>7446.448881</v>
      </c>
      <c r="G25" s="129">
        <f t="shared" si="6"/>
        <v>10774.99</v>
      </c>
      <c r="H25" s="129">
        <f t="shared" si="6"/>
        <v>15280.44</v>
      </c>
      <c r="I25" s="129">
        <f t="shared" si="6"/>
        <v>0</v>
      </c>
      <c r="J25" s="129">
        <f t="shared" si="6"/>
        <v>0</v>
      </c>
      <c r="K25" s="129">
        <f t="shared" si="6"/>
        <v>0</v>
      </c>
      <c r="L25" s="129">
        <f t="shared" si="6"/>
        <v>0</v>
      </c>
      <c r="M25" s="129">
        <f t="shared" si="6"/>
        <v>82</v>
      </c>
      <c r="N25" s="105">
        <f>SUM(B25:M25)</f>
        <v>27672.58888</v>
      </c>
      <c r="O25" s="130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</row>
    <row r="26" ht="15.75" customHeight="1">
      <c r="A26" s="123"/>
      <c r="B26" s="124"/>
      <c r="C26" s="124"/>
      <c r="D26" s="124"/>
      <c r="E26" s="124"/>
      <c r="F26" s="124"/>
      <c r="G26" s="124"/>
      <c r="H26" s="124"/>
      <c r="I26" s="124"/>
      <c r="J26" s="124"/>
      <c r="K26" s="124"/>
      <c r="L26" s="124"/>
      <c r="M26" s="124"/>
      <c r="N26" s="126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  <c r="AA26" s="127"/>
      <c r="AB26" s="127"/>
      <c r="AC26" s="127"/>
    </row>
    <row r="27" ht="15.75" customHeight="1">
      <c r="A27" s="98" t="s">
        <v>131</v>
      </c>
      <c r="B27" s="133">
        <f>'Analysis OUT'!E230</f>
        <v>1771.23</v>
      </c>
      <c r="C27" s="133">
        <f>'Analysis OUT'!F230</f>
        <v>16391.4</v>
      </c>
      <c r="D27" s="133">
        <f>'Analysis OUT'!G230</f>
        <v>3855.94</v>
      </c>
      <c r="E27" s="133">
        <f>'Analysis OUT'!H230</f>
        <v>2089.7</v>
      </c>
      <c r="F27" s="133">
        <f>'Analysis OUT'!I230</f>
        <v>2243.34</v>
      </c>
      <c r="G27" s="133">
        <f>'Analysis OUT'!J230</f>
        <v>4458.1</v>
      </c>
      <c r="H27" s="133">
        <f>'Analysis OUT'!K230</f>
        <v>2800.45</v>
      </c>
      <c r="I27" s="133">
        <f>'Analysis OUT'!L230</f>
        <v>1150</v>
      </c>
      <c r="J27" s="133">
        <f>'Analysis OUT'!M230</f>
        <v>0</v>
      </c>
      <c r="K27" s="133">
        <f>'Analysis OUT'!N230</f>
        <v>0</v>
      </c>
      <c r="L27" s="133">
        <f>'Analysis OUT'!O230</f>
        <v>0</v>
      </c>
      <c r="M27" s="133">
        <f>'Analysis OUT'!P230</f>
        <v>0</v>
      </c>
      <c r="N27" s="133">
        <f>SUM(B27:M27)</f>
        <v>34760.16</v>
      </c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</row>
    <row r="28" ht="13.5" customHeight="1">
      <c r="A28" s="134" t="s">
        <v>133</v>
      </c>
      <c r="B28" s="135">
        <f t="shared" ref="B28:N28" si="7">B25-B27</f>
        <v>-3775.08</v>
      </c>
      <c r="C28" s="135">
        <f t="shared" si="7"/>
        <v>-17171.58</v>
      </c>
      <c r="D28" s="135">
        <f t="shared" si="7"/>
        <v>-4914.97</v>
      </c>
      <c r="E28" s="135">
        <f t="shared" si="7"/>
        <v>-4157.93</v>
      </c>
      <c r="F28" s="135">
        <f t="shared" si="7"/>
        <v>5203.108881</v>
      </c>
      <c r="G28" s="135">
        <f t="shared" si="7"/>
        <v>6316.89</v>
      </c>
      <c r="H28" s="135">
        <f t="shared" si="7"/>
        <v>12479.99</v>
      </c>
      <c r="I28" s="135">
        <f t="shared" si="7"/>
        <v>-1150</v>
      </c>
      <c r="J28" s="135">
        <f t="shared" si="7"/>
        <v>0</v>
      </c>
      <c r="K28" s="135">
        <f t="shared" si="7"/>
        <v>0</v>
      </c>
      <c r="L28" s="135">
        <f t="shared" si="7"/>
        <v>0</v>
      </c>
      <c r="M28" s="135">
        <f t="shared" si="7"/>
        <v>82</v>
      </c>
      <c r="N28" s="135">
        <f t="shared" si="7"/>
        <v>-7087.571119</v>
      </c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</row>
    <row r="29" ht="15.75" customHeight="1">
      <c r="A29" s="114"/>
      <c r="B29" s="114"/>
      <c r="C29" s="114"/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36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</row>
    <row r="30" ht="15.75" customHeight="1">
      <c r="A30" s="98" t="s">
        <v>135</v>
      </c>
      <c r="B30" s="133">
        <f>'Analysis OUT'!E209</f>
        <v>11570.9</v>
      </c>
      <c r="C30" s="133">
        <f>'Analysis OUT'!F209</f>
        <v>25212.94</v>
      </c>
      <c r="D30" s="133">
        <f>'Analysis OUT'!G209</f>
        <v>10287.06</v>
      </c>
      <c r="E30" s="133">
        <f>'Analysis OUT'!H209</f>
        <v>11176.86</v>
      </c>
      <c r="F30" s="133">
        <f>'Analysis OUT'!I209</f>
        <v>7458.32</v>
      </c>
      <c r="G30" s="133">
        <f>'Analysis OUT'!J209</f>
        <v>5892.24</v>
      </c>
      <c r="H30" s="133">
        <f>'Analysis OUT'!K209</f>
        <v>1902.3</v>
      </c>
      <c r="I30" s="133">
        <f>'Analysis OUT'!L209</f>
        <v>3180</v>
      </c>
      <c r="J30" s="133">
        <f>'Analysis OUT'!M209</f>
        <v>0</v>
      </c>
      <c r="K30" s="133">
        <f>'Analysis OUT'!N209</f>
        <v>0</v>
      </c>
      <c r="L30" s="133">
        <f>'Analysis OUT'!O209</f>
        <v>0</v>
      </c>
      <c r="M30" s="133">
        <f>'Analysis OUT'!P209</f>
        <v>0</v>
      </c>
      <c r="N30" s="133">
        <f t="shared" ref="N30:N31" si="8">SUM(B30:M30)</f>
        <v>76680.62</v>
      </c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</row>
    <row r="31" ht="15.0" customHeight="1">
      <c r="A31" s="98" t="s">
        <v>178</v>
      </c>
      <c r="B31" s="133">
        <f>'Analysis OUT'!E213</f>
        <v>0</v>
      </c>
      <c r="C31" s="133">
        <f>'Analysis OUT'!F213</f>
        <v>0</v>
      </c>
      <c r="D31" s="133">
        <f>'Analysis OUT'!G213</f>
        <v>0</v>
      </c>
      <c r="E31" s="133">
        <f>'Analysis OUT'!H213</f>
        <v>0</v>
      </c>
      <c r="F31" s="133">
        <f>'Analysis OUT'!I213</f>
        <v>0</v>
      </c>
      <c r="G31" s="133">
        <f>'Analysis OUT'!J213</f>
        <v>0</v>
      </c>
      <c r="H31" s="133">
        <f>'Analysis OUT'!K213</f>
        <v>0</v>
      </c>
      <c r="I31" s="133">
        <f>'Analysis OUT'!L213</f>
        <v>0</v>
      </c>
      <c r="J31" s="133">
        <f>'Analysis OUT'!M213</f>
        <v>0</v>
      </c>
      <c r="K31" s="133">
        <f>'Analysis OUT'!N213</f>
        <v>0</v>
      </c>
      <c r="L31" s="133">
        <f>'Analysis OUT'!O213</f>
        <v>0</v>
      </c>
      <c r="M31" s="133">
        <f>'Analysis OUT'!P213</f>
        <v>0</v>
      </c>
      <c r="N31" s="133">
        <f t="shared" si="8"/>
        <v>0</v>
      </c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  <c r="AA31" s="127"/>
      <c r="AB31" s="127"/>
      <c r="AC31" s="127"/>
    </row>
    <row r="32" ht="15.0" customHeight="1">
      <c r="A32" s="134" t="s">
        <v>139</v>
      </c>
      <c r="B32" s="135">
        <f t="shared" ref="B32:M32" si="9">B28-B30-B31</f>
        <v>-15345.98</v>
      </c>
      <c r="C32" s="135">
        <f t="shared" si="9"/>
        <v>-42384.52</v>
      </c>
      <c r="D32" s="135">
        <f t="shared" si="9"/>
        <v>-15202.03</v>
      </c>
      <c r="E32" s="135">
        <f t="shared" si="9"/>
        <v>-15334.79</v>
      </c>
      <c r="F32" s="135">
        <f t="shared" si="9"/>
        <v>-2255.211119</v>
      </c>
      <c r="G32" s="135">
        <f t="shared" si="9"/>
        <v>424.65</v>
      </c>
      <c r="H32" s="135">
        <f t="shared" si="9"/>
        <v>10577.69</v>
      </c>
      <c r="I32" s="135">
        <f t="shared" si="9"/>
        <v>-4330</v>
      </c>
      <c r="J32" s="135">
        <f t="shared" si="9"/>
        <v>0</v>
      </c>
      <c r="K32" s="135">
        <f t="shared" si="9"/>
        <v>0</v>
      </c>
      <c r="L32" s="135">
        <f t="shared" si="9"/>
        <v>0</v>
      </c>
      <c r="M32" s="135">
        <f t="shared" si="9"/>
        <v>82</v>
      </c>
      <c r="N32" s="135">
        <f>N28-N30</f>
        <v>-83768.19112</v>
      </c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  <c r="AA32" s="127"/>
      <c r="AB32" s="127"/>
      <c r="AC32" s="127"/>
    </row>
    <row r="33" ht="15.75" customHeight="1">
      <c r="A33" s="124"/>
      <c r="B33" s="124"/>
      <c r="C33" s="124"/>
      <c r="D33" s="124"/>
      <c r="E33" s="124"/>
      <c r="F33" s="124"/>
      <c r="G33" s="124"/>
      <c r="H33" s="124"/>
      <c r="I33" s="124"/>
      <c r="J33" s="124"/>
      <c r="K33" s="124"/>
      <c r="L33" s="124"/>
      <c r="M33" s="124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30"/>
      <c r="AC33" s="130"/>
    </row>
    <row r="34" ht="15.75" customHeight="1">
      <c r="A34" s="124"/>
      <c r="B34" s="124"/>
      <c r="C34" s="124"/>
      <c r="D34" s="124"/>
      <c r="E34" s="124"/>
      <c r="F34" s="124"/>
      <c r="G34" s="124"/>
      <c r="H34" s="124"/>
      <c r="I34" s="124"/>
      <c r="J34" s="124"/>
      <c r="K34" s="124"/>
      <c r="L34" s="124"/>
      <c r="M34" s="124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  <c r="AA34" s="130"/>
      <c r="AB34" s="130"/>
      <c r="AC34" s="130"/>
    </row>
    <row r="35" ht="15.75" customHeight="1">
      <c r="A35" s="124"/>
      <c r="B35" s="124"/>
      <c r="C35" s="124"/>
      <c r="D35" s="124"/>
      <c r="E35" s="124"/>
      <c r="F35" s="124"/>
      <c r="G35" s="124"/>
      <c r="H35" s="124"/>
      <c r="I35" s="124"/>
      <c r="J35" s="124"/>
      <c r="K35" s="124"/>
      <c r="L35" s="124"/>
      <c r="M35" s="124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</row>
    <row r="36" ht="15.75" customHeight="1">
      <c r="A36" s="124"/>
      <c r="B36" s="124"/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</row>
    <row r="37" ht="15.75" customHeight="1">
      <c r="A37" s="124"/>
      <c r="B37" s="124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</row>
    <row r="38" ht="15.75" customHeight="1">
      <c r="A38" s="124"/>
      <c r="B38" s="124"/>
      <c r="C38" s="124"/>
      <c r="D38" s="124"/>
      <c r="E38" s="124"/>
      <c r="F38" s="124"/>
      <c r="G38" s="124"/>
      <c r="H38" s="124"/>
      <c r="I38" s="124"/>
      <c r="J38" s="124"/>
      <c r="K38" s="124"/>
      <c r="L38" s="124"/>
      <c r="M38" s="124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  <c r="AA38" s="130"/>
      <c r="AB38" s="130"/>
      <c r="AC38" s="130"/>
    </row>
    <row r="39" ht="15.75" customHeight="1">
      <c r="A39" s="124"/>
      <c r="B39" s="124"/>
      <c r="C39" s="124"/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130"/>
      <c r="Z39" s="130"/>
      <c r="AA39" s="130"/>
      <c r="AB39" s="130"/>
      <c r="AC39" s="130"/>
    </row>
    <row r="40" ht="15.75" customHeight="1">
      <c r="A40" s="124"/>
      <c r="B40" s="124"/>
      <c r="C40" s="124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  <c r="AA40" s="130"/>
      <c r="AB40" s="130"/>
      <c r="AC40" s="130"/>
    </row>
    <row r="41" ht="15.75" customHeight="1">
      <c r="A41" s="124"/>
      <c r="B41" s="124"/>
      <c r="C41" s="124"/>
      <c r="D41" s="124"/>
      <c r="E41" s="124"/>
      <c r="F41" s="124"/>
      <c r="G41" s="124"/>
      <c r="H41" s="124"/>
      <c r="I41" s="124"/>
      <c r="J41" s="124"/>
      <c r="K41" s="124"/>
      <c r="L41" s="124"/>
      <c r="M41" s="124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130"/>
      <c r="AB41" s="130"/>
      <c r="AC41" s="130"/>
    </row>
    <row r="42" ht="15.75" customHeight="1">
      <c r="A42" s="124"/>
      <c r="B42" s="124"/>
      <c r="C42" s="124"/>
      <c r="D42" s="124"/>
      <c r="E42" s="124"/>
      <c r="F42" s="124"/>
      <c r="G42" s="124"/>
      <c r="H42" s="124"/>
      <c r="I42" s="124"/>
      <c r="J42" s="124"/>
      <c r="K42" s="124"/>
      <c r="L42" s="124"/>
      <c r="M42" s="124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  <c r="AA42" s="130"/>
      <c r="AB42" s="130"/>
      <c r="AC42" s="130"/>
    </row>
    <row r="43" ht="15.75" customHeight="1">
      <c r="A43" s="124"/>
      <c r="B43" s="124"/>
      <c r="C43" s="124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</row>
    <row r="44" ht="15.75" customHeight="1">
      <c r="A44" s="124"/>
      <c r="B44" s="124"/>
      <c r="C44" s="124"/>
      <c r="D44" s="124"/>
      <c r="E44" s="124"/>
      <c r="F44" s="124"/>
      <c r="G44" s="124"/>
      <c r="H44" s="124"/>
      <c r="I44" s="124"/>
      <c r="J44" s="124"/>
      <c r="K44" s="124"/>
      <c r="L44" s="124"/>
      <c r="M44" s="124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  <c r="Y44" s="130"/>
      <c r="Z44" s="130"/>
      <c r="AA44" s="130"/>
      <c r="AB44" s="130"/>
      <c r="AC44" s="130"/>
    </row>
    <row r="45" ht="15.75" customHeight="1">
      <c r="A45" s="124"/>
      <c r="B45" s="124"/>
      <c r="C45" s="124"/>
      <c r="D45" s="124"/>
      <c r="E45" s="124"/>
      <c r="F45" s="124"/>
      <c r="G45" s="124"/>
      <c r="H45" s="124"/>
      <c r="I45" s="124"/>
      <c r="J45" s="124"/>
      <c r="K45" s="124"/>
      <c r="L45" s="124"/>
      <c r="M45" s="124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30"/>
      <c r="AC45" s="130"/>
    </row>
    <row r="46" ht="15.75" customHeight="1">
      <c r="A46" s="124"/>
      <c r="B46" s="124"/>
      <c r="C46" s="124"/>
      <c r="D46" s="124"/>
      <c r="E46" s="124"/>
      <c r="F46" s="124"/>
      <c r="G46" s="124"/>
      <c r="H46" s="124"/>
      <c r="I46" s="124"/>
      <c r="J46" s="124"/>
      <c r="K46" s="124"/>
      <c r="L46" s="124"/>
      <c r="M46" s="124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  <c r="AA46" s="130"/>
      <c r="AB46" s="130"/>
      <c r="AC46" s="130"/>
    </row>
    <row r="47" ht="15.75" customHeight="1">
      <c r="A47" s="124"/>
      <c r="B47" s="124"/>
      <c r="C47" s="124"/>
      <c r="D47" s="124"/>
      <c r="E47" s="124"/>
      <c r="F47" s="124"/>
      <c r="G47" s="124"/>
      <c r="H47" s="124"/>
      <c r="I47" s="124"/>
      <c r="J47" s="124"/>
      <c r="K47" s="124"/>
      <c r="L47" s="124"/>
      <c r="M47" s="124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A47" s="130"/>
      <c r="AB47" s="130"/>
      <c r="AC47" s="130"/>
    </row>
    <row r="48" ht="15.75" customHeight="1">
      <c r="A48" s="124"/>
      <c r="B48" s="124"/>
      <c r="C48" s="124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  <c r="AA48" s="130"/>
      <c r="AB48" s="130"/>
      <c r="AC48" s="130"/>
    </row>
    <row r="49" ht="15.75" customHeight="1">
      <c r="A49" s="124"/>
      <c r="B49" s="124"/>
      <c r="C49" s="124"/>
      <c r="D49" s="124"/>
      <c r="E49" s="124"/>
      <c r="F49" s="124"/>
      <c r="G49" s="124"/>
      <c r="H49" s="124"/>
      <c r="I49" s="124"/>
      <c r="J49" s="124"/>
      <c r="K49" s="124"/>
      <c r="L49" s="124"/>
      <c r="M49" s="124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  <c r="Z49" s="130"/>
      <c r="AA49" s="130"/>
      <c r="AB49" s="130"/>
      <c r="AC49" s="130"/>
    </row>
    <row r="50" ht="15.75" customHeight="1">
      <c r="A50" s="124"/>
      <c r="B50" s="124"/>
      <c r="C50" s="124"/>
      <c r="D50" s="124"/>
      <c r="E50" s="124"/>
      <c r="F50" s="124"/>
      <c r="G50" s="124"/>
      <c r="H50" s="124"/>
      <c r="I50" s="124"/>
      <c r="J50" s="124"/>
      <c r="K50" s="124"/>
      <c r="L50" s="124"/>
      <c r="M50" s="124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  <c r="AA50" s="130"/>
      <c r="AB50" s="130"/>
      <c r="AC50" s="130"/>
    </row>
    <row r="51" ht="15.75" customHeight="1">
      <c r="A51" s="124"/>
      <c r="B51" s="124"/>
      <c r="C51" s="124"/>
      <c r="D51" s="124"/>
      <c r="E51" s="124"/>
      <c r="F51" s="124"/>
      <c r="G51" s="124"/>
      <c r="H51" s="124"/>
      <c r="I51" s="124"/>
      <c r="J51" s="124"/>
      <c r="K51" s="124"/>
      <c r="L51" s="124"/>
      <c r="M51" s="124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  <c r="AA51" s="130"/>
      <c r="AB51" s="130"/>
      <c r="AC51" s="130"/>
    </row>
    <row r="52" ht="15.75" customHeight="1">
      <c r="A52" s="124"/>
      <c r="B52" s="124"/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  <c r="AA52" s="130"/>
      <c r="AB52" s="130"/>
      <c r="AC52" s="130"/>
    </row>
    <row r="53" ht="15.75" customHeight="1">
      <c r="A53" s="124"/>
      <c r="B53" s="124"/>
      <c r="C53" s="124"/>
      <c r="D53" s="124"/>
      <c r="E53" s="124"/>
      <c r="F53" s="124"/>
      <c r="G53" s="124"/>
      <c r="H53" s="124"/>
      <c r="I53" s="124"/>
      <c r="J53" s="124"/>
      <c r="K53" s="124"/>
      <c r="L53" s="124"/>
      <c r="M53" s="124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  <c r="Z53" s="130"/>
      <c r="AA53" s="130"/>
      <c r="AB53" s="130"/>
      <c r="AC53" s="130"/>
    </row>
    <row r="54" ht="15.75" customHeight="1">
      <c r="A54" s="124"/>
      <c r="B54" s="124"/>
      <c r="C54" s="124"/>
      <c r="D54" s="124"/>
      <c r="E54" s="124"/>
      <c r="F54" s="124"/>
      <c r="G54" s="124"/>
      <c r="H54" s="124"/>
      <c r="I54" s="124"/>
      <c r="J54" s="124"/>
      <c r="K54" s="124"/>
      <c r="L54" s="124"/>
      <c r="M54" s="124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  <c r="AA54" s="130"/>
      <c r="AB54" s="130"/>
      <c r="AC54" s="130"/>
    </row>
    <row r="55" ht="15.75" customHeight="1">
      <c r="A55" s="124"/>
      <c r="B55" s="124"/>
      <c r="C55" s="124"/>
      <c r="D55" s="124"/>
      <c r="E55" s="124"/>
      <c r="F55" s="124"/>
      <c r="G55" s="124"/>
      <c r="H55" s="124"/>
      <c r="I55" s="124"/>
      <c r="J55" s="124"/>
      <c r="K55" s="124"/>
      <c r="L55" s="124"/>
      <c r="M55" s="124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  <c r="AA55" s="130"/>
      <c r="AB55" s="130"/>
      <c r="AC55" s="130"/>
    </row>
    <row r="56" ht="15.75" customHeight="1">
      <c r="A56" s="124"/>
      <c r="B56" s="124"/>
      <c r="C56" s="124"/>
      <c r="D56" s="124"/>
      <c r="E56" s="124"/>
      <c r="F56" s="124"/>
      <c r="G56" s="124"/>
      <c r="H56" s="124"/>
      <c r="I56" s="124"/>
      <c r="J56" s="124"/>
      <c r="K56" s="124"/>
      <c r="L56" s="124"/>
      <c r="M56" s="124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  <c r="Z56" s="130"/>
      <c r="AA56" s="130"/>
      <c r="AB56" s="130"/>
      <c r="AC56" s="130"/>
    </row>
    <row r="57" ht="15.75" customHeight="1">
      <c r="A57" s="124"/>
      <c r="B57" s="124"/>
      <c r="C57" s="124"/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130"/>
      <c r="Y57" s="130"/>
      <c r="Z57" s="130"/>
      <c r="AA57" s="130"/>
      <c r="AB57" s="130"/>
      <c r="AC57" s="130"/>
    </row>
    <row r="58" ht="15.75" customHeight="1">
      <c r="A58" s="124"/>
      <c r="B58" s="124"/>
      <c r="C58" s="124"/>
      <c r="D58" s="124"/>
      <c r="E58" s="124"/>
      <c r="F58" s="124"/>
      <c r="G58" s="124"/>
      <c r="H58" s="124"/>
      <c r="I58" s="124"/>
      <c r="J58" s="124"/>
      <c r="K58" s="124"/>
      <c r="L58" s="124"/>
      <c r="M58" s="124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  <c r="AA58" s="130"/>
      <c r="AB58" s="130"/>
      <c r="AC58" s="130"/>
    </row>
    <row r="59" ht="15.75" customHeight="1">
      <c r="A59" s="124"/>
      <c r="B59" s="124"/>
      <c r="C59" s="124"/>
      <c r="D59" s="124"/>
      <c r="E59" s="124"/>
      <c r="F59" s="124"/>
      <c r="G59" s="124"/>
      <c r="H59" s="124"/>
      <c r="I59" s="124"/>
      <c r="J59" s="124"/>
      <c r="K59" s="124"/>
      <c r="L59" s="124"/>
      <c r="M59" s="124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130"/>
      <c r="AB59" s="130"/>
      <c r="AC59" s="130"/>
    </row>
    <row r="60" ht="15.75" customHeight="1">
      <c r="A60" s="124"/>
      <c r="B60" s="124"/>
      <c r="C60" s="124"/>
      <c r="D60" s="124"/>
      <c r="E60" s="124"/>
      <c r="F60" s="124"/>
      <c r="G60" s="124"/>
      <c r="H60" s="124"/>
      <c r="I60" s="124"/>
      <c r="J60" s="124"/>
      <c r="K60" s="124"/>
      <c r="L60" s="124"/>
      <c r="M60" s="124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Y60" s="130"/>
      <c r="Z60" s="130"/>
      <c r="AA60" s="130"/>
      <c r="AB60" s="130"/>
      <c r="AC60" s="130"/>
    </row>
    <row r="61" ht="15.75" customHeight="1">
      <c r="A61" s="124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  <c r="AA61" s="130"/>
      <c r="AB61" s="130"/>
      <c r="AC61" s="130"/>
    </row>
    <row r="62" ht="15.75" customHeight="1">
      <c r="A62" s="124"/>
      <c r="B62" s="124"/>
      <c r="C62" s="124"/>
      <c r="D62" s="124"/>
      <c r="E62" s="124"/>
      <c r="F62" s="124"/>
      <c r="G62" s="124"/>
      <c r="H62" s="124"/>
      <c r="I62" s="124"/>
      <c r="J62" s="124"/>
      <c r="K62" s="124"/>
      <c r="L62" s="124"/>
      <c r="M62" s="124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  <c r="Z62" s="130"/>
      <c r="AA62" s="130"/>
      <c r="AB62" s="130"/>
      <c r="AC62" s="130"/>
    </row>
    <row r="63" ht="15.75" customHeight="1">
      <c r="A63" s="124"/>
      <c r="B63" s="124"/>
      <c r="C63" s="124"/>
      <c r="D63" s="124"/>
      <c r="E63" s="124"/>
      <c r="F63" s="124"/>
      <c r="G63" s="124"/>
      <c r="H63" s="124"/>
      <c r="I63" s="124"/>
      <c r="J63" s="124"/>
      <c r="K63" s="124"/>
      <c r="L63" s="124"/>
      <c r="M63" s="124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  <c r="AA63" s="130"/>
      <c r="AB63" s="130"/>
      <c r="AC63" s="130"/>
    </row>
    <row r="64" ht="15.75" customHeight="1">
      <c r="A64" s="124"/>
      <c r="B64" s="124"/>
      <c r="C64" s="124"/>
      <c r="D64" s="124"/>
      <c r="E64" s="124"/>
      <c r="F64" s="124"/>
      <c r="G64" s="124"/>
      <c r="H64" s="124"/>
      <c r="I64" s="124"/>
      <c r="J64" s="124"/>
      <c r="K64" s="124"/>
      <c r="L64" s="124"/>
      <c r="M64" s="124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  <c r="AA64" s="130"/>
      <c r="AB64" s="130"/>
      <c r="AC64" s="130"/>
    </row>
    <row r="65" ht="15.75" customHeight="1">
      <c r="A65" s="124"/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4"/>
      <c r="M65" s="124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  <c r="AA65" s="130"/>
      <c r="AB65" s="130"/>
      <c r="AC65" s="130"/>
    </row>
    <row r="66" ht="15.75" customHeight="1">
      <c r="A66" s="124"/>
      <c r="B66" s="124"/>
      <c r="C66" s="124"/>
      <c r="D66" s="124"/>
      <c r="E66" s="124"/>
      <c r="F66" s="124"/>
      <c r="G66" s="124"/>
      <c r="H66" s="124"/>
      <c r="I66" s="124"/>
      <c r="J66" s="124"/>
      <c r="K66" s="124"/>
      <c r="L66" s="124"/>
      <c r="M66" s="124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  <c r="AA66" s="130"/>
      <c r="AB66" s="130"/>
      <c r="AC66" s="130"/>
    </row>
    <row r="67" ht="15.75" customHeight="1">
      <c r="A67" s="124"/>
      <c r="B67" s="124"/>
      <c r="C67" s="124"/>
      <c r="D67" s="124"/>
      <c r="E67" s="124"/>
      <c r="F67" s="124"/>
      <c r="G67" s="124"/>
      <c r="H67" s="124"/>
      <c r="I67" s="124"/>
      <c r="J67" s="124"/>
      <c r="K67" s="124"/>
      <c r="L67" s="124"/>
      <c r="M67" s="124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</row>
    <row r="68" ht="15.75" customHeight="1">
      <c r="A68" s="124"/>
      <c r="B68" s="124"/>
      <c r="C68" s="124"/>
      <c r="D68" s="124"/>
      <c r="E68" s="124"/>
      <c r="F68" s="124"/>
      <c r="G68" s="124"/>
      <c r="H68" s="124"/>
      <c r="I68" s="124"/>
      <c r="J68" s="124"/>
      <c r="K68" s="124"/>
      <c r="L68" s="124"/>
      <c r="M68" s="124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/>
      <c r="AC68" s="130"/>
    </row>
    <row r="69" ht="15.75" customHeight="1">
      <c r="A69" s="124"/>
      <c r="B69" s="124"/>
      <c r="C69" s="124"/>
      <c r="D69" s="124"/>
      <c r="E69" s="124"/>
      <c r="F69" s="124"/>
      <c r="G69" s="124"/>
      <c r="H69" s="124"/>
      <c r="I69" s="124"/>
      <c r="J69" s="124"/>
      <c r="K69" s="124"/>
      <c r="L69" s="124"/>
      <c r="M69" s="124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  <c r="AC69" s="130"/>
    </row>
    <row r="70" ht="15.75" customHeight="1">
      <c r="A70" s="124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</row>
    <row r="71" ht="15.75" customHeight="1">
      <c r="A71" s="124"/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130"/>
      <c r="Y71" s="130"/>
      <c r="Z71" s="130"/>
      <c r="AA71" s="130"/>
      <c r="AB71" s="130"/>
      <c r="AC71" s="130"/>
    </row>
    <row r="72" ht="15.75" customHeight="1">
      <c r="A72" s="124"/>
      <c r="B72" s="124"/>
      <c r="C72" s="124"/>
      <c r="D72" s="124"/>
      <c r="E72" s="124"/>
      <c r="F72" s="124"/>
      <c r="G72" s="124"/>
      <c r="H72" s="124"/>
      <c r="I72" s="124"/>
      <c r="J72" s="124"/>
      <c r="K72" s="124"/>
      <c r="L72" s="124"/>
      <c r="M72" s="124"/>
      <c r="N72" s="130"/>
      <c r="O72" s="130"/>
      <c r="P72" s="130"/>
      <c r="Q72" s="130"/>
      <c r="R72" s="130"/>
      <c r="S72" s="130"/>
      <c r="T72" s="130"/>
      <c r="U72" s="130"/>
      <c r="V72" s="130"/>
      <c r="W72" s="130"/>
      <c r="X72" s="130"/>
      <c r="Y72" s="130"/>
      <c r="Z72" s="130"/>
      <c r="AA72" s="130"/>
      <c r="AB72" s="130"/>
      <c r="AC72" s="130"/>
    </row>
    <row r="73" ht="15.75" customHeight="1">
      <c r="A73" s="124"/>
      <c r="B73" s="124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130"/>
      <c r="Y73" s="130"/>
      <c r="Z73" s="130"/>
      <c r="AA73" s="130"/>
      <c r="AB73" s="130"/>
      <c r="AC73" s="130"/>
    </row>
    <row r="74" ht="15.75" customHeight="1">
      <c r="A74" s="124"/>
      <c r="B74" s="124"/>
      <c r="C74" s="124"/>
      <c r="D74" s="124"/>
      <c r="E74" s="124"/>
      <c r="F74" s="124"/>
      <c r="G74" s="124"/>
      <c r="H74" s="124"/>
      <c r="I74" s="124"/>
      <c r="J74" s="124"/>
      <c r="K74" s="124"/>
      <c r="L74" s="124"/>
      <c r="M74" s="124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  <c r="AA74" s="130"/>
      <c r="AB74" s="130"/>
      <c r="AC74" s="130"/>
    </row>
    <row r="75" ht="15.75" customHeight="1">
      <c r="A75" s="124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0"/>
      <c r="Z75" s="130"/>
      <c r="AA75" s="130"/>
      <c r="AB75" s="130"/>
      <c r="AC75" s="130"/>
    </row>
    <row r="76" ht="15.75" customHeight="1">
      <c r="A76" s="124"/>
      <c r="B76" s="124"/>
      <c r="C76" s="124"/>
      <c r="D76" s="124"/>
      <c r="E76" s="124"/>
      <c r="F76" s="124"/>
      <c r="G76" s="124"/>
      <c r="H76" s="124"/>
      <c r="I76" s="124"/>
      <c r="J76" s="124"/>
      <c r="K76" s="124"/>
      <c r="L76" s="124"/>
      <c r="M76" s="124"/>
      <c r="N76" s="130"/>
      <c r="O76" s="130"/>
      <c r="P76" s="130"/>
      <c r="Q76" s="130"/>
      <c r="R76" s="130"/>
      <c r="S76" s="130"/>
      <c r="T76" s="130"/>
      <c r="U76" s="130"/>
      <c r="V76" s="130"/>
      <c r="W76" s="130"/>
      <c r="X76" s="130"/>
      <c r="Y76" s="130"/>
      <c r="Z76" s="130"/>
      <c r="AA76" s="130"/>
      <c r="AB76" s="130"/>
      <c r="AC76" s="130"/>
    </row>
    <row r="77" ht="15.75" customHeight="1">
      <c r="A77" s="124"/>
      <c r="B77" s="124"/>
      <c r="C77" s="124"/>
      <c r="D77" s="124"/>
      <c r="E77" s="124"/>
      <c r="F77" s="124"/>
      <c r="G77" s="124"/>
      <c r="H77" s="124"/>
      <c r="I77" s="124"/>
      <c r="J77" s="124"/>
      <c r="K77" s="124"/>
      <c r="L77" s="124"/>
      <c r="M77" s="124"/>
      <c r="N77" s="130"/>
      <c r="O77" s="130"/>
      <c r="P77" s="130"/>
      <c r="Q77" s="130"/>
      <c r="R77" s="130"/>
      <c r="S77" s="130"/>
      <c r="T77" s="130"/>
      <c r="U77" s="130"/>
      <c r="V77" s="130"/>
      <c r="W77" s="130"/>
      <c r="X77" s="130"/>
      <c r="Y77" s="130"/>
      <c r="Z77" s="130"/>
      <c r="AA77" s="130"/>
      <c r="AB77" s="130"/>
      <c r="AC77" s="130"/>
    </row>
    <row r="78" ht="15.75" customHeight="1">
      <c r="A78" s="124"/>
      <c r="B78" s="124"/>
      <c r="C78" s="124"/>
      <c r="D78" s="124"/>
      <c r="E78" s="124"/>
      <c r="F78" s="124"/>
      <c r="G78" s="124"/>
      <c r="H78" s="124"/>
      <c r="I78" s="124"/>
      <c r="J78" s="124"/>
      <c r="K78" s="124"/>
      <c r="L78" s="124"/>
      <c r="M78" s="124"/>
      <c r="N78" s="130"/>
      <c r="O78" s="130"/>
      <c r="P78" s="130"/>
      <c r="Q78" s="130"/>
      <c r="R78" s="130"/>
      <c r="S78" s="130"/>
      <c r="T78" s="130"/>
      <c r="U78" s="130"/>
      <c r="V78" s="130"/>
      <c r="W78" s="130"/>
      <c r="X78" s="130"/>
      <c r="Y78" s="130"/>
      <c r="Z78" s="130"/>
      <c r="AA78" s="130"/>
      <c r="AB78" s="130"/>
      <c r="AC78" s="130"/>
    </row>
    <row r="79" ht="15.75" customHeight="1">
      <c r="A79" s="124"/>
      <c r="B79" s="124"/>
      <c r="C79" s="124"/>
      <c r="D79" s="124"/>
      <c r="E79" s="124"/>
      <c r="F79" s="124"/>
      <c r="G79" s="124"/>
      <c r="H79" s="124"/>
      <c r="I79" s="124"/>
      <c r="J79" s="124"/>
      <c r="K79" s="124"/>
      <c r="L79" s="124"/>
      <c r="M79" s="124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0"/>
      <c r="Y79" s="130"/>
      <c r="Z79" s="130"/>
      <c r="AA79" s="130"/>
      <c r="AB79" s="130"/>
      <c r="AC79" s="130"/>
    </row>
    <row r="80" ht="15.75" customHeight="1">
      <c r="A80" s="124"/>
      <c r="B80" s="124"/>
      <c r="C80" s="124"/>
      <c r="D80" s="124"/>
      <c r="E80" s="124"/>
      <c r="F80" s="124"/>
      <c r="G80" s="124"/>
      <c r="H80" s="124"/>
      <c r="I80" s="124"/>
      <c r="J80" s="124"/>
      <c r="K80" s="124"/>
      <c r="L80" s="124"/>
      <c r="M80" s="124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0"/>
      <c r="Z80" s="130"/>
      <c r="AA80" s="130"/>
      <c r="AB80" s="130"/>
      <c r="AC80" s="130"/>
    </row>
    <row r="81" ht="15.75" customHeight="1">
      <c r="A81" s="124"/>
      <c r="B81" s="124"/>
      <c r="C81" s="124"/>
      <c r="D81" s="124"/>
      <c r="E81" s="124"/>
      <c r="F81" s="124"/>
      <c r="G81" s="124"/>
      <c r="H81" s="124"/>
      <c r="I81" s="124"/>
      <c r="J81" s="124"/>
      <c r="K81" s="124"/>
      <c r="L81" s="124"/>
      <c r="M81" s="124"/>
      <c r="N81" s="130"/>
      <c r="O81" s="130"/>
      <c r="P81" s="130"/>
      <c r="Q81" s="130"/>
      <c r="R81" s="130"/>
      <c r="S81" s="130"/>
      <c r="T81" s="130"/>
      <c r="U81" s="130"/>
      <c r="V81" s="130"/>
      <c r="W81" s="130"/>
      <c r="X81" s="130"/>
      <c r="Y81" s="130"/>
      <c r="Z81" s="130"/>
      <c r="AA81" s="130"/>
      <c r="AB81" s="130"/>
      <c r="AC81" s="130"/>
    </row>
    <row r="82" ht="15.75" customHeight="1">
      <c r="A82" s="124"/>
      <c r="B82" s="124"/>
      <c r="C82" s="124"/>
      <c r="D82" s="124"/>
      <c r="E82" s="124"/>
      <c r="F82" s="124"/>
      <c r="G82" s="124"/>
      <c r="H82" s="124"/>
      <c r="I82" s="124"/>
      <c r="J82" s="124"/>
      <c r="K82" s="124"/>
      <c r="L82" s="124"/>
      <c r="M82" s="124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130"/>
      <c r="AA82" s="130"/>
      <c r="AB82" s="130"/>
      <c r="AC82" s="130"/>
    </row>
    <row r="83" ht="15.75" customHeight="1">
      <c r="A83" s="124"/>
      <c r="B83" s="124"/>
      <c r="C83" s="124"/>
      <c r="D83" s="124"/>
      <c r="E83" s="124"/>
      <c r="F83" s="124"/>
      <c r="G83" s="124"/>
      <c r="H83" s="124"/>
      <c r="I83" s="124"/>
      <c r="J83" s="124"/>
      <c r="K83" s="124"/>
      <c r="L83" s="124"/>
      <c r="M83" s="124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  <c r="AA83" s="130"/>
      <c r="AB83" s="130"/>
      <c r="AC83" s="130"/>
    </row>
    <row r="84" ht="15.75" customHeight="1">
      <c r="A84" s="124"/>
      <c r="B84" s="124"/>
      <c r="C84" s="124"/>
      <c r="D84" s="124"/>
      <c r="E84" s="124"/>
      <c r="F84" s="124"/>
      <c r="G84" s="124"/>
      <c r="H84" s="124"/>
      <c r="I84" s="124"/>
      <c r="J84" s="124"/>
      <c r="K84" s="124"/>
      <c r="L84" s="124"/>
      <c r="M84" s="124"/>
      <c r="N84" s="130"/>
      <c r="O84" s="130"/>
      <c r="P84" s="130"/>
      <c r="Q84" s="130"/>
      <c r="R84" s="130"/>
      <c r="S84" s="130"/>
      <c r="T84" s="130"/>
      <c r="U84" s="130"/>
      <c r="V84" s="130"/>
      <c r="W84" s="130"/>
      <c r="X84" s="130"/>
      <c r="Y84" s="130"/>
      <c r="Z84" s="130"/>
      <c r="AA84" s="130"/>
      <c r="AB84" s="130"/>
      <c r="AC84" s="130"/>
    </row>
    <row r="85" ht="15.75" customHeight="1">
      <c r="A85" s="124"/>
      <c r="B85" s="124"/>
      <c r="C85" s="124"/>
      <c r="D85" s="124"/>
      <c r="E85" s="124"/>
      <c r="F85" s="124"/>
      <c r="G85" s="124"/>
      <c r="H85" s="124"/>
      <c r="I85" s="124"/>
      <c r="J85" s="124"/>
      <c r="K85" s="124"/>
      <c r="L85" s="124"/>
      <c r="M85" s="124"/>
      <c r="N85" s="130"/>
      <c r="O85" s="130"/>
      <c r="P85" s="130"/>
      <c r="Q85" s="130"/>
      <c r="R85" s="130"/>
      <c r="S85" s="130"/>
      <c r="T85" s="130"/>
      <c r="U85" s="130"/>
      <c r="V85" s="130"/>
      <c r="W85" s="130"/>
      <c r="X85" s="130"/>
      <c r="Y85" s="130"/>
      <c r="Z85" s="130"/>
      <c r="AA85" s="130"/>
      <c r="AB85" s="130"/>
      <c r="AC85" s="130"/>
    </row>
    <row r="86" ht="15.75" customHeight="1">
      <c r="A86" s="124"/>
      <c r="B86" s="124"/>
      <c r="C86" s="124"/>
      <c r="D86" s="124"/>
      <c r="E86" s="124"/>
      <c r="F86" s="124"/>
      <c r="G86" s="124"/>
      <c r="H86" s="124"/>
      <c r="I86" s="124"/>
      <c r="J86" s="124"/>
      <c r="K86" s="124"/>
      <c r="L86" s="124"/>
      <c r="M86" s="124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  <c r="AA86" s="130"/>
      <c r="AB86" s="130"/>
      <c r="AC86" s="130"/>
    </row>
    <row r="87" ht="15.75" customHeight="1">
      <c r="A87" s="124"/>
      <c r="B87" s="124"/>
      <c r="C87" s="124"/>
      <c r="D87" s="124"/>
      <c r="E87" s="124"/>
      <c r="F87" s="124"/>
      <c r="G87" s="124"/>
      <c r="H87" s="124"/>
      <c r="I87" s="124"/>
      <c r="J87" s="124"/>
      <c r="K87" s="124"/>
      <c r="L87" s="124"/>
      <c r="M87" s="124"/>
      <c r="N87" s="130"/>
      <c r="O87" s="130"/>
      <c r="P87" s="130"/>
      <c r="Q87" s="130"/>
      <c r="R87" s="130"/>
      <c r="S87" s="130"/>
      <c r="T87" s="130"/>
      <c r="U87" s="130"/>
      <c r="V87" s="130"/>
      <c r="W87" s="130"/>
      <c r="X87" s="130"/>
      <c r="Y87" s="130"/>
      <c r="Z87" s="130"/>
      <c r="AA87" s="130"/>
      <c r="AB87" s="130"/>
      <c r="AC87" s="130"/>
    </row>
    <row r="88" ht="15.75" customHeight="1">
      <c r="A88" s="124"/>
      <c r="B88" s="124"/>
      <c r="C88" s="124"/>
      <c r="D88" s="124"/>
      <c r="E88" s="124"/>
      <c r="F88" s="124"/>
      <c r="G88" s="124"/>
      <c r="H88" s="124"/>
      <c r="I88" s="124"/>
      <c r="J88" s="124"/>
      <c r="K88" s="124"/>
      <c r="L88" s="124"/>
      <c r="M88" s="124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130"/>
      <c r="AA88" s="130"/>
      <c r="AB88" s="130"/>
      <c r="AC88" s="130"/>
    </row>
    <row r="89" ht="15.75" customHeight="1">
      <c r="A89" s="124"/>
      <c r="B89" s="124"/>
      <c r="C89" s="124"/>
      <c r="D89" s="124"/>
      <c r="E89" s="124"/>
      <c r="F89" s="124"/>
      <c r="G89" s="124"/>
      <c r="H89" s="124"/>
      <c r="I89" s="124"/>
      <c r="J89" s="124"/>
      <c r="K89" s="124"/>
      <c r="L89" s="124"/>
      <c r="M89" s="124"/>
      <c r="N89" s="130"/>
      <c r="O89" s="130"/>
      <c r="P89" s="130"/>
      <c r="Q89" s="130"/>
      <c r="R89" s="130"/>
      <c r="S89" s="130"/>
      <c r="T89" s="130"/>
      <c r="U89" s="130"/>
      <c r="V89" s="130"/>
      <c r="W89" s="130"/>
      <c r="X89" s="130"/>
      <c r="Y89" s="130"/>
      <c r="Z89" s="130"/>
      <c r="AA89" s="130"/>
      <c r="AB89" s="130"/>
      <c r="AC89" s="130"/>
    </row>
    <row r="90" ht="15.75" customHeight="1">
      <c r="A90" s="124"/>
      <c r="B90" s="124"/>
      <c r="C90" s="124"/>
      <c r="D90" s="124"/>
      <c r="E90" s="124"/>
      <c r="F90" s="124"/>
      <c r="G90" s="124"/>
      <c r="H90" s="124"/>
      <c r="I90" s="124"/>
      <c r="J90" s="124"/>
      <c r="K90" s="124"/>
      <c r="L90" s="124"/>
      <c r="M90" s="124"/>
      <c r="N90" s="130"/>
      <c r="O90" s="130"/>
      <c r="P90" s="130"/>
      <c r="Q90" s="130"/>
      <c r="R90" s="130"/>
      <c r="S90" s="130"/>
      <c r="T90" s="130"/>
      <c r="U90" s="130"/>
      <c r="V90" s="130"/>
      <c r="W90" s="130"/>
      <c r="X90" s="130"/>
      <c r="Y90" s="130"/>
      <c r="Z90" s="130"/>
      <c r="AA90" s="130"/>
      <c r="AB90" s="130"/>
      <c r="AC90" s="130"/>
    </row>
    <row r="91" ht="15.75" customHeight="1">
      <c r="A91" s="124"/>
      <c r="B91" s="124"/>
      <c r="C91" s="124"/>
      <c r="D91" s="124"/>
      <c r="E91" s="124"/>
      <c r="F91" s="124"/>
      <c r="G91" s="124"/>
      <c r="H91" s="124"/>
      <c r="I91" s="124"/>
      <c r="J91" s="124"/>
      <c r="K91" s="124"/>
      <c r="L91" s="124"/>
      <c r="M91" s="124"/>
      <c r="N91" s="130"/>
      <c r="O91" s="130"/>
      <c r="P91" s="130"/>
      <c r="Q91" s="130"/>
      <c r="R91" s="130"/>
      <c r="S91" s="130"/>
      <c r="T91" s="130"/>
      <c r="U91" s="130"/>
      <c r="V91" s="130"/>
      <c r="W91" s="130"/>
      <c r="X91" s="130"/>
      <c r="Y91" s="130"/>
      <c r="Z91" s="130"/>
      <c r="AA91" s="130"/>
      <c r="AB91" s="130"/>
      <c r="AC91" s="130"/>
    </row>
    <row r="92" ht="15.75" customHeight="1">
      <c r="A92" s="124"/>
      <c r="B92" s="124"/>
      <c r="C92" s="124"/>
      <c r="D92" s="124"/>
      <c r="E92" s="124"/>
      <c r="F92" s="124"/>
      <c r="G92" s="124"/>
      <c r="H92" s="124"/>
      <c r="I92" s="124"/>
      <c r="J92" s="124"/>
      <c r="K92" s="124"/>
      <c r="L92" s="124"/>
      <c r="M92" s="124"/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  <c r="AA92" s="130"/>
      <c r="AB92" s="130"/>
      <c r="AC92" s="130"/>
    </row>
    <row r="93" ht="15.75" customHeight="1">
      <c r="A93" s="124"/>
      <c r="B93" s="124"/>
      <c r="C93" s="124"/>
      <c r="D93" s="124"/>
      <c r="E93" s="124"/>
      <c r="F93" s="124"/>
      <c r="G93" s="124"/>
      <c r="H93" s="124"/>
      <c r="I93" s="124"/>
      <c r="J93" s="124"/>
      <c r="K93" s="124"/>
      <c r="L93" s="124"/>
      <c r="M93" s="124"/>
      <c r="N93" s="130"/>
      <c r="O93" s="130"/>
      <c r="P93" s="130"/>
      <c r="Q93" s="130"/>
      <c r="R93" s="130"/>
      <c r="S93" s="130"/>
      <c r="T93" s="130"/>
      <c r="U93" s="130"/>
      <c r="V93" s="130"/>
      <c r="W93" s="130"/>
      <c r="X93" s="130"/>
      <c r="Y93" s="130"/>
      <c r="Z93" s="130"/>
      <c r="AA93" s="130"/>
      <c r="AB93" s="130"/>
      <c r="AC93" s="130"/>
    </row>
    <row r="94" ht="15.75" customHeight="1">
      <c r="A94" s="124"/>
      <c r="B94" s="124"/>
      <c r="C94" s="124"/>
      <c r="D94" s="124"/>
      <c r="E94" s="124"/>
      <c r="F94" s="124"/>
      <c r="G94" s="124"/>
      <c r="H94" s="124"/>
      <c r="I94" s="124"/>
      <c r="J94" s="124"/>
      <c r="K94" s="124"/>
      <c r="L94" s="124"/>
      <c r="M94" s="124"/>
      <c r="N94" s="130"/>
      <c r="O94" s="130"/>
      <c r="P94" s="130"/>
      <c r="Q94" s="130"/>
      <c r="R94" s="130"/>
      <c r="S94" s="130"/>
      <c r="T94" s="130"/>
      <c r="U94" s="130"/>
      <c r="V94" s="130"/>
      <c r="W94" s="130"/>
      <c r="X94" s="130"/>
      <c r="Y94" s="130"/>
      <c r="Z94" s="130"/>
      <c r="AA94" s="130"/>
      <c r="AB94" s="130"/>
      <c r="AC94" s="130"/>
    </row>
    <row r="95" ht="15.75" customHeight="1">
      <c r="A95" s="124"/>
      <c r="B95" s="124"/>
      <c r="C95" s="124"/>
      <c r="D95" s="124"/>
      <c r="E95" s="124"/>
      <c r="F95" s="124"/>
      <c r="G95" s="124"/>
      <c r="H95" s="124"/>
      <c r="I95" s="124"/>
      <c r="J95" s="124"/>
      <c r="K95" s="124"/>
      <c r="L95" s="124"/>
      <c r="M95" s="124"/>
      <c r="N95" s="130"/>
      <c r="O95" s="130"/>
      <c r="P95" s="130"/>
      <c r="Q95" s="130"/>
      <c r="R95" s="130"/>
      <c r="S95" s="130"/>
      <c r="T95" s="130"/>
      <c r="U95" s="130"/>
      <c r="V95" s="130"/>
      <c r="W95" s="130"/>
      <c r="X95" s="130"/>
      <c r="Y95" s="130"/>
      <c r="Z95" s="130"/>
      <c r="AA95" s="130"/>
      <c r="AB95" s="130"/>
      <c r="AC95" s="130"/>
    </row>
    <row r="96" ht="15.75" customHeight="1">
      <c r="A96" s="124"/>
      <c r="B96" s="124"/>
      <c r="C96" s="124"/>
      <c r="D96" s="124"/>
      <c r="E96" s="124"/>
      <c r="F96" s="124"/>
      <c r="G96" s="124"/>
      <c r="H96" s="124"/>
      <c r="I96" s="124"/>
      <c r="J96" s="124"/>
      <c r="K96" s="124"/>
      <c r="L96" s="124"/>
      <c r="M96" s="124"/>
      <c r="N96" s="130"/>
      <c r="O96" s="130"/>
      <c r="P96" s="130"/>
      <c r="Q96" s="130"/>
      <c r="R96" s="130"/>
      <c r="S96" s="130"/>
      <c r="T96" s="130"/>
      <c r="U96" s="130"/>
      <c r="V96" s="130"/>
      <c r="W96" s="130"/>
      <c r="X96" s="130"/>
      <c r="Y96" s="130"/>
      <c r="Z96" s="130"/>
      <c r="AA96" s="130"/>
      <c r="AB96" s="130"/>
      <c r="AC96" s="130"/>
    </row>
    <row r="97" ht="15.75" customHeight="1">
      <c r="A97" s="124"/>
      <c r="B97" s="124"/>
      <c r="C97" s="124"/>
      <c r="D97" s="124"/>
      <c r="E97" s="124"/>
      <c r="F97" s="124"/>
      <c r="G97" s="124"/>
      <c r="H97" s="124"/>
      <c r="I97" s="124"/>
      <c r="J97" s="124"/>
      <c r="K97" s="124"/>
      <c r="L97" s="124"/>
      <c r="M97" s="124"/>
      <c r="N97" s="130"/>
      <c r="O97" s="130"/>
      <c r="P97" s="130"/>
      <c r="Q97" s="130"/>
      <c r="R97" s="130"/>
      <c r="S97" s="130"/>
      <c r="T97" s="130"/>
      <c r="U97" s="130"/>
      <c r="V97" s="130"/>
      <c r="W97" s="130"/>
      <c r="X97" s="130"/>
      <c r="Y97" s="130"/>
      <c r="Z97" s="130"/>
      <c r="AA97" s="130"/>
      <c r="AB97" s="130"/>
      <c r="AC97" s="130"/>
    </row>
    <row r="98" ht="15.75" customHeight="1">
      <c r="A98" s="124"/>
      <c r="B98" s="124"/>
      <c r="C98" s="124"/>
      <c r="D98" s="124"/>
      <c r="E98" s="124"/>
      <c r="F98" s="124"/>
      <c r="G98" s="124"/>
      <c r="H98" s="124"/>
      <c r="I98" s="124"/>
      <c r="J98" s="124"/>
      <c r="K98" s="124"/>
      <c r="L98" s="124"/>
      <c r="M98" s="124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  <c r="AA98" s="130"/>
      <c r="AB98" s="130"/>
      <c r="AC98" s="130"/>
    </row>
    <row r="99" ht="15.75" customHeight="1">
      <c r="A99" s="124"/>
      <c r="B99" s="124"/>
      <c r="C99" s="124"/>
      <c r="D99" s="124"/>
      <c r="E99" s="124"/>
      <c r="F99" s="124"/>
      <c r="G99" s="124"/>
      <c r="H99" s="124"/>
      <c r="I99" s="124"/>
      <c r="J99" s="124"/>
      <c r="K99" s="124"/>
      <c r="L99" s="124"/>
      <c r="M99" s="124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  <c r="AA99" s="130"/>
      <c r="AB99" s="130"/>
      <c r="AC99" s="130"/>
    </row>
    <row r="100" ht="15.75" customHeight="1">
      <c r="A100" s="124"/>
      <c r="B100" s="124"/>
      <c r="C100" s="124"/>
      <c r="D100" s="124"/>
      <c r="E100" s="124"/>
      <c r="F100" s="124"/>
      <c r="G100" s="124"/>
      <c r="H100" s="124"/>
      <c r="I100" s="124"/>
      <c r="J100" s="124"/>
      <c r="K100" s="124"/>
      <c r="L100" s="124"/>
      <c r="M100" s="124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</row>
    <row r="101" ht="15.75" customHeight="1">
      <c r="A101" s="124"/>
      <c r="B101" s="124"/>
      <c r="C101" s="124"/>
      <c r="D101" s="124"/>
      <c r="E101" s="124"/>
      <c r="F101" s="124"/>
      <c r="G101" s="124"/>
      <c r="H101" s="124"/>
      <c r="I101" s="124"/>
      <c r="J101" s="124"/>
      <c r="K101" s="124"/>
      <c r="L101" s="124"/>
      <c r="M101" s="124"/>
      <c r="N101" s="130"/>
      <c r="O101" s="130"/>
      <c r="P101" s="130"/>
      <c r="Q101" s="130"/>
      <c r="R101" s="130"/>
      <c r="S101" s="130"/>
      <c r="T101" s="130"/>
      <c r="U101" s="130"/>
      <c r="V101" s="130"/>
      <c r="W101" s="130"/>
      <c r="X101" s="130"/>
      <c r="Y101" s="130"/>
      <c r="Z101" s="130"/>
      <c r="AA101" s="130"/>
      <c r="AB101" s="130"/>
      <c r="AC101" s="130"/>
    </row>
    <row r="102" ht="15.75" customHeight="1">
      <c r="A102" s="124"/>
      <c r="B102" s="124"/>
      <c r="C102" s="124"/>
      <c r="D102" s="124"/>
      <c r="E102" s="124"/>
      <c r="F102" s="124"/>
      <c r="G102" s="124"/>
      <c r="H102" s="124"/>
      <c r="I102" s="124"/>
      <c r="J102" s="124"/>
      <c r="K102" s="124"/>
      <c r="L102" s="124"/>
      <c r="M102" s="124"/>
      <c r="N102" s="130"/>
      <c r="O102" s="130"/>
      <c r="P102" s="130"/>
      <c r="Q102" s="130"/>
      <c r="R102" s="130"/>
      <c r="S102" s="130"/>
      <c r="T102" s="130"/>
      <c r="U102" s="130"/>
      <c r="V102" s="130"/>
      <c r="W102" s="130"/>
      <c r="X102" s="130"/>
      <c r="Y102" s="130"/>
      <c r="Z102" s="130"/>
      <c r="AA102" s="130"/>
      <c r="AB102" s="130"/>
      <c r="AC102" s="130"/>
    </row>
    <row r="103" ht="15.75" customHeight="1">
      <c r="A103" s="124"/>
      <c r="B103" s="124"/>
      <c r="C103" s="124"/>
      <c r="D103" s="124"/>
      <c r="E103" s="124"/>
      <c r="F103" s="124"/>
      <c r="G103" s="124"/>
      <c r="H103" s="124"/>
      <c r="I103" s="124"/>
      <c r="J103" s="124"/>
      <c r="K103" s="124"/>
      <c r="L103" s="124"/>
      <c r="M103" s="124"/>
      <c r="N103" s="130"/>
      <c r="O103" s="130"/>
      <c r="P103" s="130"/>
      <c r="Q103" s="130"/>
      <c r="R103" s="130"/>
      <c r="S103" s="130"/>
      <c r="T103" s="130"/>
      <c r="U103" s="130"/>
      <c r="V103" s="130"/>
      <c r="W103" s="130"/>
      <c r="X103" s="130"/>
      <c r="Y103" s="130"/>
      <c r="Z103" s="130"/>
      <c r="AA103" s="130"/>
      <c r="AB103" s="130"/>
      <c r="AC103" s="130"/>
    </row>
    <row r="104" ht="15.75" customHeight="1">
      <c r="A104" s="124"/>
      <c r="B104" s="124"/>
      <c r="C104" s="124"/>
      <c r="D104" s="124"/>
      <c r="E104" s="124"/>
      <c r="F104" s="124"/>
      <c r="G104" s="124"/>
      <c r="H104" s="124"/>
      <c r="I104" s="124"/>
      <c r="J104" s="124"/>
      <c r="K104" s="124"/>
      <c r="L104" s="124"/>
      <c r="M104" s="124"/>
      <c r="N104" s="130"/>
      <c r="O104" s="130"/>
      <c r="P104" s="130"/>
      <c r="Q104" s="130"/>
      <c r="R104" s="130"/>
      <c r="S104" s="130"/>
      <c r="T104" s="130"/>
      <c r="U104" s="130"/>
      <c r="V104" s="130"/>
      <c r="W104" s="130"/>
      <c r="X104" s="130"/>
      <c r="Y104" s="130"/>
      <c r="Z104" s="130"/>
      <c r="AA104" s="130"/>
      <c r="AB104" s="130"/>
      <c r="AC104" s="130"/>
    </row>
    <row r="105" ht="15.75" customHeight="1">
      <c r="A105" s="124"/>
      <c r="B105" s="124"/>
      <c r="C105" s="124"/>
      <c r="D105" s="124"/>
      <c r="E105" s="124"/>
      <c r="F105" s="124"/>
      <c r="G105" s="124"/>
      <c r="H105" s="124"/>
      <c r="I105" s="124"/>
      <c r="J105" s="124"/>
      <c r="K105" s="124"/>
      <c r="L105" s="124"/>
      <c r="M105" s="124"/>
      <c r="N105" s="130"/>
      <c r="O105" s="130"/>
      <c r="P105" s="130"/>
      <c r="Q105" s="130"/>
      <c r="R105" s="130"/>
      <c r="S105" s="130"/>
      <c r="T105" s="130"/>
      <c r="U105" s="130"/>
      <c r="V105" s="130"/>
      <c r="W105" s="130"/>
      <c r="X105" s="130"/>
      <c r="Y105" s="130"/>
      <c r="Z105" s="130"/>
      <c r="AA105" s="130"/>
      <c r="AB105" s="130"/>
      <c r="AC105" s="130"/>
    </row>
    <row r="106" ht="15.75" customHeight="1">
      <c r="A106" s="124"/>
      <c r="B106" s="124"/>
      <c r="C106" s="124"/>
      <c r="D106" s="124"/>
      <c r="E106" s="124"/>
      <c r="F106" s="124"/>
      <c r="G106" s="124"/>
      <c r="H106" s="124"/>
      <c r="I106" s="124"/>
      <c r="J106" s="124"/>
      <c r="K106" s="124"/>
      <c r="L106" s="124"/>
      <c r="M106" s="124"/>
      <c r="N106" s="130"/>
      <c r="O106" s="130"/>
      <c r="P106" s="130"/>
      <c r="Q106" s="130"/>
      <c r="R106" s="130"/>
      <c r="S106" s="130"/>
      <c r="T106" s="130"/>
      <c r="U106" s="130"/>
      <c r="V106" s="130"/>
      <c r="W106" s="130"/>
      <c r="X106" s="130"/>
      <c r="Y106" s="130"/>
      <c r="Z106" s="130"/>
      <c r="AA106" s="130"/>
      <c r="AB106" s="130"/>
      <c r="AC106" s="130"/>
    </row>
    <row r="107" ht="15.75" customHeight="1">
      <c r="A107" s="124"/>
      <c r="B107" s="124"/>
      <c r="C107" s="124"/>
      <c r="D107" s="124"/>
      <c r="E107" s="124"/>
      <c r="F107" s="124"/>
      <c r="G107" s="124"/>
      <c r="H107" s="124"/>
      <c r="I107" s="124"/>
      <c r="J107" s="124"/>
      <c r="K107" s="124"/>
      <c r="L107" s="124"/>
      <c r="M107" s="124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  <c r="AA107" s="130"/>
      <c r="AB107" s="130"/>
      <c r="AC107" s="130"/>
    </row>
    <row r="108" ht="15.75" customHeight="1">
      <c r="A108" s="124"/>
      <c r="B108" s="124"/>
      <c r="C108" s="124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30"/>
      <c r="O108" s="130"/>
      <c r="P108" s="130"/>
      <c r="Q108" s="130"/>
      <c r="R108" s="130"/>
      <c r="S108" s="130"/>
      <c r="T108" s="130"/>
      <c r="U108" s="130"/>
      <c r="V108" s="130"/>
      <c r="W108" s="130"/>
      <c r="X108" s="130"/>
      <c r="Y108" s="130"/>
      <c r="Z108" s="130"/>
      <c r="AA108" s="130"/>
      <c r="AB108" s="130"/>
      <c r="AC108" s="130"/>
    </row>
    <row r="109" ht="15.75" customHeight="1">
      <c r="A109" s="124"/>
      <c r="B109" s="124"/>
      <c r="C109" s="124"/>
      <c r="D109" s="124"/>
      <c r="E109" s="124"/>
      <c r="F109" s="124"/>
      <c r="G109" s="124"/>
      <c r="H109" s="124"/>
      <c r="I109" s="124"/>
      <c r="J109" s="124"/>
      <c r="K109" s="124"/>
      <c r="L109" s="124"/>
      <c r="M109" s="124"/>
      <c r="N109" s="130"/>
      <c r="O109" s="130"/>
      <c r="P109" s="130"/>
      <c r="Q109" s="130"/>
      <c r="R109" s="130"/>
      <c r="S109" s="130"/>
      <c r="T109" s="130"/>
      <c r="U109" s="130"/>
      <c r="V109" s="130"/>
      <c r="W109" s="130"/>
      <c r="X109" s="130"/>
      <c r="Y109" s="130"/>
      <c r="Z109" s="130"/>
      <c r="AA109" s="130"/>
      <c r="AB109" s="130"/>
      <c r="AC109" s="130"/>
    </row>
    <row r="110" ht="15.75" customHeight="1">
      <c r="A110" s="124"/>
      <c r="B110" s="124"/>
      <c r="C110" s="124"/>
      <c r="D110" s="124"/>
      <c r="E110" s="124"/>
      <c r="F110" s="124"/>
      <c r="G110" s="124"/>
      <c r="H110" s="124"/>
      <c r="I110" s="124"/>
      <c r="J110" s="124"/>
      <c r="K110" s="124"/>
      <c r="L110" s="124"/>
      <c r="M110" s="124"/>
      <c r="N110" s="130"/>
      <c r="O110" s="130"/>
      <c r="P110" s="130"/>
      <c r="Q110" s="130"/>
      <c r="R110" s="130"/>
      <c r="S110" s="130"/>
      <c r="T110" s="130"/>
      <c r="U110" s="130"/>
      <c r="V110" s="130"/>
      <c r="W110" s="130"/>
      <c r="X110" s="130"/>
      <c r="Y110" s="130"/>
      <c r="Z110" s="130"/>
      <c r="AA110" s="130"/>
      <c r="AB110" s="130"/>
      <c r="AC110" s="130"/>
    </row>
    <row r="111" ht="15.75" customHeight="1">
      <c r="A111" s="124"/>
      <c r="B111" s="124"/>
      <c r="C111" s="124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30"/>
      <c r="O111" s="130"/>
      <c r="P111" s="130"/>
      <c r="Q111" s="130"/>
      <c r="R111" s="130"/>
      <c r="S111" s="130"/>
      <c r="T111" s="130"/>
      <c r="U111" s="130"/>
      <c r="V111" s="130"/>
      <c r="W111" s="130"/>
      <c r="X111" s="130"/>
      <c r="Y111" s="130"/>
      <c r="Z111" s="130"/>
      <c r="AA111" s="130"/>
      <c r="AB111" s="130"/>
      <c r="AC111" s="130"/>
    </row>
    <row r="112" ht="15.75" customHeight="1">
      <c r="A112" s="124"/>
      <c r="B112" s="124"/>
      <c r="C112" s="124"/>
      <c r="D112" s="124"/>
      <c r="E112" s="124"/>
      <c r="F112" s="124"/>
      <c r="G112" s="124"/>
      <c r="H112" s="124"/>
      <c r="I112" s="124"/>
      <c r="J112" s="124"/>
      <c r="K112" s="124"/>
      <c r="L112" s="124"/>
      <c r="M112" s="124"/>
      <c r="N112" s="130"/>
      <c r="O112" s="130"/>
      <c r="P112" s="130"/>
      <c r="Q112" s="130"/>
      <c r="R112" s="130"/>
      <c r="S112" s="130"/>
      <c r="T112" s="130"/>
      <c r="U112" s="130"/>
      <c r="V112" s="130"/>
      <c r="W112" s="130"/>
      <c r="X112" s="130"/>
      <c r="Y112" s="130"/>
      <c r="Z112" s="130"/>
      <c r="AA112" s="130"/>
      <c r="AB112" s="130"/>
      <c r="AC112" s="130"/>
    </row>
    <row r="113" ht="15.75" customHeight="1">
      <c r="A113" s="124"/>
      <c r="B113" s="124"/>
      <c r="C113" s="124"/>
      <c r="D113" s="124"/>
      <c r="E113" s="124"/>
      <c r="F113" s="124"/>
      <c r="G113" s="124"/>
      <c r="H113" s="124"/>
      <c r="I113" s="124"/>
      <c r="J113" s="124"/>
      <c r="K113" s="124"/>
      <c r="L113" s="124"/>
      <c r="M113" s="124"/>
      <c r="N113" s="130"/>
      <c r="O113" s="130"/>
      <c r="P113" s="130"/>
      <c r="Q113" s="130"/>
      <c r="R113" s="130"/>
      <c r="S113" s="130"/>
      <c r="T113" s="130"/>
      <c r="U113" s="130"/>
      <c r="V113" s="130"/>
      <c r="W113" s="130"/>
      <c r="X113" s="130"/>
      <c r="Y113" s="130"/>
      <c r="Z113" s="130"/>
      <c r="AA113" s="130"/>
      <c r="AB113" s="130"/>
      <c r="AC113" s="130"/>
    </row>
    <row r="114" ht="15.75" customHeight="1">
      <c r="A114" s="124"/>
      <c r="B114" s="124"/>
      <c r="C114" s="124"/>
      <c r="D114" s="124"/>
      <c r="E114" s="124"/>
      <c r="F114" s="124"/>
      <c r="G114" s="124"/>
      <c r="H114" s="124"/>
      <c r="I114" s="124"/>
      <c r="J114" s="124"/>
      <c r="K114" s="124"/>
      <c r="L114" s="124"/>
      <c r="M114" s="124"/>
      <c r="N114" s="130"/>
      <c r="O114" s="130"/>
      <c r="P114" s="130"/>
      <c r="Q114" s="130"/>
      <c r="R114" s="130"/>
      <c r="S114" s="130"/>
      <c r="T114" s="130"/>
      <c r="U114" s="130"/>
      <c r="V114" s="130"/>
      <c r="W114" s="130"/>
      <c r="X114" s="130"/>
      <c r="Y114" s="130"/>
      <c r="Z114" s="130"/>
      <c r="AA114" s="130"/>
      <c r="AB114" s="130"/>
      <c r="AC114" s="130"/>
    </row>
    <row r="115" ht="15.75" customHeight="1">
      <c r="A115" s="124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30"/>
      <c r="O115" s="130"/>
      <c r="P115" s="130"/>
      <c r="Q115" s="130"/>
      <c r="R115" s="130"/>
      <c r="S115" s="130"/>
      <c r="T115" s="130"/>
      <c r="U115" s="130"/>
      <c r="V115" s="130"/>
      <c r="W115" s="130"/>
      <c r="X115" s="130"/>
      <c r="Y115" s="130"/>
      <c r="Z115" s="130"/>
      <c r="AA115" s="130"/>
      <c r="AB115" s="130"/>
      <c r="AC115" s="130"/>
    </row>
    <row r="116" ht="15.75" customHeight="1">
      <c r="A116" s="124"/>
      <c r="B116" s="124"/>
      <c r="C116" s="124"/>
      <c r="D116" s="124"/>
      <c r="E116" s="124"/>
      <c r="F116" s="124"/>
      <c r="G116" s="124"/>
      <c r="H116" s="124"/>
      <c r="I116" s="124"/>
      <c r="J116" s="124"/>
      <c r="K116" s="124"/>
      <c r="L116" s="124"/>
      <c r="M116" s="124"/>
      <c r="N116" s="130"/>
      <c r="O116" s="130"/>
      <c r="P116" s="130"/>
      <c r="Q116" s="130"/>
      <c r="R116" s="130"/>
      <c r="S116" s="130"/>
      <c r="T116" s="130"/>
      <c r="U116" s="130"/>
      <c r="V116" s="130"/>
      <c r="W116" s="130"/>
      <c r="X116" s="130"/>
      <c r="Y116" s="130"/>
      <c r="Z116" s="130"/>
      <c r="AA116" s="130"/>
      <c r="AB116" s="130"/>
      <c r="AC116" s="130"/>
    </row>
    <row r="117" ht="15.75" customHeight="1">
      <c r="A117" s="124"/>
      <c r="B117" s="124"/>
      <c r="C117" s="124"/>
      <c r="D117" s="124"/>
      <c r="E117" s="124"/>
      <c r="F117" s="124"/>
      <c r="G117" s="124"/>
      <c r="H117" s="124"/>
      <c r="I117" s="124"/>
      <c r="J117" s="124"/>
      <c r="K117" s="124"/>
      <c r="L117" s="124"/>
      <c r="M117" s="124"/>
      <c r="N117" s="130"/>
      <c r="O117" s="130"/>
      <c r="P117" s="130"/>
      <c r="Q117" s="130"/>
      <c r="R117" s="130"/>
      <c r="S117" s="130"/>
      <c r="T117" s="130"/>
      <c r="U117" s="130"/>
      <c r="V117" s="130"/>
      <c r="W117" s="130"/>
      <c r="X117" s="130"/>
      <c r="Y117" s="130"/>
      <c r="Z117" s="130"/>
      <c r="AA117" s="130"/>
      <c r="AB117" s="130"/>
      <c r="AC117" s="130"/>
    </row>
    <row r="118" ht="15.75" customHeight="1">
      <c r="A118" s="124"/>
      <c r="B118" s="124"/>
      <c r="C118" s="124"/>
      <c r="D118" s="124"/>
      <c r="E118" s="124"/>
      <c r="F118" s="124"/>
      <c r="G118" s="124"/>
      <c r="H118" s="124"/>
      <c r="I118" s="124"/>
      <c r="J118" s="124"/>
      <c r="K118" s="124"/>
      <c r="L118" s="124"/>
      <c r="M118" s="124"/>
      <c r="N118" s="130"/>
      <c r="O118" s="130"/>
      <c r="P118" s="130"/>
      <c r="Q118" s="130"/>
      <c r="R118" s="130"/>
      <c r="S118" s="130"/>
      <c r="T118" s="130"/>
      <c r="U118" s="130"/>
      <c r="V118" s="130"/>
      <c r="W118" s="130"/>
      <c r="X118" s="130"/>
      <c r="Y118" s="130"/>
      <c r="Z118" s="130"/>
      <c r="AA118" s="130"/>
      <c r="AB118" s="130"/>
      <c r="AC118" s="130"/>
    </row>
    <row r="119" ht="15.75" customHeight="1">
      <c r="A119" s="124"/>
      <c r="B119" s="124"/>
      <c r="C119" s="124"/>
      <c r="D119" s="124"/>
      <c r="E119" s="124"/>
      <c r="F119" s="124"/>
      <c r="G119" s="124"/>
      <c r="H119" s="124"/>
      <c r="I119" s="124"/>
      <c r="J119" s="124"/>
      <c r="K119" s="124"/>
      <c r="L119" s="124"/>
      <c r="M119" s="124"/>
      <c r="N119" s="130"/>
      <c r="O119" s="130"/>
      <c r="P119" s="130"/>
      <c r="Q119" s="130"/>
      <c r="R119" s="130"/>
      <c r="S119" s="130"/>
      <c r="T119" s="130"/>
      <c r="U119" s="130"/>
      <c r="V119" s="130"/>
      <c r="W119" s="130"/>
      <c r="X119" s="130"/>
      <c r="Y119" s="130"/>
      <c r="Z119" s="130"/>
      <c r="AA119" s="130"/>
      <c r="AB119" s="130"/>
      <c r="AC119" s="130"/>
    </row>
    <row r="120" ht="15.75" customHeight="1">
      <c r="A120" s="124"/>
      <c r="B120" s="124"/>
      <c r="C120" s="124"/>
      <c r="D120" s="124"/>
      <c r="E120" s="124"/>
      <c r="F120" s="124"/>
      <c r="G120" s="124"/>
      <c r="H120" s="124"/>
      <c r="I120" s="124"/>
      <c r="J120" s="124"/>
      <c r="K120" s="124"/>
      <c r="L120" s="124"/>
      <c r="M120" s="124"/>
      <c r="N120" s="130"/>
      <c r="O120" s="130"/>
      <c r="P120" s="130"/>
      <c r="Q120" s="130"/>
      <c r="R120" s="130"/>
      <c r="S120" s="130"/>
      <c r="T120" s="130"/>
      <c r="U120" s="130"/>
      <c r="V120" s="130"/>
      <c r="W120" s="130"/>
      <c r="X120" s="130"/>
      <c r="Y120" s="130"/>
      <c r="Z120" s="130"/>
      <c r="AA120" s="130"/>
      <c r="AB120" s="130"/>
      <c r="AC120" s="130"/>
    </row>
    <row r="121" ht="15.75" customHeight="1">
      <c r="A121" s="124"/>
      <c r="B121" s="124"/>
      <c r="C121" s="124"/>
      <c r="D121" s="124"/>
      <c r="E121" s="124"/>
      <c r="F121" s="124"/>
      <c r="G121" s="124"/>
      <c r="H121" s="124"/>
      <c r="I121" s="124"/>
      <c r="J121" s="124"/>
      <c r="K121" s="124"/>
      <c r="L121" s="124"/>
      <c r="M121" s="124"/>
      <c r="N121" s="130"/>
      <c r="O121" s="130"/>
      <c r="P121" s="130"/>
      <c r="Q121" s="130"/>
      <c r="R121" s="130"/>
      <c r="S121" s="130"/>
      <c r="T121" s="130"/>
      <c r="U121" s="130"/>
      <c r="V121" s="130"/>
      <c r="W121" s="130"/>
      <c r="X121" s="130"/>
      <c r="Y121" s="130"/>
      <c r="Z121" s="130"/>
      <c r="AA121" s="130"/>
      <c r="AB121" s="130"/>
      <c r="AC121" s="130"/>
    </row>
    <row r="122" ht="15.75" customHeight="1">
      <c r="A122" s="124"/>
      <c r="B122" s="124"/>
      <c r="C122" s="124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30"/>
      <c r="O122" s="130"/>
      <c r="P122" s="130"/>
      <c r="Q122" s="130"/>
      <c r="R122" s="130"/>
      <c r="S122" s="130"/>
      <c r="T122" s="130"/>
      <c r="U122" s="130"/>
      <c r="V122" s="130"/>
      <c r="W122" s="130"/>
      <c r="X122" s="130"/>
      <c r="Y122" s="130"/>
      <c r="Z122" s="130"/>
      <c r="AA122" s="130"/>
      <c r="AB122" s="130"/>
      <c r="AC122" s="130"/>
    </row>
    <row r="123" ht="15.75" customHeight="1">
      <c r="A123" s="124"/>
      <c r="B123" s="124"/>
      <c r="C123" s="124"/>
      <c r="D123" s="124"/>
      <c r="E123" s="124"/>
      <c r="F123" s="124"/>
      <c r="G123" s="124"/>
      <c r="H123" s="124"/>
      <c r="I123" s="124"/>
      <c r="J123" s="124"/>
      <c r="K123" s="124"/>
      <c r="L123" s="124"/>
      <c r="M123" s="124"/>
      <c r="N123" s="130"/>
      <c r="O123" s="130"/>
      <c r="P123" s="130"/>
      <c r="Q123" s="130"/>
      <c r="R123" s="130"/>
      <c r="S123" s="130"/>
      <c r="T123" s="130"/>
      <c r="U123" s="130"/>
      <c r="V123" s="130"/>
      <c r="W123" s="130"/>
      <c r="X123" s="130"/>
      <c r="Y123" s="130"/>
      <c r="Z123" s="130"/>
      <c r="AA123" s="130"/>
      <c r="AB123" s="130"/>
      <c r="AC123" s="130"/>
    </row>
    <row r="124" ht="15.75" customHeight="1">
      <c r="A124" s="124"/>
      <c r="B124" s="124"/>
      <c r="C124" s="124"/>
      <c r="D124" s="124"/>
      <c r="E124" s="124"/>
      <c r="F124" s="124"/>
      <c r="G124" s="124"/>
      <c r="H124" s="124"/>
      <c r="I124" s="124"/>
      <c r="J124" s="124"/>
      <c r="K124" s="124"/>
      <c r="L124" s="124"/>
      <c r="M124" s="124"/>
      <c r="N124" s="130"/>
      <c r="O124" s="130"/>
      <c r="P124" s="130"/>
      <c r="Q124" s="130"/>
      <c r="R124" s="130"/>
      <c r="S124" s="130"/>
      <c r="T124" s="130"/>
      <c r="U124" s="130"/>
      <c r="V124" s="130"/>
      <c r="W124" s="130"/>
      <c r="X124" s="130"/>
      <c r="Y124" s="130"/>
      <c r="Z124" s="130"/>
      <c r="AA124" s="130"/>
      <c r="AB124" s="130"/>
      <c r="AC124" s="130"/>
    </row>
    <row r="125" ht="15.75" customHeight="1">
      <c r="A125" s="124"/>
      <c r="B125" s="124"/>
      <c r="C125" s="124"/>
      <c r="D125" s="124"/>
      <c r="E125" s="124"/>
      <c r="F125" s="124"/>
      <c r="G125" s="124"/>
      <c r="H125" s="124"/>
      <c r="I125" s="124"/>
      <c r="J125" s="124"/>
      <c r="K125" s="124"/>
      <c r="L125" s="124"/>
      <c r="M125" s="124"/>
      <c r="N125" s="130"/>
      <c r="O125" s="130"/>
      <c r="P125" s="130"/>
      <c r="Q125" s="130"/>
      <c r="R125" s="130"/>
      <c r="S125" s="130"/>
      <c r="T125" s="130"/>
      <c r="U125" s="130"/>
      <c r="V125" s="130"/>
      <c r="W125" s="130"/>
      <c r="X125" s="130"/>
      <c r="Y125" s="130"/>
      <c r="Z125" s="130"/>
      <c r="AA125" s="130"/>
      <c r="AB125" s="130"/>
      <c r="AC125" s="130"/>
    </row>
    <row r="126" ht="15.75" customHeight="1">
      <c r="A126" s="124"/>
      <c r="B126" s="124"/>
      <c r="C126" s="124"/>
      <c r="D126" s="124"/>
      <c r="E126" s="124"/>
      <c r="F126" s="124"/>
      <c r="G126" s="124"/>
      <c r="H126" s="124"/>
      <c r="I126" s="124"/>
      <c r="J126" s="124"/>
      <c r="K126" s="124"/>
      <c r="L126" s="124"/>
      <c r="M126" s="124"/>
      <c r="N126" s="130"/>
      <c r="O126" s="130"/>
      <c r="P126" s="130"/>
      <c r="Q126" s="130"/>
      <c r="R126" s="130"/>
      <c r="S126" s="130"/>
      <c r="T126" s="130"/>
      <c r="U126" s="130"/>
      <c r="V126" s="130"/>
      <c r="W126" s="130"/>
      <c r="X126" s="130"/>
      <c r="Y126" s="130"/>
      <c r="Z126" s="130"/>
      <c r="AA126" s="130"/>
      <c r="AB126" s="130"/>
      <c r="AC126" s="130"/>
    </row>
    <row r="127" ht="15.75" customHeight="1">
      <c r="A127" s="124"/>
      <c r="B127" s="124"/>
      <c r="C127" s="124"/>
      <c r="D127" s="124"/>
      <c r="E127" s="124"/>
      <c r="F127" s="124"/>
      <c r="G127" s="124"/>
      <c r="H127" s="124"/>
      <c r="I127" s="124"/>
      <c r="J127" s="124"/>
      <c r="K127" s="124"/>
      <c r="L127" s="124"/>
      <c r="M127" s="124"/>
      <c r="N127" s="130"/>
      <c r="O127" s="130"/>
      <c r="P127" s="130"/>
      <c r="Q127" s="130"/>
      <c r="R127" s="130"/>
      <c r="S127" s="130"/>
      <c r="T127" s="130"/>
      <c r="U127" s="130"/>
      <c r="V127" s="130"/>
      <c r="W127" s="130"/>
      <c r="X127" s="130"/>
      <c r="Y127" s="130"/>
      <c r="Z127" s="130"/>
      <c r="AA127" s="130"/>
      <c r="AB127" s="130"/>
      <c r="AC127" s="130"/>
    </row>
    <row r="128" ht="15.75" customHeight="1">
      <c r="A128" s="124"/>
      <c r="B128" s="124"/>
      <c r="C128" s="124"/>
      <c r="D128" s="124"/>
      <c r="E128" s="124"/>
      <c r="F128" s="124"/>
      <c r="G128" s="124"/>
      <c r="H128" s="124"/>
      <c r="I128" s="124"/>
      <c r="J128" s="124"/>
      <c r="K128" s="124"/>
      <c r="L128" s="124"/>
      <c r="M128" s="124"/>
      <c r="N128" s="130"/>
      <c r="O128" s="130"/>
      <c r="P128" s="130"/>
      <c r="Q128" s="130"/>
      <c r="R128" s="130"/>
      <c r="S128" s="130"/>
      <c r="T128" s="130"/>
      <c r="U128" s="130"/>
      <c r="V128" s="130"/>
      <c r="W128" s="130"/>
      <c r="X128" s="130"/>
      <c r="Y128" s="130"/>
      <c r="Z128" s="130"/>
      <c r="AA128" s="130"/>
      <c r="AB128" s="130"/>
      <c r="AC128" s="130"/>
    </row>
    <row r="129" ht="15.75" customHeight="1">
      <c r="A129" s="124"/>
      <c r="B129" s="124"/>
      <c r="C129" s="124"/>
      <c r="D129" s="124"/>
      <c r="E129" s="124"/>
      <c r="F129" s="124"/>
      <c r="G129" s="124"/>
      <c r="H129" s="124"/>
      <c r="I129" s="124"/>
      <c r="J129" s="124"/>
      <c r="K129" s="124"/>
      <c r="L129" s="124"/>
      <c r="M129" s="124"/>
      <c r="N129" s="130"/>
      <c r="O129" s="130"/>
      <c r="P129" s="130"/>
      <c r="Q129" s="130"/>
      <c r="R129" s="130"/>
      <c r="S129" s="130"/>
      <c r="T129" s="130"/>
      <c r="U129" s="130"/>
      <c r="V129" s="130"/>
      <c r="W129" s="130"/>
      <c r="X129" s="130"/>
      <c r="Y129" s="130"/>
      <c r="Z129" s="130"/>
      <c r="AA129" s="130"/>
      <c r="AB129" s="130"/>
      <c r="AC129" s="130"/>
    </row>
    <row r="130" ht="15.75" customHeight="1">
      <c r="A130" s="124"/>
      <c r="B130" s="124"/>
      <c r="C130" s="124"/>
      <c r="D130" s="124"/>
      <c r="E130" s="124"/>
      <c r="F130" s="124"/>
      <c r="G130" s="124"/>
      <c r="H130" s="124"/>
      <c r="I130" s="124"/>
      <c r="J130" s="124"/>
      <c r="K130" s="124"/>
      <c r="L130" s="124"/>
      <c r="M130" s="124"/>
      <c r="N130" s="130"/>
      <c r="O130" s="130"/>
      <c r="P130" s="130"/>
      <c r="Q130" s="130"/>
      <c r="R130" s="130"/>
      <c r="S130" s="130"/>
      <c r="T130" s="130"/>
      <c r="U130" s="130"/>
      <c r="V130" s="130"/>
      <c r="W130" s="130"/>
      <c r="X130" s="130"/>
      <c r="Y130" s="130"/>
      <c r="Z130" s="130"/>
      <c r="AA130" s="130"/>
      <c r="AB130" s="130"/>
      <c r="AC130" s="130"/>
    </row>
    <row r="131" ht="15.75" customHeight="1">
      <c r="A131" s="124"/>
      <c r="B131" s="124"/>
      <c r="C131" s="124"/>
      <c r="D131" s="124"/>
      <c r="E131" s="124"/>
      <c r="F131" s="124"/>
      <c r="G131" s="124"/>
      <c r="H131" s="124"/>
      <c r="I131" s="124"/>
      <c r="J131" s="124"/>
      <c r="K131" s="124"/>
      <c r="L131" s="124"/>
      <c r="M131" s="124"/>
      <c r="N131" s="130"/>
      <c r="O131" s="130"/>
      <c r="P131" s="130"/>
      <c r="Q131" s="130"/>
      <c r="R131" s="130"/>
      <c r="S131" s="130"/>
      <c r="T131" s="130"/>
      <c r="U131" s="130"/>
      <c r="V131" s="130"/>
      <c r="W131" s="130"/>
      <c r="X131" s="130"/>
      <c r="Y131" s="130"/>
      <c r="Z131" s="130"/>
      <c r="AA131" s="130"/>
      <c r="AB131" s="130"/>
      <c r="AC131" s="130"/>
    </row>
    <row r="132" ht="15.75" customHeight="1">
      <c r="A132" s="124"/>
      <c r="B132" s="124"/>
      <c r="C132" s="124"/>
      <c r="D132" s="124"/>
      <c r="E132" s="124"/>
      <c r="F132" s="124"/>
      <c r="G132" s="124"/>
      <c r="H132" s="124"/>
      <c r="I132" s="124"/>
      <c r="J132" s="124"/>
      <c r="K132" s="124"/>
      <c r="L132" s="124"/>
      <c r="M132" s="124"/>
      <c r="N132" s="130"/>
      <c r="O132" s="130"/>
      <c r="P132" s="130"/>
      <c r="Q132" s="130"/>
      <c r="R132" s="130"/>
      <c r="S132" s="130"/>
      <c r="T132" s="130"/>
      <c r="U132" s="130"/>
      <c r="V132" s="130"/>
      <c r="W132" s="130"/>
      <c r="X132" s="130"/>
      <c r="Y132" s="130"/>
      <c r="Z132" s="130"/>
      <c r="AA132" s="130"/>
      <c r="AB132" s="130"/>
      <c r="AC132" s="130"/>
    </row>
    <row r="133" ht="15.75" customHeight="1">
      <c r="A133" s="124"/>
      <c r="B133" s="124"/>
      <c r="C133" s="124"/>
      <c r="D133" s="124"/>
      <c r="E133" s="124"/>
      <c r="F133" s="124"/>
      <c r="G133" s="124"/>
      <c r="H133" s="124"/>
      <c r="I133" s="124"/>
      <c r="J133" s="124"/>
      <c r="K133" s="124"/>
      <c r="L133" s="124"/>
      <c r="M133" s="124"/>
      <c r="N133" s="130"/>
      <c r="O133" s="130"/>
      <c r="P133" s="130"/>
      <c r="Q133" s="130"/>
      <c r="R133" s="130"/>
      <c r="S133" s="130"/>
      <c r="T133" s="130"/>
      <c r="U133" s="130"/>
      <c r="V133" s="130"/>
      <c r="W133" s="130"/>
      <c r="X133" s="130"/>
      <c r="Y133" s="130"/>
      <c r="Z133" s="130"/>
      <c r="AA133" s="130"/>
      <c r="AB133" s="130"/>
      <c r="AC133" s="130"/>
    </row>
    <row r="134" ht="15.75" customHeight="1">
      <c r="A134" s="124"/>
      <c r="B134" s="124"/>
      <c r="C134" s="124"/>
      <c r="D134" s="124"/>
      <c r="E134" s="124"/>
      <c r="F134" s="124"/>
      <c r="G134" s="124"/>
      <c r="H134" s="124"/>
      <c r="I134" s="124"/>
      <c r="J134" s="124"/>
      <c r="K134" s="124"/>
      <c r="L134" s="124"/>
      <c r="M134" s="124"/>
      <c r="N134" s="130"/>
      <c r="O134" s="130"/>
      <c r="P134" s="130"/>
      <c r="Q134" s="130"/>
      <c r="R134" s="130"/>
      <c r="S134" s="130"/>
      <c r="T134" s="130"/>
      <c r="U134" s="130"/>
      <c r="V134" s="130"/>
      <c r="W134" s="130"/>
      <c r="X134" s="130"/>
      <c r="Y134" s="130"/>
      <c r="Z134" s="130"/>
      <c r="AA134" s="130"/>
      <c r="AB134" s="130"/>
      <c r="AC134" s="130"/>
    </row>
    <row r="135" ht="15.75" customHeight="1">
      <c r="A135" s="124"/>
      <c r="B135" s="124"/>
      <c r="C135" s="124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30"/>
      <c r="O135" s="130"/>
      <c r="P135" s="130"/>
      <c r="Q135" s="130"/>
      <c r="R135" s="130"/>
      <c r="S135" s="130"/>
      <c r="T135" s="130"/>
      <c r="U135" s="130"/>
      <c r="V135" s="130"/>
      <c r="W135" s="130"/>
      <c r="X135" s="130"/>
      <c r="Y135" s="130"/>
      <c r="Z135" s="130"/>
      <c r="AA135" s="130"/>
      <c r="AB135" s="130"/>
      <c r="AC135" s="130"/>
    </row>
    <row r="136" ht="15.75" customHeight="1">
      <c r="A136" s="124"/>
      <c r="B136" s="124"/>
      <c r="C136" s="124"/>
      <c r="D136" s="124"/>
      <c r="E136" s="124"/>
      <c r="F136" s="124"/>
      <c r="G136" s="124"/>
      <c r="H136" s="124"/>
      <c r="I136" s="124"/>
      <c r="J136" s="124"/>
      <c r="K136" s="124"/>
      <c r="L136" s="124"/>
      <c r="M136" s="124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</row>
    <row r="137" ht="15.75" customHeight="1">
      <c r="A137" s="124"/>
      <c r="B137" s="124"/>
      <c r="C137" s="124"/>
      <c r="D137" s="124"/>
      <c r="E137" s="124"/>
      <c r="F137" s="124"/>
      <c r="G137" s="124"/>
      <c r="H137" s="124"/>
      <c r="I137" s="124"/>
      <c r="J137" s="124"/>
      <c r="K137" s="124"/>
      <c r="L137" s="124"/>
      <c r="M137" s="124"/>
      <c r="N137" s="130"/>
      <c r="O137" s="130"/>
      <c r="P137" s="130"/>
      <c r="Q137" s="130"/>
      <c r="R137" s="130"/>
      <c r="S137" s="130"/>
      <c r="T137" s="130"/>
      <c r="U137" s="130"/>
      <c r="V137" s="130"/>
      <c r="W137" s="130"/>
      <c r="X137" s="130"/>
      <c r="Y137" s="130"/>
      <c r="Z137" s="130"/>
      <c r="AA137" s="130"/>
      <c r="AB137" s="130"/>
      <c r="AC137" s="130"/>
    </row>
    <row r="138" ht="15.75" customHeight="1">
      <c r="A138" s="124"/>
      <c r="B138" s="124"/>
      <c r="C138" s="124"/>
      <c r="D138" s="124"/>
      <c r="E138" s="124"/>
      <c r="F138" s="124"/>
      <c r="G138" s="124"/>
      <c r="H138" s="124"/>
      <c r="I138" s="124"/>
      <c r="J138" s="124"/>
      <c r="K138" s="124"/>
      <c r="L138" s="124"/>
      <c r="M138" s="124"/>
      <c r="N138" s="130"/>
      <c r="O138" s="130"/>
      <c r="P138" s="130"/>
      <c r="Q138" s="130"/>
      <c r="R138" s="130"/>
      <c r="S138" s="130"/>
      <c r="T138" s="130"/>
      <c r="U138" s="130"/>
      <c r="V138" s="130"/>
      <c r="W138" s="130"/>
      <c r="X138" s="130"/>
      <c r="Y138" s="130"/>
      <c r="Z138" s="130"/>
      <c r="AA138" s="130"/>
      <c r="AB138" s="130"/>
      <c r="AC138" s="130"/>
    </row>
    <row r="139" ht="15.75" customHeight="1">
      <c r="A139" s="124"/>
      <c r="B139" s="124"/>
      <c r="C139" s="124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30"/>
      <c r="O139" s="130"/>
      <c r="P139" s="130"/>
      <c r="Q139" s="130"/>
      <c r="R139" s="130"/>
      <c r="S139" s="130"/>
      <c r="T139" s="130"/>
      <c r="U139" s="130"/>
      <c r="V139" s="130"/>
      <c r="W139" s="130"/>
      <c r="X139" s="130"/>
      <c r="Y139" s="130"/>
      <c r="Z139" s="130"/>
      <c r="AA139" s="130"/>
      <c r="AB139" s="130"/>
      <c r="AC139" s="130"/>
    </row>
    <row r="140" ht="15.75" customHeight="1">
      <c r="A140" s="124"/>
      <c r="B140" s="124"/>
      <c r="C140" s="124"/>
      <c r="D140" s="124"/>
      <c r="E140" s="124"/>
      <c r="F140" s="124"/>
      <c r="G140" s="124"/>
      <c r="H140" s="124"/>
      <c r="I140" s="124"/>
      <c r="J140" s="124"/>
      <c r="K140" s="124"/>
      <c r="L140" s="124"/>
      <c r="M140" s="124"/>
      <c r="N140" s="130"/>
      <c r="O140" s="130"/>
      <c r="P140" s="130"/>
      <c r="Q140" s="130"/>
      <c r="R140" s="130"/>
      <c r="S140" s="130"/>
      <c r="T140" s="130"/>
      <c r="U140" s="130"/>
      <c r="V140" s="130"/>
      <c r="W140" s="130"/>
      <c r="X140" s="130"/>
      <c r="Y140" s="130"/>
      <c r="Z140" s="130"/>
      <c r="AA140" s="130"/>
      <c r="AB140" s="130"/>
      <c r="AC140" s="130"/>
    </row>
    <row r="141" ht="15.75" customHeight="1">
      <c r="A141" s="124"/>
      <c r="B141" s="124"/>
      <c r="C141" s="124"/>
      <c r="D141" s="124"/>
      <c r="E141" s="124"/>
      <c r="F141" s="124"/>
      <c r="G141" s="124"/>
      <c r="H141" s="124"/>
      <c r="I141" s="124"/>
      <c r="J141" s="124"/>
      <c r="K141" s="124"/>
      <c r="L141" s="124"/>
      <c r="M141" s="124"/>
      <c r="N141" s="130"/>
      <c r="O141" s="130"/>
      <c r="P141" s="130"/>
      <c r="Q141" s="130"/>
      <c r="R141" s="130"/>
      <c r="S141" s="130"/>
      <c r="T141" s="130"/>
      <c r="U141" s="130"/>
      <c r="V141" s="130"/>
      <c r="W141" s="130"/>
      <c r="X141" s="130"/>
      <c r="Y141" s="130"/>
      <c r="Z141" s="130"/>
      <c r="AA141" s="130"/>
      <c r="AB141" s="130"/>
      <c r="AC141" s="130"/>
    </row>
    <row r="142" ht="15.75" customHeight="1">
      <c r="A142" s="124"/>
      <c r="B142" s="124"/>
      <c r="C142" s="124"/>
      <c r="D142" s="124"/>
      <c r="E142" s="124"/>
      <c r="F142" s="124"/>
      <c r="G142" s="124"/>
      <c r="H142" s="124"/>
      <c r="I142" s="124"/>
      <c r="J142" s="124"/>
      <c r="K142" s="124"/>
      <c r="L142" s="124"/>
      <c r="M142" s="124"/>
      <c r="N142" s="130"/>
      <c r="O142" s="130"/>
      <c r="P142" s="130"/>
      <c r="Q142" s="130"/>
      <c r="R142" s="130"/>
      <c r="S142" s="130"/>
      <c r="T142" s="130"/>
      <c r="U142" s="130"/>
      <c r="V142" s="130"/>
      <c r="W142" s="130"/>
      <c r="X142" s="130"/>
      <c r="Y142" s="130"/>
      <c r="Z142" s="130"/>
      <c r="AA142" s="130"/>
      <c r="AB142" s="130"/>
      <c r="AC142" s="130"/>
    </row>
    <row r="143" ht="15.75" customHeight="1">
      <c r="A143" s="124"/>
      <c r="B143" s="124"/>
      <c r="C143" s="124"/>
      <c r="D143" s="124"/>
      <c r="E143" s="124"/>
      <c r="F143" s="124"/>
      <c r="G143" s="124"/>
      <c r="H143" s="124"/>
      <c r="I143" s="124"/>
      <c r="J143" s="124"/>
      <c r="K143" s="124"/>
      <c r="L143" s="124"/>
      <c r="M143" s="124"/>
      <c r="N143" s="130"/>
      <c r="O143" s="130"/>
      <c r="P143" s="130"/>
      <c r="Q143" s="130"/>
      <c r="R143" s="130"/>
      <c r="S143" s="130"/>
      <c r="T143" s="130"/>
      <c r="U143" s="130"/>
      <c r="V143" s="130"/>
      <c r="W143" s="130"/>
      <c r="X143" s="130"/>
      <c r="Y143" s="130"/>
      <c r="Z143" s="130"/>
      <c r="AA143" s="130"/>
      <c r="AB143" s="130"/>
      <c r="AC143" s="130"/>
    </row>
    <row r="144" ht="15.75" customHeight="1">
      <c r="A144" s="124"/>
      <c r="B144" s="124"/>
      <c r="C144" s="124"/>
      <c r="D144" s="124"/>
      <c r="E144" s="124"/>
      <c r="F144" s="124"/>
      <c r="G144" s="124"/>
      <c r="H144" s="124"/>
      <c r="I144" s="124"/>
      <c r="J144" s="124"/>
      <c r="K144" s="124"/>
      <c r="L144" s="124"/>
      <c r="M144" s="124"/>
      <c r="N144" s="130"/>
      <c r="O144" s="130"/>
      <c r="P144" s="130"/>
      <c r="Q144" s="130"/>
      <c r="R144" s="130"/>
      <c r="S144" s="130"/>
      <c r="T144" s="130"/>
      <c r="U144" s="130"/>
      <c r="V144" s="130"/>
      <c r="W144" s="130"/>
      <c r="X144" s="130"/>
      <c r="Y144" s="130"/>
      <c r="Z144" s="130"/>
      <c r="AA144" s="130"/>
      <c r="AB144" s="130"/>
      <c r="AC144" s="130"/>
    </row>
    <row r="145" ht="15.75" customHeight="1">
      <c r="A145" s="124"/>
      <c r="B145" s="124"/>
      <c r="C145" s="124"/>
      <c r="D145" s="124"/>
      <c r="E145" s="124"/>
      <c r="F145" s="124"/>
      <c r="G145" s="124"/>
      <c r="H145" s="124"/>
      <c r="I145" s="124"/>
      <c r="J145" s="124"/>
      <c r="K145" s="124"/>
      <c r="L145" s="124"/>
      <c r="M145" s="124"/>
      <c r="N145" s="130"/>
      <c r="O145" s="130"/>
      <c r="P145" s="130"/>
      <c r="Q145" s="130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  <c r="AB145" s="130"/>
      <c r="AC145" s="130"/>
    </row>
    <row r="146" ht="15.75" customHeight="1">
      <c r="A146" s="124"/>
      <c r="B146" s="124"/>
      <c r="C146" s="124"/>
      <c r="D146" s="124"/>
      <c r="E146" s="124"/>
      <c r="F146" s="124"/>
      <c r="G146" s="124"/>
      <c r="H146" s="124"/>
      <c r="I146" s="124"/>
      <c r="J146" s="124"/>
      <c r="K146" s="124"/>
      <c r="L146" s="124"/>
      <c r="M146" s="124"/>
      <c r="N146" s="130"/>
      <c r="O146" s="130"/>
      <c r="P146" s="130"/>
      <c r="Q146" s="130"/>
      <c r="R146" s="130"/>
      <c r="S146" s="130"/>
      <c r="T146" s="130"/>
      <c r="U146" s="130"/>
      <c r="V146" s="130"/>
      <c r="W146" s="130"/>
      <c r="X146" s="130"/>
      <c r="Y146" s="130"/>
      <c r="Z146" s="130"/>
      <c r="AA146" s="130"/>
      <c r="AB146" s="130"/>
      <c r="AC146" s="130"/>
    </row>
    <row r="147" ht="15.75" customHeight="1">
      <c r="A147" s="124"/>
      <c r="B147" s="124"/>
      <c r="C147" s="124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30"/>
      <c r="O147" s="130"/>
      <c r="P147" s="130"/>
      <c r="Q147" s="130"/>
      <c r="R147" s="130"/>
      <c r="S147" s="130"/>
      <c r="T147" s="130"/>
      <c r="U147" s="130"/>
      <c r="V147" s="130"/>
      <c r="W147" s="130"/>
      <c r="X147" s="130"/>
      <c r="Y147" s="130"/>
      <c r="Z147" s="130"/>
      <c r="AA147" s="130"/>
      <c r="AB147" s="130"/>
      <c r="AC147" s="130"/>
    </row>
    <row r="148" ht="15.75" customHeight="1">
      <c r="A148" s="124"/>
      <c r="B148" s="124"/>
      <c r="C148" s="124"/>
      <c r="D148" s="124"/>
      <c r="E148" s="124"/>
      <c r="F148" s="124"/>
      <c r="G148" s="124"/>
      <c r="H148" s="124"/>
      <c r="I148" s="124"/>
      <c r="J148" s="124"/>
      <c r="K148" s="124"/>
      <c r="L148" s="124"/>
      <c r="M148" s="124"/>
      <c r="N148" s="130"/>
      <c r="O148" s="130"/>
      <c r="P148" s="130"/>
      <c r="Q148" s="130"/>
      <c r="R148" s="130"/>
      <c r="S148" s="130"/>
      <c r="T148" s="130"/>
      <c r="U148" s="130"/>
      <c r="V148" s="130"/>
      <c r="W148" s="130"/>
      <c r="X148" s="130"/>
      <c r="Y148" s="130"/>
      <c r="Z148" s="130"/>
      <c r="AA148" s="130"/>
      <c r="AB148" s="130"/>
      <c r="AC148" s="130"/>
    </row>
    <row r="149" ht="15.75" customHeight="1">
      <c r="A149" s="124"/>
      <c r="B149" s="124"/>
      <c r="C149" s="124"/>
      <c r="D149" s="124"/>
      <c r="E149" s="124"/>
      <c r="F149" s="124"/>
      <c r="G149" s="124"/>
      <c r="H149" s="124"/>
      <c r="I149" s="124"/>
      <c r="J149" s="124"/>
      <c r="K149" s="124"/>
      <c r="L149" s="124"/>
      <c r="M149" s="124"/>
      <c r="N149" s="130"/>
      <c r="O149" s="130"/>
      <c r="P149" s="130"/>
      <c r="Q149" s="130"/>
      <c r="R149" s="130"/>
      <c r="S149" s="130"/>
      <c r="T149" s="130"/>
      <c r="U149" s="130"/>
      <c r="V149" s="130"/>
      <c r="W149" s="130"/>
      <c r="X149" s="130"/>
      <c r="Y149" s="130"/>
      <c r="Z149" s="130"/>
      <c r="AA149" s="130"/>
      <c r="AB149" s="130"/>
      <c r="AC149" s="130"/>
    </row>
    <row r="150" ht="15.75" customHeight="1">
      <c r="A150" s="124"/>
      <c r="B150" s="124"/>
      <c r="C150" s="124"/>
      <c r="D150" s="124"/>
      <c r="E150" s="124"/>
      <c r="F150" s="124"/>
      <c r="G150" s="124"/>
      <c r="H150" s="124"/>
      <c r="I150" s="124"/>
      <c r="J150" s="124"/>
      <c r="K150" s="124"/>
      <c r="L150" s="124"/>
      <c r="M150" s="124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130"/>
      <c r="AB150" s="130"/>
      <c r="AC150" s="130"/>
    </row>
    <row r="151" ht="15.75" customHeight="1">
      <c r="A151" s="124"/>
      <c r="B151" s="124"/>
      <c r="C151" s="124"/>
      <c r="D151" s="124"/>
      <c r="E151" s="124"/>
      <c r="F151" s="124"/>
      <c r="G151" s="124"/>
      <c r="H151" s="124"/>
      <c r="I151" s="124"/>
      <c r="J151" s="124"/>
      <c r="K151" s="124"/>
      <c r="L151" s="124"/>
      <c r="M151" s="124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  <c r="AA151" s="130"/>
      <c r="AB151" s="130"/>
      <c r="AC151" s="130"/>
    </row>
    <row r="152" ht="15.75" customHeight="1">
      <c r="A152" s="124"/>
      <c r="B152" s="124"/>
      <c r="C152" s="124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</row>
    <row r="153" ht="15.75" customHeight="1">
      <c r="A153" s="124"/>
      <c r="B153" s="124"/>
      <c r="C153" s="124"/>
      <c r="D153" s="124"/>
      <c r="E153" s="124"/>
      <c r="F153" s="124"/>
      <c r="G153" s="124"/>
      <c r="H153" s="124"/>
      <c r="I153" s="124"/>
      <c r="J153" s="124"/>
      <c r="K153" s="124"/>
      <c r="L153" s="124"/>
      <c r="M153" s="124"/>
      <c r="N153" s="130"/>
      <c r="O153" s="130"/>
      <c r="P153" s="130"/>
      <c r="Q153" s="130"/>
      <c r="R153" s="130"/>
      <c r="S153" s="130"/>
      <c r="T153" s="130"/>
      <c r="U153" s="130"/>
      <c r="V153" s="130"/>
      <c r="W153" s="130"/>
      <c r="X153" s="130"/>
      <c r="Y153" s="130"/>
      <c r="Z153" s="130"/>
      <c r="AA153" s="130"/>
      <c r="AB153" s="130"/>
      <c r="AC153" s="130"/>
    </row>
    <row r="154" ht="15.75" customHeight="1">
      <c r="A154" s="124"/>
      <c r="B154" s="124"/>
      <c r="C154" s="124"/>
      <c r="D154" s="124"/>
      <c r="E154" s="124"/>
      <c r="F154" s="124"/>
      <c r="G154" s="124"/>
      <c r="H154" s="124"/>
      <c r="I154" s="124"/>
      <c r="J154" s="124"/>
      <c r="K154" s="124"/>
      <c r="L154" s="124"/>
      <c r="M154" s="124"/>
      <c r="N154" s="130"/>
      <c r="O154" s="130"/>
      <c r="P154" s="130"/>
      <c r="Q154" s="130"/>
      <c r="R154" s="130"/>
      <c r="S154" s="130"/>
      <c r="T154" s="130"/>
      <c r="U154" s="130"/>
      <c r="V154" s="130"/>
      <c r="W154" s="130"/>
      <c r="X154" s="130"/>
      <c r="Y154" s="130"/>
      <c r="Z154" s="130"/>
      <c r="AA154" s="130"/>
      <c r="AB154" s="130"/>
      <c r="AC154" s="130"/>
    </row>
    <row r="155" ht="15.75" customHeight="1">
      <c r="A155" s="124"/>
      <c r="B155" s="124"/>
      <c r="C155" s="124"/>
      <c r="D155" s="124"/>
      <c r="E155" s="124"/>
      <c r="F155" s="124"/>
      <c r="G155" s="124"/>
      <c r="H155" s="124"/>
      <c r="I155" s="124"/>
      <c r="J155" s="124"/>
      <c r="K155" s="124"/>
      <c r="L155" s="124"/>
      <c r="M155" s="124"/>
      <c r="N155" s="130"/>
      <c r="O155" s="130"/>
      <c r="P155" s="130"/>
      <c r="Q155" s="130"/>
      <c r="R155" s="130"/>
      <c r="S155" s="130"/>
      <c r="T155" s="130"/>
      <c r="U155" s="130"/>
      <c r="V155" s="130"/>
      <c r="W155" s="130"/>
      <c r="X155" s="130"/>
      <c r="Y155" s="130"/>
      <c r="Z155" s="130"/>
      <c r="AA155" s="130"/>
      <c r="AB155" s="130"/>
      <c r="AC155" s="130"/>
    </row>
    <row r="156" ht="15.75" customHeight="1">
      <c r="A156" s="124"/>
      <c r="B156" s="124"/>
      <c r="C156" s="124"/>
      <c r="D156" s="124"/>
      <c r="E156" s="124"/>
      <c r="F156" s="124"/>
      <c r="G156" s="124"/>
      <c r="H156" s="124"/>
      <c r="I156" s="124"/>
      <c r="J156" s="124"/>
      <c r="K156" s="124"/>
      <c r="L156" s="124"/>
      <c r="M156" s="124"/>
      <c r="N156" s="130"/>
      <c r="O156" s="130"/>
      <c r="P156" s="130"/>
      <c r="Q156" s="130"/>
      <c r="R156" s="130"/>
      <c r="S156" s="130"/>
      <c r="T156" s="130"/>
      <c r="U156" s="130"/>
      <c r="V156" s="130"/>
      <c r="W156" s="130"/>
      <c r="X156" s="130"/>
      <c r="Y156" s="130"/>
      <c r="Z156" s="130"/>
      <c r="AA156" s="130"/>
      <c r="AB156" s="130"/>
      <c r="AC156" s="130"/>
    </row>
    <row r="157" ht="15.75" customHeight="1">
      <c r="A157" s="124"/>
      <c r="B157" s="124"/>
      <c r="C157" s="124"/>
      <c r="D157" s="124"/>
      <c r="E157" s="124"/>
      <c r="F157" s="124"/>
      <c r="G157" s="124"/>
      <c r="H157" s="124"/>
      <c r="I157" s="124"/>
      <c r="J157" s="124"/>
      <c r="K157" s="124"/>
      <c r="L157" s="124"/>
      <c r="M157" s="124"/>
      <c r="N157" s="130"/>
      <c r="O157" s="130"/>
      <c r="P157" s="130"/>
      <c r="Q157" s="130"/>
      <c r="R157" s="130"/>
      <c r="S157" s="130"/>
      <c r="T157" s="130"/>
      <c r="U157" s="130"/>
      <c r="V157" s="130"/>
      <c r="W157" s="130"/>
      <c r="X157" s="130"/>
      <c r="Y157" s="130"/>
      <c r="Z157" s="130"/>
      <c r="AA157" s="130"/>
      <c r="AB157" s="130"/>
      <c r="AC157" s="130"/>
    </row>
    <row r="158" ht="15.75" customHeight="1">
      <c r="A158" s="124"/>
      <c r="B158" s="124"/>
      <c r="C158" s="124"/>
      <c r="D158" s="124"/>
      <c r="E158" s="124"/>
      <c r="F158" s="124"/>
      <c r="G158" s="124"/>
      <c r="H158" s="124"/>
      <c r="I158" s="124"/>
      <c r="J158" s="124"/>
      <c r="K158" s="124"/>
      <c r="L158" s="124"/>
      <c r="M158" s="124"/>
      <c r="N158" s="130"/>
      <c r="O158" s="130"/>
      <c r="P158" s="130"/>
      <c r="Q158" s="130"/>
      <c r="R158" s="130"/>
      <c r="S158" s="130"/>
      <c r="T158" s="130"/>
      <c r="U158" s="130"/>
      <c r="V158" s="130"/>
      <c r="W158" s="130"/>
      <c r="X158" s="130"/>
      <c r="Y158" s="130"/>
      <c r="Z158" s="130"/>
      <c r="AA158" s="130"/>
      <c r="AB158" s="130"/>
      <c r="AC158" s="130"/>
    </row>
    <row r="159" ht="15.75" customHeight="1">
      <c r="A159" s="124"/>
      <c r="B159" s="124"/>
      <c r="C159" s="124"/>
      <c r="D159" s="124"/>
      <c r="E159" s="124"/>
      <c r="F159" s="124"/>
      <c r="G159" s="124"/>
      <c r="H159" s="124"/>
      <c r="I159" s="124"/>
      <c r="J159" s="124"/>
      <c r="K159" s="124"/>
      <c r="L159" s="124"/>
      <c r="M159" s="124"/>
      <c r="N159" s="130"/>
      <c r="O159" s="130"/>
      <c r="P159" s="130"/>
      <c r="Q159" s="130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</row>
    <row r="160" ht="15.75" customHeight="1">
      <c r="A160" s="124"/>
      <c r="B160" s="124"/>
      <c r="C160" s="124"/>
      <c r="D160" s="124"/>
      <c r="E160" s="124"/>
      <c r="F160" s="124"/>
      <c r="G160" s="124"/>
      <c r="H160" s="124"/>
      <c r="I160" s="124"/>
      <c r="J160" s="124"/>
      <c r="K160" s="124"/>
      <c r="L160" s="124"/>
      <c r="M160" s="124"/>
      <c r="N160" s="130"/>
      <c r="O160" s="130"/>
      <c r="P160" s="130"/>
      <c r="Q160" s="130"/>
      <c r="R160" s="130"/>
      <c r="S160" s="130"/>
      <c r="T160" s="130"/>
      <c r="U160" s="130"/>
      <c r="V160" s="130"/>
      <c r="W160" s="130"/>
      <c r="X160" s="130"/>
      <c r="Y160" s="130"/>
      <c r="Z160" s="130"/>
      <c r="AA160" s="130"/>
      <c r="AB160" s="130"/>
      <c r="AC160" s="130"/>
    </row>
    <row r="161" ht="15.75" customHeight="1">
      <c r="A161" s="124"/>
      <c r="B161" s="124"/>
      <c r="C161" s="124"/>
      <c r="D161" s="124"/>
      <c r="E161" s="124"/>
      <c r="F161" s="124"/>
      <c r="G161" s="124"/>
      <c r="H161" s="124"/>
      <c r="I161" s="124"/>
      <c r="J161" s="124"/>
      <c r="K161" s="124"/>
      <c r="L161" s="124"/>
      <c r="M161" s="124"/>
      <c r="N161" s="130"/>
      <c r="O161" s="130"/>
      <c r="P161" s="130"/>
      <c r="Q161" s="130"/>
      <c r="R161" s="130"/>
      <c r="S161" s="130"/>
      <c r="T161" s="130"/>
      <c r="U161" s="130"/>
      <c r="V161" s="130"/>
      <c r="W161" s="130"/>
      <c r="X161" s="130"/>
      <c r="Y161" s="130"/>
      <c r="Z161" s="130"/>
      <c r="AA161" s="130"/>
      <c r="AB161" s="130"/>
      <c r="AC161" s="130"/>
    </row>
    <row r="162" ht="15.75" customHeight="1">
      <c r="A162" s="124"/>
      <c r="B162" s="124"/>
      <c r="C162" s="124"/>
      <c r="D162" s="124"/>
      <c r="E162" s="124"/>
      <c r="F162" s="124"/>
      <c r="G162" s="124"/>
      <c r="H162" s="124"/>
      <c r="I162" s="124"/>
      <c r="J162" s="124"/>
      <c r="K162" s="124"/>
      <c r="L162" s="124"/>
      <c r="M162" s="124"/>
      <c r="N162" s="130"/>
      <c r="O162" s="130"/>
      <c r="P162" s="130"/>
      <c r="Q162" s="130"/>
      <c r="R162" s="130"/>
      <c r="S162" s="130"/>
      <c r="T162" s="130"/>
      <c r="U162" s="130"/>
      <c r="V162" s="130"/>
      <c r="W162" s="130"/>
      <c r="X162" s="130"/>
      <c r="Y162" s="130"/>
      <c r="Z162" s="130"/>
      <c r="AA162" s="130"/>
      <c r="AB162" s="130"/>
      <c r="AC162" s="130"/>
    </row>
    <row r="163" ht="15.75" customHeight="1">
      <c r="A163" s="124"/>
      <c r="B163" s="124"/>
      <c r="C163" s="124"/>
      <c r="D163" s="124"/>
      <c r="E163" s="124"/>
      <c r="F163" s="124"/>
      <c r="G163" s="124"/>
      <c r="H163" s="124"/>
      <c r="I163" s="124"/>
      <c r="J163" s="124"/>
      <c r="K163" s="124"/>
      <c r="L163" s="124"/>
      <c r="M163" s="124"/>
      <c r="N163" s="130"/>
      <c r="O163" s="130"/>
      <c r="P163" s="130"/>
      <c r="Q163" s="130"/>
      <c r="R163" s="130"/>
      <c r="S163" s="130"/>
      <c r="T163" s="130"/>
      <c r="U163" s="130"/>
      <c r="V163" s="130"/>
      <c r="W163" s="130"/>
      <c r="X163" s="130"/>
      <c r="Y163" s="130"/>
      <c r="Z163" s="130"/>
      <c r="AA163" s="130"/>
      <c r="AB163" s="130"/>
      <c r="AC163" s="130"/>
    </row>
    <row r="164" ht="15.75" customHeight="1">
      <c r="A164" s="124"/>
      <c r="B164" s="124"/>
      <c r="C164" s="124"/>
      <c r="D164" s="124"/>
      <c r="E164" s="124"/>
      <c r="F164" s="124"/>
      <c r="G164" s="124"/>
      <c r="H164" s="124"/>
      <c r="I164" s="124"/>
      <c r="J164" s="124"/>
      <c r="K164" s="124"/>
      <c r="L164" s="124"/>
      <c r="M164" s="124"/>
      <c r="N164" s="130"/>
      <c r="O164" s="130"/>
      <c r="P164" s="130"/>
      <c r="Q164" s="130"/>
      <c r="R164" s="130"/>
      <c r="S164" s="130"/>
      <c r="T164" s="130"/>
      <c r="U164" s="130"/>
      <c r="V164" s="130"/>
      <c r="W164" s="130"/>
      <c r="X164" s="130"/>
      <c r="Y164" s="130"/>
      <c r="Z164" s="130"/>
      <c r="AA164" s="130"/>
      <c r="AB164" s="130"/>
      <c r="AC164" s="130"/>
    </row>
    <row r="165" ht="15.75" customHeight="1">
      <c r="A165" s="124"/>
      <c r="B165" s="124"/>
      <c r="C165" s="124"/>
      <c r="D165" s="124"/>
      <c r="E165" s="124"/>
      <c r="F165" s="124"/>
      <c r="G165" s="124"/>
      <c r="H165" s="124"/>
      <c r="I165" s="124"/>
      <c r="J165" s="124"/>
      <c r="K165" s="124"/>
      <c r="L165" s="124"/>
      <c r="M165" s="124"/>
      <c r="N165" s="130"/>
      <c r="O165" s="130"/>
      <c r="P165" s="130"/>
      <c r="Q165" s="130"/>
      <c r="R165" s="130"/>
      <c r="S165" s="130"/>
      <c r="T165" s="130"/>
      <c r="U165" s="130"/>
      <c r="V165" s="130"/>
      <c r="W165" s="130"/>
      <c r="X165" s="130"/>
      <c r="Y165" s="130"/>
      <c r="Z165" s="130"/>
      <c r="AA165" s="130"/>
      <c r="AB165" s="130"/>
      <c r="AC165" s="130"/>
    </row>
    <row r="166" ht="15.75" customHeight="1">
      <c r="A166" s="124"/>
      <c r="B166" s="124"/>
      <c r="C166" s="124"/>
      <c r="D166" s="124"/>
      <c r="E166" s="124"/>
      <c r="F166" s="124"/>
      <c r="G166" s="124"/>
      <c r="H166" s="124"/>
      <c r="I166" s="124"/>
      <c r="J166" s="124"/>
      <c r="K166" s="124"/>
      <c r="L166" s="124"/>
      <c r="M166" s="124"/>
      <c r="N166" s="130"/>
      <c r="O166" s="130"/>
      <c r="P166" s="130"/>
      <c r="Q166" s="130"/>
      <c r="R166" s="130"/>
      <c r="S166" s="130"/>
      <c r="T166" s="130"/>
      <c r="U166" s="130"/>
      <c r="V166" s="130"/>
      <c r="W166" s="130"/>
      <c r="X166" s="130"/>
      <c r="Y166" s="130"/>
      <c r="Z166" s="130"/>
      <c r="AA166" s="130"/>
      <c r="AB166" s="130"/>
      <c r="AC166" s="130"/>
    </row>
    <row r="167" ht="15.75" customHeight="1">
      <c r="A167" s="124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30"/>
      <c r="O167" s="130"/>
      <c r="P167" s="130"/>
      <c r="Q167" s="130"/>
      <c r="R167" s="130"/>
      <c r="S167" s="130"/>
      <c r="T167" s="130"/>
      <c r="U167" s="130"/>
      <c r="V167" s="130"/>
      <c r="W167" s="130"/>
      <c r="X167" s="130"/>
      <c r="Y167" s="130"/>
      <c r="Z167" s="130"/>
      <c r="AA167" s="130"/>
      <c r="AB167" s="130"/>
      <c r="AC167" s="130"/>
    </row>
    <row r="168" ht="15.75" customHeight="1">
      <c r="A168" s="124"/>
      <c r="B168" s="124"/>
      <c r="C168" s="124"/>
      <c r="D168" s="124"/>
      <c r="E168" s="124"/>
      <c r="F168" s="124"/>
      <c r="G168" s="124"/>
      <c r="H168" s="124"/>
      <c r="I168" s="124"/>
      <c r="J168" s="124"/>
      <c r="K168" s="124"/>
      <c r="L168" s="124"/>
      <c r="M168" s="124"/>
      <c r="N168" s="130"/>
      <c r="O168" s="130"/>
      <c r="P168" s="130"/>
      <c r="Q168" s="130"/>
      <c r="R168" s="130"/>
      <c r="S168" s="130"/>
      <c r="T168" s="130"/>
      <c r="U168" s="130"/>
      <c r="V168" s="130"/>
      <c r="W168" s="130"/>
      <c r="X168" s="130"/>
      <c r="Y168" s="130"/>
      <c r="Z168" s="130"/>
      <c r="AA168" s="130"/>
      <c r="AB168" s="130"/>
      <c r="AC168" s="130"/>
    </row>
    <row r="169" ht="15.75" customHeight="1">
      <c r="A169" s="124"/>
      <c r="B169" s="124"/>
      <c r="C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30"/>
      <c r="O169" s="130"/>
      <c r="P169" s="130"/>
      <c r="Q169" s="130"/>
      <c r="R169" s="130"/>
      <c r="S169" s="130"/>
      <c r="T169" s="130"/>
      <c r="U169" s="130"/>
      <c r="V169" s="130"/>
      <c r="W169" s="130"/>
      <c r="X169" s="130"/>
      <c r="Y169" s="130"/>
      <c r="Z169" s="130"/>
      <c r="AA169" s="130"/>
      <c r="AB169" s="130"/>
      <c r="AC169" s="130"/>
    </row>
    <row r="170" ht="15.75" customHeight="1">
      <c r="A170" s="124"/>
      <c r="B170" s="124"/>
      <c r="C170" s="124"/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30"/>
      <c r="O170" s="130"/>
      <c r="P170" s="130"/>
      <c r="Q170" s="130"/>
      <c r="R170" s="130"/>
      <c r="S170" s="130"/>
      <c r="T170" s="130"/>
      <c r="U170" s="130"/>
      <c r="V170" s="130"/>
      <c r="W170" s="130"/>
      <c r="X170" s="130"/>
      <c r="Y170" s="130"/>
      <c r="Z170" s="130"/>
      <c r="AA170" s="130"/>
      <c r="AB170" s="130"/>
      <c r="AC170" s="130"/>
    </row>
    <row r="171" ht="15.75" customHeight="1">
      <c r="A171" s="124"/>
      <c r="B171" s="124"/>
      <c r="C171" s="124"/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30"/>
      <c r="O171" s="130"/>
      <c r="P171" s="130"/>
      <c r="Q171" s="130"/>
      <c r="R171" s="130"/>
      <c r="S171" s="130"/>
      <c r="T171" s="130"/>
      <c r="U171" s="130"/>
      <c r="V171" s="130"/>
      <c r="W171" s="130"/>
      <c r="X171" s="130"/>
      <c r="Y171" s="130"/>
      <c r="Z171" s="130"/>
      <c r="AA171" s="130"/>
      <c r="AB171" s="130"/>
      <c r="AC171" s="130"/>
    </row>
    <row r="172" ht="15.75" customHeight="1">
      <c r="A172" s="124"/>
      <c r="B172" s="124"/>
      <c r="C172" s="124"/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30"/>
      <c r="O172" s="130"/>
      <c r="P172" s="130"/>
      <c r="Q172" s="130"/>
      <c r="R172" s="130"/>
      <c r="S172" s="130"/>
      <c r="T172" s="130"/>
      <c r="U172" s="130"/>
      <c r="V172" s="130"/>
      <c r="W172" s="130"/>
      <c r="X172" s="130"/>
      <c r="Y172" s="130"/>
      <c r="Z172" s="130"/>
      <c r="AA172" s="130"/>
      <c r="AB172" s="130"/>
      <c r="AC172" s="130"/>
    </row>
    <row r="173" ht="15.75" customHeight="1">
      <c r="A173" s="124"/>
      <c r="B173" s="124"/>
      <c r="C173" s="124"/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30"/>
      <c r="O173" s="130"/>
      <c r="P173" s="130"/>
      <c r="Q173" s="130"/>
      <c r="R173" s="130"/>
      <c r="S173" s="130"/>
      <c r="T173" s="130"/>
      <c r="U173" s="130"/>
      <c r="V173" s="130"/>
      <c r="W173" s="130"/>
      <c r="X173" s="130"/>
      <c r="Y173" s="130"/>
      <c r="Z173" s="130"/>
      <c r="AA173" s="130"/>
      <c r="AB173" s="130"/>
      <c r="AC173" s="130"/>
    </row>
    <row r="174" ht="15.75" customHeight="1">
      <c r="A174" s="124"/>
      <c r="B174" s="124"/>
      <c r="C174" s="124"/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30"/>
      <c r="O174" s="130"/>
      <c r="P174" s="130"/>
      <c r="Q174" s="130"/>
      <c r="R174" s="130"/>
      <c r="S174" s="130"/>
      <c r="T174" s="130"/>
      <c r="U174" s="130"/>
      <c r="V174" s="130"/>
      <c r="W174" s="130"/>
      <c r="X174" s="130"/>
      <c r="Y174" s="130"/>
      <c r="Z174" s="130"/>
      <c r="AA174" s="130"/>
      <c r="AB174" s="130"/>
      <c r="AC174" s="130"/>
    </row>
    <row r="175" ht="15.75" customHeight="1">
      <c r="A175" s="124"/>
      <c r="B175" s="124"/>
      <c r="C175" s="124"/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30"/>
      <c r="O175" s="130"/>
      <c r="P175" s="130"/>
      <c r="Q175" s="130"/>
      <c r="R175" s="130"/>
      <c r="S175" s="130"/>
      <c r="T175" s="130"/>
      <c r="U175" s="130"/>
      <c r="V175" s="130"/>
      <c r="W175" s="130"/>
      <c r="X175" s="130"/>
      <c r="Y175" s="130"/>
      <c r="Z175" s="130"/>
      <c r="AA175" s="130"/>
      <c r="AB175" s="130"/>
      <c r="AC175" s="130"/>
    </row>
    <row r="176" ht="15.75" customHeight="1">
      <c r="A176" s="124"/>
      <c r="B176" s="124"/>
      <c r="C176" s="124"/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30"/>
      <c r="O176" s="130"/>
      <c r="P176" s="130"/>
      <c r="Q176" s="130"/>
      <c r="R176" s="130"/>
      <c r="S176" s="130"/>
      <c r="T176" s="130"/>
      <c r="U176" s="130"/>
      <c r="V176" s="130"/>
      <c r="W176" s="130"/>
      <c r="X176" s="130"/>
      <c r="Y176" s="130"/>
      <c r="Z176" s="130"/>
      <c r="AA176" s="130"/>
      <c r="AB176" s="130"/>
      <c r="AC176" s="130"/>
    </row>
    <row r="177" ht="15.75" customHeight="1">
      <c r="A177" s="124"/>
      <c r="B177" s="124"/>
      <c r="C177" s="124"/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30"/>
      <c r="O177" s="130"/>
      <c r="P177" s="130"/>
      <c r="Q177" s="130"/>
      <c r="R177" s="130"/>
      <c r="S177" s="130"/>
      <c r="T177" s="130"/>
      <c r="U177" s="130"/>
      <c r="V177" s="130"/>
      <c r="W177" s="130"/>
      <c r="X177" s="130"/>
      <c r="Y177" s="130"/>
      <c r="Z177" s="130"/>
      <c r="AA177" s="130"/>
      <c r="AB177" s="130"/>
      <c r="AC177" s="130"/>
    </row>
    <row r="178" ht="15.75" customHeight="1">
      <c r="A178" s="124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30"/>
      <c r="O178" s="130"/>
      <c r="P178" s="130"/>
      <c r="Q178" s="130"/>
      <c r="R178" s="130"/>
      <c r="S178" s="130"/>
      <c r="T178" s="130"/>
      <c r="U178" s="130"/>
      <c r="V178" s="130"/>
      <c r="W178" s="130"/>
      <c r="X178" s="130"/>
      <c r="Y178" s="130"/>
      <c r="Z178" s="130"/>
      <c r="AA178" s="130"/>
      <c r="AB178" s="130"/>
      <c r="AC178" s="130"/>
    </row>
    <row r="179" ht="15.75" customHeight="1">
      <c r="A179" s="124"/>
      <c r="B179" s="124"/>
      <c r="C179" s="124"/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30"/>
      <c r="O179" s="130"/>
      <c r="P179" s="130"/>
      <c r="Q179" s="130"/>
      <c r="R179" s="130"/>
      <c r="S179" s="130"/>
      <c r="T179" s="130"/>
      <c r="U179" s="130"/>
      <c r="V179" s="130"/>
      <c r="W179" s="130"/>
      <c r="X179" s="130"/>
      <c r="Y179" s="130"/>
      <c r="Z179" s="130"/>
      <c r="AA179" s="130"/>
      <c r="AB179" s="130"/>
      <c r="AC179" s="130"/>
    </row>
    <row r="180" ht="15.75" customHeight="1">
      <c r="A180" s="124"/>
      <c r="B180" s="124"/>
      <c r="C180" s="124"/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30"/>
      <c r="O180" s="130"/>
      <c r="P180" s="130"/>
      <c r="Q180" s="130"/>
      <c r="R180" s="130"/>
      <c r="S180" s="130"/>
      <c r="T180" s="130"/>
      <c r="U180" s="130"/>
      <c r="V180" s="130"/>
      <c r="W180" s="130"/>
      <c r="X180" s="130"/>
      <c r="Y180" s="130"/>
      <c r="Z180" s="130"/>
      <c r="AA180" s="130"/>
      <c r="AB180" s="130"/>
      <c r="AC180" s="130"/>
    </row>
    <row r="181" ht="15.75" customHeight="1">
      <c r="A181" s="124"/>
      <c r="B181" s="124"/>
      <c r="C181" s="124"/>
      <c r="D181" s="124"/>
      <c r="E181" s="124"/>
      <c r="F181" s="124"/>
      <c r="G181" s="124"/>
      <c r="H181" s="124"/>
      <c r="I181" s="124"/>
      <c r="J181" s="124"/>
      <c r="K181" s="124"/>
      <c r="L181" s="124"/>
      <c r="M181" s="124"/>
      <c r="N181" s="130"/>
      <c r="O181" s="130"/>
      <c r="P181" s="130"/>
      <c r="Q181" s="130"/>
      <c r="R181" s="130"/>
      <c r="S181" s="130"/>
      <c r="T181" s="130"/>
      <c r="U181" s="130"/>
      <c r="V181" s="130"/>
      <c r="W181" s="130"/>
      <c r="X181" s="130"/>
      <c r="Y181" s="130"/>
      <c r="Z181" s="130"/>
      <c r="AA181" s="130"/>
      <c r="AB181" s="130"/>
      <c r="AC181" s="130"/>
    </row>
    <row r="182" ht="15.75" customHeight="1">
      <c r="A182" s="124"/>
      <c r="B182" s="124"/>
      <c r="C182" s="124"/>
      <c r="D182" s="124"/>
      <c r="E182" s="124"/>
      <c r="F182" s="124"/>
      <c r="G182" s="124"/>
      <c r="H182" s="124"/>
      <c r="I182" s="124"/>
      <c r="J182" s="124"/>
      <c r="K182" s="124"/>
      <c r="L182" s="124"/>
      <c r="M182" s="124"/>
      <c r="N182" s="130"/>
      <c r="O182" s="130"/>
      <c r="P182" s="130"/>
      <c r="Q182" s="130"/>
      <c r="R182" s="130"/>
      <c r="S182" s="130"/>
      <c r="T182" s="130"/>
      <c r="U182" s="130"/>
      <c r="V182" s="130"/>
      <c r="W182" s="130"/>
      <c r="X182" s="130"/>
      <c r="Y182" s="130"/>
      <c r="Z182" s="130"/>
      <c r="AA182" s="130"/>
      <c r="AB182" s="130"/>
      <c r="AC182" s="130"/>
    </row>
    <row r="183" ht="15.75" customHeight="1">
      <c r="A183" s="124"/>
      <c r="B183" s="124"/>
      <c r="C183" s="124"/>
      <c r="D183" s="124"/>
      <c r="E183" s="124"/>
      <c r="F183" s="124"/>
      <c r="G183" s="124"/>
      <c r="H183" s="124"/>
      <c r="I183" s="124"/>
      <c r="J183" s="124"/>
      <c r="K183" s="124"/>
      <c r="L183" s="124"/>
      <c r="M183" s="124"/>
      <c r="N183" s="130"/>
      <c r="O183" s="130"/>
      <c r="P183" s="130"/>
      <c r="Q183" s="130"/>
      <c r="R183" s="130"/>
      <c r="S183" s="130"/>
      <c r="T183" s="130"/>
      <c r="U183" s="130"/>
      <c r="V183" s="130"/>
      <c r="W183" s="130"/>
      <c r="X183" s="130"/>
      <c r="Y183" s="130"/>
      <c r="Z183" s="130"/>
      <c r="AA183" s="130"/>
      <c r="AB183" s="130"/>
      <c r="AC183" s="130"/>
    </row>
    <row r="184" ht="15.75" customHeight="1">
      <c r="A184" s="124"/>
      <c r="B184" s="124"/>
      <c r="C184" s="124"/>
      <c r="D184" s="124"/>
      <c r="E184" s="124"/>
      <c r="F184" s="124"/>
      <c r="G184" s="124"/>
      <c r="H184" s="124"/>
      <c r="I184" s="124"/>
      <c r="J184" s="124"/>
      <c r="K184" s="124"/>
      <c r="L184" s="124"/>
      <c r="M184" s="124"/>
      <c r="N184" s="130"/>
      <c r="O184" s="130"/>
      <c r="P184" s="130"/>
      <c r="Q184" s="130"/>
      <c r="R184" s="130"/>
      <c r="S184" s="130"/>
      <c r="T184" s="130"/>
      <c r="U184" s="130"/>
      <c r="V184" s="130"/>
      <c r="W184" s="130"/>
      <c r="X184" s="130"/>
      <c r="Y184" s="130"/>
      <c r="Z184" s="130"/>
      <c r="AA184" s="130"/>
      <c r="AB184" s="130"/>
      <c r="AC184" s="130"/>
    </row>
    <row r="185" ht="15.75" customHeight="1">
      <c r="A185" s="124"/>
      <c r="B185" s="124"/>
      <c r="C185" s="124"/>
      <c r="D185" s="124"/>
      <c r="E185" s="124"/>
      <c r="F185" s="124"/>
      <c r="G185" s="124"/>
      <c r="H185" s="124"/>
      <c r="I185" s="124"/>
      <c r="J185" s="124"/>
      <c r="K185" s="124"/>
      <c r="L185" s="124"/>
      <c r="M185" s="124"/>
      <c r="N185" s="130"/>
      <c r="O185" s="130"/>
      <c r="P185" s="130"/>
      <c r="Q185" s="130"/>
      <c r="R185" s="130"/>
      <c r="S185" s="130"/>
      <c r="T185" s="130"/>
      <c r="U185" s="130"/>
      <c r="V185" s="130"/>
      <c r="W185" s="130"/>
      <c r="X185" s="130"/>
      <c r="Y185" s="130"/>
      <c r="Z185" s="130"/>
      <c r="AA185" s="130"/>
      <c r="AB185" s="130"/>
      <c r="AC185" s="130"/>
    </row>
    <row r="186" ht="15.75" customHeight="1">
      <c r="A186" s="124"/>
      <c r="B186" s="124"/>
      <c r="C186" s="124"/>
      <c r="D186" s="124"/>
      <c r="E186" s="124"/>
      <c r="F186" s="124"/>
      <c r="G186" s="124"/>
      <c r="H186" s="124"/>
      <c r="I186" s="124"/>
      <c r="J186" s="124"/>
      <c r="K186" s="124"/>
      <c r="L186" s="124"/>
      <c r="M186" s="124"/>
      <c r="N186" s="130"/>
      <c r="O186" s="130"/>
      <c r="P186" s="130"/>
      <c r="Q186" s="130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  <c r="AC186" s="130"/>
    </row>
    <row r="187" ht="15.75" customHeight="1">
      <c r="A187" s="124"/>
      <c r="B187" s="124"/>
      <c r="C187" s="124"/>
      <c r="D187" s="124"/>
      <c r="E187" s="124"/>
      <c r="F187" s="124"/>
      <c r="G187" s="124"/>
      <c r="H187" s="124"/>
      <c r="I187" s="124"/>
      <c r="J187" s="124"/>
      <c r="K187" s="124"/>
      <c r="L187" s="124"/>
      <c r="M187" s="124"/>
      <c r="N187" s="130"/>
      <c r="O187" s="130"/>
      <c r="P187" s="130"/>
      <c r="Q187" s="130"/>
      <c r="R187" s="130"/>
      <c r="S187" s="130"/>
      <c r="T187" s="130"/>
      <c r="U187" s="130"/>
      <c r="V187" s="130"/>
      <c r="W187" s="130"/>
      <c r="X187" s="130"/>
      <c r="Y187" s="130"/>
      <c r="Z187" s="130"/>
      <c r="AA187" s="130"/>
      <c r="AB187" s="130"/>
      <c r="AC187" s="130"/>
    </row>
    <row r="188" ht="15.75" customHeight="1">
      <c r="A188" s="124"/>
      <c r="B188" s="124"/>
      <c r="C188" s="124"/>
      <c r="D188" s="124"/>
      <c r="E188" s="124"/>
      <c r="F188" s="124"/>
      <c r="G188" s="124"/>
      <c r="H188" s="124"/>
      <c r="I188" s="124"/>
      <c r="J188" s="124"/>
      <c r="K188" s="124"/>
      <c r="L188" s="124"/>
      <c r="M188" s="124"/>
      <c r="N188" s="130"/>
      <c r="O188" s="130"/>
      <c r="P188" s="130"/>
      <c r="Q188" s="130"/>
      <c r="R188" s="130"/>
      <c r="S188" s="130"/>
      <c r="T188" s="130"/>
      <c r="U188" s="130"/>
      <c r="V188" s="130"/>
      <c r="W188" s="130"/>
      <c r="X188" s="130"/>
      <c r="Y188" s="130"/>
      <c r="Z188" s="130"/>
      <c r="AA188" s="130"/>
      <c r="AB188" s="130"/>
      <c r="AC188" s="130"/>
    </row>
    <row r="189" ht="15.75" customHeight="1">
      <c r="A189" s="124"/>
      <c r="B189" s="124"/>
      <c r="C189" s="124"/>
      <c r="D189" s="124"/>
      <c r="E189" s="124"/>
      <c r="F189" s="124"/>
      <c r="G189" s="124"/>
      <c r="H189" s="124"/>
      <c r="I189" s="124"/>
      <c r="J189" s="124"/>
      <c r="K189" s="124"/>
      <c r="L189" s="124"/>
      <c r="M189" s="124"/>
      <c r="N189" s="130"/>
      <c r="O189" s="130"/>
      <c r="P189" s="130"/>
      <c r="Q189" s="130"/>
      <c r="R189" s="130"/>
      <c r="S189" s="130"/>
      <c r="T189" s="130"/>
      <c r="U189" s="130"/>
      <c r="V189" s="130"/>
      <c r="W189" s="130"/>
      <c r="X189" s="130"/>
      <c r="Y189" s="130"/>
      <c r="Z189" s="130"/>
      <c r="AA189" s="130"/>
      <c r="AB189" s="130"/>
      <c r="AC189" s="130"/>
    </row>
    <row r="190" ht="15.75" customHeight="1">
      <c r="A190" s="124"/>
      <c r="B190" s="124"/>
      <c r="C190" s="124"/>
      <c r="D190" s="124"/>
      <c r="E190" s="124"/>
      <c r="F190" s="124"/>
      <c r="G190" s="124"/>
      <c r="H190" s="124"/>
      <c r="I190" s="124"/>
      <c r="J190" s="124"/>
      <c r="K190" s="124"/>
      <c r="L190" s="124"/>
      <c r="M190" s="124"/>
      <c r="N190" s="130"/>
      <c r="O190" s="130"/>
      <c r="P190" s="130"/>
      <c r="Q190" s="130"/>
      <c r="R190" s="130"/>
      <c r="S190" s="130"/>
      <c r="T190" s="130"/>
      <c r="U190" s="130"/>
      <c r="V190" s="130"/>
      <c r="W190" s="130"/>
      <c r="X190" s="130"/>
      <c r="Y190" s="130"/>
      <c r="Z190" s="130"/>
      <c r="AA190" s="130"/>
      <c r="AB190" s="130"/>
      <c r="AC190" s="130"/>
    </row>
    <row r="191" ht="15.75" customHeight="1">
      <c r="A191" s="124"/>
      <c r="B191" s="124"/>
      <c r="C191" s="124"/>
      <c r="D191" s="124"/>
      <c r="E191" s="124"/>
      <c r="F191" s="124"/>
      <c r="G191" s="124"/>
      <c r="H191" s="124"/>
      <c r="I191" s="124"/>
      <c r="J191" s="124"/>
      <c r="K191" s="124"/>
      <c r="L191" s="124"/>
      <c r="M191" s="124"/>
      <c r="N191" s="130"/>
      <c r="O191" s="130"/>
      <c r="P191" s="130"/>
      <c r="Q191" s="130"/>
      <c r="R191" s="130"/>
      <c r="S191" s="130"/>
      <c r="T191" s="130"/>
      <c r="U191" s="130"/>
      <c r="V191" s="130"/>
      <c r="W191" s="130"/>
      <c r="X191" s="130"/>
      <c r="Y191" s="130"/>
      <c r="Z191" s="130"/>
      <c r="AA191" s="130"/>
      <c r="AB191" s="130"/>
      <c r="AC191" s="130"/>
    </row>
    <row r="192" ht="15.75" customHeight="1">
      <c r="A192" s="124"/>
      <c r="B192" s="124"/>
      <c r="C192" s="124"/>
      <c r="D192" s="124"/>
      <c r="E192" s="124"/>
      <c r="F192" s="124"/>
      <c r="G192" s="124"/>
      <c r="H192" s="124"/>
      <c r="I192" s="124"/>
      <c r="J192" s="124"/>
      <c r="K192" s="124"/>
      <c r="L192" s="124"/>
      <c r="M192" s="124"/>
      <c r="N192" s="130"/>
      <c r="O192" s="130"/>
      <c r="P192" s="130"/>
      <c r="Q192" s="130"/>
      <c r="R192" s="130"/>
      <c r="S192" s="130"/>
      <c r="T192" s="130"/>
      <c r="U192" s="130"/>
      <c r="V192" s="130"/>
      <c r="W192" s="130"/>
      <c r="X192" s="130"/>
      <c r="Y192" s="130"/>
      <c r="Z192" s="130"/>
      <c r="AA192" s="130"/>
      <c r="AB192" s="130"/>
      <c r="AC192" s="130"/>
    </row>
    <row r="193" ht="15.75" customHeight="1">
      <c r="A193" s="124"/>
      <c r="B193" s="124"/>
      <c r="C193" s="124"/>
      <c r="D193" s="124"/>
      <c r="E193" s="124"/>
      <c r="F193" s="124"/>
      <c r="G193" s="124"/>
      <c r="H193" s="124"/>
      <c r="I193" s="124"/>
      <c r="J193" s="124"/>
      <c r="K193" s="124"/>
      <c r="L193" s="124"/>
      <c r="M193" s="124"/>
      <c r="N193" s="130"/>
      <c r="O193" s="130"/>
      <c r="P193" s="130"/>
      <c r="Q193" s="130"/>
      <c r="R193" s="130"/>
      <c r="S193" s="130"/>
      <c r="T193" s="130"/>
      <c r="U193" s="130"/>
      <c r="V193" s="130"/>
      <c r="W193" s="130"/>
      <c r="X193" s="130"/>
      <c r="Y193" s="130"/>
      <c r="Z193" s="130"/>
      <c r="AA193" s="130"/>
      <c r="AB193" s="130"/>
      <c r="AC193" s="130"/>
    </row>
    <row r="194" ht="15.75" customHeight="1">
      <c r="A194" s="124"/>
      <c r="B194" s="124"/>
      <c r="C194" s="124"/>
      <c r="D194" s="124"/>
      <c r="E194" s="124"/>
      <c r="F194" s="124"/>
      <c r="G194" s="124"/>
      <c r="H194" s="124"/>
      <c r="I194" s="124"/>
      <c r="J194" s="124"/>
      <c r="K194" s="124"/>
      <c r="L194" s="124"/>
      <c r="M194" s="124"/>
      <c r="N194" s="130"/>
      <c r="O194" s="130"/>
      <c r="P194" s="130"/>
      <c r="Q194" s="130"/>
      <c r="R194" s="130"/>
      <c r="S194" s="130"/>
      <c r="T194" s="130"/>
      <c r="U194" s="130"/>
      <c r="V194" s="130"/>
      <c r="W194" s="130"/>
      <c r="X194" s="130"/>
      <c r="Y194" s="130"/>
      <c r="Z194" s="130"/>
      <c r="AA194" s="130"/>
      <c r="AB194" s="130"/>
      <c r="AC194" s="130"/>
    </row>
    <row r="195" ht="15.75" customHeight="1">
      <c r="A195" s="124"/>
      <c r="B195" s="124"/>
      <c r="C195" s="124"/>
      <c r="D195" s="124"/>
      <c r="E195" s="124"/>
      <c r="F195" s="124"/>
      <c r="G195" s="124"/>
      <c r="H195" s="124"/>
      <c r="I195" s="124"/>
      <c r="J195" s="124"/>
      <c r="K195" s="124"/>
      <c r="L195" s="124"/>
      <c r="M195" s="124"/>
      <c r="N195" s="130"/>
      <c r="O195" s="130"/>
      <c r="P195" s="130"/>
      <c r="Q195" s="130"/>
      <c r="R195" s="130"/>
      <c r="S195" s="130"/>
      <c r="T195" s="130"/>
      <c r="U195" s="130"/>
      <c r="V195" s="130"/>
      <c r="W195" s="130"/>
      <c r="X195" s="130"/>
      <c r="Y195" s="130"/>
      <c r="Z195" s="130"/>
      <c r="AA195" s="130"/>
      <c r="AB195" s="130"/>
      <c r="AC195" s="130"/>
    </row>
    <row r="196" ht="15.75" customHeight="1">
      <c r="A196" s="124"/>
      <c r="B196" s="124"/>
      <c r="C196" s="124"/>
      <c r="D196" s="124"/>
      <c r="E196" s="124"/>
      <c r="F196" s="124"/>
      <c r="G196" s="124"/>
      <c r="H196" s="124"/>
      <c r="I196" s="124"/>
      <c r="J196" s="124"/>
      <c r="K196" s="124"/>
      <c r="L196" s="124"/>
      <c r="M196" s="124"/>
      <c r="N196" s="130"/>
      <c r="O196" s="130"/>
      <c r="P196" s="130"/>
      <c r="Q196" s="130"/>
      <c r="R196" s="130"/>
      <c r="S196" s="130"/>
      <c r="T196" s="130"/>
      <c r="U196" s="130"/>
      <c r="V196" s="130"/>
      <c r="W196" s="130"/>
      <c r="X196" s="130"/>
      <c r="Y196" s="130"/>
      <c r="Z196" s="130"/>
      <c r="AA196" s="130"/>
      <c r="AB196" s="130"/>
      <c r="AC196" s="130"/>
    </row>
    <row r="197" ht="15.75" customHeight="1">
      <c r="A197" s="124"/>
      <c r="B197" s="124"/>
      <c r="C197" s="124"/>
      <c r="D197" s="124"/>
      <c r="E197" s="124"/>
      <c r="F197" s="124"/>
      <c r="G197" s="124"/>
      <c r="H197" s="124"/>
      <c r="I197" s="124"/>
      <c r="J197" s="124"/>
      <c r="K197" s="124"/>
      <c r="L197" s="124"/>
      <c r="M197" s="124"/>
      <c r="N197" s="130"/>
      <c r="O197" s="130"/>
      <c r="P197" s="130"/>
      <c r="Q197" s="130"/>
      <c r="R197" s="130"/>
      <c r="S197" s="130"/>
      <c r="T197" s="130"/>
      <c r="U197" s="130"/>
      <c r="V197" s="130"/>
      <c r="W197" s="130"/>
      <c r="X197" s="130"/>
      <c r="Y197" s="130"/>
      <c r="Z197" s="130"/>
      <c r="AA197" s="130"/>
      <c r="AB197" s="130"/>
      <c r="AC197" s="130"/>
    </row>
    <row r="198" ht="15.75" customHeight="1">
      <c r="A198" s="124"/>
      <c r="B198" s="124"/>
      <c r="C198" s="124"/>
      <c r="D198" s="124"/>
      <c r="E198" s="124"/>
      <c r="F198" s="124"/>
      <c r="G198" s="124"/>
      <c r="H198" s="124"/>
      <c r="I198" s="124"/>
      <c r="J198" s="124"/>
      <c r="K198" s="124"/>
      <c r="L198" s="124"/>
      <c r="M198" s="124"/>
      <c r="N198" s="130"/>
      <c r="O198" s="130"/>
      <c r="P198" s="130"/>
      <c r="Q198" s="130"/>
      <c r="R198" s="130"/>
      <c r="S198" s="130"/>
      <c r="T198" s="130"/>
      <c r="U198" s="130"/>
      <c r="V198" s="130"/>
      <c r="W198" s="130"/>
      <c r="X198" s="130"/>
      <c r="Y198" s="130"/>
      <c r="Z198" s="130"/>
      <c r="AA198" s="130"/>
      <c r="AB198" s="130"/>
      <c r="AC198" s="130"/>
    </row>
    <row r="199" ht="15.75" customHeight="1">
      <c r="A199" s="124"/>
      <c r="B199" s="124"/>
      <c r="C199" s="124"/>
      <c r="D199" s="124"/>
      <c r="E199" s="124"/>
      <c r="F199" s="124"/>
      <c r="G199" s="124"/>
      <c r="H199" s="124"/>
      <c r="I199" s="124"/>
      <c r="J199" s="124"/>
      <c r="K199" s="124"/>
      <c r="L199" s="124"/>
      <c r="M199" s="124"/>
      <c r="N199" s="130"/>
      <c r="O199" s="130"/>
      <c r="P199" s="130"/>
      <c r="Q199" s="130"/>
      <c r="R199" s="130"/>
      <c r="S199" s="130"/>
      <c r="T199" s="130"/>
      <c r="U199" s="130"/>
      <c r="V199" s="130"/>
      <c r="W199" s="130"/>
      <c r="X199" s="130"/>
      <c r="Y199" s="130"/>
      <c r="Z199" s="130"/>
      <c r="AA199" s="130"/>
      <c r="AB199" s="130"/>
      <c r="AC199" s="130"/>
    </row>
    <row r="200" ht="15.75" customHeight="1">
      <c r="A200" s="124"/>
      <c r="B200" s="124"/>
      <c r="C200" s="124"/>
      <c r="D200" s="124"/>
      <c r="E200" s="124"/>
      <c r="F200" s="124"/>
      <c r="G200" s="124"/>
      <c r="H200" s="124"/>
      <c r="I200" s="124"/>
      <c r="J200" s="124"/>
      <c r="K200" s="124"/>
      <c r="L200" s="124"/>
      <c r="M200" s="124"/>
      <c r="N200" s="130"/>
      <c r="O200" s="130"/>
      <c r="P200" s="130"/>
      <c r="Q200" s="130"/>
      <c r="R200" s="130"/>
      <c r="S200" s="130"/>
      <c r="T200" s="130"/>
      <c r="U200" s="130"/>
      <c r="V200" s="130"/>
      <c r="W200" s="130"/>
      <c r="X200" s="130"/>
      <c r="Y200" s="130"/>
      <c r="Z200" s="130"/>
      <c r="AA200" s="130"/>
      <c r="AB200" s="130"/>
      <c r="AC200" s="130"/>
    </row>
    <row r="201" ht="15.75" customHeight="1">
      <c r="A201" s="124"/>
      <c r="B201" s="124"/>
      <c r="C201" s="124"/>
      <c r="D201" s="124"/>
      <c r="E201" s="124"/>
      <c r="F201" s="124"/>
      <c r="G201" s="124"/>
      <c r="H201" s="124"/>
      <c r="I201" s="124"/>
      <c r="J201" s="124"/>
      <c r="K201" s="124"/>
      <c r="L201" s="124"/>
      <c r="M201" s="124"/>
      <c r="N201" s="130"/>
      <c r="O201" s="130"/>
      <c r="P201" s="130"/>
      <c r="Q201" s="130"/>
      <c r="R201" s="130"/>
      <c r="S201" s="130"/>
      <c r="T201" s="130"/>
      <c r="U201" s="130"/>
      <c r="V201" s="130"/>
      <c r="W201" s="130"/>
      <c r="X201" s="130"/>
      <c r="Y201" s="130"/>
      <c r="Z201" s="130"/>
      <c r="AA201" s="130"/>
      <c r="AB201" s="130"/>
      <c r="AC201" s="130"/>
    </row>
    <row r="202" ht="15.75" customHeight="1">
      <c r="A202" s="124"/>
      <c r="B202" s="124"/>
      <c r="C202" s="124"/>
      <c r="D202" s="124"/>
      <c r="E202" s="124"/>
      <c r="F202" s="124"/>
      <c r="G202" s="124"/>
      <c r="H202" s="124"/>
      <c r="I202" s="124"/>
      <c r="J202" s="124"/>
      <c r="K202" s="124"/>
      <c r="L202" s="124"/>
      <c r="M202" s="124"/>
      <c r="N202" s="130"/>
      <c r="O202" s="130"/>
      <c r="P202" s="130"/>
      <c r="Q202" s="130"/>
      <c r="R202" s="130"/>
      <c r="S202" s="130"/>
      <c r="T202" s="130"/>
      <c r="U202" s="130"/>
      <c r="V202" s="130"/>
      <c r="W202" s="130"/>
      <c r="X202" s="130"/>
      <c r="Y202" s="130"/>
      <c r="Z202" s="130"/>
      <c r="AA202" s="130"/>
      <c r="AB202" s="130"/>
      <c r="AC202" s="130"/>
    </row>
    <row r="203" ht="15.75" customHeight="1">
      <c r="A203" s="124"/>
      <c r="B203" s="124"/>
      <c r="C203" s="124"/>
      <c r="D203" s="124"/>
      <c r="E203" s="124"/>
      <c r="F203" s="124"/>
      <c r="G203" s="124"/>
      <c r="H203" s="124"/>
      <c r="I203" s="124"/>
      <c r="J203" s="124"/>
      <c r="K203" s="124"/>
      <c r="L203" s="124"/>
      <c r="M203" s="124"/>
      <c r="N203" s="130"/>
      <c r="O203" s="130"/>
      <c r="P203" s="130"/>
      <c r="Q203" s="130"/>
      <c r="R203" s="130"/>
      <c r="S203" s="130"/>
      <c r="T203" s="130"/>
      <c r="U203" s="130"/>
      <c r="V203" s="130"/>
      <c r="W203" s="130"/>
      <c r="X203" s="130"/>
      <c r="Y203" s="130"/>
      <c r="Z203" s="130"/>
      <c r="AA203" s="130"/>
      <c r="AB203" s="130"/>
      <c r="AC203" s="130"/>
    </row>
    <row r="204" ht="15.75" customHeight="1">
      <c r="A204" s="124"/>
      <c r="B204" s="124"/>
      <c r="C204" s="124"/>
      <c r="D204" s="124"/>
      <c r="E204" s="124"/>
      <c r="F204" s="124"/>
      <c r="G204" s="124"/>
      <c r="H204" s="124"/>
      <c r="I204" s="124"/>
      <c r="J204" s="124"/>
      <c r="K204" s="124"/>
      <c r="L204" s="124"/>
      <c r="M204" s="124"/>
      <c r="N204" s="130"/>
      <c r="O204" s="130"/>
      <c r="P204" s="130"/>
      <c r="Q204" s="130"/>
      <c r="R204" s="130"/>
      <c r="S204" s="130"/>
      <c r="T204" s="130"/>
      <c r="U204" s="130"/>
      <c r="V204" s="130"/>
      <c r="W204" s="130"/>
      <c r="X204" s="130"/>
      <c r="Y204" s="130"/>
      <c r="Z204" s="130"/>
      <c r="AA204" s="130"/>
      <c r="AB204" s="130"/>
      <c r="AC204" s="130"/>
    </row>
    <row r="205" ht="15.75" customHeight="1">
      <c r="A205" s="124"/>
      <c r="B205" s="124"/>
      <c r="C205" s="124"/>
      <c r="D205" s="124"/>
      <c r="E205" s="124"/>
      <c r="F205" s="124"/>
      <c r="G205" s="124"/>
      <c r="H205" s="124"/>
      <c r="I205" s="124"/>
      <c r="J205" s="124"/>
      <c r="K205" s="124"/>
      <c r="L205" s="124"/>
      <c r="M205" s="124"/>
      <c r="N205" s="130"/>
      <c r="O205" s="130"/>
      <c r="P205" s="130"/>
      <c r="Q205" s="130"/>
      <c r="R205" s="130"/>
      <c r="S205" s="130"/>
      <c r="T205" s="130"/>
      <c r="U205" s="130"/>
      <c r="V205" s="130"/>
      <c r="W205" s="130"/>
      <c r="X205" s="130"/>
      <c r="Y205" s="130"/>
      <c r="Z205" s="130"/>
      <c r="AA205" s="130"/>
      <c r="AB205" s="130"/>
      <c r="AC205" s="130"/>
    </row>
    <row r="206" ht="15.75" customHeight="1">
      <c r="A206" s="124"/>
      <c r="B206" s="124"/>
      <c r="C206" s="124"/>
      <c r="D206" s="124"/>
      <c r="E206" s="124"/>
      <c r="F206" s="124"/>
      <c r="G206" s="124"/>
      <c r="H206" s="124"/>
      <c r="I206" s="124"/>
      <c r="J206" s="124"/>
      <c r="K206" s="124"/>
      <c r="L206" s="124"/>
      <c r="M206" s="124"/>
      <c r="N206" s="130"/>
      <c r="O206" s="130"/>
      <c r="P206" s="130"/>
      <c r="Q206" s="130"/>
      <c r="R206" s="130"/>
      <c r="S206" s="130"/>
      <c r="T206" s="130"/>
      <c r="U206" s="130"/>
      <c r="V206" s="130"/>
      <c r="W206" s="130"/>
      <c r="X206" s="130"/>
      <c r="Y206" s="130"/>
      <c r="Z206" s="130"/>
      <c r="AA206" s="130"/>
      <c r="AB206" s="130"/>
      <c r="AC206" s="130"/>
    </row>
    <row r="207" ht="15.75" customHeight="1">
      <c r="A207" s="124"/>
      <c r="B207" s="124"/>
      <c r="C207" s="124"/>
      <c r="D207" s="124"/>
      <c r="E207" s="124"/>
      <c r="F207" s="124"/>
      <c r="G207" s="124"/>
      <c r="H207" s="124"/>
      <c r="I207" s="124"/>
      <c r="J207" s="124"/>
      <c r="K207" s="124"/>
      <c r="L207" s="124"/>
      <c r="M207" s="124"/>
      <c r="N207" s="130"/>
      <c r="O207" s="130"/>
      <c r="P207" s="130"/>
      <c r="Q207" s="130"/>
      <c r="R207" s="130"/>
      <c r="S207" s="130"/>
      <c r="T207" s="130"/>
      <c r="U207" s="130"/>
      <c r="V207" s="130"/>
      <c r="W207" s="130"/>
      <c r="X207" s="130"/>
      <c r="Y207" s="130"/>
      <c r="Z207" s="130"/>
      <c r="AA207" s="130"/>
      <c r="AB207" s="130"/>
      <c r="AC207" s="130"/>
    </row>
    <row r="208" ht="15.75" customHeight="1">
      <c r="A208" s="124"/>
      <c r="B208" s="124"/>
      <c r="C208" s="124"/>
      <c r="D208" s="124"/>
      <c r="E208" s="124"/>
      <c r="F208" s="124"/>
      <c r="G208" s="124"/>
      <c r="H208" s="124"/>
      <c r="I208" s="124"/>
      <c r="J208" s="124"/>
      <c r="K208" s="124"/>
      <c r="L208" s="124"/>
      <c r="M208" s="124"/>
      <c r="N208" s="130"/>
      <c r="O208" s="130"/>
      <c r="P208" s="130"/>
      <c r="Q208" s="130"/>
      <c r="R208" s="130"/>
      <c r="S208" s="130"/>
      <c r="T208" s="130"/>
      <c r="U208" s="130"/>
      <c r="V208" s="130"/>
      <c r="W208" s="130"/>
      <c r="X208" s="130"/>
      <c r="Y208" s="130"/>
      <c r="Z208" s="130"/>
      <c r="AA208" s="130"/>
      <c r="AB208" s="130"/>
      <c r="AC208" s="130"/>
    </row>
    <row r="209" ht="15.75" customHeight="1">
      <c r="A209" s="124"/>
      <c r="B209" s="124"/>
      <c r="C209" s="124"/>
      <c r="D209" s="124"/>
      <c r="E209" s="124"/>
      <c r="F209" s="124"/>
      <c r="G209" s="124"/>
      <c r="H209" s="124"/>
      <c r="I209" s="124"/>
      <c r="J209" s="124"/>
      <c r="K209" s="124"/>
      <c r="L209" s="124"/>
      <c r="M209" s="124"/>
      <c r="N209" s="130"/>
      <c r="O209" s="130"/>
      <c r="P209" s="130"/>
      <c r="Q209" s="130"/>
      <c r="R209" s="130"/>
      <c r="S209" s="130"/>
      <c r="T209" s="130"/>
      <c r="U209" s="130"/>
      <c r="V209" s="130"/>
      <c r="W209" s="130"/>
      <c r="X209" s="130"/>
      <c r="Y209" s="130"/>
      <c r="Z209" s="130"/>
      <c r="AA209" s="130"/>
      <c r="AB209" s="130"/>
      <c r="AC209" s="130"/>
    </row>
    <row r="210" ht="15.75" customHeight="1">
      <c r="A210" s="124"/>
      <c r="B210" s="124"/>
      <c r="C210" s="124"/>
      <c r="D210" s="124"/>
      <c r="E210" s="124"/>
      <c r="F210" s="124"/>
      <c r="G210" s="124"/>
      <c r="H210" s="124"/>
      <c r="I210" s="124"/>
      <c r="J210" s="124"/>
      <c r="K210" s="124"/>
      <c r="L210" s="124"/>
      <c r="M210" s="124"/>
      <c r="N210" s="130"/>
      <c r="O210" s="130"/>
      <c r="P210" s="130"/>
      <c r="Q210" s="130"/>
      <c r="R210" s="130"/>
      <c r="S210" s="130"/>
      <c r="T210" s="130"/>
      <c r="U210" s="130"/>
      <c r="V210" s="130"/>
      <c r="W210" s="130"/>
      <c r="X210" s="130"/>
      <c r="Y210" s="130"/>
      <c r="Z210" s="130"/>
      <c r="AA210" s="130"/>
      <c r="AB210" s="130"/>
      <c r="AC210" s="130"/>
    </row>
    <row r="211" ht="15.75" customHeight="1">
      <c r="A211" s="124"/>
      <c r="B211" s="124"/>
      <c r="C211" s="124"/>
      <c r="D211" s="124"/>
      <c r="E211" s="124"/>
      <c r="F211" s="124"/>
      <c r="G211" s="124"/>
      <c r="H211" s="124"/>
      <c r="I211" s="124"/>
      <c r="J211" s="124"/>
      <c r="K211" s="124"/>
      <c r="L211" s="124"/>
      <c r="M211" s="124"/>
      <c r="N211" s="130"/>
      <c r="O211" s="130"/>
      <c r="P211" s="130"/>
      <c r="Q211" s="130"/>
      <c r="R211" s="130"/>
      <c r="S211" s="130"/>
      <c r="T211" s="130"/>
      <c r="U211" s="130"/>
      <c r="V211" s="130"/>
      <c r="W211" s="130"/>
      <c r="X211" s="130"/>
      <c r="Y211" s="130"/>
      <c r="Z211" s="130"/>
      <c r="AA211" s="130"/>
      <c r="AB211" s="130"/>
      <c r="AC211" s="130"/>
    </row>
    <row r="212" ht="15.75" customHeight="1">
      <c r="A212" s="124"/>
      <c r="B212" s="124"/>
      <c r="C212" s="124"/>
      <c r="D212" s="124"/>
      <c r="E212" s="124"/>
      <c r="F212" s="124"/>
      <c r="G212" s="124"/>
      <c r="H212" s="124"/>
      <c r="I212" s="124"/>
      <c r="J212" s="124"/>
      <c r="K212" s="124"/>
      <c r="L212" s="124"/>
      <c r="M212" s="124"/>
      <c r="N212" s="130"/>
      <c r="O212" s="130"/>
      <c r="P212" s="130"/>
      <c r="Q212" s="130"/>
      <c r="R212" s="130"/>
      <c r="S212" s="130"/>
      <c r="T212" s="130"/>
      <c r="U212" s="130"/>
      <c r="V212" s="130"/>
      <c r="W212" s="130"/>
      <c r="X212" s="130"/>
      <c r="Y212" s="130"/>
      <c r="Z212" s="130"/>
      <c r="AA212" s="130"/>
      <c r="AB212" s="130"/>
      <c r="AC212" s="130"/>
    </row>
    <row r="213" ht="15.75" customHeight="1">
      <c r="A213" s="124"/>
      <c r="B213" s="124"/>
      <c r="C213" s="124"/>
      <c r="D213" s="124"/>
      <c r="E213" s="124"/>
      <c r="F213" s="124"/>
      <c r="G213" s="124"/>
      <c r="H213" s="124"/>
      <c r="I213" s="124"/>
      <c r="J213" s="124"/>
      <c r="K213" s="124"/>
      <c r="L213" s="124"/>
      <c r="M213" s="124"/>
      <c r="N213" s="130"/>
      <c r="O213" s="130"/>
      <c r="P213" s="130"/>
      <c r="Q213" s="130"/>
      <c r="R213" s="130"/>
      <c r="S213" s="130"/>
      <c r="T213" s="130"/>
      <c r="U213" s="130"/>
      <c r="V213" s="130"/>
      <c r="W213" s="130"/>
      <c r="X213" s="130"/>
      <c r="Y213" s="130"/>
      <c r="Z213" s="130"/>
      <c r="AA213" s="130"/>
      <c r="AB213" s="130"/>
      <c r="AC213" s="130"/>
    </row>
    <row r="214" ht="15.75" customHeight="1">
      <c r="A214" s="124"/>
      <c r="B214" s="124"/>
      <c r="C214" s="124"/>
      <c r="D214" s="124"/>
      <c r="E214" s="124"/>
      <c r="F214" s="124"/>
      <c r="G214" s="124"/>
      <c r="H214" s="124"/>
      <c r="I214" s="124"/>
      <c r="J214" s="124"/>
      <c r="K214" s="124"/>
      <c r="L214" s="124"/>
      <c r="M214" s="124"/>
      <c r="N214" s="130"/>
      <c r="O214" s="130"/>
      <c r="P214" s="130"/>
      <c r="Q214" s="130"/>
      <c r="R214" s="130"/>
      <c r="S214" s="130"/>
      <c r="T214" s="130"/>
      <c r="U214" s="130"/>
      <c r="V214" s="130"/>
      <c r="W214" s="130"/>
      <c r="X214" s="130"/>
      <c r="Y214" s="130"/>
      <c r="Z214" s="130"/>
      <c r="AA214" s="130"/>
      <c r="AB214" s="130"/>
      <c r="AC214" s="130"/>
    </row>
    <row r="215" ht="15.75" customHeight="1">
      <c r="A215" s="124"/>
      <c r="B215" s="124"/>
      <c r="C215" s="124"/>
      <c r="D215" s="124"/>
      <c r="E215" s="124"/>
      <c r="F215" s="124"/>
      <c r="G215" s="124"/>
      <c r="H215" s="124"/>
      <c r="I215" s="124"/>
      <c r="J215" s="124"/>
      <c r="K215" s="124"/>
      <c r="L215" s="124"/>
      <c r="M215" s="124"/>
      <c r="N215" s="130"/>
      <c r="O215" s="130"/>
      <c r="P215" s="130"/>
      <c r="Q215" s="130"/>
      <c r="R215" s="130"/>
      <c r="S215" s="130"/>
      <c r="T215" s="130"/>
      <c r="U215" s="130"/>
      <c r="V215" s="130"/>
      <c r="W215" s="130"/>
      <c r="X215" s="130"/>
      <c r="Y215" s="130"/>
      <c r="Z215" s="130"/>
      <c r="AA215" s="130"/>
      <c r="AB215" s="130"/>
      <c r="AC215" s="130"/>
    </row>
    <row r="216" ht="15.75" customHeight="1">
      <c r="A216" s="124"/>
      <c r="B216" s="124"/>
      <c r="C216" s="124"/>
      <c r="D216" s="124"/>
      <c r="E216" s="124"/>
      <c r="F216" s="124"/>
      <c r="G216" s="124"/>
      <c r="H216" s="124"/>
      <c r="I216" s="124"/>
      <c r="J216" s="124"/>
      <c r="K216" s="124"/>
      <c r="L216" s="124"/>
      <c r="M216" s="124"/>
      <c r="N216" s="130"/>
      <c r="O216" s="130"/>
      <c r="P216" s="130"/>
      <c r="Q216" s="130"/>
      <c r="R216" s="130"/>
      <c r="S216" s="130"/>
      <c r="T216" s="130"/>
      <c r="U216" s="130"/>
      <c r="V216" s="130"/>
      <c r="W216" s="130"/>
      <c r="X216" s="130"/>
      <c r="Y216" s="130"/>
      <c r="Z216" s="130"/>
      <c r="AA216" s="130"/>
      <c r="AB216" s="130"/>
      <c r="AC216" s="130"/>
    </row>
    <row r="217" ht="15.75" customHeight="1">
      <c r="A217" s="127"/>
      <c r="B217" s="127"/>
      <c r="C217" s="127"/>
      <c r="D217" s="127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  <c r="AA217" s="127"/>
      <c r="AB217" s="127"/>
      <c r="AC217" s="127"/>
    </row>
    <row r="218" ht="15.75" customHeight="1">
      <c r="A218" s="127"/>
      <c r="B218" s="127"/>
      <c r="C218" s="127"/>
      <c r="D218" s="127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  <c r="AA218" s="127"/>
      <c r="AB218" s="127"/>
      <c r="AC218" s="127"/>
    </row>
    <row r="219" ht="15.75" customHeight="1">
      <c r="A219" s="127"/>
      <c r="B219" s="127"/>
      <c r="C219" s="127"/>
      <c r="D219" s="127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  <c r="AA219" s="127"/>
      <c r="AB219" s="127"/>
      <c r="AC219" s="127"/>
    </row>
    <row r="220" ht="15.75" customHeight="1">
      <c r="A220" s="127"/>
      <c r="B220" s="127"/>
      <c r="C220" s="127"/>
      <c r="D220" s="127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  <c r="AA220" s="127"/>
      <c r="AB220" s="127"/>
      <c r="AC220" s="127"/>
    </row>
    <row r="221" ht="15.75" customHeight="1">
      <c r="A221" s="127"/>
      <c r="B221" s="127"/>
      <c r="C221" s="127"/>
      <c r="D221" s="127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  <c r="AA221" s="127"/>
      <c r="AB221" s="127"/>
      <c r="AC221" s="127"/>
    </row>
    <row r="222" ht="15.75" customHeight="1">
      <c r="A222" s="127"/>
      <c r="B222" s="127"/>
      <c r="C222" s="127"/>
      <c r="D222" s="127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  <c r="AA222" s="127"/>
      <c r="AB222" s="127"/>
      <c r="AC222" s="127"/>
    </row>
    <row r="223" ht="15.75" customHeight="1">
      <c r="A223" s="127"/>
      <c r="B223" s="127"/>
      <c r="C223" s="127"/>
      <c r="D223" s="127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  <c r="AA223" s="127"/>
      <c r="AB223" s="127"/>
      <c r="AC223" s="127"/>
    </row>
    <row r="224" ht="15.75" customHeight="1">
      <c r="A224" s="127"/>
      <c r="B224" s="127"/>
      <c r="C224" s="127"/>
      <c r="D224" s="127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  <c r="AA224" s="127"/>
      <c r="AB224" s="127"/>
      <c r="AC224" s="127"/>
    </row>
    <row r="225" ht="15.75" customHeight="1">
      <c r="A225" s="127"/>
      <c r="B225" s="127"/>
      <c r="C225" s="127"/>
      <c r="D225" s="127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  <c r="AA225" s="127"/>
      <c r="AB225" s="127"/>
      <c r="AC225" s="127"/>
    </row>
    <row r="226" ht="15.75" customHeight="1">
      <c r="A226" s="127"/>
      <c r="B226" s="127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  <c r="AA226" s="127"/>
      <c r="AB226" s="127"/>
      <c r="AC226" s="127"/>
    </row>
    <row r="227" ht="15.75" customHeight="1">
      <c r="A227" s="127"/>
      <c r="B227" s="127"/>
      <c r="C227" s="127"/>
      <c r="D227" s="127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  <c r="AA227" s="127"/>
      <c r="AB227" s="127"/>
      <c r="AC227" s="127"/>
    </row>
    <row r="228" ht="15.75" customHeight="1">
      <c r="A228" s="127"/>
      <c r="B228" s="127"/>
      <c r="C228" s="127"/>
      <c r="D228" s="127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  <c r="AA228" s="127"/>
      <c r="AB228" s="127"/>
      <c r="AC228" s="127"/>
    </row>
    <row r="229" ht="15.75" customHeight="1">
      <c r="A229" s="127"/>
      <c r="B229" s="127"/>
      <c r="C229" s="127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  <c r="AA229" s="127"/>
      <c r="AB229" s="127"/>
      <c r="AC229" s="127"/>
    </row>
    <row r="230" ht="15.75" customHeight="1">
      <c r="A230" s="127"/>
      <c r="B230" s="12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  <c r="AA230" s="127"/>
      <c r="AB230" s="127"/>
      <c r="AC230" s="127"/>
    </row>
    <row r="231" ht="15.75" customHeight="1">
      <c r="A231" s="127"/>
      <c r="B231" s="12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  <c r="AA231" s="127"/>
      <c r="AB231" s="127"/>
      <c r="AC231" s="127"/>
    </row>
    <row r="232" ht="15.75" customHeight="1">
      <c r="A232" s="127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  <c r="AA232" s="127"/>
      <c r="AB232" s="127"/>
      <c r="AC232" s="127"/>
    </row>
    <row r="233" ht="15.75" customHeight="1">
      <c r="A233" s="127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  <c r="AA233" s="127"/>
      <c r="AB233" s="127"/>
      <c r="AC233" s="127"/>
    </row>
    <row r="234" ht="15.75" customHeight="1">
      <c r="A234" s="12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  <c r="AA234" s="127"/>
      <c r="AB234" s="127"/>
      <c r="AC234" s="127"/>
    </row>
    <row r="235" ht="15.75" customHeight="1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  <c r="AA235" s="127"/>
      <c r="AB235" s="127"/>
      <c r="AC235" s="127"/>
    </row>
    <row r="236" ht="15.75" customHeight="1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  <c r="AA236" s="127"/>
      <c r="AB236" s="127"/>
      <c r="AC236" s="127"/>
    </row>
    <row r="237" ht="15.75" customHeight="1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  <c r="AA237" s="127"/>
      <c r="AB237" s="127"/>
      <c r="AC237" s="127"/>
    </row>
    <row r="238" ht="15.75" customHeight="1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  <c r="AA238" s="127"/>
      <c r="AB238" s="127"/>
      <c r="AC238" s="127"/>
    </row>
    <row r="239" ht="15.75" customHeight="1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  <c r="AA239" s="127"/>
      <c r="AB239" s="127"/>
      <c r="AC239" s="127"/>
    </row>
    <row r="240" ht="15.75" customHeight="1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  <c r="AA240" s="127"/>
      <c r="AB240" s="127"/>
      <c r="AC240" s="127"/>
    </row>
    <row r="241" ht="15.75" customHeight="1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  <c r="AA241" s="127"/>
      <c r="AB241" s="127"/>
      <c r="AC241" s="127"/>
    </row>
    <row r="242" ht="15.75" customHeight="1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  <c r="AA242" s="127"/>
      <c r="AB242" s="127"/>
      <c r="AC242" s="127"/>
    </row>
    <row r="243" ht="15.75" customHeight="1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  <c r="AA243" s="127"/>
      <c r="AB243" s="127"/>
      <c r="AC243" s="127"/>
    </row>
    <row r="244" ht="15.75" customHeight="1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  <c r="AA244" s="127"/>
      <c r="AB244" s="127"/>
      <c r="AC244" s="127"/>
    </row>
    <row r="245" ht="15.75" customHeight="1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  <c r="AA245" s="127"/>
      <c r="AB245" s="127"/>
      <c r="AC245" s="127"/>
    </row>
    <row r="246" ht="15.75" customHeight="1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  <c r="AA246" s="127"/>
      <c r="AB246" s="127"/>
      <c r="AC246" s="127"/>
    </row>
    <row r="247" ht="15.75" customHeight="1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  <c r="AA247" s="127"/>
      <c r="AB247" s="127"/>
      <c r="AC247" s="127"/>
    </row>
    <row r="248" ht="15.75" customHeight="1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  <c r="AA248" s="127"/>
      <c r="AB248" s="127"/>
      <c r="AC248" s="127"/>
    </row>
    <row r="249" ht="15.75" customHeight="1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  <c r="AA249" s="127"/>
      <c r="AB249" s="127"/>
      <c r="AC249" s="127"/>
    </row>
    <row r="250" ht="15.75" customHeight="1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  <c r="AA250" s="127"/>
      <c r="AB250" s="127"/>
      <c r="AC250" s="127"/>
    </row>
    <row r="251" ht="15.75" customHeight="1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  <c r="AA251" s="127"/>
      <c r="AB251" s="127"/>
      <c r="AC251" s="127"/>
    </row>
    <row r="252" ht="15.75" customHeight="1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  <c r="AA252" s="127"/>
      <c r="AB252" s="127"/>
      <c r="AC252" s="127"/>
    </row>
    <row r="253" ht="15.75" customHeight="1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  <c r="AA253" s="127"/>
      <c r="AB253" s="127"/>
      <c r="AC253" s="127"/>
    </row>
    <row r="254" ht="15.75" customHeight="1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  <c r="AA254" s="127"/>
      <c r="AB254" s="127"/>
      <c r="AC254" s="127"/>
    </row>
    <row r="255" ht="15.75" customHeight="1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  <c r="AA255" s="127"/>
      <c r="AB255" s="127"/>
      <c r="AC255" s="127"/>
    </row>
    <row r="256" ht="15.75" customHeight="1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  <c r="AA256" s="127"/>
      <c r="AB256" s="127"/>
      <c r="AC256" s="127"/>
    </row>
    <row r="257" ht="15.75" customHeight="1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  <c r="AA257" s="127"/>
      <c r="AB257" s="127"/>
      <c r="AC257" s="127"/>
    </row>
    <row r="258" ht="15.75" customHeight="1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  <c r="AA258" s="127"/>
      <c r="AB258" s="127"/>
      <c r="AC258" s="127"/>
    </row>
    <row r="259" ht="15.75" customHeight="1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  <c r="AA259" s="127"/>
      <c r="AB259" s="127"/>
      <c r="AC259" s="127"/>
    </row>
    <row r="260" ht="15.75" customHeight="1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  <c r="AA260" s="127"/>
      <c r="AB260" s="127"/>
      <c r="AC260" s="127"/>
    </row>
    <row r="261" ht="15.75" customHeight="1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  <c r="AA261" s="127"/>
      <c r="AB261" s="127"/>
      <c r="AC261" s="127"/>
    </row>
    <row r="262" ht="15.75" customHeight="1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  <c r="AA262" s="127"/>
      <c r="AB262" s="127"/>
      <c r="AC262" s="127"/>
    </row>
    <row r="263" ht="15.75" customHeight="1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  <c r="AA263" s="127"/>
      <c r="AB263" s="127"/>
      <c r="AC263" s="127"/>
    </row>
    <row r="264" ht="15.75" customHeight="1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  <c r="AA264" s="127"/>
      <c r="AB264" s="127"/>
      <c r="AC264" s="127"/>
    </row>
    <row r="265" ht="15.75" customHeight="1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  <c r="AA265" s="127"/>
      <c r="AB265" s="127"/>
      <c r="AC265" s="127"/>
    </row>
    <row r="266" ht="15.75" customHeight="1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  <c r="AA266" s="127"/>
      <c r="AB266" s="127"/>
      <c r="AC266" s="127"/>
    </row>
    <row r="267" ht="15.75" customHeight="1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  <c r="AA267" s="127"/>
      <c r="AB267" s="127"/>
      <c r="AC267" s="127"/>
    </row>
    <row r="268" ht="15.75" customHeight="1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  <c r="AA268" s="127"/>
      <c r="AB268" s="127"/>
      <c r="AC268" s="127"/>
    </row>
    <row r="269" ht="15.75" customHeight="1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  <c r="AA269" s="127"/>
      <c r="AB269" s="127"/>
      <c r="AC269" s="127"/>
    </row>
    <row r="270" ht="15.75" customHeight="1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  <c r="AA270" s="127"/>
      <c r="AB270" s="127"/>
      <c r="AC270" s="127"/>
    </row>
    <row r="271" ht="15.75" customHeight="1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  <c r="AA271" s="127"/>
      <c r="AB271" s="127"/>
      <c r="AC271" s="127"/>
    </row>
    <row r="272" ht="15.75" customHeight="1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  <c r="AA272" s="127"/>
      <c r="AB272" s="127"/>
      <c r="AC272" s="127"/>
    </row>
    <row r="273" ht="15.75" customHeight="1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  <c r="AA273" s="127"/>
      <c r="AB273" s="127"/>
      <c r="AC273" s="127"/>
    </row>
    <row r="274" ht="15.75" customHeight="1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  <c r="AA274" s="127"/>
      <c r="AB274" s="127"/>
      <c r="AC274" s="127"/>
    </row>
    <row r="275" ht="15.75" customHeight="1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  <c r="AA275" s="127"/>
      <c r="AB275" s="127"/>
      <c r="AC275" s="127"/>
    </row>
    <row r="276" ht="15.75" customHeight="1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  <c r="AA276" s="127"/>
      <c r="AB276" s="127"/>
      <c r="AC276" s="127"/>
    </row>
    <row r="277" ht="15.75" customHeight="1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  <c r="AA277" s="127"/>
      <c r="AB277" s="127"/>
      <c r="AC277" s="127"/>
    </row>
    <row r="278" ht="15.75" customHeight="1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  <c r="AA278" s="127"/>
      <c r="AB278" s="127"/>
      <c r="AC278" s="127"/>
    </row>
    <row r="279" ht="15.75" customHeight="1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  <c r="AA279" s="127"/>
      <c r="AB279" s="127"/>
      <c r="AC279" s="127"/>
    </row>
    <row r="280" ht="15.75" customHeight="1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  <c r="AA280" s="127"/>
      <c r="AB280" s="127"/>
      <c r="AC280" s="127"/>
    </row>
    <row r="281" ht="15.75" customHeight="1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  <c r="AA281" s="127"/>
      <c r="AB281" s="127"/>
      <c r="AC281" s="127"/>
    </row>
    <row r="282" ht="15.75" customHeight="1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  <c r="AA282" s="127"/>
      <c r="AB282" s="127"/>
      <c r="AC282" s="127"/>
    </row>
    <row r="283" ht="15.75" customHeight="1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  <c r="AA283" s="127"/>
      <c r="AB283" s="127"/>
      <c r="AC283" s="127"/>
    </row>
    <row r="284" ht="15.75" customHeight="1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  <c r="AA284" s="127"/>
      <c r="AB284" s="127"/>
      <c r="AC284" s="127"/>
    </row>
    <row r="285" ht="15.75" customHeight="1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  <c r="AA285" s="127"/>
      <c r="AB285" s="127"/>
      <c r="AC285" s="127"/>
    </row>
    <row r="286" ht="15.75" customHeight="1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  <c r="AA286" s="127"/>
      <c r="AB286" s="127"/>
      <c r="AC286" s="127"/>
    </row>
    <row r="287" ht="15.75" customHeight="1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  <c r="AA287" s="127"/>
      <c r="AB287" s="127"/>
      <c r="AC287" s="127"/>
    </row>
    <row r="288" ht="15.75" customHeight="1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  <c r="AA288" s="127"/>
      <c r="AB288" s="127"/>
      <c r="AC288" s="127"/>
    </row>
    <row r="289" ht="15.75" customHeight="1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  <c r="AA289" s="127"/>
      <c r="AB289" s="127"/>
      <c r="AC289" s="127"/>
    </row>
    <row r="290" ht="15.75" customHeight="1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  <c r="AA290" s="127"/>
      <c r="AB290" s="127"/>
      <c r="AC290" s="127"/>
    </row>
    <row r="291" ht="15.75" customHeight="1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  <c r="AA291" s="127"/>
      <c r="AB291" s="127"/>
      <c r="AC291" s="127"/>
    </row>
    <row r="292" ht="15.75" customHeight="1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  <c r="AA292" s="127"/>
      <c r="AB292" s="127"/>
      <c r="AC292" s="127"/>
    </row>
    <row r="293" ht="15.75" customHeight="1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  <c r="AA293" s="127"/>
      <c r="AB293" s="127"/>
      <c r="AC293" s="127"/>
    </row>
    <row r="294" ht="15.75" customHeight="1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  <c r="AA294" s="127"/>
      <c r="AB294" s="127"/>
      <c r="AC294" s="127"/>
    </row>
    <row r="295" ht="15.75" customHeight="1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  <c r="AA295" s="127"/>
      <c r="AB295" s="127"/>
      <c r="AC295" s="127"/>
    </row>
    <row r="296" ht="15.75" customHeight="1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  <c r="AA296" s="127"/>
      <c r="AB296" s="127"/>
      <c r="AC296" s="127"/>
    </row>
    <row r="297" ht="15.75" customHeight="1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  <c r="AA297" s="127"/>
      <c r="AB297" s="127"/>
      <c r="AC297" s="127"/>
    </row>
    <row r="298" ht="15.75" customHeight="1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  <c r="AA298" s="127"/>
      <c r="AB298" s="127"/>
      <c r="AC298" s="127"/>
    </row>
    <row r="299" ht="15.75" customHeight="1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  <c r="AA299" s="127"/>
      <c r="AB299" s="127"/>
      <c r="AC299" s="127"/>
    </row>
    <row r="300" ht="15.75" customHeight="1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  <c r="AA300" s="127"/>
      <c r="AB300" s="127"/>
      <c r="AC300" s="127"/>
    </row>
    <row r="301" ht="15.75" customHeight="1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  <c r="AA301" s="127"/>
      <c r="AB301" s="127"/>
      <c r="AC301" s="127"/>
    </row>
    <row r="302" ht="15.75" customHeight="1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  <c r="AA302" s="127"/>
      <c r="AB302" s="127"/>
      <c r="AC302" s="127"/>
    </row>
    <row r="303" ht="15.75" customHeight="1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  <c r="AA303" s="127"/>
      <c r="AB303" s="127"/>
      <c r="AC303" s="127"/>
    </row>
    <row r="304" ht="15.75" customHeight="1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  <c r="AA304" s="127"/>
      <c r="AB304" s="127"/>
      <c r="AC304" s="127"/>
    </row>
    <row r="305" ht="15.75" customHeight="1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  <c r="AA305" s="127"/>
      <c r="AB305" s="127"/>
      <c r="AC305" s="127"/>
    </row>
    <row r="306" ht="15.75" customHeight="1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  <c r="AA306" s="127"/>
      <c r="AB306" s="127"/>
      <c r="AC306" s="127"/>
    </row>
    <row r="307" ht="15.75" customHeight="1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  <c r="AA307" s="127"/>
      <c r="AB307" s="127"/>
      <c r="AC307" s="127"/>
    </row>
    <row r="308" ht="15.75" customHeight="1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  <c r="AA308" s="127"/>
      <c r="AB308" s="127"/>
      <c r="AC308" s="127"/>
    </row>
    <row r="309" ht="15.75" customHeight="1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  <c r="AA309" s="127"/>
      <c r="AB309" s="127"/>
      <c r="AC309" s="127"/>
    </row>
    <row r="310" ht="15.75" customHeight="1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  <c r="AA310" s="127"/>
      <c r="AB310" s="127"/>
      <c r="AC310" s="127"/>
    </row>
    <row r="311" ht="15.75" customHeight="1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  <c r="AA311" s="127"/>
      <c r="AB311" s="127"/>
      <c r="AC311" s="127"/>
    </row>
    <row r="312" ht="15.75" customHeight="1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  <c r="AA312" s="127"/>
      <c r="AB312" s="127"/>
      <c r="AC312" s="127"/>
    </row>
    <row r="313" ht="15.75" customHeight="1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  <c r="AA313" s="127"/>
      <c r="AB313" s="127"/>
      <c r="AC313" s="127"/>
    </row>
    <row r="314" ht="15.75" customHeight="1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  <c r="AA314" s="127"/>
      <c r="AB314" s="127"/>
      <c r="AC314" s="127"/>
    </row>
    <row r="315" ht="15.75" customHeight="1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  <c r="AA315" s="127"/>
      <c r="AB315" s="127"/>
      <c r="AC315" s="127"/>
    </row>
    <row r="316" ht="15.75" customHeight="1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  <c r="AA316" s="127"/>
      <c r="AB316" s="127"/>
      <c r="AC316" s="127"/>
    </row>
    <row r="317" ht="15.75" customHeight="1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  <c r="AA317" s="127"/>
      <c r="AB317" s="127"/>
      <c r="AC317" s="127"/>
    </row>
    <row r="318" ht="15.75" customHeight="1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  <c r="AA318" s="127"/>
      <c r="AB318" s="127"/>
      <c r="AC318" s="127"/>
    </row>
    <row r="319" ht="15.75" customHeight="1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  <c r="AA319" s="127"/>
      <c r="AB319" s="127"/>
      <c r="AC319" s="127"/>
    </row>
    <row r="320" ht="15.75" customHeight="1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  <c r="AA320" s="127"/>
      <c r="AB320" s="127"/>
      <c r="AC320" s="127"/>
    </row>
    <row r="321" ht="15.75" customHeight="1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  <c r="AA321" s="127"/>
      <c r="AB321" s="127"/>
      <c r="AC321" s="127"/>
    </row>
    <row r="322" ht="15.75" customHeight="1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  <c r="AA322" s="127"/>
      <c r="AB322" s="127"/>
      <c r="AC322" s="127"/>
    </row>
    <row r="323" ht="15.75" customHeight="1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  <c r="AA323" s="127"/>
      <c r="AB323" s="127"/>
      <c r="AC323" s="127"/>
    </row>
    <row r="324" ht="15.75" customHeight="1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  <c r="AA324" s="127"/>
      <c r="AB324" s="127"/>
      <c r="AC324" s="127"/>
    </row>
    <row r="325" ht="15.75" customHeight="1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  <c r="AA325" s="127"/>
      <c r="AB325" s="127"/>
      <c r="AC325" s="127"/>
    </row>
    <row r="326" ht="15.75" customHeight="1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  <c r="AA326" s="127"/>
      <c r="AB326" s="127"/>
      <c r="AC326" s="127"/>
    </row>
    <row r="327" ht="15.75" customHeight="1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  <c r="AA327" s="127"/>
      <c r="AB327" s="127"/>
      <c r="AC327" s="127"/>
    </row>
    <row r="328" ht="15.75" customHeight="1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  <c r="AA328" s="127"/>
      <c r="AB328" s="127"/>
      <c r="AC328" s="127"/>
    </row>
    <row r="329" ht="15.75" customHeight="1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  <c r="AA329" s="127"/>
      <c r="AB329" s="127"/>
      <c r="AC329" s="127"/>
    </row>
    <row r="330" ht="15.75" customHeight="1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  <c r="AA330" s="127"/>
      <c r="AB330" s="127"/>
      <c r="AC330" s="127"/>
    </row>
    <row r="331" ht="15.75" customHeight="1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  <c r="AA331" s="127"/>
      <c r="AB331" s="127"/>
      <c r="AC331" s="127"/>
    </row>
    <row r="332" ht="15.75" customHeight="1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  <c r="AA332" s="127"/>
      <c r="AB332" s="127"/>
      <c r="AC332" s="127"/>
    </row>
    <row r="333" ht="15.75" customHeight="1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  <c r="AA333" s="127"/>
      <c r="AB333" s="127"/>
      <c r="AC333" s="127"/>
    </row>
    <row r="334" ht="15.75" customHeight="1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  <c r="AA334" s="127"/>
      <c r="AB334" s="127"/>
      <c r="AC334" s="127"/>
    </row>
    <row r="335" ht="15.75" customHeight="1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  <c r="AA335" s="127"/>
      <c r="AB335" s="127"/>
      <c r="AC335" s="127"/>
    </row>
    <row r="336" ht="15.75" customHeight="1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  <c r="AA336" s="127"/>
      <c r="AB336" s="127"/>
      <c r="AC336" s="127"/>
    </row>
    <row r="337" ht="15.75" customHeight="1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  <c r="AA337" s="127"/>
      <c r="AB337" s="127"/>
      <c r="AC337" s="127"/>
    </row>
    <row r="338" ht="15.75" customHeight="1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  <c r="AA338" s="127"/>
      <c r="AB338" s="127"/>
      <c r="AC338" s="127"/>
    </row>
    <row r="339" ht="15.75" customHeight="1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  <c r="AA339" s="127"/>
      <c r="AB339" s="127"/>
      <c r="AC339" s="127"/>
    </row>
    <row r="340" ht="15.75" customHeight="1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  <c r="AA340" s="127"/>
      <c r="AB340" s="127"/>
      <c r="AC340" s="127"/>
    </row>
    <row r="341" ht="15.75" customHeight="1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  <c r="AA341" s="127"/>
      <c r="AB341" s="127"/>
      <c r="AC341" s="127"/>
    </row>
    <row r="342" ht="15.75" customHeight="1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  <c r="AA342" s="127"/>
      <c r="AB342" s="127"/>
      <c r="AC342" s="127"/>
    </row>
    <row r="343" ht="15.75" customHeight="1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  <c r="AA343" s="127"/>
      <c r="AB343" s="127"/>
      <c r="AC343" s="127"/>
    </row>
    <row r="344" ht="15.75" customHeight="1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  <c r="AA344" s="127"/>
      <c r="AB344" s="127"/>
      <c r="AC344" s="127"/>
    </row>
    <row r="345" ht="15.75" customHeight="1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  <c r="AA345" s="127"/>
      <c r="AB345" s="127"/>
      <c r="AC345" s="127"/>
    </row>
    <row r="346" ht="15.75" customHeight="1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  <c r="AA346" s="127"/>
      <c r="AB346" s="127"/>
      <c r="AC346" s="127"/>
    </row>
    <row r="347" ht="15.75" customHeight="1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  <c r="AA347" s="127"/>
      <c r="AB347" s="127"/>
      <c r="AC347" s="127"/>
    </row>
    <row r="348" ht="15.75" customHeight="1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  <c r="AA348" s="127"/>
      <c r="AB348" s="127"/>
      <c r="AC348" s="127"/>
    </row>
    <row r="349" ht="15.75" customHeight="1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  <c r="AA349" s="127"/>
      <c r="AB349" s="127"/>
      <c r="AC349" s="127"/>
    </row>
    <row r="350" ht="15.75" customHeight="1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  <c r="AA350" s="127"/>
      <c r="AB350" s="127"/>
      <c r="AC350" s="127"/>
    </row>
    <row r="351" ht="15.75" customHeight="1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  <c r="AA351" s="127"/>
      <c r="AB351" s="127"/>
      <c r="AC351" s="127"/>
    </row>
    <row r="352" ht="15.75" customHeight="1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  <c r="AA352" s="127"/>
      <c r="AB352" s="127"/>
      <c r="AC352" s="127"/>
    </row>
    <row r="353" ht="15.75" customHeight="1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  <c r="AA353" s="127"/>
      <c r="AB353" s="127"/>
      <c r="AC353" s="127"/>
    </row>
    <row r="354" ht="15.75" customHeight="1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  <c r="AA354" s="127"/>
      <c r="AB354" s="127"/>
      <c r="AC354" s="127"/>
    </row>
    <row r="355" ht="15.75" customHeight="1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  <c r="AA355" s="127"/>
      <c r="AB355" s="127"/>
      <c r="AC355" s="127"/>
    </row>
    <row r="356" ht="15.75" customHeight="1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  <c r="AA356" s="127"/>
      <c r="AB356" s="127"/>
      <c r="AC356" s="127"/>
    </row>
    <row r="357" ht="15.75" customHeight="1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  <c r="AA357" s="127"/>
      <c r="AB357" s="127"/>
      <c r="AC357" s="127"/>
    </row>
    <row r="358" ht="15.75" customHeight="1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  <c r="AA358" s="127"/>
      <c r="AB358" s="127"/>
      <c r="AC358" s="127"/>
    </row>
    <row r="359" ht="15.75" customHeight="1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  <c r="AA359" s="127"/>
      <c r="AB359" s="127"/>
      <c r="AC359" s="127"/>
    </row>
    <row r="360" ht="15.75" customHeight="1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  <c r="AA360" s="127"/>
      <c r="AB360" s="127"/>
      <c r="AC360" s="127"/>
    </row>
    <row r="361" ht="15.75" customHeight="1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  <c r="AA361" s="127"/>
      <c r="AB361" s="127"/>
      <c r="AC361" s="127"/>
    </row>
    <row r="362" ht="15.75" customHeight="1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  <c r="AA362" s="127"/>
      <c r="AB362" s="127"/>
      <c r="AC362" s="127"/>
    </row>
    <row r="363" ht="15.75" customHeight="1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  <c r="AA363" s="127"/>
      <c r="AB363" s="127"/>
      <c r="AC363" s="127"/>
    </row>
    <row r="364" ht="15.75" customHeight="1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  <c r="AA364" s="127"/>
      <c r="AB364" s="127"/>
      <c r="AC364" s="127"/>
    </row>
    <row r="365" ht="15.75" customHeight="1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  <c r="AA365" s="127"/>
      <c r="AB365" s="127"/>
      <c r="AC365" s="127"/>
    </row>
    <row r="366" ht="15.75" customHeight="1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  <c r="AA366" s="127"/>
      <c r="AB366" s="127"/>
      <c r="AC366" s="127"/>
    </row>
    <row r="367" ht="15.75" customHeight="1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  <c r="AA367" s="127"/>
      <c r="AB367" s="127"/>
      <c r="AC367" s="127"/>
    </row>
    <row r="368" ht="15.75" customHeight="1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  <c r="AA368" s="127"/>
      <c r="AB368" s="127"/>
      <c r="AC368" s="127"/>
    </row>
    <row r="369" ht="15.75" customHeight="1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  <c r="AA369" s="127"/>
      <c r="AB369" s="127"/>
      <c r="AC369" s="127"/>
    </row>
    <row r="370" ht="15.75" customHeight="1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  <c r="AA370" s="127"/>
      <c r="AB370" s="127"/>
      <c r="AC370" s="127"/>
    </row>
    <row r="371" ht="15.75" customHeight="1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  <c r="AA371" s="127"/>
      <c r="AB371" s="127"/>
      <c r="AC371" s="127"/>
    </row>
    <row r="372" ht="15.75" customHeight="1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  <c r="AA372" s="127"/>
      <c r="AB372" s="127"/>
      <c r="AC372" s="127"/>
    </row>
    <row r="373" ht="15.75" customHeight="1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  <c r="AA373" s="127"/>
      <c r="AB373" s="127"/>
      <c r="AC373" s="127"/>
    </row>
    <row r="374" ht="15.75" customHeight="1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  <c r="AA374" s="127"/>
      <c r="AB374" s="127"/>
      <c r="AC374" s="127"/>
    </row>
    <row r="375" ht="15.75" customHeight="1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  <c r="AA375" s="127"/>
      <c r="AB375" s="127"/>
      <c r="AC375" s="127"/>
    </row>
    <row r="376" ht="15.75" customHeight="1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  <c r="AA376" s="127"/>
      <c r="AB376" s="127"/>
      <c r="AC376" s="127"/>
    </row>
    <row r="377" ht="15.75" customHeight="1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  <c r="AA377" s="127"/>
      <c r="AB377" s="127"/>
      <c r="AC377" s="127"/>
    </row>
    <row r="378" ht="15.75" customHeight="1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  <c r="AA378" s="127"/>
      <c r="AB378" s="127"/>
      <c r="AC378" s="127"/>
    </row>
    <row r="379" ht="15.75" customHeight="1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  <c r="AA379" s="127"/>
      <c r="AB379" s="127"/>
      <c r="AC379" s="127"/>
    </row>
    <row r="380" ht="15.75" customHeight="1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  <c r="AA380" s="127"/>
      <c r="AB380" s="127"/>
      <c r="AC380" s="127"/>
    </row>
    <row r="381" ht="15.75" customHeight="1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  <c r="AA381" s="127"/>
      <c r="AB381" s="127"/>
      <c r="AC381" s="127"/>
    </row>
    <row r="382" ht="15.75" customHeight="1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  <c r="AA382" s="127"/>
      <c r="AB382" s="127"/>
      <c r="AC382" s="127"/>
    </row>
    <row r="383" ht="15.75" customHeight="1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  <c r="AA383" s="127"/>
      <c r="AB383" s="127"/>
      <c r="AC383" s="127"/>
    </row>
    <row r="384" ht="15.75" customHeight="1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  <c r="AA384" s="127"/>
      <c r="AB384" s="127"/>
      <c r="AC384" s="127"/>
    </row>
    <row r="385" ht="15.75" customHeight="1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  <c r="AA385" s="127"/>
      <c r="AB385" s="127"/>
      <c r="AC385" s="127"/>
    </row>
    <row r="386" ht="15.75" customHeight="1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  <c r="AA386" s="127"/>
      <c r="AB386" s="127"/>
      <c r="AC386" s="127"/>
    </row>
    <row r="387" ht="15.75" customHeight="1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  <c r="AA387" s="127"/>
      <c r="AB387" s="127"/>
      <c r="AC387" s="127"/>
    </row>
    <row r="388" ht="15.75" customHeight="1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  <c r="AA388" s="127"/>
      <c r="AB388" s="127"/>
      <c r="AC388" s="127"/>
    </row>
    <row r="389" ht="15.75" customHeight="1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  <c r="AA389" s="127"/>
      <c r="AB389" s="127"/>
      <c r="AC389" s="127"/>
    </row>
    <row r="390" ht="15.75" customHeight="1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  <c r="AA390" s="127"/>
      <c r="AB390" s="127"/>
      <c r="AC390" s="127"/>
    </row>
    <row r="391" ht="15.75" customHeight="1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  <c r="AA391" s="127"/>
      <c r="AB391" s="127"/>
      <c r="AC391" s="127"/>
    </row>
    <row r="392" ht="15.75" customHeight="1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  <c r="AA392" s="127"/>
      <c r="AB392" s="127"/>
      <c r="AC392" s="127"/>
    </row>
    <row r="393" ht="15.75" customHeight="1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  <c r="AA393" s="127"/>
      <c r="AB393" s="127"/>
      <c r="AC393" s="127"/>
    </row>
    <row r="394" ht="15.75" customHeight="1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  <c r="AA394" s="127"/>
      <c r="AB394" s="127"/>
      <c r="AC394" s="127"/>
    </row>
    <row r="395" ht="15.75" customHeight="1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  <c r="AA395" s="127"/>
      <c r="AB395" s="127"/>
      <c r="AC395" s="127"/>
    </row>
    <row r="396" ht="15.75" customHeight="1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  <c r="AA396" s="127"/>
      <c r="AB396" s="127"/>
      <c r="AC396" s="127"/>
    </row>
    <row r="397" ht="15.75" customHeight="1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  <c r="AA397" s="127"/>
      <c r="AB397" s="127"/>
      <c r="AC397" s="127"/>
    </row>
    <row r="398" ht="15.75" customHeight="1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  <c r="AA398" s="127"/>
      <c r="AB398" s="127"/>
      <c r="AC398" s="127"/>
    </row>
    <row r="399" ht="15.75" customHeight="1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  <c r="AA399" s="127"/>
      <c r="AB399" s="127"/>
      <c r="AC399" s="127"/>
    </row>
    <row r="400" ht="15.75" customHeight="1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  <c r="AA400" s="127"/>
      <c r="AB400" s="127"/>
      <c r="AC400" s="127"/>
    </row>
    <row r="401" ht="15.75" customHeight="1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  <c r="AA401" s="127"/>
      <c r="AB401" s="127"/>
      <c r="AC401" s="127"/>
    </row>
    <row r="402" ht="15.75" customHeight="1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  <c r="AA402" s="127"/>
      <c r="AB402" s="127"/>
      <c r="AC402" s="127"/>
    </row>
    <row r="403" ht="15.75" customHeight="1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  <c r="AA403" s="127"/>
      <c r="AB403" s="127"/>
      <c r="AC403" s="127"/>
    </row>
    <row r="404" ht="15.75" customHeight="1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  <c r="AA404" s="127"/>
      <c r="AB404" s="127"/>
      <c r="AC404" s="127"/>
    </row>
    <row r="405" ht="15.75" customHeight="1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  <c r="AA405" s="127"/>
      <c r="AB405" s="127"/>
      <c r="AC405" s="127"/>
    </row>
    <row r="406" ht="15.75" customHeight="1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  <c r="AA406" s="127"/>
      <c r="AB406" s="127"/>
      <c r="AC406" s="127"/>
    </row>
    <row r="407" ht="15.75" customHeight="1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  <c r="AA407" s="127"/>
      <c r="AB407" s="127"/>
      <c r="AC407" s="127"/>
    </row>
    <row r="408" ht="15.75" customHeight="1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  <c r="AA408" s="127"/>
      <c r="AB408" s="127"/>
      <c r="AC408" s="127"/>
    </row>
    <row r="409" ht="15.75" customHeight="1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  <c r="AA409" s="127"/>
      <c r="AB409" s="127"/>
      <c r="AC409" s="127"/>
    </row>
    <row r="410" ht="15.75" customHeight="1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  <c r="AA410" s="127"/>
      <c r="AB410" s="127"/>
      <c r="AC410" s="127"/>
    </row>
    <row r="411" ht="15.75" customHeight="1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  <c r="AA411" s="127"/>
      <c r="AB411" s="127"/>
      <c r="AC411" s="127"/>
    </row>
    <row r="412" ht="15.75" customHeight="1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  <c r="AA412" s="127"/>
      <c r="AB412" s="127"/>
      <c r="AC412" s="127"/>
    </row>
    <row r="413" ht="15.75" customHeight="1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  <c r="AA413" s="127"/>
      <c r="AB413" s="127"/>
      <c r="AC413" s="127"/>
    </row>
    <row r="414" ht="15.75" customHeight="1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  <c r="AA414" s="127"/>
      <c r="AB414" s="127"/>
      <c r="AC414" s="127"/>
    </row>
    <row r="415" ht="15.75" customHeight="1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  <c r="AA415" s="127"/>
      <c r="AB415" s="127"/>
      <c r="AC415" s="127"/>
    </row>
    <row r="416" ht="15.75" customHeight="1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  <c r="AA416" s="127"/>
      <c r="AB416" s="127"/>
      <c r="AC416" s="127"/>
    </row>
    <row r="417" ht="15.75" customHeight="1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  <c r="AA417" s="127"/>
      <c r="AB417" s="127"/>
      <c r="AC417" s="127"/>
    </row>
    <row r="418" ht="15.75" customHeight="1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  <c r="AA418" s="127"/>
      <c r="AB418" s="127"/>
      <c r="AC418" s="127"/>
    </row>
    <row r="419" ht="15.75" customHeight="1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  <c r="AA419" s="127"/>
      <c r="AB419" s="127"/>
      <c r="AC419" s="127"/>
    </row>
    <row r="420" ht="15.75" customHeight="1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  <c r="AA420" s="127"/>
      <c r="AB420" s="127"/>
      <c r="AC420" s="127"/>
    </row>
    <row r="421" ht="15.75" customHeight="1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  <c r="AA421" s="127"/>
      <c r="AB421" s="127"/>
      <c r="AC421" s="127"/>
    </row>
    <row r="422" ht="15.75" customHeight="1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  <c r="AA422" s="127"/>
      <c r="AB422" s="127"/>
      <c r="AC422" s="127"/>
    </row>
    <row r="423" ht="15.75" customHeight="1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  <c r="AA423" s="127"/>
      <c r="AB423" s="127"/>
      <c r="AC423" s="127"/>
    </row>
    <row r="424" ht="15.75" customHeight="1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  <c r="AA424" s="127"/>
      <c r="AB424" s="127"/>
      <c r="AC424" s="127"/>
    </row>
    <row r="425" ht="15.75" customHeight="1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  <c r="AA425" s="127"/>
      <c r="AB425" s="127"/>
      <c r="AC425" s="127"/>
    </row>
    <row r="426" ht="15.75" customHeight="1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  <c r="AA426" s="127"/>
      <c r="AB426" s="127"/>
      <c r="AC426" s="127"/>
    </row>
    <row r="427" ht="15.75" customHeight="1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  <c r="AA427" s="127"/>
      <c r="AB427" s="127"/>
      <c r="AC427" s="127"/>
    </row>
    <row r="428" ht="15.75" customHeight="1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  <c r="AA428" s="127"/>
      <c r="AB428" s="127"/>
      <c r="AC428" s="127"/>
    </row>
    <row r="429" ht="15.75" customHeight="1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  <c r="AA429" s="127"/>
      <c r="AB429" s="127"/>
      <c r="AC429" s="127"/>
    </row>
    <row r="430" ht="15.75" customHeight="1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  <c r="AA430" s="127"/>
      <c r="AB430" s="127"/>
      <c r="AC430" s="127"/>
    </row>
    <row r="431" ht="15.75" customHeight="1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  <c r="AA431" s="127"/>
      <c r="AB431" s="127"/>
      <c r="AC431" s="127"/>
    </row>
    <row r="432" ht="15.75" customHeight="1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  <c r="AA432" s="127"/>
      <c r="AB432" s="127"/>
      <c r="AC432" s="127"/>
    </row>
    <row r="433" ht="15.75" customHeight="1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  <c r="AA433" s="127"/>
      <c r="AB433" s="127"/>
      <c r="AC433" s="127"/>
    </row>
    <row r="434" ht="15.75" customHeight="1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  <c r="AA434" s="127"/>
      <c r="AB434" s="127"/>
      <c r="AC434" s="127"/>
    </row>
    <row r="435" ht="15.75" customHeight="1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  <c r="AA435" s="127"/>
      <c r="AB435" s="127"/>
      <c r="AC435" s="127"/>
    </row>
    <row r="436" ht="15.75" customHeight="1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  <c r="AA436" s="127"/>
      <c r="AB436" s="127"/>
      <c r="AC436" s="127"/>
    </row>
    <row r="437" ht="15.75" customHeight="1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  <c r="AA437" s="127"/>
      <c r="AB437" s="127"/>
      <c r="AC437" s="127"/>
    </row>
    <row r="438" ht="15.75" customHeight="1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  <c r="AA438" s="127"/>
      <c r="AB438" s="127"/>
      <c r="AC438" s="127"/>
    </row>
    <row r="439" ht="15.75" customHeight="1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  <c r="AA439" s="127"/>
      <c r="AB439" s="127"/>
      <c r="AC439" s="127"/>
    </row>
    <row r="440" ht="15.75" customHeight="1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  <c r="AA440" s="127"/>
      <c r="AB440" s="127"/>
      <c r="AC440" s="127"/>
    </row>
    <row r="441" ht="15.75" customHeight="1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  <c r="AA441" s="127"/>
      <c r="AB441" s="127"/>
      <c r="AC441" s="127"/>
    </row>
    <row r="442" ht="15.75" customHeight="1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  <c r="AA442" s="127"/>
      <c r="AB442" s="127"/>
      <c r="AC442" s="127"/>
    </row>
    <row r="443" ht="15.75" customHeight="1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  <c r="AA443" s="127"/>
      <c r="AB443" s="127"/>
      <c r="AC443" s="127"/>
    </row>
    <row r="444" ht="15.75" customHeight="1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  <c r="AA444" s="127"/>
      <c r="AB444" s="127"/>
      <c r="AC444" s="127"/>
    </row>
    <row r="445" ht="15.75" customHeight="1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  <c r="AA445" s="127"/>
      <c r="AB445" s="127"/>
      <c r="AC445" s="127"/>
    </row>
    <row r="446" ht="15.75" customHeight="1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  <c r="AA446" s="127"/>
      <c r="AB446" s="127"/>
      <c r="AC446" s="127"/>
    </row>
    <row r="447" ht="15.75" customHeight="1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  <c r="AA447" s="127"/>
      <c r="AB447" s="127"/>
      <c r="AC447" s="127"/>
    </row>
    <row r="448" ht="15.75" customHeight="1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  <c r="AA448" s="127"/>
      <c r="AB448" s="127"/>
      <c r="AC448" s="127"/>
    </row>
    <row r="449" ht="15.75" customHeight="1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  <c r="AA449" s="127"/>
      <c r="AB449" s="127"/>
      <c r="AC449" s="127"/>
    </row>
    <row r="450" ht="15.75" customHeight="1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  <c r="AA450" s="127"/>
      <c r="AB450" s="127"/>
      <c r="AC450" s="127"/>
    </row>
    <row r="451" ht="15.75" customHeight="1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  <c r="AA451" s="127"/>
      <c r="AB451" s="127"/>
      <c r="AC451" s="127"/>
    </row>
    <row r="452" ht="15.75" customHeight="1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  <c r="AA452" s="127"/>
      <c r="AB452" s="127"/>
      <c r="AC452" s="127"/>
    </row>
    <row r="453" ht="15.75" customHeight="1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  <c r="AA453" s="127"/>
      <c r="AB453" s="127"/>
      <c r="AC453" s="127"/>
    </row>
    <row r="454" ht="15.75" customHeight="1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  <c r="AA454" s="127"/>
      <c r="AB454" s="127"/>
      <c r="AC454" s="127"/>
    </row>
    <row r="455" ht="15.75" customHeight="1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  <c r="AA455" s="127"/>
      <c r="AB455" s="127"/>
      <c r="AC455" s="127"/>
    </row>
    <row r="456" ht="15.75" customHeight="1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  <c r="AA456" s="127"/>
      <c r="AB456" s="127"/>
      <c r="AC456" s="127"/>
    </row>
    <row r="457" ht="15.75" customHeight="1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  <c r="AA457" s="127"/>
      <c r="AB457" s="127"/>
      <c r="AC457" s="127"/>
    </row>
    <row r="458" ht="15.75" customHeight="1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  <c r="AA458" s="127"/>
      <c r="AB458" s="127"/>
      <c r="AC458" s="127"/>
    </row>
    <row r="459" ht="15.75" customHeight="1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  <c r="AA459" s="127"/>
      <c r="AB459" s="127"/>
      <c r="AC459" s="127"/>
    </row>
    <row r="460" ht="15.75" customHeight="1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  <c r="AA460" s="127"/>
      <c r="AB460" s="127"/>
      <c r="AC460" s="127"/>
    </row>
    <row r="461" ht="15.75" customHeight="1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  <c r="AA461" s="127"/>
      <c r="AB461" s="127"/>
      <c r="AC461" s="127"/>
    </row>
    <row r="462" ht="15.75" customHeight="1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  <c r="AA462" s="127"/>
      <c r="AB462" s="127"/>
      <c r="AC462" s="127"/>
    </row>
    <row r="463" ht="15.75" customHeight="1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  <c r="AA463" s="127"/>
      <c r="AB463" s="127"/>
      <c r="AC463" s="127"/>
    </row>
    <row r="464" ht="15.75" customHeight="1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  <c r="AA464" s="127"/>
      <c r="AB464" s="127"/>
      <c r="AC464" s="127"/>
    </row>
    <row r="465" ht="15.75" customHeight="1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  <c r="AA465" s="127"/>
      <c r="AB465" s="127"/>
      <c r="AC465" s="127"/>
    </row>
    <row r="466" ht="15.75" customHeight="1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  <c r="AA466" s="127"/>
      <c r="AB466" s="127"/>
      <c r="AC466" s="127"/>
    </row>
    <row r="467" ht="15.75" customHeight="1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  <c r="AA467" s="127"/>
      <c r="AB467" s="127"/>
      <c r="AC467" s="127"/>
    </row>
    <row r="468" ht="15.75" customHeight="1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  <c r="AA468" s="127"/>
      <c r="AB468" s="127"/>
      <c r="AC468" s="127"/>
    </row>
    <row r="469" ht="15.75" customHeight="1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  <c r="AA469" s="127"/>
      <c r="AB469" s="127"/>
      <c r="AC469" s="127"/>
    </row>
    <row r="470" ht="15.75" customHeight="1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  <c r="AA470" s="127"/>
      <c r="AB470" s="127"/>
      <c r="AC470" s="127"/>
    </row>
    <row r="471" ht="15.75" customHeight="1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  <c r="AA471" s="127"/>
      <c r="AB471" s="127"/>
      <c r="AC471" s="127"/>
    </row>
    <row r="472" ht="15.75" customHeight="1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  <c r="AA472" s="127"/>
      <c r="AB472" s="127"/>
      <c r="AC472" s="127"/>
    </row>
    <row r="473" ht="15.75" customHeight="1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  <c r="AA473" s="127"/>
      <c r="AB473" s="127"/>
      <c r="AC473" s="127"/>
    </row>
    <row r="474" ht="15.75" customHeight="1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  <c r="AA474" s="127"/>
      <c r="AB474" s="127"/>
      <c r="AC474" s="127"/>
    </row>
    <row r="475" ht="15.75" customHeight="1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  <c r="AA475" s="127"/>
      <c r="AB475" s="127"/>
      <c r="AC475" s="127"/>
    </row>
    <row r="476" ht="15.75" customHeight="1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  <c r="AA476" s="127"/>
      <c r="AB476" s="127"/>
      <c r="AC476" s="127"/>
    </row>
    <row r="477" ht="15.75" customHeight="1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  <c r="AA477" s="127"/>
      <c r="AB477" s="127"/>
      <c r="AC477" s="127"/>
    </row>
    <row r="478" ht="15.75" customHeight="1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  <c r="AA478" s="127"/>
      <c r="AB478" s="127"/>
      <c r="AC478" s="127"/>
    </row>
    <row r="479" ht="15.75" customHeight="1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  <c r="AA479" s="127"/>
      <c r="AB479" s="127"/>
      <c r="AC479" s="127"/>
    </row>
    <row r="480" ht="15.75" customHeight="1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  <c r="AA480" s="127"/>
      <c r="AB480" s="127"/>
      <c r="AC480" s="127"/>
    </row>
    <row r="481" ht="15.75" customHeight="1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  <c r="AA481" s="127"/>
      <c r="AB481" s="127"/>
      <c r="AC481" s="127"/>
    </row>
    <row r="482" ht="15.75" customHeight="1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  <c r="AA482" s="127"/>
      <c r="AB482" s="127"/>
      <c r="AC482" s="127"/>
    </row>
    <row r="483" ht="15.75" customHeight="1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  <c r="AA483" s="127"/>
      <c r="AB483" s="127"/>
      <c r="AC483" s="127"/>
    </row>
    <row r="484" ht="15.75" customHeight="1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  <c r="AA484" s="127"/>
      <c r="AB484" s="127"/>
      <c r="AC484" s="127"/>
    </row>
    <row r="485" ht="15.75" customHeight="1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  <c r="AA485" s="127"/>
      <c r="AB485" s="127"/>
      <c r="AC485" s="127"/>
    </row>
    <row r="486" ht="15.75" customHeight="1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  <c r="AA486" s="127"/>
      <c r="AB486" s="127"/>
      <c r="AC486" s="127"/>
    </row>
    <row r="487" ht="15.75" customHeight="1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  <c r="AA487" s="127"/>
      <c r="AB487" s="127"/>
      <c r="AC487" s="127"/>
    </row>
    <row r="488" ht="15.75" customHeight="1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  <c r="AA488" s="127"/>
      <c r="AB488" s="127"/>
      <c r="AC488" s="127"/>
    </row>
    <row r="489" ht="15.75" customHeight="1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  <c r="AA489" s="127"/>
      <c r="AB489" s="127"/>
      <c r="AC489" s="127"/>
    </row>
    <row r="490" ht="15.75" customHeight="1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  <c r="AA490" s="127"/>
      <c r="AB490" s="127"/>
      <c r="AC490" s="127"/>
    </row>
    <row r="491" ht="15.75" customHeight="1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  <c r="AA491" s="127"/>
      <c r="AB491" s="127"/>
      <c r="AC491" s="127"/>
    </row>
    <row r="492" ht="15.75" customHeight="1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  <c r="AA492" s="127"/>
      <c r="AB492" s="127"/>
      <c r="AC492" s="127"/>
    </row>
    <row r="493" ht="15.75" customHeight="1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  <c r="AA493" s="127"/>
      <c r="AB493" s="127"/>
      <c r="AC493" s="127"/>
    </row>
    <row r="494" ht="15.75" customHeight="1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  <c r="AA494" s="127"/>
      <c r="AB494" s="127"/>
      <c r="AC494" s="127"/>
    </row>
    <row r="495" ht="15.75" customHeight="1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  <c r="AA495" s="127"/>
      <c r="AB495" s="127"/>
      <c r="AC495" s="127"/>
    </row>
    <row r="496" ht="15.75" customHeight="1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  <c r="AA496" s="127"/>
      <c r="AB496" s="127"/>
      <c r="AC496" s="127"/>
    </row>
    <row r="497" ht="15.75" customHeight="1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  <c r="AA497" s="127"/>
      <c r="AB497" s="127"/>
      <c r="AC497" s="127"/>
    </row>
    <row r="498" ht="15.75" customHeight="1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  <c r="AA498" s="127"/>
      <c r="AB498" s="127"/>
      <c r="AC498" s="127"/>
    </row>
    <row r="499" ht="15.75" customHeight="1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  <c r="AA499" s="127"/>
      <c r="AB499" s="127"/>
      <c r="AC499" s="127"/>
    </row>
    <row r="500" ht="15.75" customHeight="1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  <c r="AA500" s="127"/>
      <c r="AB500" s="127"/>
      <c r="AC500" s="127"/>
    </row>
    <row r="501" ht="15.75" customHeight="1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  <c r="AA501" s="127"/>
      <c r="AB501" s="127"/>
      <c r="AC501" s="127"/>
    </row>
    <row r="502" ht="15.75" customHeight="1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  <c r="AA502" s="127"/>
      <c r="AB502" s="127"/>
      <c r="AC502" s="127"/>
    </row>
    <row r="503" ht="15.75" customHeight="1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  <c r="AA503" s="127"/>
      <c r="AB503" s="127"/>
      <c r="AC503" s="127"/>
    </row>
    <row r="504" ht="15.75" customHeight="1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  <c r="AA504" s="127"/>
      <c r="AB504" s="127"/>
      <c r="AC504" s="127"/>
    </row>
    <row r="505" ht="15.75" customHeight="1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  <c r="AA505" s="127"/>
      <c r="AB505" s="127"/>
      <c r="AC505" s="127"/>
    </row>
    <row r="506" ht="15.75" customHeight="1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  <c r="AA506" s="127"/>
      <c r="AB506" s="127"/>
      <c r="AC506" s="127"/>
    </row>
    <row r="507" ht="15.75" customHeight="1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  <c r="AA507" s="127"/>
      <c r="AB507" s="127"/>
      <c r="AC507" s="127"/>
    </row>
    <row r="508" ht="15.75" customHeight="1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  <c r="AA508" s="127"/>
      <c r="AB508" s="127"/>
      <c r="AC508" s="127"/>
    </row>
    <row r="509" ht="15.75" customHeight="1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  <c r="AA509" s="127"/>
      <c r="AB509" s="127"/>
      <c r="AC509" s="127"/>
    </row>
    <row r="510" ht="15.75" customHeight="1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  <c r="AA510" s="127"/>
      <c r="AB510" s="127"/>
      <c r="AC510" s="127"/>
    </row>
    <row r="511" ht="15.75" customHeight="1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  <c r="AA511" s="127"/>
      <c r="AB511" s="127"/>
      <c r="AC511" s="127"/>
    </row>
    <row r="512" ht="15.75" customHeight="1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  <c r="AA512" s="127"/>
      <c r="AB512" s="127"/>
      <c r="AC512" s="127"/>
    </row>
    <row r="513" ht="15.75" customHeight="1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  <c r="AA513" s="127"/>
      <c r="AB513" s="127"/>
      <c r="AC513" s="127"/>
    </row>
    <row r="514" ht="15.75" customHeight="1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  <c r="AA514" s="127"/>
      <c r="AB514" s="127"/>
      <c r="AC514" s="127"/>
    </row>
    <row r="515" ht="15.75" customHeight="1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  <c r="AA515" s="127"/>
      <c r="AB515" s="127"/>
      <c r="AC515" s="127"/>
    </row>
    <row r="516" ht="15.75" customHeight="1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  <c r="AA516" s="127"/>
      <c r="AB516" s="127"/>
      <c r="AC516" s="127"/>
    </row>
    <row r="517" ht="15.75" customHeight="1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  <c r="AA517" s="127"/>
      <c r="AB517" s="127"/>
      <c r="AC517" s="127"/>
    </row>
    <row r="518" ht="15.75" customHeight="1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  <c r="AA518" s="127"/>
      <c r="AB518" s="127"/>
      <c r="AC518" s="127"/>
    </row>
    <row r="519" ht="15.75" customHeight="1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  <c r="AA519" s="127"/>
      <c r="AB519" s="127"/>
      <c r="AC519" s="127"/>
    </row>
    <row r="520" ht="15.75" customHeight="1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  <c r="AA520" s="127"/>
      <c r="AB520" s="127"/>
      <c r="AC520" s="127"/>
    </row>
    <row r="521" ht="15.75" customHeight="1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  <c r="AA521" s="127"/>
      <c r="AB521" s="127"/>
      <c r="AC521" s="127"/>
    </row>
    <row r="522" ht="15.75" customHeight="1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  <c r="AA522" s="127"/>
      <c r="AB522" s="127"/>
      <c r="AC522" s="127"/>
    </row>
    <row r="523" ht="15.75" customHeight="1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  <c r="AA523" s="127"/>
      <c r="AB523" s="127"/>
      <c r="AC523" s="127"/>
    </row>
    <row r="524" ht="15.75" customHeight="1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  <c r="AA524" s="127"/>
      <c r="AB524" s="127"/>
      <c r="AC524" s="127"/>
    </row>
    <row r="525" ht="15.75" customHeight="1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  <c r="AA525" s="127"/>
      <c r="AB525" s="127"/>
      <c r="AC525" s="127"/>
    </row>
    <row r="526" ht="15.75" customHeight="1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  <c r="AA526" s="127"/>
      <c r="AB526" s="127"/>
      <c r="AC526" s="127"/>
    </row>
    <row r="527" ht="15.75" customHeight="1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  <c r="AA527" s="127"/>
      <c r="AB527" s="127"/>
      <c r="AC527" s="127"/>
    </row>
    <row r="528" ht="15.75" customHeight="1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  <c r="AA528" s="127"/>
      <c r="AB528" s="127"/>
      <c r="AC528" s="127"/>
    </row>
    <row r="529" ht="15.75" customHeight="1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  <c r="AA529" s="127"/>
      <c r="AB529" s="127"/>
      <c r="AC529" s="127"/>
    </row>
    <row r="530" ht="15.75" customHeight="1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  <c r="AA530" s="127"/>
      <c r="AB530" s="127"/>
      <c r="AC530" s="127"/>
    </row>
    <row r="531" ht="15.75" customHeight="1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  <c r="AA531" s="127"/>
      <c r="AB531" s="127"/>
      <c r="AC531" s="127"/>
    </row>
    <row r="532" ht="15.75" customHeight="1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  <c r="AA532" s="127"/>
      <c r="AB532" s="127"/>
      <c r="AC532" s="127"/>
    </row>
    <row r="533" ht="15.75" customHeight="1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  <c r="AA533" s="127"/>
      <c r="AB533" s="127"/>
      <c r="AC533" s="127"/>
    </row>
    <row r="534" ht="15.75" customHeight="1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  <c r="AA534" s="127"/>
      <c r="AB534" s="127"/>
      <c r="AC534" s="127"/>
    </row>
    <row r="535" ht="15.75" customHeight="1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  <c r="AA535" s="127"/>
      <c r="AB535" s="127"/>
      <c r="AC535" s="127"/>
    </row>
    <row r="536" ht="15.75" customHeight="1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  <c r="AA536" s="127"/>
      <c r="AB536" s="127"/>
      <c r="AC536" s="127"/>
    </row>
    <row r="537" ht="15.75" customHeight="1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  <c r="AA537" s="127"/>
      <c r="AB537" s="127"/>
      <c r="AC537" s="127"/>
    </row>
    <row r="538" ht="15.75" customHeight="1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  <c r="AA538" s="127"/>
      <c r="AB538" s="127"/>
      <c r="AC538" s="127"/>
    </row>
    <row r="539" ht="15.75" customHeight="1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  <c r="AA539" s="127"/>
      <c r="AB539" s="127"/>
      <c r="AC539" s="127"/>
    </row>
    <row r="540" ht="15.75" customHeight="1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  <c r="AA540" s="127"/>
      <c r="AB540" s="127"/>
      <c r="AC540" s="127"/>
    </row>
    <row r="541" ht="15.75" customHeight="1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  <c r="AA541" s="127"/>
      <c r="AB541" s="127"/>
      <c r="AC541" s="127"/>
    </row>
    <row r="542" ht="15.75" customHeight="1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  <c r="AA542" s="127"/>
      <c r="AB542" s="127"/>
      <c r="AC542" s="127"/>
    </row>
    <row r="543" ht="15.75" customHeight="1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  <c r="AA543" s="127"/>
      <c r="AB543" s="127"/>
      <c r="AC543" s="127"/>
    </row>
    <row r="544" ht="15.75" customHeight="1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  <c r="AA544" s="127"/>
      <c r="AB544" s="127"/>
      <c r="AC544" s="127"/>
    </row>
    <row r="545" ht="15.75" customHeight="1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  <c r="AA545" s="127"/>
      <c r="AB545" s="127"/>
      <c r="AC545" s="127"/>
    </row>
    <row r="546" ht="15.75" customHeight="1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  <c r="AA546" s="127"/>
      <c r="AB546" s="127"/>
      <c r="AC546" s="127"/>
    </row>
    <row r="547" ht="15.75" customHeight="1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  <c r="AA547" s="127"/>
      <c r="AB547" s="127"/>
      <c r="AC547" s="127"/>
    </row>
    <row r="548" ht="15.75" customHeight="1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  <c r="AA548" s="127"/>
      <c r="AB548" s="127"/>
      <c r="AC548" s="127"/>
    </row>
    <row r="549" ht="15.75" customHeight="1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  <c r="AA549" s="127"/>
      <c r="AB549" s="127"/>
      <c r="AC549" s="127"/>
    </row>
    <row r="550" ht="15.75" customHeight="1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  <c r="AA550" s="127"/>
      <c r="AB550" s="127"/>
      <c r="AC550" s="127"/>
    </row>
    <row r="551" ht="15.75" customHeight="1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  <c r="AA551" s="127"/>
      <c r="AB551" s="127"/>
      <c r="AC551" s="127"/>
    </row>
    <row r="552" ht="15.75" customHeight="1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  <c r="AA552" s="127"/>
      <c r="AB552" s="127"/>
      <c r="AC552" s="127"/>
    </row>
    <row r="553" ht="15.75" customHeight="1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  <c r="AA553" s="127"/>
      <c r="AB553" s="127"/>
      <c r="AC553" s="127"/>
    </row>
    <row r="554" ht="15.75" customHeight="1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  <c r="AA554" s="127"/>
      <c r="AB554" s="127"/>
      <c r="AC554" s="127"/>
    </row>
    <row r="555" ht="15.75" customHeight="1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  <c r="AA555" s="127"/>
      <c r="AB555" s="127"/>
      <c r="AC555" s="127"/>
    </row>
    <row r="556" ht="15.75" customHeight="1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  <c r="AA556" s="127"/>
      <c r="AB556" s="127"/>
      <c r="AC556" s="127"/>
    </row>
    <row r="557" ht="15.75" customHeight="1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  <c r="AA557" s="127"/>
      <c r="AB557" s="127"/>
      <c r="AC557" s="127"/>
    </row>
    <row r="558" ht="15.75" customHeight="1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  <c r="AA558" s="127"/>
      <c r="AB558" s="127"/>
      <c r="AC558" s="127"/>
    </row>
    <row r="559" ht="15.75" customHeight="1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  <c r="AA559" s="127"/>
      <c r="AB559" s="127"/>
      <c r="AC559" s="127"/>
    </row>
    <row r="560" ht="15.75" customHeight="1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  <c r="AA560" s="127"/>
      <c r="AB560" s="127"/>
      <c r="AC560" s="127"/>
    </row>
    <row r="561" ht="15.75" customHeight="1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  <c r="AA561" s="127"/>
      <c r="AB561" s="127"/>
      <c r="AC561" s="127"/>
    </row>
    <row r="562" ht="15.75" customHeight="1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  <c r="AA562" s="127"/>
      <c r="AB562" s="127"/>
      <c r="AC562" s="127"/>
    </row>
    <row r="563" ht="15.75" customHeight="1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  <c r="AA563" s="127"/>
      <c r="AB563" s="127"/>
      <c r="AC563" s="127"/>
    </row>
    <row r="564" ht="15.75" customHeight="1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  <c r="AA564" s="127"/>
      <c r="AB564" s="127"/>
      <c r="AC564" s="127"/>
    </row>
    <row r="565" ht="15.75" customHeight="1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  <c r="AA565" s="127"/>
      <c r="AB565" s="127"/>
      <c r="AC565" s="127"/>
    </row>
    <row r="566" ht="15.75" customHeight="1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  <c r="AA566" s="127"/>
      <c r="AB566" s="127"/>
      <c r="AC566" s="127"/>
    </row>
    <row r="567" ht="15.75" customHeight="1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  <c r="AA567" s="127"/>
      <c r="AB567" s="127"/>
      <c r="AC567" s="127"/>
    </row>
    <row r="568" ht="15.75" customHeight="1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  <c r="AA568" s="127"/>
      <c r="AB568" s="127"/>
      <c r="AC568" s="127"/>
    </row>
    <row r="569" ht="15.75" customHeight="1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  <c r="AA569" s="127"/>
      <c r="AB569" s="127"/>
      <c r="AC569" s="127"/>
    </row>
    <row r="570" ht="15.75" customHeight="1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  <c r="AA570" s="127"/>
      <c r="AB570" s="127"/>
      <c r="AC570" s="127"/>
    </row>
    <row r="571" ht="15.75" customHeight="1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  <c r="AA571" s="127"/>
      <c r="AB571" s="127"/>
      <c r="AC571" s="127"/>
    </row>
    <row r="572" ht="15.75" customHeight="1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  <c r="AA572" s="127"/>
      <c r="AB572" s="127"/>
      <c r="AC572" s="127"/>
    </row>
    <row r="573" ht="15.75" customHeight="1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  <c r="AA573" s="127"/>
      <c r="AB573" s="127"/>
      <c r="AC573" s="127"/>
    </row>
    <row r="574" ht="15.75" customHeight="1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  <c r="AA574" s="127"/>
      <c r="AB574" s="127"/>
      <c r="AC574" s="127"/>
    </row>
    <row r="575" ht="15.75" customHeight="1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  <c r="AA575" s="127"/>
      <c r="AB575" s="127"/>
      <c r="AC575" s="127"/>
    </row>
    <row r="576" ht="15.75" customHeight="1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  <c r="AA576" s="127"/>
      <c r="AB576" s="127"/>
      <c r="AC576" s="127"/>
    </row>
    <row r="577" ht="15.75" customHeight="1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  <c r="AA577" s="127"/>
      <c r="AB577" s="127"/>
      <c r="AC577" s="127"/>
    </row>
    <row r="578" ht="15.75" customHeight="1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  <c r="AA578" s="127"/>
      <c r="AB578" s="127"/>
      <c r="AC578" s="127"/>
    </row>
    <row r="579" ht="15.75" customHeight="1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  <c r="AA579" s="127"/>
      <c r="AB579" s="127"/>
      <c r="AC579" s="127"/>
    </row>
    <row r="580" ht="15.75" customHeight="1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  <c r="AA580" s="127"/>
      <c r="AB580" s="127"/>
      <c r="AC580" s="127"/>
    </row>
    <row r="581" ht="15.75" customHeight="1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  <c r="AA581" s="127"/>
      <c r="AB581" s="127"/>
      <c r="AC581" s="127"/>
    </row>
    <row r="582" ht="15.75" customHeight="1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  <c r="AA582" s="127"/>
      <c r="AB582" s="127"/>
      <c r="AC582" s="127"/>
    </row>
    <row r="583" ht="15.75" customHeight="1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  <c r="AA583" s="127"/>
      <c r="AB583" s="127"/>
      <c r="AC583" s="127"/>
    </row>
    <row r="584" ht="15.75" customHeight="1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  <c r="AA584" s="127"/>
      <c r="AB584" s="127"/>
      <c r="AC584" s="127"/>
    </row>
    <row r="585" ht="15.75" customHeight="1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  <c r="AA585" s="127"/>
      <c r="AB585" s="127"/>
      <c r="AC585" s="127"/>
    </row>
    <row r="586" ht="15.75" customHeight="1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  <c r="AA586" s="127"/>
      <c r="AB586" s="127"/>
      <c r="AC586" s="127"/>
    </row>
    <row r="587" ht="15.75" customHeight="1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  <c r="AA587" s="127"/>
      <c r="AB587" s="127"/>
      <c r="AC587" s="127"/>
    </row>
    <row r="588" ht="15.75" customHeight="1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  <c r="AA588" s="127"/>
      <c r="AB588" s="127"/>
      <c r="AC588" s="127"/>
    </row>
    <row r="589" ht="15.75" customHeight="1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  <c r="AA589" s="127"/>
      <c r="AB589" s="127"/>
      <c r="AC589" s="127"/>
    </row>
    <row r="590" ht="15.75" customHeight="1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  <c r="AA590" s="127"/>
      <c r="AB590" s="127"/>
      <c r="AC590" s="127"/>
    </row>
    <row r="591" ht="15.75" customHeight="1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  <c r="AA591" s="127"/>
      <c r="AB591" s="127"/>
      <c r="AC591" s="127"/>
    </row>
    <row r="592" ht="15.75" customHeight="1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  <c r="AA592" s="127"/>
      <c r="AB592" s="127"/>
      <c r="AC592" s="127"/>
    </row>
    <row r="593" ht="15.75" customHeight="1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  <c r="AA593" s="127"/>
      <c r="AB593" s="127"/>
      <c r="AC593" s="127"/>
    </row>
    <row r="594" ht="15.75" customHeight="1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  <c r="AA594" s="127"/>
      <c r="AB594" s="127"/>
      <c r="AC594" s="127"/>
    </row>
    <row r="595" ht="15.75" customHeight="1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  <c r="AA595" s="127"/>
      <c r="AB595" s="127"/>
      <c r="AC595" s="127"/>
    </row>
    <row r="596" ht="15.75" customHeight="1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  <c r="AA596" s="127"/>
      <c r="AB596" s="127"/>
      <c r="AC596" s="127"/>
    </row>
    <row r="597" ht="15.75" customHeight="1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  <c r="AA597" s="127"/>
      <c r="AB597" s="127"/>
      <c r="AC597" s="127"/>
    </row>
    <row r="598" ht="15.75" customHeight="1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  <c r="AA598" s="127"/>
      <c r="AB598" s="127"/>
      <c r="AC598" s="127"/>
    </row>
    <row r="599" ht="15.75" customHeight="1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  <c r="AA599" s="127"/>
      <c r="AB599" s="127"/>
      <c r="AC599" s="127"/>
    </row>
    <row r="600" ht="15.75" customHeight="1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  <c r="AA600" s="127"/>
      <c r="AB600" s="127"/>
      <c r="AC600" s="127"/>
    </row>
    <row r="601" ht="15.75" customHeight="1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  <c r="AA601" s="127"/>
      <c r="AB601" s="127"/>
      <c r="AC601" s="127"/>
    </row>
    <row r="602" ht="15.75" customHeight="1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  <c r="AA602" s="127"/>
      <c r="AB602" s="127"/>
      <c r="AC602" s="127"/>
    </row>
    <row r="603" ht="15.75" customHeight="1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  <c r="AA603" s="127"/>
      <c r="AB603" s="127"/>
      <c r="AC603" s="127"/>
    </row>
    <row r="604" ht="15.75" customHeight="1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  <c r="AA604" s="127"/>
      <c r="AB604" s="127"/>
      <c r="AC604" s="127"/>
    </row>
    <row r="605" ht="15.75" customHeight="1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  <c r="AA605" s="127"/>
      <c r="AB605" s="127"/>
      <c r="AC605" s="127"/>
    </row>
    <row r="606" ht="15.75" customHeight="1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  <c r="AA606" s="127"/>
      <c r="AB606" s="127"/>
      <c r="AC606" s="127"/>
    </row>
    <row r="607" ht="15.75" customHeight="1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  <c r="AA607" s="127"/>
      <c r="AB607" s="127"/>
      <c r="AC607" s="127"/>
    </row>
    <row r="608" ht="15.75" customHeight="1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  <c r="AA608" s="127"/>
      <c r="AB608" s="127"/>
      <c r="AC608" s="127"/>
    </row>
    <row r="609" ht="15.75" customHeight="1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  <c r="AA609" s="127"/>
      <c r="AB609" s="127"/>
      <c r="AC609" s="127"/>
    </row>
    <row r="610" ht="15.75" customHeight="1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  <c r="AA610" s="127"/>
      <c r="AB610" s="127"/>
      <c r="AC610" s="127"/>
    </row>
    <row r="611" ht="15.75" customHeight="1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  <c r="AA611" s="127"/>
      <c r="AB611" s="127"/>
      <c r="AC611" s="127"/>
    </row>
    <row r="612" ht="15.75" customHeight="1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  <c r="AA612" s="127"/>
      <c r="AB612" s="127"/>
      <c r="AC612" s="127"/>
    </row>
    <row r="613" ht="15.75" customHeight="1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  <c r="AA613" s="127"/>
      <c r="AB613" s="127"/>
      <c r="AC613" s="127"/>
    </row>
    <row r="614" ht="15.75" customHeight="1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  <c r="AA614" s="127"/>
      <c r="AB614" s="127"/>
      <c r="AC614" s="127"/>
    </row>
    <row r="615" ht="15.75" customHeight="1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  <c r="AA615" s="127"/>
      <c r="AB615" s="127"/>
      <c r="AC615" s="127"/>
    </row>
    <row r="616" ht="15.75" customHeight="1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  <c r="AA616" s="127"/>
      <c r="AB616" s="127"/>
      <c r="AC616" s="127"/>
    </row>
    <row r="617" ht="15.75" customHeight="1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  <c r="AA617" s="127"/>
      <c r="AB617" s="127"/>
      <c r="AC617" s="127"/>
    </row>
    <row r="618" ht="15.75" customHeight="1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  <c r="AA618" s="127"/>
      <c r="AB618" s="127"/>
      <c r="AC618" s="127"/>
    </row>
    <row r="619" ht="15.75" customHeight="1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  <c r="AA619" s="127"/>
      <c r="AB619" s="127"/>
      <c r="AC619" s="127"/>
    </row>
    <row r="620" ht="15.75" customHeight="1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  <c r="AA620" s="127"/>
      <c r="AB620" s="127"/>
      <c r="AC620" s="127"/>
    </row>
    <row r="621" ht="15.75" customHeight="1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  <c r="AA621" s="127"/>
      <c r="AB621" s="127"/>
      <c r="AC621" s="127"/>
    </row>
    <row r="622" ht="15.75" customHeight="1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  <c r="AA622" s="127"/>
      <c r="AB622" s="127"/>
      <c r="AC622" s="127"/>
    </row>
    <row r="623" ht="15.75" customHeight="1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  <c r="AA623" s="127"/>
      <c r="AB623" s="127"/>
      <c r="AC623" s="127"/>
    </row>
    <row r="624" ht="15.75" customHeight="1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  <c r="AA624" s="127"/>
      <c r="AB624" s="127"/>
      <c r="AC624" s="127"/>
    </row>
    <row r="625" ht="15.75" customHeight="1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  <c r="AA625" s="127"/>
      <c r="AB625" s="127"/>
      <c r="AC625" s="127"/>
    </row>
    <row r="626" ht="15.75" customHeight="1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  <c r="AA626" s="127"/>
      <c r="AB626" s="127"/>
      <c r="AC626" s="127"/>
    </row>
    <row r="627" ht="15.75" customHeight="1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  <c r="AA627" s="127"/>
      <c r="AB627" s="127"/>
      <c r="AC627" s="127"/>
    </row>
    <row r="628" ht="15.75" customHeight="1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  <c r="AA628" s="127"/>
      <c r="AB628" s="127"/>
      <c r="AC628" s="127"/>
    </row>
    <row r="629" ht="15.75" customHeight="1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  <c r="AA629" s="127"/>
      <c r="AB629" s="127"/>
      <c r="AC629" s="127"/>
    </row>
    <row r="630" ht="15.75" customHeight="1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  <c r="AA630" s="127"/>
      <c r="AB630" s="127"/>
      <c r="AC630" s="127"/>
    </row>
    <row r="631" ht="15.75" customHeight="1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  <c r="AA631" s="127"/>
      <c r="AB631" s="127"/>
      <c r="AC631" s="127"/>
    </row>
    <row r="632" ht="15.75" customHeight="1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  <c r="AA632" s="127"/>
      <c r="AB632" s="127"/>
      <c r="AC632" s="127"/>
    </row>
    <row r="633" ht="15.75" customHeight="1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  <c r="AA633" s="127"/>
      <c r="AB633" s="127"/>
      <c r="AC633" s="127"/>
    </row>
    <row r="634" ht="15.75" customHeight="1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  <c r="AA634" s="127"/>
      <c r="AB634" s="127"/>
      <c r="AC634" s="127"/>
    </row>
    <row r="635" ht="15.75" customHeight="1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  <c r="AA635" s="127"/>
      <c r="AB635" s="127"/>
      <c r="AC635" s="127"/>
    </row>
    <row r="636" ht="15.75" customHeight="1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  <c r="AA636" s="127"/>
      <c r="AB636" s="127"/>
      <c r="AC636" s="127"/>
    </row>
    <row r="637" ht="15.75" customHeight="1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  <c r="AA637" s="127"/>
      <c r="AB637" s="127"/>
      <c r="AC637" s="127"/>
    </row>
    <row r="638" ht="15.75" customHeight="1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  <c r="AA638" s="127"/>
      <c r="AB638" s="127"/>
      <c r="AC638" s="127"/>
    </row>
    <row r="639" ht="15.75" customHeight="1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  <c r="AA639" s="127"/>
      <c r="AB639" s="127"/>
      <c r="AC639" s="127"/>
    </row>
    <row r="640" ht="15.75" customHeight="1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  <c r="AA640" s="127"/>
      <c r="AB640" s="127"/>
      <c r="AC640" s="127"/>
    </row>
    <row r="641" ht="15.75" customHeight="1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  <c r="AA641" s="127"/>
      <c r="AB641" s="127"/>
      <c r="AC641" s="127"/>
    </row>
    <row r="642" ht="15.75" customHeight="1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  <c r="AA642" s="127"/>
      <c r="AB642" s="127"/>
      <c r="AC642" s="127"/>
    </row>
    <row r="643" ht="15.75" customHeight="1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  <c r="AA643" s="127"/>
      <c r="AB643" s="127"/>
      <c r="AC643" s="127"/>
    </row>
    <row r="644" ht="15.75" customHeight="1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  <c r="AA644" s="127"/>
      <c r="AB644" s="127"/>
      <c r="AC644" s="127"/>
    </row>
    <row r="645" ht="15.75" customHeight="1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  <c r="AA645" s="127"/>
      <c r="AB645" s="127"/>
      <c r="AC645" s="127"/>
    </row>
    <row r="646" ht="15.75" customHeight="1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  <c r="AA646" s="127"/>
      <c r="AB646" s="127"/>
      <c r="AC646" s="127"/>
    </row>
    <row r="647" ht="15.75" customHeight="1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  <c r="AA647" s="127"/>
      <c r="AB647" s="127"/>
      <c r="AC647" s="127"/>
    </row>
    <row r="648" ht="15.75" customHeight="1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  <c r="AA648" s="127"/>
      <c r="AB648" s="127"/>
      <c r="AC648" s="127"/>
    </row>
    <row r="649" ht="15.75" customHeight="1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  <c r="AA649" s="127"/>
      <c r="AB649" s="127"/>
      <c r="AC649" s="127"/>
    </row>
    <row r="650" ht="15.75" customHeight="1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  <c r="AA650" s="127"/>
      <c r="AB650" s="127"/>
      <c r="AC650" s="127"/>
    </row>
    <row r="651" ht="15.75" customHeight="1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  <c r="AA651" s="127"/>
      <c r="AB651" s="127"/>
      <c r="AC651" s="127"/>
    </row>
    <row r="652" ht="15.75" customHeight="1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  <c r="AA652" s="127"/>
      <c r="AB652" s="127"/>
      <c r="AC652" s="127"/>
    </row>
    <row r="653" ht="15.75" customHeight="1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  <c r="AA653" s="127"/>
      <c r="AB653" s="127"/>
      <c r="AC653" s="127"/>
    </row>
    <row r="654" ht="15.75" customHeight="1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  <c r="AA654" s="127"/>
      <c r="AB654" s="127"/>
      <c r="AC654" s="127"/>
    </row>
    <row r="655" ht="15.75" customHeight="1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  <c r="AA655" s="127"/>
      <c r="AB655" s="127"/>
      <c r="AC655" s="127"/>
    </row>
    <row r="656" ht="15.75" customHeight="1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  <c r="AA656" s="127"/>
      <c r="AB656" s="127"/>
      <c r="AC656" s="127"/>
    </row>
    <row r="657" ht="15.75" customHeight="1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  <c r="AA657" s="127"/>
      <c r="AB657" s="127"/>
      <c r="AC657" s="127"/>
    </row>
    <row r="658" ht="15.75" customHeight="1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  <c r="AA658" s="127"/>
      <c r="AB658" s="127"/>
      <c r="AC658" s="127"/>
    </row>
    <row r="659" ht="15.75" customHeight="1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  <c r="AA659" s="127"/>
      <c r="AB659" s="127"/>
      <c r="AC659" s="127"/>
    </row>
    <row r="660" ht="15.75" customHeight="1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  <c r="AA660" s="127"/>
      <c r="AB660" s="127"/>
      <c r="AC660" s="127"/>
    </row>
    <row r="661" ht="15.75" customHeight="1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  <c r="AA661" s="127"/>
      <c r="AB661" s="127"/>
      <c r="AC661" s="127"/>
    </row>
    <row r="662" ht="15.75" customHeight="1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  <c r="AA662" s="127"/>
      <c r="AB662" s="127"/>
      <c r="AC662" s="127"/>
    </row>
    <row r="663" ht="15.75" customHeight="1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  <c r="AA663" s="127"/>
      <c r="AB663" s="127"/>
      <c r="AC663" s="127"/>
    </row>
    <row r="664" ht="15.75" customHeight="1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  <c r="AA664" s="127"/>
      <c r="AB664" s="127"/>
      <c r="AC664" s="127"/>
    </row>
    <row r="665" ht="15.75" customHeight="1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  <c r="AA665" s="127"/>
      <c r="AB665" s="127"/>
      <c r="AC665" s="127"/>
    </row>
    <row r="666" ht="15.75" customHeight="1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  <c r="AA666" s="127"/>
      <c r="AB666" s="127"/>
      <c r="AC666" s="127"/>
    </row>
    <row r="667" ht="15.75" customHeight="1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  <c r="AA667" s="127"/>
      <c r="AB667" s="127"/>
      <c r="AC667" s="127"/>
    </row>
    <row r="668" ht="15.75" customHeight="1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  <c r="AA668" s="127"/>
      <c r="AB668" s="127"/>
      <c r="AC668" s="127"/>
    </row>
    <row r="669" ht="15.75" customHeight="1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  <c r="AA669" s="127"/>
      <c r="AB669" s="127"/>
      <c r="AC669" s="127"/>
    </row>
    <row r="670" ht="15.75" customHeight="1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  <c r="AA670" s="127"/>
      <c r="AB670" s="127"/>
      <c r="AC670" s="127"/>
    </row>
    <row r="671" ht="15.75" customHeight="1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  <c r="AA671" s="127"/>
      <c r="AB671" s="127"/>
      <c r="AC671" s="127"/>
    </row>
    <row r="672" ht="15.75" customHeight="1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  <c r="AA672" s="127"/>
      <c r="AB672" s="127"/>
      <c r="AC672" s="127"/>
    </row>
    <row r="673" ht="15.75" customHeight="1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  <c r="AA673" s="127"/>
      <c r="AB673" s="127"/>
      <c r="AC673" s="127"/>
    </row>
    <row r="674" ht="15.75" customHeight="1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  <c r="AA674" s="127"/>
      <c r="AB674" s="127"/>
      <c r="AC674" s="127"/>
    </row>
    <row r="675" ht="15.75" customHeight="1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  <c r="AA675" s="127"/>
      <c r="AB675" s="127"/>
      <c r="AC675" s="127"/>
    </row>
    <row r="676" ht="15.75" customHeight="1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  <c r="AA676" s="127"/>
      <c r="AB676" s="127"/>
      <c r="AC676" s="127"/>
    </row>
    <row r="677" ht="15.75" customHeight="1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  <c r="AA677" s="127"/>
      <c r="AB677" s="127"/>
      <c r="AC677" s="127"/>
    </row>
    <row r="678" ht="15.75" customHeight="1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  <c r="AA678" s="127"/>
      <c r="AB678" s="127"/>
      <c r="AC678" s="127"/>
    </row>
    <row r="679" ht="15.75" customHeight="1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  <c r="AA679" s="127"/>
      <c r="AB679" s="127"/>
      <c r="AC679" s="127"/>
    </row>
    <row r="680" ht="15.75" customHeight="1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  <c r="AA680" s="127"/>
      <c r="AB680" s="127"/>
      <c r="AC680" s="127"/>
    </row>
    <row r="681" ht="15.75" customHeight="1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  <c r="AA681" s="127"/>
      <c r="AB681" s="127"/>
      <c r="AC681" s="127"/>
    </row>
    <row r="682" ht="15.75" customHeight="1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  <c r="AA682" s="127"/>
      <c r="AB682" s="127"/>
      <c r="AC682" s="127"/>
    </row>
    <row r="683" ht="15.75" customHeight="1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  <c r="AA683" s="127"/>
      <c r="AB683" s="127"/>
      <c r="AC683" s="127"/>
    </row>
    <row r="684" ht="15.75" customHeight="1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  <c r="AA684" s="127"/>
      <c r="AB684" s="127"/>
      <c r="AC684" s="127"/>
    </row>
    <row r="685" ht="15.75" customHeight="1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  <c r="AA685" s="127"/>
      <c r="AB685" s="127"/>
      <c r="AC685" s="127"/>
    </row>
    <row r="686" ht="15.75" customHeight="1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  <c r="AA686" s="127"/>
      <c r="AB686" s="127"/>
      <c r="AC686" s="127"/>
    </row>
    <row r="687" ht="15.75" customHeight="1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  <c r="AA687" s="127"/>
      <c r="AB687" s="127"/>
      <c r="AC687" s="127"/>
    </row>
    <row r="688" ht="15.75" customHeight="1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  <c r="AA688" s="127"/>
      <c r="AB688" s="127"/>
      <c r="AC688" s="127"/>
    </row>
    <row r="689" ht="15.75" customHeight="1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  <c r="AA689" s="127"/>
      <c r="AB689" s="127"/>
      <c r="AC689" s="127"/>
    </row>
    <row r="690" ht="15.75" customHeight="1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  <c r="AA690" s="127"/>
      <c r="AB690" s="127"/>
      <c r="AC690" s="127"/>
    </row>
    <row r="691" ht="15.75" customHeight="1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  <c r="AA691" s="127"/>
      <c r="AB691" s="127"/>
      <c r="AC691" s="127"/>
    </row>
    <row r="692" ht="15.75" customHeight="1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  <c r="AA692" s="127"/>
      <c r="AB692" s="127"/>
      <c r="AC692" s="127"/>
    </row>
    <row r="693" ht="15.75" customHeight="1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  <c r="AA693" s="127"/>
      <c r="AB693" s="127"/>
      <c r="AC693" s="127"/>
    </row>
    <row r="694" ht="15.75" customHeight="1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  <c r="AA694" s="127"/>
      <c r="AB694" s="127"/>
      <c r="AC694" s="127"/>
    </row>
    <row r="695" ht="15.75" customHeight="1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  <c r="AA695" s="127"/>
      <c r="AB695" s="127"/>
      <c r="AC695" s="127"/>
    </row>
    <row r="696" ht="15.75" customHeight="1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  <c r="AA696" s="127"/>
      <c r="AB696" s="127"/>
      <c r="AC696" s="127"/>
    </row>
    <row r="697" ht="15.75" customHeight="1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  <c r="AA697" s="127"/>
      <c r="AB697" s="127"/>
      <c r="AC697" s="127"/>
    </row>
    <row r="698" ht="15.75" customHeight="1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  <c r="AA698" s="127"/>
      <c r="AB698" s="127"/>
      <c r="AC698" s="127"/>
    </row>
    <row r="699" ht="15.75" customHeight="1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  <c r="AA699" s="127"/>
      <c r="AB699" s="127"/>
      <c r="AC699" s="127"/>
    </row>
    <row r="700" ht="15.75" customHeight="1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  <c r="AA700" s="127"/>
      <c r="AB700" s="127"/>
      <c r="AC700" s="127"/>
    </row>
    <row r="701" ht="15.75" customHeight="1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  <c r="AA701" s="127"/>
      <c r="AB701" s="127"/>
      <c r="AC701" s="127"/>
    </row>
    <row r="702" ht="15.75" customHeight="1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  <c r="AA702" s="127"/>
      <c r="AB702" s="127"/>
      <c r="AC702" s="127"/>
    </row>
    <row r="703" ht="15.75" customHeight="1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  <c r="AA703" s="127"/>
      <c r="AB703" s="127"/>
      <c r="AC703" s="127"/>
    </row>
    <row r="704" ht="15.75" customHeight="1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  <c r="AA704" s="127"/>
      <c r="AB704" s="127"/>
      <c r="AC704" s="127"/>
    </row>
    <row r="705" ht="15.75" customHeight="1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  <c r="AA705" s="127"/>
      <c r="AB705" s="127"/>
      <c r="AC705" s="127"/>
    </row>
    <row r="706" ht="15.75" customHeight="1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  <c r="AA706" s="127"/>
      <c r="AB706" s="127"/>
      <c r="AC706" s="127"/>
    </row>
    <row r="707" ht="15.75" customHeight="1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  <c r="AA707" s="127"/>
      <c r="AB707" s="127"/>
      <c r="AC707" s="127"/>
    </row>
    <row r="708" ht="15.75" customHeight="1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  <c r="AA708" s="127"/>
      <c r="AB708" s="127"/>
      <c r="AC708" s="127"/>
    </row>
    <row r="709" ht="15.75" customHeight="1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  <c r="AA709" s="127"/>
      <c r="AB709" s="127"/>
      <c r="AC709" s="127"/>
    </row>
    <row r="710" ht="15.75" customHeight="1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  <c r="AA710" s="127"/>
      <c r="AB710" s="127"/>
      <c r="AC710" s="127"/>
    </row>
    <row r="711" ht="15.75" customHeight="1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  <c r="AA711" s="127"/>
      <c r="AB711" s="127"/>
      <c r="AC711" s="127"/>
    </row>
    <row r="712" ht="15.75" customHeight="1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  <c r="AA712" s="127"/>
      <c r="AB712" s="127"/>
      <c r="AC712" s="127"/>
    </row>
    <row r="713" ht="15.75" customHeight="1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  <c r="AA713" s="127"/>
      <c r="AB713" s="127"/>
      <c r="AC713" s="127"/>
    </row>
    <row r="714" ht="15.75" customHeight="1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  <c r="AA714" s="127"/>
      <c r="AB714" s="127"/>
      <c r="AC714" s="127"/>
    </row>
    <row r="715" ht="15.75" customHeight="1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  <c r="AA715" s="127"/>
      <c r="AB715" s="127"/>
      <c r="AC715" s="127"/>
    </row>
    <row r="716" ht="15.75" customHeight="1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  <c r="AA716" s="127"/>
      <c r="AB716" s="127"/>
      <c r="AC716" s="127"/>
    </row>
    <row r="717" ht="15.75" customHeight="1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  <c r="AA717" s="127"/>
      <c r="AB717" s="127"/>
      <c r="AC717" s="127"/>
    </row>
    <row r="718" ht="15.75" customHeight="1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  <c r="AA718" s="127"/>
      <c r="AB718" s="127"/>
      <c r="AC718" s="127"/>
    </row>
    <row r="719" ht="15.75" customHeight="1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  <c r="AA719" s="127"/>
      <c r="AB719" s="127"/>
      <c r="AC719" s="127"/>
    </row>
    <row r="720" ht="15.75" customHeight="1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  <c r="AA720" s="127"/>
      <c r="AB720" s="127"/>
      <c r="AC720" s="127"/>
    </row>
    <row r="721" ht="15.75" customHeight="1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  <c r="AA721" s="127"/>
      <c r="AB721" s="127"/>
      <c r="AC721" s="127"/>
    </row>
    <row r="722" ht="15.75" customHeight="1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  <c r="AA722" s="127"/>
      <c r="AB722" s="127"/>
      <c r="AC722" s="127"/>
    </row>
    <row r="723" ht="15.75" customHeight="1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  <c r="AA723" s="127"/>
      <c r="AB723" s="127"/>
      <c r="AC723" s="127"/>
    </row>
    <row r="724" ht="15.75" customHeight="1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  <c r="AA724" s="127"/>
      <c r="AB724" s="127"/>
      <c r="AC724" s="127"/>
    </row>
    <row r="725" ht="15.75" customHeight="1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  <c r="AA725" s="127"/>
      <c r="AB725" s="127"/>
      <c r="AC725" s="127"/>
    </row>
    <row r="726" ht="15.75" customHeight="1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  <c r="AA726" s="127"/>
      <c r="AB726" s="127"/>
      <c r="AC726" s="127"/>
    </row>
    <row r="727" ht="15.75" customHeight="1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  <c r="AA727" s="127"/>
      <c r="AB727" s="127"/>
      <c r="AC727" s="127"/>
    </row>
    <row r="728" ht="15.75" customHeight="1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  <c r="AA728" s="127"/>
      <c r="AB728" s="127"/>
      <c r="AC728" s="127"/>
    </row>
    <row r="729" ht="15.75" customHeight="1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  <c r="AA729" s="127"/>
      <c r="AB729" s="127"/>
      <c r="AC729" s="127"/>
    </row>
    <row r="730" ht="15.75" customHeight="1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  <c r="AA730" s="127"/>
      <c r="AB730" s="127"/>
      <c r="AC730" s="127"/>
    </row>
    <row r="731" ht="15.75" customHeight="1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  <c r="AA731" s="127"/>
      <c r="AB731" s="127"/>
      <c r="AC731" s="127"/>
    </row>
    <row r="732" ht="15.75" customHeight="1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  <c r="AA732" s="127"/>
      <c r="AB732" s="127"/>
      <c r="AC732" s="127"/>
    </row>
    <row r="733" ht="15.75" customHeight="1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  <c r="AA733" s="127"/>
      <c r="AB733" s="127"/>
      <c r="AC733" s="127"/>
    </row>
    <row r="734" ht="15.75" customHeight="1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  <c r="AA734" s="127"/>
      <c r="AB734" s="127"/>
      <c r="AC734" s="127"/>
    </row>
    <row r="735" ht="15.75" customHeight="1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  <c r="AA735" s="127"/>
      <c r="AB735" s="127"/>
      <c r="AC735" s="127"/>
    </row>
    <row r="736" ht="15.75" customHeight="1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  <c r="AA736" s="127"/>
      <c r="AB736" s="127"/>
      <c r="AC736" s="127"/>
    </row>
    <row r="737" ht="15.75" customHeight="1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  <c r="AA737" s="127"/>
      <c r="AB737" s="127"/>
      <c r="AC737" s="127"/>
    </row>
    <row r="738" ht="15.75" customHeight="1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  <c r="AA738" s="127"/>
      <c r="AB738" s="127"/>
      <c r="AC738" s="127"/>
    </row>
    <row r="739" ht="15.75" customHeight="1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  <c r="AA739" s="127"/>
      <c r="AB739" s="127"/>
      <c r="AC739" s="127"/>
    </row>
    <row r="740" ht="15.75" customHeight="1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  <c r="AA740" s="127"/>
      <c r="AB740" s="127"/>
      <c r="AC740" s="127"/>
    </row>
    <row r="741" ht="15.75" customHeight="1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  <c r="AA741" s="127"/>
      <c r="AB741" s="127"/>
      <c r="AC741" s="127"/>
    </row>
    <row r="742" ht="15.75" customHeight="1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  <c r="AA742" s="127"/>
      <c r="AB742" s="127"/>
      <c r="AC742" s="127"/>
    </row>
    <row r="743" ht="15.75" customHeight="1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  <c r="AA743" s="127"/>
      <c r="AB743" s="127"/>
      <c r="AC743" s="127"/>
    </row>
    <row r="744" ht="15.75" customHeight="1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  <c r="AA744" s="127"/>
      <c r="AB744" s="127"/>
      <c r="AC744" s="127"/>
    </row>
    <row r="745" ht="15.75" customHeight="1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  <c r="AA745" s="127"/>
      <c r="AB745" s="127"/>
      <c r="AC745" s="127"/>
    </row>
    <row r="746" ht="15.75" customHeight="1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  <c r="AA746" s="127"/>
      <c r="AB746" s="127"/>
      <c r="AC746" s="127"/>
    </row>
    <row r="747" ht="15.75" customHeight="1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  <c r="AA747" s="127"/>
      <c r="AB747" s="127"/>
      <c r="AC747" s="127"/>
    </row>
    <row r="748" ht="15.75" customHeight="1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  <c r="AA748" s="127"/>
      <c r="AB748" s="127"/>
      <c r="AC748" s="127"/>
    </row>
    <row r="749" ht="15.75" customHeight="1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  <c r="AA749" s="127"/>
      <c r="AB749" s="127"/>
      <c r="AC749" s="127"/>
    </row>
    <row r="750" ht="15.75" customHeight="1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  <c r="AA750" s="127"/>
      <c r="AB750" s="127"/>
      <c r="AC750" s="127"/>
    </row>
    <row r="751" ht="15.75" customHeight="1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  <c r="AA751" s="127"/>
      <c r="AB751" s="127"/>
      <c r="AC751" s="127"/>
    </row>
    <row r="752" ht="15.75" customHeight="1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  <c r="AA752" s="127"/>
      <c r="AB752" s="127"/>
      <c r="AC752" s="127"/>
    </row>
    <row r="753" ht="15.75" customHeight="1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  <c r="AA753" s="127"/>
      <c r="AB753" s="127"/>
      <c r="AC753" s="127"/>
    </row>
    <row r="754" ht="15.75" customHeight="1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  <c r="AA754" s="127"/>
      <c r="AB754" s="127"/>
      <c r="AC754" s="127"/>
    </row>
    <row r="755" ht="15.75" customHeight="1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  <c r="AA755" s="127"/>
      <c r="AB755" s="127"/>
      <c r="AC755" s="127"/>
    </row>
    <row r="756" ht="15.75" customHeight="1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  <c r="AA756" s="127"/>
      <c r="AB756" s="127"/>
      <c r="AC756" s="127"/>
    </row>
    <row r="757" ht="15.75" customHeight="1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  <c r="AA757" s="127"/>
      <c r="AB757" s="127"/>
      <c r="AC757" s="127"/>
    </row>
    <row r="758" ht="15.75" customHeight="1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  <c r="AA758" s="127"/>
      <c r="AB758" s="127"/>
      <c r="AC758" s="127"/>
    </row>
    <row r="759" ht="15.75" customHeight="1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  <c r="AA759" s="127"/>
      <c r="AB759" s="127"/>
      <c r="AC759" s="127"/>
    </row>
    <row r="760" ht="15.75" customHeight="1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  <c r="AA760" s="127"/>
      <c r="AB760" s="127"/>
      <c r="AC760" s="127"/>
    </row>
    <row r="761" ht="15.75" customHeight="1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  <c r="AA761" s="127"/>
      <c r="AB761" s="127"/>
      <c r="AC761" s="127"/>
    </row>
    <row r="762" ht="15.75" customHeight="1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  <c r="AA762" s="127"/>
      <c r="AB762" s="127"/>
      <c r="AC762" s="127"/>
    </row>
    <row r="763" ht="15.75" customHeight="1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  <c r="AA763" s="127"/>
      <c r="AB763" s="127"/>
      <c r="AC763" s="127"/>
    </row>
    <row r="764" ht="15.75" customHeight="1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  <c r="AA764" s="127"/>
      <c r="AB764" s="127"/>
      <c r="AC764" s="127"/>
    </row>
    <row r="765" ht="15.75" customHeight="1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  <c r="AA765" s="127"/>
      <c r="AB765" s="127"/>
      <c r="AC765" s="127"/>
    </row>
    <row r="766" ht="15.75" customHeight="1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  <c r="AA766" s="127"/>
      <c r="AB766" s="127"/>
      <c r="AC766" s="127"/>
    </row>
    <row r="767" ht="15.75" customHeight="1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  <c r="AA767" s="127"/>
      <c r="AB767" s="127"/>
      <c r="AC767" s="127"/>
    </row>
    <row r="768" ht="15.75" customHeight="1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  <c r="AA768" s="127"/>
      <c r="AB768" s="127"/>
      <c r="AC768" s="127"/>
    </row>
    <row r="769" ht="15.75" customHeight="1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  <c r="AA769" s="127"/>
      <c r="AB769" s="127"/>
      <c r="AC769" s="127"/>
    </row>
    <row r="770" ht="15.75" customHeight="1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  <c r="AA770" s="127"/>
      <c r="AB770" s="127"/>
      <c r="AC770" s="127"/>
    </row>
    <row r="771" ht="15.75" customHeight="1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  <c r="AA771" s="127"/>
      <c r="AB771" s="127"/>
      <c r="AC771" s="127"/>
    </row>
    <row r="772" ht="15.75" customHeight="1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  <c r="AA772" s="127"/>
      <c r="AB772" s="127"/>
      <c r="AC772" s="127"/>
    </row>
    <row r="773" ht="15.75" customHeight="1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  <c r="AA773" s="127"/>
      <c r="AB773" s="127"/>
      <c r="AC773" s="127"/>
    </row>
    <row r="774" ht="15.75" customHeight="1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  <c r="AA774" s="127"/>
      <c r="AB774" s="127"/>
      <c r="AC774" s="127"/>
    </row>
    <row r="775" ht="15.75" customHeight="1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  <c r="AA775" s="127"/>
      <c r="AB775" s="127"/>
      <c r="AC775" s="127"/>
    </row>
    <row r="776" ht="15.75" customHeight="1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  <c r="AA776" s="127"/>
      <c r="AB776" s="127"/>
      <c r="AC776" s="127"/>
    </row>
    <row r="777" ht="15.75" customHeight="1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  <c r="AA777" s="127"/>
      <c r="AB777" s="127"/>
      <c r="AC777" s="127"/>
    </row>
    <row r="778" ht="15.75" customHeight="1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  <c r="AA778" s="127"/>
      <c r="AB778" s="127"/>
      <c r="AC778" s="127"/>
    </row>
    <row r="779" ht="15.75" customHeight="1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  <c r="AA779" s="127"/>
      <c r="AB779" s="127"/>
      <c r="AC779" s="127"/>
    </row>
    <row r="780" ht="15.75" customHeight="1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  <c r="AA780" s="127"/>
      <c r="AB780" s="127"/>
      <c r="AC780" s="127"/>
    </row>
    <row r="781" ht="15.75" customHeight="1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  <c r="AA781" s="127"/>
      <c r="AB781" s="127"/>
      <c r="AC781" s="127"/>
    </row>
    <row r="782" ht="15.75" customHeight="1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  <c r="AA782" s="127"/>
      <c r="AB782" s="127"/>
      <c r="AC782" s="127"/>
    </row>
    <row r="783" ht="15.75" customHeight="1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  <c r="AA783" s="127"/>
      <c r="AB783" s="127"/>
      <c r="AC783" s="127"/>
    </row>
    <row r="784" ht="15.75" customHeight="1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  <c r="AA784" s="127"/>
      <c r="AB784" s="127"/>
      <c r="AC784" s="127"/>
    </row>
    <row r="785" ht="15.75" customHeight="1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  <c r="AA785" s="127"/>
      <c r="AB785" s="127"/>
      <c r="AC785" s="127"/>
    </row>
    <row r="786" ht="15.75" customHeight="1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  <c r="AA786" s="127"/>
      <c r="AB786" s="127"/>
      <c r="AC786" s="127"/>
    </row>
    <row r="787" ht="15.75" customHeight="1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  <c r="AA787" s="127"/>
      <c r="AB787" s="127"/>
      <c r="AC787" s="127"/>
    </row>
    <row r="788" ht="15.75" customHeight="1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  <c r="AA788" s="127"/>
      <c r="AB788" s="127"/>
      <c r="AC788" s="127"/>
    </row>
    <row r="789" ht="15.75" customHeight="1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  <c r="AA789" s="127"/>
      <c r="AB789" s="127"/>
      <c r="AC789" s="127"/>
    </row>
    <row r="790" ht="15.75" customHeight="1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  <c r="AA790" s="127"/>
      <c r="AB790" s="127"/>
      <c r="AC790" s="127"/>
    </row>
    <row r="791" ht="15.75" customHeight="1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  <c r="AA791" s="127"/>
      <c r="AB791" s="127"/>
      <c r="AC791" s="127"/>
    </row>
    <row r="792" ht="15.75" customHeight="1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  <c r="AA792" s="127"/>
      <c r="AB792" s="127"/>
      <c r="AC792" s="127"/>
    </row>
    <row r="793" ht="15.75" customHeight="1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  <c r="AA793" s="127"/>
      <c r="AB793" s="127"/>
      <c r="AC793" s="127"/>
    </row>
    <row r="794" ht="15.75" customHeight="1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  <c r="AA794" s="127"/>
      <c r="AB794" s="127"/>
      <c r="AC794" s="127"/>
    </row>
    <row r="795" ht="15.75" customHeight="1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  <c r="AA795" s="127"/>
      <c r="AB795" s="127"/>
      <c r="AC795" s="127"/>
    </row>
    <row r="796" ht="15.75" customHeight="1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  <c r="AA796" s="127"/>
      <c r="AB796" s="127"/>
      <c r="AC796" s="127"/>
    </row>
    <row r="797" ht="15.75" customHeight="1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  <c r="AA797" s="127"/>
      <c r="AB797" s="127"/>
      <c r="AC797" s="127"/>
    </row>
    <row r="798" ht="15.75" customHeight="1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  <c r="AA798" s="127"/>
      <c r="AB798" s="127"/>
      <c r="AC798" s="127"/>
    </row>
    <row r="799" ht="15.75" customHeight="1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  <c r="AA799" s="127"/>
      <c r="AB799" s="127"/>
      <c r="AC799" s="127"/>
    </row>
    <row r="800" ht="15.75" customHeight="1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  <c r="AA800" s="127"/>
      <c r="AB800" s="127"/>
      <c r="AC800" s="127"/>
    </row>
    <row r="801" ht="15.75" customHeight="1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  <c r="AA801" s="127"/>
      <c r="AB801" s="127"/>
      <c r="AC801" s="127"/>
    </row>
    <row r="802" ht="15.75" customHeight="1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  <c r="AA802" s="127"/>
      <c r="AB802" s="127"/>
      <c r="AC802" s="127"/>
    </row>
    <row r="803" ht="15.75" customHeight="1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  <c r="AA803" s="127"/>
      <c r="AB803" s="127"/>
      <c r="AC803" s="127"/>
    </row>
    <row r="804" ht="15.75" customHeight="1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  <c r="AA804" s="127"/>
      <c r="AB804" s="127"/>
      <c r="AC804" s="127"/>
    </row>
    <row r="805" ht="15.75" customHeight="1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  <c r="AA805" s="127"/>
      <c r="AB805" s="127"/>
      <c r="AC805" s="127"/>
    </row>
    <row r="806" ht="15.75" customHeight="1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  <c r="AA806" s="127"/>
      <c r="AB806" s="127"/>
      <c r="AC806" s="127"/>
    </row>
    <row r="807" ht="15.75" customHeight="1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  <c r="AA807" s="127"/>
      <c r="AB807" s="127"/>
      <c r="AC807" s="127"/>
    </row>
    <row r="808" ht="15.75" customHeight="1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  <c r="AA808" s="127"/>
      <c r="AB808" s="127"/>
      <c r="AC808" s="127"/>
    </row>
    <row r="809" ht="15.75" customHeight="1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  <c r="AA809" s="127"/>
      <c r="AB809" s="127"/>
      <c r="AC809" s="127"/>
    </row>
    <row r="810" ht="15.75" customHeight="1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  <c r="AA810" s="127"/>
      <c r="AB810" s="127"/>
      <c r="AC810" s="127"/>
    </row>
    <row r="811" ht="15.75" customHeight="1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  <c r="AA811" s="127"/>
      <c r="AB811" s="127"/>
      <c r="AC811" s="127"/>
    </row>
    <row r="812" ht="15.75" customHeight="1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  <c r="AA812" s="127"/>
      <c r="AB812" s="127"/>
      <c r="AC812" s="127"/>
    </row>
    <row r="813" ht="15.75" customHeight="1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  <c r="AA813" s="127"/>
      <c r="AB813" s="127"/>
      <c r="AC813" s="127"/>
    </row>
    <row r="814" ht="15.75" customHeight="1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  <c r="AA814" s="127"/>
      <c r="AB814" s="127"/>
      <c r="AC814" s="127"/>
    </row>
    <row r="815" ht="15.75" customHeight="1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  <c r="AA815" s="127"/>
      <c r="AB815" s="127"/>
      <c r="AC815" s="127"/>
    </row>
    <row r="816" ht="15.75" customHeight="1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  <c r="AA816" s="127"/>
      <c r="AB816" s="127"/>
      <c r="AC816" s="127"/>
    </row>
    <row r="817" ht="15.75" customHeight="1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  <c r="AA817" s="127"/>
      <c r="AB817" s="127"/>
      <c r="AC817" s="127"/>
    </row>
    <row r="818" ht="15.75" customHeight="1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  <c r="AA818" s="127"/>
      <c r="AB818" s="127"/>
      <c r="AC818" s="127"/>
    </row>
    <row r="819" ht="15.75" customHeight="1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  <c r="AA819" s="127"/>
      <c r="AB819" s="127"/>
      <c r="AC819" s="127"/>
    </row>
    <row r="820" ht="15.75" customHeight="1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  <c r="AA820" s="127"/>
      <c r="AB820" s="127"/>
      <c r="AC820" s="127"/>
    </row>
    <row r="821" ht="15.75" customHeight="1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  <c r="AA821" s="127"/>
      <c r="AB821" s="127"/>
      <c r="AC821" s="127"/>
    </row>
    <row r="822" ht="15.75" customHeight="1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  <c r="AA822" s="127"/>
      <c r="AB822" s="127"/>
      <c r="AC822" s="127"/>
    </row>
    <row r="823" ht="15.75" customHeight="1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  <c r="AA823" s="127"/>
      <c r="AB823" s="127"/>
      <c r="AC823" s="127"/>
    </row>
    <row r="824" ht="15.75" customHeight="1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  <c r="AA824" s="127"/>
      <c r="AB824" s="127"/>
      <c r="AC824" s="127"/>
    </row>
    <row r="825" ht="15.75" customHeight="1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  <c r="AA825" s="127"/>
      <c r="AB825" s="127"/>
      <c r="AC825" s="127"/>
    </row>
    <row r="826" ht="15.75" customHeight="1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  <c r="AA826" s="127"/>
      <c r="AB826" s="127"/>
      <c r="AC826" s="127"/>
    </row>
    <row r="827" ht="15.75" customHeight="1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  <c r="AA827" s="127"/>
      <c r="AB827" s="127"/>
      <c r="AC827" s="127"/>
    </row>
    <row r="828" ht="15.75" customHeight="1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  <c r="AA828" s="127"/>
      <c r="AB828" s="127"/>
      <c r="AC828" s="127"/>
    </row>
    <row r="829" ht="15.75" customHeight="1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  <c r="AA829" s="127"/>
      <c r="AB829" s="127"/>
      <c r="AC829" s="127"/>
    </row>
    <row r="830" ht="15.75" customHeight="1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  <c r="AA830" s="127"/>
      <c r="AB830" s="127"/>
      <c r="AC830" s="127"/>
    </row>
    <row r="831" ht="15.75" customHeight="1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  <c r="AA831" s="127"/>
      <c r="AB831" s="127"/>
      <c r="AC831" s="127"/>
    </row>
    <row r="832" ht="15.75" customHeight="1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  <c r="AA832" s="127"/>
      <c r="AB832" s="127"/>
      <c r="AC832" s="127"/>
    </row>
    <row r="833" ht="15.75" customHeight="1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  <c r="AA833" s="127"/>
      <c r="AB833" s="127"/>
      <c r="AC833" s="127"/>
    </row>
    <row r="834" ht="15.75" customHeight="1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  <c r="AA834" s="127"/>
      <c r="AB834" s="127"/>
      <c r="AC834" s="127"/>
    </row>
    <row r="835" ht="15.75" customHeight="1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  <c r="AA835" s="127"/>
      <c r="AB835" s="127"/>
      <c r="AC835" s="127"/>
    </row>
    <row r="836" ht="15.75" customHeight="1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  <c r="AA836" s="127"/>
      <c r="AB836" s="127"/>
      <c r="AC836" s="127"/>
    </row>
    <row r="837" ht="15.75" customHeight="1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  <c r="AA837" s="127"/>
      <c r="AB837" s="127"/>
      <c r="AC837" s="127"/>
    </row>
    <row r="838" ht="15.75" customHeight="1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  <c r="AA838" s="127"/>
      <c r="AB838" s="127"/>
      <c r="AC838" s="127"/>
    </row>
    <row r="839" ht="15.75" customHeight="1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  <c r="AA839" s="127"/>
      <c r="AB839" s="127"/>
      <c r="AC839" s="127"/>
    </row>
    <row r="840" ht="15.75" customHeight="1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  <c r="AA840" s="127"/>
      <c r="AB840" s="127"/>
      <c r="AC840" s="127"/>
    </row>
    <row r="841" ht="15.75" customHeight="1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  <c r="AA841" s="127"/>
      <c r="AB841" s="127"/>
      <c r="AC841" s="127"/>
    </row>
    <row r="842" ht="15.75" customHeight="1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  <c r="AA842" s="127"/>
      <c r="AB842" s="127"/>
      <c r="AC842" s="127"/>
    </row>
    <row r="843" ht="15.75" customHeight="1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  <c r="AA843" s="127"/>
      <c r="AB843" s="127"/>
      <c r="AC843" s="127"/>
    </row>
    <row r="844" ht="15.75" customHeight="1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  <c r="AA844" s="127"/>
      <c r="AB844" s="127"/>
      <c r="AC844" s="127"/>
    </row>
    <row r="845" ht="15.75" customHeight="1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  <c r="AA845" s="127"/>
      <c r="AB845" s="127"/>
      <c r="AC845" s="127"/>
    </row>
    <row r="846" ht="15.75" customHeight="1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  <c r="AA846" s="127"/>
      <c r="AB846" s="127"/>
      <c r="AC846" s="127"/>
    </row>
    <row r="847" ht="15.75" customHeight="1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  <c r="AA847" s="127"/>
      <c r="AB847" s="127"/>
      <c r="AC847" s="127"/>
    </row>
    <row r="848" ht="15.75" customHeight="1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  <c r="AA848" s="127"/>
      <c r="AB848" s="127"/>
      <c r="AC848" s="127"/>
    </row>
    <row r="849" ht="15.75" customHeight="1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  <c r="AA849" s="127"/>
      <c r="AB849" s="127"/>
      <c r="AC849" s="127"/>
    </row>
    <row r="850" ht="15.75" customHeight="1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  <c r="AA850" s="127"/>
      <c r="AB850" s="127"/>
      <c r="AC850" s="127"/>
    </row>
    <row r="851" ht="15.75" customHeight="1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  <c r="AA851" s="127"/>
      <c r="AB851" s="127"/>
      <c r="AC851" s="127"/>
    </row>
    <row r="852" ht="15.75" customHeight="1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  <c r="AA852" s="127"/>
      <c r="AB852" s="127"/>
      <c r="AC852" s="127"/>
    </row>
    <row r="853" ht="15.75" customHeight="1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  <c r="AA853" s="127"/>
      <c r="AB853" s="127"/>
      <c r="AC853" s="127"/>
    </row>
    <row r="854" ht="15.75" customHeight="1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  <c r="AA854" s="127"/>
      <c r="AB854" s="127"/>
      <c r="AC854" s="127"/>
    </row>
    <row r="855" ht="15.75" customHeight="1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  <c r="AA855" s="127"/>
      <c r="AB855" s="127"/>
      <c r="AC855" s="127"/>
    </row>
    <row r="856" ht="15.75" customHeight="1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  <c r="AA856" s="127"/>
      <c r="AB856" s="127"/>
      <c r="AC856" s="127"/>
    </row>
    <row r="857" ht="15.75" customHeight="1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  <c r="AA857" s="127"/>
      <c r="AB857" s="127"/>
      <c r="AC857" s="127"/>
    </row>
    <row r="858" ht="15.75" customHeight="1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  <c r="AA858" s="127"/>
      <c r="AB858" s="127"/>
      <c r="AC858" s="127"/>
    </row>
    <row r="859" ht="15.75" customHeight="1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  <c r="AA859" s="127"/>
      <c r="AB859" s="127"/>
      <c r="AC859" s="127"/>
    </row>
    <row r="860" ht="15.75" customHeight="1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  <c r="AA860" s="127"/>
      <c r="AB860" s="127"/>
      <c r="AC860" s="127"/>
    </row>
    <row r="861" ht="15.75" customHeight="1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  <c r="AA861" s="127"/>
      <c r="AB861" s="127"/>
      <c r="AC861" s="127"/>
    </row>
    <row r="862" ht="15.75" customHeight="1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  <c r="AA862" s="127"/>
      <c r="AB862" s="127"/>
      <c r="AC862" s="127"/>
    </row>
    <row r="863" ht="15.75" customHeight="1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  <c r="AA863" s="127"/>
      <c r="AB863" s="127"/>
      <c r="AC863" s="127"/>
    </row>
    <row r="864" ht="15.75" customHeight="1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  <c r="AA864" s="127"/>
      <c r="AB864" s="127"/>
      <c r="AC864" s="127"/>
    </row>
    <row r="865" ht="15.75" customHeight="1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  <c r="AA865" s="127"/>
      <c r="AB865" s="127"/>
      <c r="AC865" s="127"/>
    </row>
    <row r="866" ht="15.75" customHeight="1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  <c r="AA866" s="127"/>
      <c r="AB866" s="127"/>
      <c r="AC866" s="127"/>
    </row>
    <row r="867" ht="15.75" customHeight="1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  <c r="AA867" s="127"/>
      <c r="AB867" s="127"/>
      <c r="AC867" s="127"/>
    </row>
    <row r="868" ht="15.75" customHeight="1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  <c r="AA868" s="127"/>
      <c r="AB868" s="127"/>
      <c r="AC868" s="127"/>
    </row>
    <row r="869" ht="15.75" customHeight="1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  <c r="AA869" s="127"/>
      <c r="AB869" s="127"/>
      <c r="AC869" s="127"/>
    </row>
    <row r="870" ht="15.75" customHeight="1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  <c r="AA870" s="127"/>
      <c r="AB870" s="127"/>
      <c r="AC870" s="127"/>
    </row>
    <row r="871" ht="15.75" customHeight="1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  <c r="AA871" s="127"/>
      <c r="AB871" s="127"/>
      <c r="AC871" s="127"/>
    </row>
    <row r="872" ht="15.75" customHeight="1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  <c r="AA872" s="127"/>
      <c r="AB872" s="127"/>
      <c r="AC872" s="127"/>
    </row>
  </sheetData>
  <mergeCells count="1">
    <mergeCell ref="A3:N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/>
  </sheetViews>
  <sheetFormatPr customHeight="1" defaultColWidth="12.63" defaultRowHeight="15.0"/>
  <cols>
    <col customWidth="1" min="1" max="1" width="21.13"/>
    <col customWidth="1" min="3" max="3" width="2.5"/>
    <col customWidth="1" min="4" max="4" width="23.75"/>
    <col customWidth="1" min="5" max="5" width="14.63"/>
    <col customWidth="1" min="6" max="6" width="4.63"/>
    <col customWidth="1" min="7" max="7" width="16.88"/>
  </cols>
  <sheetData>
    <row r="1">
      <c r="A1" s="148" t="s">
        <v>127</v>
      </c>
      <c r="B1" s="149">
        <v>46143.0</v>
      </c>
      <c r="C1" s="150" t="s">
        <v>265</v>
      </c>
      <c r="D1" s="148" t="s">
        <v>114</v>
      </c>
      <c r="E1" s="149">
        <v>46143.0</v>
      </c>
      <c r="F1" s="32" t="s">
        <v>265</v>
      </c>
      <c r="G1" s="148" t="s">
        <v>266</v>
      </c>
      <c r="H1" s="149">
        <v>46143.0</v>
      </c>
      <c r="I1" s="32" t="s">
        <v>265</v>
      </c>
      <c r="J1" s="148" t="s">
        <v>267</v>
      </c>
      <c r="K1" s="149">
        <v>46143.0</v>
      </c>
    </row>
    <row r="2">
      <c r="A2" s="32" t="s">
        <v>268</v>
      </c>
      <c r="B2" s="34">
        <f>'Final Result'!F20</f>
        <v>17723.85888</v>
      </c>
      <c r="D2" s="32" t="s">
        <v>250</v>
      </c>
      <c r="E2" s="151">
        <f>SUMIFS(Extra!$H:$H,Extra!$E:$E,D2,Extra!$C:$C,5)</f>
        <v>252</v>
      </c>
      <c r="G2" s="32" t="s">
        <v>100</v>
      </c>
      <c r="H2" s="151">
        <f>sumifs(Dados!N:N,Dados!A:A,G2,Dados!I:I,5)</f>
        <v>0</v>
      </c>
      <c r="J2" s="78" t="s">
        <v>40</v>
      </c>
      <c r="K2" s="34">
        <f>'Analysis OUT'!I89</f>
        <v>90.38</v>
      </c>
    </row>
    <row r="3">
      <c r="A3" s="32" t="s">
        <v>270</v>
      </c>
      <c r="B3" s="34">
        <f>'Final Result'!F22</f>
        <v>9763.47</v>
      </c>
      <c r="D3" s="32" t="s">
        <v>228</v>
      </c>
      <c r="E3" s="151">
        <f>SUMIFS(Extra!$H:$H,Extra!$E:$E,D3,Extra!$C:$C,5)</f>
        <v>190</v>
      </c>
      <c r="G3" s="32" t="s">
        <v>121</v>
      </c>
      <c r="H3" s="151">
        <f>sumifs(Dados!N:N,Dados!A:A,G3,Dados!I:I,5)</f>
        <v>5.19</v>
      </c>
      <c r="J3" s="78" t="s">
        <v>58</v>
      </c>
      <c r="K3" s="34">
        <f>'Analysis OUT'!I90</f>
        <v>578</v>
      </c>
    </row>
    <row r="4">
      <c r="A4" s="32" t="s">
        <v>271</v>
      </c>
      <c r="B4" s="34">
        <f>'Final Result'!F23</f>
        <v>513.94</v>
      </c>
      <c r="D4" s="32" t="s">
        <v>272</v>
      </c>
      <c r="E4" s="151">
        <f>SUMIFS(Extra!$H:$H,Extra!$E:$E,D4,Extra!$C:$C,5)</f>
        <v>104</v>
      </c>
      <c r="G4" s="32" t="s">
        <v>151</v>
      </c>
      <c r="H4" s="151">
        <f>sumifs(Dados!N:N,Dados!A:A,G4,Dados!I:I,5)</f>
        <v>364.58</v>
      </c>
      <c r="J4" s="78" t="s">
        <v>48</v>
      </c>
      <c r="K4" s="34">
        <f>'Analysis OUT'!I91</f>
        <v>87.3</v>
      </c>
    </row>
    <row r="5">
      <c r="A5" s="152" t="s">
        <v>274</v>
      </c>
      <c r="B5" s="153">
        <f>B2-B3-B4</f>
        <v>7446.448881</v>
      </c>
      <c r="D5" s="32" t="s">
        <v>222</v>
      </c>
      <c r="E5" s="151">
        <f>SUMIFS(Extra!$H:$H,Extra!$E:$E,D5,Extra!$C:$C,5)</f>
        <v>1.5</v>
      </c>
      <c r="G5" s="32" t="s">
        <v>165</v>
      </c>
      <c r="H5" s="151">
        <f>sumifs(Dados!N:N,Dados!A:A,G5,Dados!I:I,5)</f>
        <v>16.77</v>
      </c>
      <c r="J5" s="78" t="s">
        <v>26</v>
      </c>
      <c r="K5" s="34">
        <f>'Analysis OUT'!I92</f>
        <v>115</v>
      </c>
    </row>
    <row r="6">
      <c r="D6" s="32" t="s">
        <v>275</v>
      </c>
      <c r="E6" s="151">
        <f>SUMIFS(Extra!$H:$H,Extra!$E:$E,D6,Extra!$C:$C,5)</f>
        <v>45</v>
      </c>
      <c r="G6" s="32" t="s">
        <v>171</v>
      </c>
      <c r="H6" s="151">
        <f>sumifs(Dados!N:N,Dados!A:A,G6,Dados!I:I,5)</f>
        <v>466.45</v>
      </c>
      <c r="J6" s="78" t="s">
        <v>39</v>
      </c>
      <c r="K6" s="34">
        <f>'Analysis OUT'!I93</f>
        <v>257.51</v>
      </c>
    </row>
    <row r="7">
      <c r="A7" s="148" t="s">
        <v>276</v>
      </c>
      <c r="B7" s="149">
        <v>46143.0</v>
      </c>
      <c r="D7" s="32" t="s">
        <v>277</v>
      </c>
      <c r="E7" s="151">
        <f>SUMIFS(Extra!$H:$H,Extra!$E:$E,D7,Extra!$C:$C,5)</f>
        <v>12</v>
      </c>
      <c r="G7" s="32" t="s">
        <v>176</v>
      </c>
      <c r="H7" s="151">
        <f>sumifs(Dados!N:N,Dados!A:A,G7,Dados!I:I,5)</f>
        <v>88.59</v>
      </c>
      <c r="J7" s="78" t="s">
        <v>183</v>
      </c>
      <c r="K7" s="34">
        <f>'Analysis OUT'!I94</f>
        <v>0</v>
      </c>
    </row>
    <row r="8">
      <c r="A8" s="32" t="s">
        <v>279</v>
      </c>
      <c r="B8" s="34">
        <f>'Final Result'!F30</f>
        <v>7458.32</v>
      </c>
      <c r="D8" s="32" t="s">
        <v>258</v>
      </c>
      <c r="E8" s="151">
        <f>SUMIFS(Extra!$H:$H,Extra!$E:$E,D8,Extra!$C:$C,5)</f>
        <v>1</v>
      </c>
      <c r="G8" s="32" t="s">
        <v>182</v>
      </c>
      <c r="H8" s="151">
        <f>sumifs(Dados!N:N,Dados!A:A,G8,Dados!I:I,5)</f>
        <v>0</v>
      </c>
      <c r="J8" s="78" t="s">
        <v>32</v>
      </c>
      <c r="K8" s="34">
        <f>'Analysis OUT'!I95</f>
        <v>64.45</v>
      </c>
    </row>
    <row r="9">
      <c r="A9" s="32" t="s">
        <v>280</v>
      </c>
      <c r="B9" s="34">
        <f>'Final Result'!F27</f>
        <v>2243.34</v>
      </c>
      <c r="D9" s="32" t="s">
        <v>281</v>
      </c>
      <c r="E9" s="151">
        <f>SUMIFS(Extra!$H:$H,Extra!$E:$E,D9,Extra!$C:$C,5)</f>
        <v>0</v>
      </c>
      <c r="G9" s="32" t="s">
        <v>185</v>
      </c>
      <c r="H9" s="151">
        <f>sumifs(Dados!N:N,Dados!A:A,G9,Dados!I:I,5)</f>
        <v>1192.64</v>
      </c>
      <c r="J9" s="78" t="s">
        <v>184</v>
      </c>
      <c r="K9" s="34">
        <f>'Analysis OUT'!I96</f>
        <v>0</v>
      </c>
    </row>
    <row r="10">
      <c r="A10" s="152" t="s">
        <v>282</v>
      </c>
      <c r="B10" s="153">
        <f>B8+B9</f>
        <v>9701.66</v>
      </c>
      <c r="D10" s="32" t="s">
        <v>283</v>
      </c>
      <c r="E10" s="151">
        <f>SUMIFS(Extra!$H:$H,Extra!$E:$E,D10,Extra!$C:$C,5)</f>
        <v>0</v>
      </c>
      <c r="G10" s="32" t="s">
        <v>222</v>
      </c>
      <c r="H10" s="151">
        <f>sumifs(Dados!N:N,Dados!A:A,G10,Dados!I:I,5)</f>
        <v>80</v>
      </c>
      <c r="J10" s="152" t="s">
        <v>27</v>
      </c>
      <c r="K10" s="153">
        <f>SUM(K2:K9)</f>
        <v>1192.64</v>
      </c>
    </row>
    <row r="11">
      <c r="D11" s="32" t="s">
        <v>284</v>
      </c>
      <c r="E11" s="151">
        <f>SUMIFS(Extra!$H:$H,Extra!$E:$E,D11,Extra!$C:$C,5)</f>
        <v>0</v>
      </c>
      <c r="G11" s="32" t="s">
        <v>196</v>
      </c>
      <c r="H11" s="151">
        <f>sumifs(Dados!N:N,Dados!A:A,G11,Dados!I:I,5)</f>
        <v>301.01</v>
      </c>
    </row>
    <row r="12">
      <c r="A12" s="148" t="s">
        <v>286</v>
      </c>
      <c r="B12" s="149">
        <v>46143.0</v>
      </c>
      <c r="D12" s="152" t="s">
        <v>27</v>
      </c>
      <c r="E12" s="153">
        <f>SUM(E2:E11)</f>
        <v>605.5</v>
      </c>
      <c r="G12" s="32" t="s">
        <v>204</v>
      </c>
      <c r="H12" s="151">
        <f>sumifs(Dados!N:N,Dados!A:A,G12,Dados!I:I,5)</f>
        <v>64.67</v>
      </c>
    </row>
    <row r="13">
      <c r="A13" s="32" t="s">
        <v>287</v>
      </c>
      <c r="B13" s="154">
        <f>Receptor!F23</f>
        <v>391</v>
      </c>
      <c r="G13" s="32" t="s">
        <v>218</v>
      </c>
      <c r="H13" s="151">
        <f>sumifs(Dados!N:N,Dados!A:A,G13,Dados!I:I,5)</f>
        <v>0</v>
      </c>
    </row>
    <row r="14">
      <c r="A14" s="32" t="s">
        <v>64</v>
      </c>
      <c r="B14" s="155">
        <f>Receptor!F24</f>
        <v>0.5341</v>
      </c>
      <c r="G14" s="32" t="s">
        <v>216</v>
      </c>
      <c r="H14" s="151">
        <f>sumifs(Dados!N:N,Dados!A:A,G14,Dados!I:I,5)</f>
        <v>7183.57</v>
      </c>
    </row>
    <row r="15">
      <c r="A15" s="32" t="s">
        <v>65</v>
      </c>
      <c r="B15" s="58">
        <f>Receptor!F25</f>
        <v>0.8158148505</v>
      </c>
      <c r="G15" s="152" t="s">
        <v>27</v>
      </c>
      <c r="H15" s="153">
        <f>SUM(H2:H14)</f>
        <v>9763.47</v>
      </c>
    </row>
    <row r="16">
      <c r="A16" s="32"/>
    </row>
    <row r="17">
      <c r="A17" s="32" t="s">
        <v>288</v>
      </c>
      <c r="B17" s="34">
        <f>Receptor!F28</f>
        <v>37.9</v>
      </c>
    </row>
    <row r="18">
      <c r="A18" s="32" t="s">
        <v>289</v>
      </c>
      <c r="B18" s="34">
        <f>Receptor!F32</f>
        <v>24.97051151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/>
  </sheetViews>
  <sheetFormatPr customHeight="1" defaultColWidth="12.63" defaultRowHeight="15.0"/>
  <cols>
    <col customWidth="1" min="1" max="1" width="21.13"/>
    <col customWidth="1" min="3" max="3" width="2.5"/>
    <col customWidth="1" min="4" max="4" width="23.75"/>
    <col customWidth="1" min="5" max="5" width="14.63"/>
    <col customWidth="1" min="6" max="6" width="4.63"/>
    <col customWidth="1" min="7" max="7" width="16.88"/>
  </cols>
  <sheetData>
    <row r="1">
      <c r="A1" s="148" t="s">
        <v>127</v>
      </c>
      <c r="B1" s="149">
        <v>46178.0</v>
      </c>
      <c r="C1" s="150" t="s">
        <v>265</v>
      </c>
      <c r="D1" s="148" t="s">
        <v>114</v>
      </c>
      <c r="E1" s="149">
        <v>46177.0</v>
      </c>
      <c r="F1" s="32" t="s">
        <v>265</v>
      </c>
      <c r="G1" s="148" t="s">
        <v>266</v>
      </c>
      <c r="H1" s="149">
        <v>46176.0</v>
      </c>
      <c r="I1" s="32" t="s">
        <v>265</v>
      </c>
      <c r="J1" s="148" t="s">
        <v>267</v>
      </c>
      <c r="K1" s="149">
        <v>46184.0</v>
      </c>
    </row>
    <row r="2">
      <c r="A2" s="32" t="s">
        <v>268</v>
      </c>
      <c r="B2" s="34">
        <f>'Final Result'!G20</f>
        <v>25400.35</v>
      </c>
      <c r="D2" s="32" t="s">
        <v>250</v>
      </c>
      <c r="E2" s="151">
        <f>SUMIFS(Extra!$H:$H,Extra!$E:$E,D2,Extra!$C:$C,6)</f>
        <v>277</v>
      </c>
      <c r="G2" s="32" t="s">
        <v>100</v>
      </c>
      <c r="H2" s="151">
        <f>sumifs(Dados!N:N,Dados!A:A,G2,Dados!I:I,6)</f>
        <v>721.71</v>
      </c>
      <c r="J2" s="78" t="s">
        <v>40</v>
      </c>
      <c r="K2" s="34">
        <f>'Analysis OUT'!J89</f>
        <v>560.75</v>
      </c>
    </row>
    <row r="3">
      <c r="A3" s="32" t="s">
        <v>270</v>
      </c>
      <c r="B3" s="34">
        <f>'Final Result'!G22</f>
        <v>14445.89</v>
      </c>
      <c r="D3" s="32" t="s">
        <v>228</v>
      </c>
      <c r="E3" s="151">
        <f>SUMIFS(Extra!$H:$H,Extra!$E:$E,D3,Extra!$C:$C,6)</f>
        <v>30</v>
      </c>
      <c r="G3" s="32" t="s">
        <v>121</v>
      </c>
      <c r="H3" s="151">
        <f>sumifs(Dados!N:N,Dados!A:A,G3,Dados!I:I,6)</f>
        <v>26.2</v>
      </c>
      <c r="J3" s="78" t="s">
        <v>58</v>
      </c>
      <c r="K3" s="34">
        <f>'Analysis OUT'!J90</f>
        <v>1332</v>
      </c>
    </row>
    <row r="4">
      <c r="A4" s="32" t="s">
        <v>271</v>
      </c>
      <c r="B4" s="34">
        <f>'Final Result'!G23</f>
        <v>179.47</v>
      </c>
      <c r="D4" s="32" t="s">
        <v>272</v>
      </c>
      <c r="E4" s="151">
        <f>SUMIFS(Extra!$H:$H,Extra!$E:$E,D4,Extra!$C:$C,6)</f>
        <v>140</v>
      </c>
      <c r="G4" s="32" t="s">
        <v>151</v>
      </c>
      <c r="H4" s="151">
        <f>sumifs(Dados!N:N,Dados!A:A,G4,Dados!I:I,6)</f>
        <v>432.21</v>
      </c>
      <c r="J4" s="78" t="s">
        <v>48</v>
      </c>
      <c r="K4" s="34">
        <f>'Analysis OUT'!J91</f>
        <v>174.6</v>
      </c>
    </row>
    <row r="5">
      <c r="A5" s="152" t="s">
        <v>274</v>
      </c>
      <c r="B5" s="153">
        <f>B2-B3-B4</f>
        <v>10774.99</v>
      </c>
      <c r="D5" s="32" t="s">
        <v>222</v>
      </c>
      <c r="E5" s="151">
        <f>SUMIFS(Extra!$H:$H,Extra!$E:$E,D5,Extra!$C:$C,6)</f>
        <v>0</v>
      </c>
      <c r="G5" s="32" t="s">
        <v>165</v>
      </c>
      <c r="H5" s="151">
        <f>sumifs(Dados!N:N,Dados!A:A,G5,Dados!I:I,6)</f>
        <v>53.9</v>
      </c>
      <c r="J5" s="78" t="s">
        <v>26</v>
      </c>
      <c r="K5" s="34">
        <f>'Analysis OUT'!J92</f>
        <v>115</v>
      </c>
    </row>
    <row r="6">
      <c r="D6" s="32" t="s">
        <v>275</v>
      </c>
      <c r="E6" s="151">
        <f>SUMIFS(Extra!$H:$H,Extra!$E:$E,D6,Extra!$C:$C,6)</f>
        <v>75</v>
      </c>
      <c r="G6" s="32" t="s">
        <v>171</v>
      </c>
      <c r="H6" s="151">
        <f>sumifs(Dados!N:N,Dados!A:A,G6,Dados!I:I,6)</f>
        <v>1507.98</v>
      </c>
      <c r="J6" s="78" t="s">
        <v>39</v>
      </c>
      <c r="K6" s="34">
        <f>'Analysis OUT'!J93</f>
        <v>422.3</v>
      </c>
    </row>
    <row r="7">
      <c r="A7" s="148" t="s">
        <v>276</v>
      </c>
      <c r="B7" s="149">
        <v>46185.0</v>
      </c>
      <c r="D7" s="32" t="s">
        <v>277</v>
      </c>
      <c r="E7" s="151">
        <f>SUMIFS(Extra!$H:$H,Extra!$E:$E,D7,Extra!$C:$C,6)</f>
        <v>24</v>
      </c>
      <c r="G7" s="32" t="s">
        <v>176</v>
      </c>
      <c r="H7" s="151">
        <f>sumifs(Dados!N:N,Dados!A:A,G7,Dados!I:I,6)</f>
        <v>42.18</v>
      </c>
      <c r="J7" s="78" t="s">
        <v>183</v>
      </c>
      <c r="K7" s="34">
        <f>'Analysis OUT'!J94</f>
        <v>0</v>
      </c>
    </row>
    <row r="8">
      <c r="A8" s="32" t="s">
        <v>279</v>
      </c>
      <c r="B8" s="34">
        <f>'Final Result'!F30</f>
        <v>7458.32</v>
      </c>
      <c r="D8" s="32" t="s">
        <v>258</v>
      </c>
      <c r="E8" s="151">
        <f>SUMIFS(Extra!$H:$H,Extra!$E:$E,D8,Extra!$C:$C,6)</f>
        <v>1</v>
      </c>
      <c r="G8" s="32" t="s">
        <v>182</v>
      </c>
      <c r="H8" s="151">
        <f>sumifs(Dados!N:N,Dados!A:A,G8,Dados!I:I,6)</f>
        <v>0</v>
      </c>
      <c r="J8" s="78" t="s">
        <v>32</v>
      </c>
      <c r="K8" s="34">
        <f>'Analysis OUT'!J95</f>
        <v>75.57</v>
      </c>
    </row>
    <row r="9">
      <c r="A9" s="32" t="s">
        <v>280</v>
      </c>
      <c r="B9" s="34">
        <f>'Final Result'!G27</f>
        <v>4458.1</v>
      </c>
      <c r="D9" s="32" t="s">
        <v>281</v>
      </c>
      <c r="E9" s="151">
        <f>SUMIFS(Extra!$H:$H,Extra!$E:$E,D9,Extra!$C:$C,6)</f>
        <v>0</v>
      </c>
      <c r="G9" s="32" t="s">
        <v>185</v>
      </c>
      <c r="H9" s="151">
        <f>sumifs(Dados!N:N,Dados!A:A,G9,Dados!I:I,6)</f>
        <v>2680.22</v>
      </c>
      <c r="J9" s="78" t="s">
        <v>184</v>
      </c>
      <c r="K9" s="34">
        <f>'Analysis OUT'!J96</f>
        <v>0</v>
      </c>
    </row>
    <row r="10">
      <c r="A10" s="152" t="s">
        <v>282</v>
      </c>
      <c r="B10" s="153">
        <f>B8+B9</f>
        <v>11916.42</v>
      </c>
      <c r="D10" s="32" t="s">
        <v>283</v>
      </c>
      <c r="E10" s="151">
        <f>SUMIFS(Extra!$H:$H,Extra!$E:$E,D10,Extra!$C:$C,6)</f>
        <v>0</v>
      </c>
      <c r="G10" s="32" t="s">
        <v>222</v>
      </c>
      <c r="H10" s="151">
        <f>sumifs(Dados!N:N,Dados!A:A,G10,Dados!I:I,6)</f>
        <v>42.16</v>
      </c>
      <c r="J10" s="152" t="s">
        <v>27</v>
      </c>
      <c r="K10" s="153">
        <f>SUM(K2:K9)</f>
        <v>2680.22</v>
      </c>
    </row>
    <row r="11">
      <c r="D11" s="32" t="s">
        <v>284</v>
      </c>
      <c r="E11" s="151">
        <f>SUMIFS(Extra!$H:$H,Extra!$E:$E,D11,Extra!$C:$C,6)</f>
        <v>0</v>
      </c>
      <c r="G11" s="32" t="s">
        <v>196</v>
      </c>
      <c r="H11" s="151">
        <f>sumifs(Dados!N:N,Dados!A:A,G11,Dados!I:I,6)</f>
        <v>455.96</v>
      </c>
    </row>
    <row r="12">
      <c r="A12" s="148" t="s">
        <v>286</v>
      </c>
      <c r="B12" s="149">
        <v>46178.0</v>
      </c>
      <c r="D12" s="152" t="s">
        <v>27</v>
      </c>
      <c r="E12" s="153">
        <f>SUM(E2:E11)</f>
        <v>547</v>
      </c>
      <c r="G12" s="32" t="s">
        <v>204</v>
      </c>
      <c r="H12" s="151">
        <f>sumifs(Dados!N:N,Dados!A:A,G12,Dados!I:I,6)</f>
        <v>12.99</v>
      </c>
    </row>
    <row r="13">
      <c r="A13" s="32" t="s">
        <v>63</v>
      </c>
      <c r="B13" s="154">
        <f>Receptor!G23</f>
        <v>619</v>
      </c>
      <c r="G13" s="32" t="s">
        <v>218</v>
      </c>
      <c r="H13" s="151">
        <f>sumifs(Dados!N:N,Dados!A:A,G13,Dados!I:I,6)</f>
        <v>0</v>
      </c>
    </row>
    <row r="14">
      <c r="A14" s="32" t="s">
        <v>64</v>
      </c>
      <c r="B14" s="155">
        <f>Receptor!G24</f>
        <v>0.8456</v>
      </c>
      <c r="G14" s="32" t="s">
        <v>216</v>
      </c>
      <c r="H14" s="151">
        <f>sumifs(Dados!N:N,Dados!A:A,G14,Dados!I:I,6)</f>
        <v>8470.38</v>
      </c>
    </row>
    <row r="15">
      <c r="A15" s="32" t="s">
        <v>65</v>
      </c>
      <c r="B15" s="58">
        <f>Receptor!G25</f>
        <v>0.8775313404</v>
      </c>
      <c r="G15" s="152" t="s">
        <v>27</v>
      </c>
      <c r="H15" s="153">
        <f>SUM(H2:H14)</f>
        <v>14445.89</v>
      </c>
    </row>
    <row r="16">
      <c r="A16" s="32"/>
    </row>
    <row r="17">
      <c r="A17" s="32" t="s">
        <v>288</v>
      </c>
      <c r="B17" s="34">
        <f>Receptor!G28</f>
        <v>34.19</v>
      </c>
    </row>
    <row r="18">
      <c r="A18" s="32" t="s">
        <v>289</v>
      </c>
      <c r="B18" s="34">
        <f>Receptor!F32</f>
        <v>24.97051151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/>
  </sheetViews>
  <sheetFormatPr customHeight="1" defaultColWidth="12.63" defaultRowHeight="15.0"/>
  <cols>
    <col customWidth="1" min="1" max="1" width="21.13"/>
    <col customWidth="1" min="3" max="3" width="2.5"/>
    <col customWidth="1" min="4" max="4" width="23.75"/>
    <col customWidth="1" min="5" max="5" width="14.63"/>
    <col customWidth="1" min="6" max="6" width="4.63"/>
    <col customWidth="1" min="7" max="7" width="16.88"/>
  </cols>
  <sheetData>
    <row r="1">
      <c r="A1" s="148" t="s">
        <v>127</v>
      </c>
      <c r="B1" s="149">
        <v>46212.0</v>
      </c>
      <c r="C1" s="150" t="s">
        <v>265</v>
      </c>
      <c r="D1" s="148" t="s">
        <v>114</v>
      </c>
      <c r="E1" s="149">
        <v>46205.0</v>
      </c>
      <c r="F1" s="32" t="s">
        <v>265</v>
      </c>
      <c r="G1" s="148" t="s">
        <v>266</v>
      </c>
      <c r="H1" s="149">
        <v>46205.0</v>
      </c>
      <c r="I1" s="32" t="s">
        <v>265</v>
      </c>
      <c r="J1" s="148" t="s">
        <v>267</v>
      </c>
      <c r="K1" s="149">
        <v>46205.0</v>
      </c>
    </row>
    <row r="2">
      <c r="A2" s="32" t="s">
        <v>268</v>
      </c>
      <c r="B2" s="34">
        <f>'Final Result'!H20</f>
        <v>26458.29</v>
      </c>
      <c r="D2" s="32" t="s">
        <v>250</v>
      </c>
      <c r="E2" s="151">
        <f>SUMIFS(Extra!$H:$H,Extra!$E:$E,D2,Extra!$C:$C,7)</f>
        <v>402.4</v>
      </c>
      <c r="G2" s="32" t="s">
        <v>100</v>
      </c>
      <c r="H2" s="151">
        <f>sumifs(Dados!N:N,Dados!A:A,G2,Dados!I:I,7)</f>
        <v>0</v>
      </c>
      <c r="J2" s="78" t="s">
        <v>40</v>
      </c>
      <c r="K2" s="34">
        <f>'Analysis OUT'!K89</f>
        <v>0</v>
      </c>
    </row>
    <row r="3">
      <c r="A3" s="32" t="s">
        <v>270</v>
      </c>
      <c r="B3" s="34">
        <f>'Final Result'!H22</f>
        <v>10916.88</v>
      </c>
      <c r="D3" s="32" t="s">
        <v>228</v>
      </c>
      <c r="E3" s="151">
        <f>SUMIFS(Extra!$H:$H,Extra!$E:$E,D3,Extra!$C:$C,7)</f>
        <v>0</v>
      </c>
      <c r="G3" s="32" t="s">
        <v>121</v>
      </c>
      <c r="H3" s="151">
        <f>sumifs(Dados!N:N,Dados!A:A,G3,Dados!I:I,7)</f>
        <v>5.19</v>
      </c>
      <c r="J3" s="78" t="s">
        <v>58</v>
      </c>
      <c r="K3" s="34">
        <f>'Analysis OUT'!K90</f>
        <v>0</v>
      </c>
    </row>
    <row r="4">
      <c r="A4" s="32" t="s">
        <v>271</v>
      </c>
      <c r="B4" s="34">
        <f>'Final Result'!H23</f>
        <v>260.97</v>
      </c>
      <c r="D4" s="32" t="s">
        <v>272</v>
      </c>
      <c r="E4" s="151">
        <f>SUMIFS(Extra!$H:$H,Extra!$E:$E,D4,Extra!$C:$C,7)</f>
        <v>152.5</v>
      </c>
      <c r="G4" s="32" t="s">
        <v>151</v>
      </c>
      <c r="H4" s="151">
        <f>sumifs(Dados!N:N,Dados!A:A,G4,Dados!I:I,7)</f>
        <v>499.23</v>
      </c>
      <c r="J4" s="78" t="s">
        <v>48</v>
      </c>
      <c r="K4" s="34">
        <f>'Analysis OUT'!K91</f>
        <v>87.3</v>
      </c>
    </row>
    <row r="5">
      <c r="A5" s="152" t="s">
        <v>274</v>
      </c>
      <c r="B5" s="153">
        <f>B2-B3-B4</f>
        <v>15280.44</v>
      </c>
      <c r="D5" s="32" t="s">
        <v>222</v>
      </c>
      <c r="E5" s="151">
        <f>SUMIFS(Extra!$H:$H,Extra!$E:$E,D5,Extra!$C:$C,7)</f>
        <v>1.5</v>
      </c>
      <c r="G5" s="32" t="s">
        <v>165</v>
      </c>
      <c r="H5" s="151">
        <f>sumifs(Dados!N:N,Dados!A:A,G5,Dados!I:I,7)</f>
        <v>83.04</v>
      </c>
      <c r="J5" s="78" t="s">
        <v>26</v>
      </c>
      <c r="K5" s="34">
        <f>'Analysis OUT'!K92</f>
        <v>953</v>
      </c>
    </row>
    <row r="6">
      <c r="D6" s="32" t="s">
        <v>275</v>
      </c>
      <c r="E6" s="151">
        <f>SUMIFS(Extra!$H:$H,Extra!$E:$E,D6,Extra!$C:$C,7)</f>
        <v>127</v>
      </c>
      <c r="G6" s="32" t="s">
        <v>171</v>
      </c>
      <c r="H6" s="151">
        <f>sumifs(Dados!N:N,Dados!A:A,G6,Dados!I:I,7)</f>
        <v>0</v>
      </c>
      <c r="J6" s="78" t="s">
        <v>39</v>
      </c>
      <c r="K6" s="34">
        <f>'Analysis OUT'!K93</f>
        <v>0</v>
      </c>
    </row>
    <row r="7">
      <c r="A7" s="148" t="s">
        <v>276</v>
      </c>
      <c r="B7" s="149">
        <v>46205.0</v>
      </c>
      <c r="D7" s="32" t="s">
        <v>277</v>
      </c>
      <c r="E7" s="151">
        <f>SUMIFS(Extra!$H:$H,Extra!$E:$E,D7,Extra!$C:$C,7)</f>
        <v>0</v>
      </c>
      <c r="G7" s="32" t="s">
        <v>176</v>
      </c>
      <c r="H7" s="151">
        <f>sumifs(Dados!N:N,Dados!A:A,G7,Dados!I:I,7)</f>
        <v>411</v>
      </c>
      <c r="J7" s="78" t="s">
        <v>183</v>
      </c>
      <c r="K7" s="34">
        <f>'Analysis OUT'!K94</f>
        <v>0</v>
      </c>
    </row>
    <row r="8">
      <c r="A8" s="32" t="s">
        <v>279</v>
      </c>
      <c r="B8" s="34">
        <f>'Final Result'!F30</f>
        <v>7458.32</v>
      </c>
      <c r="D8" s="32" t="s">
        <v>258</v>
      </c>
      <c r="E8" s="151">
        <f>SUMIFS(Extra!$H:$H,Extra!$E:$E,D8,Extra!$C:$C,7)</f>
        <v>4</v>
      </c>
      <c r="G8" s="32" t="s">
        <v>182</v>
      </c>
      <c r="H8" s="151">
        <f>sumifs(Dados!N:N,Dados!A:A,G8,Dados!I:I,7)</f>
        <v>0</v>
      </c>
      <c r="J8" s="78" t="s">
        <v>32</v>
      </c>
      <c r="K8" s="34">
        <f>'Analysis OUT'!K95</f>
        <v>0</v>
      </c>
    </row>
    <row r="9">
      <c r="A9" s="32" t="s">
        <v>280</v>
      </c>
      <c r="B9" s="34">
        <f>'Final Result'!H27</f>
        <v>2800.45</v>
      </c>
      <c r="D9" s="32" t="s">
        <v>281</v>
      </c>
      <c r="E9" s="151">
        <f>SUMIFS(Extra!$H:$H,Extra!$E:$E,D9,Extra!$C:$C,7)</f>
        <v>282</v>
      </c>
      <c r="G9" s="32" t="s">
        <v>185</v>
      </c>
      <c r="H9" s="151">
        <f>sumifs(Dados!N:N,Dados!A:A,G9,Dados!I:I,7)</f>
        <v>1040.3</v>
      </c>
      <c r="J9" s="78" t="s">
        <v>184</v>
      </c>
      <c r="K9" s="34">
        <f>'Analysis OUT'!K96</f>
        <v>0</v>
      </c>
    </row>
    <row r="10">
      <c r="A10" s="152" t="s">
        <v>282</v>
      </c>
      <c r="B10" s="153">
        <f>B8+B9</f>
        <v>10258.77</v>
      </c>
      <c r="D10" s="32" t="s">
        <v>283</v>
      </c>
      <c r="E10" s="151">
        <f>SUMIFS(Extra!$H:$H,Extra!$E:$E,D10,Extra!$C:$C,7)</f>
        <v>40</v>
      </c>
      <c r="G10" s="32" t="s">
        <v>222</v>
      </c>
      <c r="H10" s="151">
        <f>sumifs(Dados!N:N,Dados!A:A,G10,Dados!I:I,7)</f>
        <v>14</v>
      </c>
      <c r="J10" s="152" t="s">
        <v>27</v>
      </c>
      <c r="K10" s="153">
        <f>SUM(K2:K9)</f>
        <v>1040.3</v>
      </c>
    </row>
    <row r="11">
      <c r="D11" s="32" t="s">
        <v>284</v>
      </c>
      <c r="E11" s="151">
        <f>SUMIFS(Extra!$H:$H,Extra!$E:$E,D11,Extra!$C:$C,7)</f>
        <v>5.5</v>
      </c>
      <c r="G11" s="32" t="s">
        <v>196</v>
      </c>
      <c r="H11" s="151">
        <f>sumifs(Dados!N:N,Dados!A:A,G11,Dados!I:I,7)</f>
        <v>143.17</v>
      </c>
    </row>
    <row r="12">
      <c r="A12" s="148" t="s">
        <v>286</v>
      </c>
      <c r="B12" s="149">
        <v>46205.0</v>
      </c>
      <c r="D12" s="152" t="s">
        <v>27</v>
      </c>
      <c r="E12" s="153">
        <f>SUM(E2:E11)</f>
        <v>1014.9</v>
      </c>
      <c r="G12" s="32" t="s">
        <v>204</v>
      </c>
      <c r="H12" s="151">
        <f>sumifs(Dados!N:N,Dados!A:A,G12,Dados!I:I,7)</f>
        <v>42.15</v>
      </c>
    </row>
    <row r="13">
      <c r="A13" s="32" t="s">
        <v>63</v>
      </c>
      <c r="B13" s="154">
        <f>Receptor!H23</f>
        <v>515</v>
      </c>
      <c r="G13" s="32" t="s">
        <v>218</v>
      </c>
      <c r="H13" s="151">
        <f>sumifs(Dados!N:N,Dados!A:A,G13,Dados!I:I,7)</f>
        <v>13</v>
      </c>
    </row>
    <row r="14">
      <c r="A14" s="32" t="s">
        <v>64</v>
      </c>
      <c r="B14" s="155">
        <f>Receptor!H24</f>
        <v>0.7</v>
      </c>
      <c r="G14" s="32" t="s">
        <v>216</v>
      </c>
      <c r="H14" s="151">
        <f>sumifs(Dados!N:N,Dados!A:A,G14,Dados!I:I,7)</f>
        <v>8665.8</v>
      </c>
    </row>
    <row r="15">
      <c r="A15" s="32" t="s">
        <v>65</v>
      </c>
      <c r="B15" s="58">
        <f>Receptor!H25</f>
        <v>0.9057377049</v>
      </c>
      <c r="G15" s="152" t="s">
        <v>27</v>
      </c>
      <c r="H15" s="153">
        <f>SUM(H2:H14)</f>
        <v>10916.88</v>
      </c>
    </row>
    <row r="16">
      <c r="A16" s="32"/>
    </row>
    <row r="17">
      <c r="A17" s="32" t="s">
        <v>288</v>
      </c>
      <c r="B17" s="34">
        <f>Receptor!H28</f>
        <v>34.55</v>
      </c>
    </row>
    <row r="18">
      <c r="A18" s="32" t="s">
        <v>289</v>
      </c>
      <c r="B18" s="34">
        <f>Receptor!F32</f>
        <v>24.97051151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6.0"/>
    <col customWidth="1" min="2" max="2" width="11.5"/>
    <col customWidth="1" min="3" max="3" width="10.38"/>
    <col customWidth="1" min="4" max="4" width="9.88"/>
    <col customWidth="1" min="5" max="5" width="11.63"/>
    <col customWidth="1" min="6" max="6" width="10.88"/>
    <col customWidth="1" min="7" max="7" width="11.38"/>
    <col customWidth="1" min="8" max="8" width="10.75"/>
    <col customWidth="1" min="9" max="9" width="10.25"/>
    <col customWidth="1" min="10" max="10" width="9.88"/>
    <col customWidth="1" min="11" max="11" width="9.38"/>
    <col customWidth="1" min="12" max="12" width="10.0"/>
    <col customWidth="1" min="13" max="13" width="11.5"/>
    <col customWidth="1" min="14" max="32" width="11.75"/>
  </cols>
  <sheetData>
    <row r="1" ht="15.75" customHeight="1">
      <c r="A1" s="156" t="s">
        <v>303</v>
      </c>
      <c r="B1" s="157" t="s">
        <v>7</v>
      </c>
      <c r="C1" s="157"/>
      <c r="D1" s="157"/>
      <c r="E1" s="157"/>
      <c r="F1" s="157"/>
      <c r="G1" s="157"/>
      <c r="H1" s="158"/>
      <c r="I1" s="158"/>
      <c r="J1" s="158"/>
      <c r="K1" s="158"/>
      <c r="L1" s="158"/>
      <c r="M1" s="158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</row>
    <row r="2" ht="15.75" customHeight="1">
      <c r="A2" s="160" t="s">
        <v>96</v>
      </c>
      <c r="B2" s="16">
        <v>2026.0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</row>
    <row r="3" ht="15.75" customHeight="1">
      <c r="A3" s="161" t="s">
        <v>304</v>
      </c>
      <c r="B3" s="162" t="s">
        <v>77</v>
      </c>
      <c r="C3" s="162" t="s">
        <v>78</v>
      </c>
      <c r="D3" s="162" t="s">
        <v>79</v>
      </c>
      <c r="E3" s="162" t="s">
        <v>80</v>
      </c>
      <c r="F3" s="162" t="s">
        <v>81</v>
      </c>
      <c r="G3" s="162" t="s">
        <v>82</v>
      </c>
      <c r="H3" s="162" t="s">
        <v>83</v>
      </c>
      <c r="I3" s="162" t="s">
        <v>84</v>
      </c>
      <c r="J3" s="162" t="s">
        <v>85</v>
      </c>
      <c r="K3" s="162" t="s">
        <v>86</v>
      </c>
      <c r="L3" s="162" t="s">
        <v>87</v>
      </c>
      <c r="M3" s="162" t="s">
        <v>88</v>
      </c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</row>
    <row r="4" ht="15.75" customHeight="1">
      <c r="A4" s="160" t="s">
        <v>304</v>
      </c>
      <c r="B4" s="27">
        <v>1.0</v>
      </c>
      <c r="C4" s="27">
        <v>2.0</v>
      </c>
      <c r="D4" s="27">
        <v>3.0</v>
      </c>
      <c r="E4" s="27">
        <v>4.0</v>
      </c>
      <c r="F4" s="27">
        <v>5.0</v>
      </c>
      <c r="G4" s="27">
        <v>6.0</v>
      </c>
      <c r="H4" s="27">
        <v>7.0</v>
      </c>
      <c r="I4" s="27">
        <v>8.0</v>
      </c>
      <c r="J4" s="27">
        <v>9.0</v>
      </c>
      <c r="K4" s="27">
        <v>10.0</v>
      </c>
      <c r="L4" s="27">
        <v>11.0</v>
      </c>
      <c r="M4" s="27">
        <v>12.0</v>
      </c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</row>
    <row r="5" ht="15.75" customHeight="1">
      <c r="A5" s="18" t="s">
        <v>305</v>
      </c>
      <c r="B5" s="49">
        <v>89327.83</v>
      </c>
      <c r="C5" s="163">
        <f t="shared" ref="C5:M5" si="1">B15</f>
        <v>83545.52</v>
      </c>
      <c r="D5" s="163">
        <f t="shared" si="1"/>
        <v>55362.75</v>
      </c>
      <c r="E5" s="163">
        <f t="shared" si="1"/>
        <v>44212.71</v>
      </c>
      <c r="F5" s="163">
        <f t="shared" si="1"/>
        <v>33049.2</v>
      </c>
      <c r="G5" s="163">
        <f t="shared" si="1"/>
        <v>31869.86888</v>
      </c>
      <c r="H5" s="163">
        <f t="shared" si="1"/>
        <v>29775.85888</v>
      </c>
      <c r="I5" s="163">
        <f t="shared" si="1"/>
        <v>31951.37888</v>
      </c>
      <c r="J5" s="163">
        <f t="shared" si="1"/>
        <v>35607.98888</v>
      </c>
      <c r="K5" s="163">
        <f t="shared" si="1"/>
        <v>35607.98888</v>
      </c>
      <c r="L5" s="163">
        <f t="shared" si="1"/>
        <v>35607.98888</v>
      </c>
      <c r="M5" s="163">
        <f t="shared" si="1"/>
        <v>35607.98888</v>
      </c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</row>
    <row r="6" ht="15.75" customHeight="1">
      <c r="A6" s="18" t="s">
        <v>111</v>
      </c>
      <c r="B6" s="19"/>
      <c r="C6" s="19"/>
      <c r="D6" s="19"/>
      <c r="E6" s="19"/>
      <c r="F6" s="19"/>
      <c r="G6" s="49">
        <v>639.65</v>
      </c>
      <c r="H6" s="49">
        <v>356.4</v>
      </c>
      <c r="I6" s="49"/>
      <c r="J6" s="49"/>
      <c r="K6" s="49"/>
      <c r="L6" s="49"/>
      <c r="M6" s="19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</row>
    <row r="7" ht="15.75" customHeight="1">
      <c r="A7" s="18" t="s">
        <v>306</v>
      </c>
      <c r="B7" s="19"/>
      <c r="C7" s="19"/>
      <c r="D7" s="19"/>
      <c r="E7" s="19"/>
      <c r="F7" s="19"/>
      <c r="G7" s="19">
        <f>SUMIFS(CloudBed!$O:$O,CloudBed!$K:$K,"Booking",CloudBed!$R:$R,G4)</f>
        <v>350</v>
      </c>
      <c r="H7" s="19">
        <f>SUMIFS(CloudBed!$O:$O,CloudBed!$K:$K,"Booking",CloudBed!$R:$R,H4)</f>
        <v>456</v>
      </c>
      <c r="I7" s="19">
        <f>SUMIFS(CloudBed!$O:$O,CloudBed!$K:$K,"Booking",CloudBed!$R:$R,I4)</f>
        <v>496</v>
      </c>
      <c r="J7" s="19">
        <f>SUMIFS(CloudBed!$O:$O,CloudBed!$K:$K,"Booking",CloudBed!$R:$R,J4)</f>
        <v>0</v>
      </c>
      <c r="K7" s="19">
        <f>SUMIFS(CloudBed!$O:$O,CloudBed!$K:$K,"Booking",CloudBed!$R:$R,K4)</f>
        <v>0</v>
      </c>
      <c r="L7" s="19">
        <f>SUMIFS(CloudBed!$O:$O,CloudBed!$K:$K,"Booking",CloudBed!$R:$R,L4)</f>
        <v>0</v>
      </c>
      <c r="M7" s="19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</row>
    <row r="8" ht="15.75" customHeight="1">
      <c r="A8" s="18" t="s">
        <v>28</v>
      </c>
      <c r="B8" s="19"/>
      <c r="C8" s="19"/>
      <c r="D8" s="19"/>
      <c r="E8" s="19"/>
      <c r="F8" s="19"/>
      <c r="G8" s="19">
        <f>SUMIFS(CloudBed!$U:$U,CloudBed!$K:$K,"Booking",CloudBed!$X:$X,G4)</f>
        <v>6419.64</v>
      </c>
      <c r="H8" s="19">
        <f>SUMIFS(CloudBed!$U:$U,CloudBed!$K:$K,"Booking",CloudBed!$X:$X,H4)</f>
        <v>8072.45</v>
      </c>
      <c r="I8" s="19">
        <f>SUMIFS(CloudBed!$U:$U,CloudBed!$K:$K,"Booking",CloudBed!$X:$X,I4)</f>
        <v>8751.41</v>
      </c>
      <c r="J8" s="19">
        <f>SUMIFS(CloudBed!$U:$U,CloudBed!$K:$K,"Booking",CloudBed!$X:$X,J4)</f>
        <v>0</v>
      </c>
      <c r="K8" s="19">
        <f>SUMIFS(CloudBed!$U:$U,CloudBed!$K:$K,"Booking",CloudBed!$X:$X,K4)</f>
        <v>0</v>
      </c>
      <c r="L8" s="19">
        <f>SUMIFS(CloudBed!$U:$U,CloudBed!$K:$K,"Booking",CloudBed!$X:$X,L4)</f>
        <v>0</v>
      </c>
      <c r="M8" s="19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</row>
    <row r="9" ht="15.75" customHeight="1">
      <c r="A9" s="18" t="s">
        <v>307</v>
      </c>
      <c r="B9" s="19"/>
      <c r="C9" s="19"/>
      <c r="D9" s="19"/>
      <c r="E9" s="19"/>
      <c r="F9" s="19">
        <f>SUMIFS(CloudBed!$O:$O,CloudBed!$K:$K,"Airbnb",CloudBed!$R:$R,F4)</f>
        <v>188</v>
      </c>
      <c r="G9" s="19">
        <f>SUMIFS(CloudBed!$O:$O,CloudBed!$K:$K,"Airbnb",CloudBed!$R:$R,G4)</f>
        <v>378</v>
      </c>
      <c r="H9" s="19">
        <f>SUMIFS(CloudBed!$O:$O,CloudBed!$K:$K,"Airbnb",CloudBed!$R:$R,H4)</f>
        <v>238</v>
      </c>
      <c r="I9" s="19">
        <f>SUMIFS(CloudBed!$O:$O,CloudBed!$K:$K,"Airbnb",CloudBed!$R:$R,I4)</f>
        <v>0</v>
      </c>
      <c r="J9" s="19">
        <f>SUMIFS(CloudBed!$O:$O,CloudBed!$K:$K,"Airbnb",CloudBed!$R:$R,J4)</f>
        <v>0</v>
      </c>
      <c r="K9" s="19">
        <f>SUMIFS(CloudBed!$O:$O,CloudBed!$K:$K,"Airbnb",CloudBed!$R:$R,K4)</f>
        <v>0</v>
      </c>
      <c r="L9" s="19">
        <f>SUMIFS(CloudBed!$O:$O,CloudBed!$K:$K,"Airbnb",CloudBed!$R:$R,L4)</f>
        <v>0</v>
      </c>
      <c r="M9" s="19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</row>
    <row r="10" ht="15.75" customHeight="1">
      <c r="A10" s="18" t="s">
        <v>43</v>
      </c>
      <c r="B10" s="19"/>
      <c r="C10" s="19"/>
      <c r="D10" s="19"/>
      <c r="E10" s="19"/>
      <c r="F10" s="19">
        <f>SUMIFS(CloudBed!$U:$U,CloudBed!$K:$K,"Airbnb",CloudBed!$X:$X,F4)</f>
        <v>4244.358881</v>
      </c>
      <c r="G10" s="19">
        <f>SUMIFS(CloudBed!$U:$U,CloudBed!$K:$K,"Airbnb",CloudBed!$X:$X,G4)</f>
        <v>7211.42</v>
      </c>
      <c r="H10" s="19">
        <f>SUMIFS(CloudBed!$U:$U,CloudBed!$K:$K,"Airbnb",CloudBed!$X:$X,H4)</f>
        <v>5127.72</v>
      </c>
      <c r="I10" s="19">
        <f>SUMIFS(CloudBed!$U:$U,CloudBed!$K:$K,"Airbnb",CloudBed!$X:$X,I4)</f>
        <v>0</v>
      </c>
      <c r="J10" s="19">
        <f>SUMIFS(CloudBed!$U:$U,CloudBed!$K:$K,"Airbnb",CloudBed!$X:$X,J4)</f>
        <v>0</v>
      </c>
      <c r="K10" s="19">
        <f>SUMIFS(CloudBed!$U:$U,CloudBed!$K:$K,"Airbnb",CloudBed!$X:$X,K4)</f>
        <v>0</v>
      </c>
      <c r="L10" s="19">
        <f>SUMIFS(CloudBed!$U:$U,CloudBed!$K:$K,"Airbnb",CloudBed!$X:$X,L4)</f>
        <v>0</v>
      </c>
      <c r="M10" s="19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</row>
    <row r="11" ht="15.75" customHeight="1">
      <c r="A11" s="18" t="s">
        <v>308</v>
      </c>
      <c r="B11" s="19"/>
      <c r="C11" s="19"/>
      <c r="D11" s="19"/>
      <c r="E11" s="19"/>
      <c r="F11" s="19">
        <f>SUMIFS(CloudBed!$O:$O,CloudBed!$T:$T,"Credit Card",CloudBed!$R:$R,F4)</f>
        <v>0</v>
      </c>
      <c r="G11" s="19">
        <f>SUMIFS(CloudBed!$O:$O,CloudBed!$T:$T,"Credit Card",CloudBed!$R:$R,G4)</f>
        <v>22</v>
      </c>
      <c r="H11" s="19">
        <f>SUMIFS(CloudBed!$O:$O,CloudBed!$T:$T,"Credit Card",CloudBed!$R:$R,H4)</f>
        <v>8</v>
      </c>
      <c r="I11" s="19">
        <f>SUMIFS(CloudBed!$O:$O,CloudBed!$T:$T,"Credit Card",CloudBed!$R:$R,I4)</f>
        <v>0</v>
      </c>
      <c r="J11" s="19">
        <f>SUMIFS(CloudBed!$O:$O,CloudBed!$T:$T,"Credit Card",CloudBed!$R:$R,J4)</f>
        <v>0</v>
      </c>
      <c r="K11" s="19">
        <f>SUMIFS(CloudBed!$O:$O,CloudBed!$T:$T,"Credit Card",CloudBed!$R:$R,K4)</f>
        <v>0</v>
      </c>
      <c r="L11" s="19">
        <f>SUMIFS(CloudBed!$O:$O,CloudBed!$T:$T,"Credit Card",CloudBed!$R:$R,L4)</f>
        <v>0</v>
      </c>
      <c r="M11" s="19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</row>
    <row r="12" ht="15.75" customHeight="1">
      <c r="A12" s="18" t="s">
        <v>310</v>
      </c>
      <c r="B12" s="19"/>
      <c r="C12" s="19"/>
      <c r="D12" s="19"/>
      <c r="E12" s="19"/>
      <c r="F12" s="19">
        <f>SUMIFS(CloudBed!$U:$U,CloudBed!$Z:$Z,"Credit Card",CloudBed!$X:$X,F4)</f>
        <v>0</v>
      </c>
      <c r="G12" s="19">
        <f>SUMIFS(CloudBed!$U:$U,CloudBed!$Z:$Z,"Credit Card",CloudBed!$X:$X,G4)</f>
        <v>405</v>
      </c>
      <c r="H12" s="19">
        <f>SUMIFS(CloudBed!$U:$U,CloudBed!$Z:$Z,"Credit Card",CloudBed!$X:$X,H4)</f>
        <v>137.76</v>
      </c>
      <c r="I12" s="19">
        <f>SUMIFS(CloudBed!$U:$U,CloudBed!$Z:$Z,"Credit Card",CloudBed!$X:$X,I4)</f>
        <v>0</v>
      </c>
      <c r="J12" s="19">
        <f>SUMIFS(CloudBed!$U:$U,CloudBed!$Z:$Z,"Credit Card",CloudBed!$X:$X,J4)</f>
        <v>0</v>
      </c>
      <c r="K12" s="19">
        <f>SUMIFS(CloudBed!$U:$U,CloudBed!$Z:$Z,"Credit Card",CloudBed!$X:$X,K4)</f>
        <v>0</v>
      </c>
      <c r="L12" s="19">
        <f>SUMIFS(CloudBed!$U:$U,CloudBed!$Z:$Z,"Credit Card",CloudBed!$X:$X,L4)</f>
        <v>0</v>
      </c>
      <c r="M12" s="19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</row>
    <row r="13" ht="15.75" customHeight="1">
      <c r="A13" s="38" t="s">
        <v>312</v>
      </c>
      <c r="B13" s="19">
        <f>SUMIFS(Dados!$N:$N,Dados!$G:$G,B4,Dados!$H:$H,$B$2,Dados!$D:$D,$B$1)</f>
        <v>5782.31</v>
      </c>
      <c r="C13" s="19">
        <f>SUMIFS(Dados!$N:$N,Dados!$G:$G,C4,Dados!$H:$H,$B$2,Dados!$D:$D,$B$1)</f>
        <v>28182.77</v>
      </c>
      <c r="D13" s="19">
        <f>SUMIFS(Dados!$N:$N,Dados!$G:$G,D4,Dados!$H:$H,$B$2,Dados!$D:$D,$B$1)</f>
        <v>11150.04</v>
      </c>
      <c r="E13" s="19">
        <f>SUMIFS(Dados!$N:$N,Dados!$G:$G,E4,Dados!$H:$H,$B$2,Dados!$D:$D,$B$1)</f>
        <v>11163.51</v>
      </c>
      <c r="F13" s="19">
        <f>SUMIFS(Dados!$N:$N,Dados!$G:$G,F4,Dados!$H:$H,$B$2,Dados!$D:$D,$B$1)</f>
        <v>5611.69</v>
      </c>
      <c r="G13" s="19">
        <f>SUMIFS(Dados!$N:$N,Dados!$G:$G,G4,Dados!$H:$H,$B$2,Dados!$D:$D,$B$1)</f>
        <v>17519.72</v>
      </c>
      <c r="H13" s="19">
        <f>SUMIFS(Dados!$N:$N,Dados!$G:$G,H4,Dados!$H:$H,$B$2,Dados!$D:$D,$B$1)</f>
        <v>12220.81</v>
      </c>
      <c r="I13" s="19">
        <f>SUMIFS(Dados!$N:$N,Dados!$G:$G,I4,Dados!$H:$H,$B$2,Dados!$D:$D,$B$1)</f>
        <v>5590.8</v>
      </c>
      <c r="J13" s="19">
        <f>SUMIFS(Dados!$N:$N,Dados!$G:$G,J4,Dados!$H:$H,$B$2,Dados!$D:$D,$B$1)</f>
        <v>0</v>
      </c>
      <c r="K13" s="19">
        <f>SUMIFS(Dados!$N:$N,Dados!$G:$G,K4,Dados!$H:$H,$B$2,Dados!$D:$D,$B$1)</f>
        <v>0</v>
      </c>
      <c r="L13" s="19">
        <f>SUMIFS(Dados!$N:$N,Dados!$G:$G,L4,Dados!$H:$H,$B$2,Dados!$D:$D,$B$1)</f>
        <v>0</v>
      </c>
      <c r="M13" s="19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</row>
    <row r="14" ht="15.75" customHeight="1">
      <c r="A14" s="166" t="s">
        <v>222</v>
      </c>
      <c r="B14" s="167"/>
      <c r="C14" s="167"/>
      <c r="D14" s="167"/>
      <c r="E14" s="167"/>
      <c r="F14" s="168"/>
      <c r="G14" s="168"/>
      <c r="H14" s="167"/>
      <c r="I14" s="167"/>
      <c r="J14" s="167"/>
      <c r="K14" s="167"/>
      <c r="L14" s="167"/>
      <c r="M14" s="167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</row>
    <row r="15" ht="15.75" customHeight="1">
      <c r="A15" s="18" t="s">
        <v>314</v>
      </c>
      <c r="B15" s="169">
        <f t="shared" ref="B15:M15" si="2">B5+B6+B7+B8+B9+B10+B11+B12-B13+B14</f>
        <v>83545.52</v>
      </c>
      <c r="C15" s="169">
        <f t="shared" si="2"/>
        <v>55362.75</v>
      </c>
      <c r="D15" s="169">
        <f t="shared" si="2"/>
        <v>44212.71</v>
      </c>
      <c r="E15" s="169">
        <f t="shared" si="2"/>
        <v>33049.2</v>
      </c>
      <c r="F15" s="169">
        <f t="shared" si="2"/>
        <v>31869.86888</v>
      </c>
      <c r="G15" s="169">
        <f t="shared" si="2"/>
        <v>29775.85888</v>
      </c>
      <c r="H15" s="169">
        <f t="shared" si="2"/>
        <v>31951.37888</v>
      </c>
      <c r="I15" s="169">
        <f t="shared" si="2"/>
        <v>35607.98888</v>
      </c>
      <c r="J15" s="169">
        <f t="shared" si="2"/>
        <v>35607.98888</v>
      </c>
      <c r="K15" s="169">
        <f t="shared" si="2"/>
        <v>35607.98888</v>
      </c>
      <c r="L15" s="169">
        <f t="shared" si="2"/>
        <v>35607.98888</v>
      </c>
      <c r="M15" s="169">
        <f t="shared" si="2"/>
        <v>35607.98888</v>
      </c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</row>
    <row r="16" ht="15.75" customHeight="1">
      <c r="A16" s="38" t="s">
        <v>317</v>
      </c>
      <c r="B16" s="170">
        <v>83544.2</v>
      </c>
      <c r="C16" s="170">
        <v>55368.87</v>
      </c>
      <c r="D16" s="170">
        <v>44210.86</v>
      </c>
      <c r="E16" s="170">
        <v>33047.0</v>
      </c>
      <c r="F16" s="170">
        <v>31868.65</v>
      </c>
      <c r="G16" s="170">
        <v>29766.9</v>
      </c>
      <c r="H16" s="170">
        <v>31957.21</v>
      </c>
      <c r="I16" s="163"/>
      <c r="J16" s="163"/>
      <c r="K16" s="163"/>
      <c r="L16" s="163"/>
      <c r="M16" s="163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</row>
    <row r="17" ht="15.75" customHeight="1">
      <c r="A17" s="171" t="s">
        <v>53</v>
      </c>
      <c r="B17" s="172">
        <f t="shared" ref="B17:M17" si="3">B15-B16</f>
        <v>1.32</v>
      </c>
      <c r="C17" s="173">
        <f t="shared" si="3"/>
        <v>-6.12</v>
      </c>
      <c r="D17" s="172">
        <f t="shared" si="3"/>
        <v>1.85</v>
      </c>
      <c r="E17" s="173">
        <f t="shared" si="3"/>
        <v>2.2</v>
      </c>
      <c r="F17" s="173">
        <f t="shared" si="3"/>
        <v>1.2188812</v>
      </c>
      <c r="G17" s="173">
        <f t="shared" si="3"/>
        <v>8.9588812</v>
      </c>
      <c r="H17" s="173">
        <f t="shared" si="3"/>
        <v>-5.8311188</v>
      </c>
      <c r="I17" s="172">
        <f t="shared" si="3"/>
        <v>35607.98888</v>
      </c>
      <c r="J17" s="173">
        <f t="shared" si="3"/>
        <v>35607.98888</v>
      </c>
      <c r="K17" s="173">
        <f t="shared" si="3"/>
        <v>35607.98888</v>
      </c>
      <c r="L17" s="172">
        <f t="shared" si="3"/>
        <v>35607.98888</v>
      </c>
      <c r="M17" s="172">
        <f t="shared" si="3"/>
        <v>35607.98888</v>
      </c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</row>
    <row r="18" ht="15.75" customHeight="1">
      <c r="A18" s="43"/>
      <c r="B18" s="44"/>
      <c r="C18" s="44"/>
      <c r="D18" s="44"/>
      <c r="E18" s="44"/>
      <c r="F18" s="44"/>
      <c r="G18" s="44"/>
      <c r="H18" s="43"/>
      <c r="I18" s="43"/>
      <c r="J18" s="43"/>
      <c r="K18" s="53"/>
      <c r="L18" s="43"/>
      <c r="M18" s="43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</row>
    <row r="19" ht="15.75" customHeight="1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</row>
    <row r="20" ht="15.75" customHeight="1">
      <c r="A20" s="156" t="s">
        <v>303</v>
      </c>
      <c r="B20" s="24" t="s">
        <v>319</v>
      </c>
      <c r="C20" s="156"/>
      <c r="D20" s="156"/>
      <c r="E20" s="156"/>
      <c r="F20" s="156"/>
      <c r="G20" s="156"/>
      <c r="H20" s="174"/>
      <c r="I20" s="174"/>
      <c r="J20" s="174"/>
      <c r="K20" s="174"/>
      <c r="L20" s="174"/>
      <c r="M20" s="17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</row>
    <row r="21" ht="15.75" customHeight="1">
      <c r="A21" s="160" t="s">
        <v>96</v>
      </c>
      <c r="B21" s="16">
        <v>2026.0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</row>
    <row r="22" ht="15.75" customHeight="1">
      <c r="A22" s="160" t="s">
        <v>304</v>
      </c>
      <c r="B22" s="27">
        <v>1.0</v>
      </c>
      <c r="C22" s="27">
        <v>2.0</v>
      </c>
      <c r="D22" s="27">
        <v>3.0</v>
      </c>
      <c r="E22" s="27">
        <v>4.0</v>
      </c>
      <c r="F22" s="27">
        <v>5.0</v>
      </c>
      <c r="G22" s="27">
        <v>6.0</v>
      </c>
      <c r="H22" s="27">
        <v>7.0</v>
      </c>
      <c r="I22" s="27">
        <v>8.0</v>
      </c>
      <c r="J22" s="27">
        <v>9.0</v>
      </c>
      <c r="K22" s="27">
        <v>10.0</v>
      </c>
      <c r="L22" s="27">
        <v>11.0</v>
      </c>
      <c r="M22" s="27">
        <v>12.0</v>
      </c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</row>
    <row r="23" ht="15.75" customHeight="1">
      <c r="A23" s="161" t="s">
        <v>304</v>
      </c>
      <c r="B23" s="162" t="s">
        <v>77</v>
      </c>
      <c r="C23" s="162" t="s">
        <v>78</v>
      </c>
      <c r="D23" s="162" t="s">
        <v>79</v>
      </c>
      <c r="E23" s="162" t="s">
        <v>80</v>
      </c>
      <c r="F23" s="162" t="s">
        <v>81</v>
      </c>
      <c r="G23" s="162" t="s">
        <v>82</v>
      </c>
      <c r="H23" s="162" t="s">
        <v>83</v>
      </c>
      <c r="I23" s="162" t="s">
        <v>84</v>
      </c>
      <c r="J23" s="162" t="s">
        <v>85</v>
      </c>
      <c r="K23" s="162" t="s">
        <v>86</v>
      </c>
      <c r="L23" s="162" t="s">
        <v>87</v>
      </c>
      <c r="M23" s="162" t="s">
        <v>88</v>
      </c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</row>
    <row r="24" ht="15.75" customHeight="1">
      <c r="A24" s="18" t="s">
        <v>305</v>
      </c>
      <c r="B24" s="49">
        <v>80.0</v>
      </c>
      <c r="C24" s="163">
        <f t="shared" ref="C24:F24" si="4">B32</f>
        <v>80</v>
      </c>
      <c r="D24" s="163">
        <f t="shared" si="4"/>
        <v>80</v>
      </c>
      <c r="E24" s="163">
        <f t="shared" si="4"/>
        <v>80</v>
      </c>
      <c r="F24" s="163">
        <f t="shared" si="4"/>
        <v>80</v>
      </c>
      <c r="G24" s="163">
        <f>F33</f>
        <v>369.42</v>
      </c>
      <c r="H24" s="163">
        <f t="shared" ref="H24:M24" si="5">G32</f>
        <v>341.47</v>
      </c>
      <c r="I24" s="163">
        <f t="shared" si="5"/>
        <v>415.31</v>
      </c>
      <c r="J24" s="163">
        <f t="shared" si="5"/>
        <v>820.06</v>
      </c>
      <c r="K24" s="163">
        <f t="shared" si="5"/>
        <v>820.06</v>
      </c>
      <c r="L24" s="163">
        <f t="shared" si="5"/>
        <v>820.06</v>
      </c>
      <c r="M24" s="163">
        <f t="shared" si="5"/>
        <v>820.06</v>
      </c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</row>
    <row r="25" ht="15.75" customHeight="1">
      <c r="A25" s="175" t="s">
        <v>323</v>
      </c>
      <c r="B25" s="19"/>
      <c r="C25" s="19"/>
      <c r="D25" s="19"/>
      <c r="E25" s="19"/>
      <c r="F25" s="19">
        <f>SUMIFS(CloudBed!$O:$O,CloudBed!$R:$R,F22,CloudBed!$T:$T,"Money Box")</f>
        <v>176</v>
      </c>
      <c r="G25" s="19">
        <f>SUMIFS(CloudBed!$O:$O,CloudBed!$R:$R,G22,CloudBed!$T:$T,"Money Box")</f>
        <v>276</v>
      </c>
      <c r="H25" s="19">
        <f>SUMIFS(CloudBed!$O:$O,CloudBed!$R:$R,H22,CloudBed!$T:$T,"Money Box")</f>
        <v>364</v>
      </c>
      <c r="I25" s="19">
        <f>SUMIFS(CloudBed!$O:$O,CloudBed!$R:$R,I22,CloudBed!$T:$T,"Money Box")</f>
        <v>18</v>
      </c>
      <c r="J25" s="19">
        <f>SUMIFS(CloudBed!$O:$O,CloudBed!$R:$R,J22,CloudBed!$T:$T,"Money Box")</f>
        <v>0</v>
      </c>
      <c r="K25" s="19">
        <f>SUMIFS(CloudBed!$O:$O,CloudBed!$R:$R,K22,CloudBed!$T:$T,"Money Box")</f>
        <v>0</v>
      </c>
      <c r="L25" s="19">
        <f>SUMIFS(CloudBed!$O:$O,CloudBed!$R:$R,L22,CloudBed!$T:$T,"Money Box")</f>
        <v>0</v>
      </c>
      <c r="M25" s="19">
        <f>SUMIFS(CloudBed!$O:$O,CloudBed!$R:$R,M22,CloudBed!$T:$T,"Money Box")</f>
        <v>0</v>
      </c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</row>
    <row r="26" ht="15.75" customHeight="1">
      <c r="A26" s="175" t="s">
        <v>325</v>
      </c>
      <c r="B26" s="19"/>
      <c r="C26" s="19"/>
      <c r="D26" s="19"/>
      <c r="E26" s="19"/>
      <c r="F26" s="19">
        <f>SUMIFS(CloudBed!$U:$U,CloudBed!$R:$R,F22,CloudBed!$Z:$Z,"Money Box")</f>
        <v>1413.5</v>
      </c>
      <c r="G26" s="19">
        <f>SUMIFS(CloudBed!$U:$U,CloudBed!$R:$R,G22,CloudBed!$Z:$Z,"Money Box")</f>
        <v>3293.2</v>
      </c>
      <c r="H26" s="19">
        <f>SUMIFS(CloudBed!$U:$U,CloudBed!$R:$R,H22,CloudBed!$Z:$Z,"Money Box")</f>
        <v>6538.2</v>
      </c>
      <c r="I26" s="19">
        <f>SUMIFS(CloudBed!$U:$U,CloudBed!$R:$R,I22,CloudBed!$Z:$Z,"Money Box")</f>
        <v>386.75</v>
      </c>
      <c r="J26" s="19">
        <f>SUMIFS(CloudBed!$U:$U,CloudBed!$R:$R,J22,CloudBed!$Z:$Z,"Money Box")</f>
        <v>0</v>
      </c>
      <c r="K26" s="19">
        <f>SUMIFS(CloudBed!$U:$U,CloudBed!$R:$R,K22,CloudBed!$Z:$Z,"Money Box")</f>
        <v>0</v>
      </c>
      <c r="L26" s="19">
        <f>SUMIFS(CloudBed!$U:$U,CloudBed!$R:$R,L22,CloudBed!$Z:$Z,"Money Box")</f>
        <v>0</v>
      </c>
      <c r="M26" s="19">
        <f>SUMIFS(CloudBed!$U:$U,CloudBed!$R:$R,M22,CloudBed!$Z:$Z,"Money Box")</f>
        <v>0</v>
      </c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</row>
    <row r="27" ht="15.75" customHeight="1">
      <c r="A27" s="175" t="s">
        <v>327</v>
      </c>
      <c r="B27" s="19"/>
      <c r="C27" s="19"/>
      <c r="D27" s="19"/>
      <c r="E27" s="19"/>
      <c r="F27" s="19">
        <f>sumifs(FF!$E:$E,FF!$F:$F,"FF",FF!$C:$C,F22)</f>
        <v>671</v>
      </c>
      <c r="G27" s="19">
        <f>sumifs(FF!$E:$E,FF!$F:$F,"FF",FF!$C:$C,G22)</f>
        <v>1120</v>
      </c>
      <c r="H27" s="19">
        <f>sumifs(FF!$E:$E,FF!$F:$F,"FF",FF!$C:$C,H22)</f>
        <v>2210.5</v>
      </c>
      <c r="I27" s="19">
        <f>sumifs(FF!$E:$E,FF!$F:$F,"FF",FF!$C:$C,I22)</f>
        <v>0</v>
      </c>
      <c r="J27" s="19">
        <f>sumifs(FF!$E:$E,FF!$F:$F,"FF",FF!$C:$C,J22)</f>
        <v>0</v>
      </c>
      <c r="K27" s="19">
        <f>sumifs(FF!$E:$E,FF!$F:$F,"FF",FF!$C:$C,K22)</f>
        <v>0</v>
      </c>
      <c r="L27" s="19">
        <f>sumifs(FF!$E:$E,FF!$F:$F,"FF",FF!$C:$C,L22)</f>
        <v>0</v>
      </c>
      <c r="M27" s="19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</row>
    <row r="28" ht="15.75" customHeight="1">
      <c r="A28" s="175" t="s">
        <v>114</v>
      </c>
      <c r="B28" s="19"/>
      <c r="C28" s="19"/>
      <c r="D28" s="19"/>
      <c r="E28" s="19"/>
      <c r="F28" s="19">
        <f>SUMIFS(Extra!$H:$H,Extra!$I:$I,"Money Box",Extra!$C:$C,F22)</f>
        <v>510.5</v>
      </c>
      <c r="G28" s="19">
        <f>SUMIFS(Extra!$H:$H,Extra!$I:$I,"Money Box",Extra!$C:$C,G22)</f>
        <v>514</v>
      </c>
      <c r="H28" s="19">
        <f>SUMIFS(Extra!$H:$H,Extra!$I:$I,"Money Box",Extra!$C:$C,H22)</f>
        <v>950.9</v>
      </c>
      <c r="I28" s="19">
        <f>SUMIFS(Extra!$H:$H,Extra!$I:$I,"Money Box",Extra!$C:$C,I22)</f>
        <v>0</v>
      </c>
      <c r="J28" s="19">
        <f>SUMIFS(Extra!$H:$H,Extra!$I:$I,"Money Box",Extra!$C:$C,J22)</f>
        <v>0</v>
      </c>
      <c r="K28" s="19">
        <f>SUMIFS(Extra!$H:$H,Extra!$I:$I,"Money Box",Extra!$C:$C,K22)</f>
        <v>0</v>
      </c>
      <c r="L28" s="19">
        <f>SUMIFS(Extra!$H:$H,Extra!$I:$I,"Money Box",Extra!$C:$C,L22)</f>
        <v>0</v>
      </c>
      <c r="M28" s="19">
        <f>SUMIFS(Extra!$H:$H,Extra!$I:$I,"Money Box",Extra!$C:$C,M22)</f>
        <v>0</v>
      </c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</row>
    <row r="29" ht="15.75" customHeight="1">
      <c r="A29" s="175" t="s">
        <v>331</v>
      </c>
      <c r="B29" s="19">
        <f t="shared" ref="B29:L29" si="6">SUM(B25:B28)</f>
        <v>0</v>
      </c>
      <c r="C29" s="19">
        <f t="shared" si="6"/>
        <v>0</v>
      </c>
      <c r="D29" s="19">
        <f t="shared" si="6"/>
        <v>0</v>
      </c>
      <c r="E29" s="19">
        <f t="shared" si="6"/>
        <v>0</v>
      </c>
      <c r="F29" s="19">
        <f t="shared" si="6"/>
        <v>2771</v>
      </c>
      <c r="G29" s="19">
        <f t="shared" si="6"/>
        <v>5203.2</v>
      </c>
      <c r="H29" s="19">
        <f t="shared" si="6"/>
        <v>10063.6</v>
      </c>
      <c r="I29" s="19">
        <f t="shared" si="6"/>
        <v>404.75</v>
      </c>
      <c r="J29" s="19">
        <f t="shared" si="6"/>
        <v>0</v>
      </c>
      <c r="K29" s="19">
        <f t="shared" si="6"/>
        <v>0</v>
      </c>
      <c r="L29" s="19">
        <f t="shared" si="6"/>
        <v>0</v>
      </c>
      <c r="M29" s="19">
        <f>SUM(M25:M26)</f>
        <v>0</v>
      </c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</row>
    <row r="30" ht="15.75" customHeight="1">
      <c r="A30" s="175" t="s">
        <v>332</v>
      </c>
      <c r="B30" s="19">
        <f>SUMIFS(Dados!$N:$N,Dados!$G:$G,B22,Dados!$H:$H,$B$2,Dados!$D:$D,"Money Box")-B31</f>
        <v>0</v>
      </c>
      <c r="C30" s="19">
        <f>SUMIFS(Dados!$N:$N,Dados!$G:$G,C22,Dados!$H:$H,$B$2,Dados!$D:$D,"Money Box")-C31</f>
        <v>0</v>
      </c>
      <c r="D30" s="19">
        <f>SUMIFS(Dados!$N:$N,Dados!$G:$G,D22,Dados!$H:$H,$B$2,Dados!$D:$D,"Money Box")-D31</f>
        <v>0</v>
      </c>
      <c r="E30" s="19">
        <f>SUMIFS(Dados!$N:$N,Dados!$G:$G,E22,Dados!$H:$H,$B$2,Dados!$D:$D,"Money Box")-E31</f>
        <v>0</v>
      </c>
      <c r="F30" s="19">
        <f>SUMIFS(Dados!$N:$N,Dados!$G:$G,F22,Dados!$H:$H,$B$2,Dados!$D:$D,"Money Box")-F31</f>
        <v>1482.04</v>
      </c>
      <c r="G30" s="19">
        <f>SUMIFS(Dados!$N:$N,Dados!$G:$G,G22,Dados!$H:$H,$B$2,Dados!$D:$D,"Money Box")-G31</f>
        <v>2231.15</v>
      </c>
      <c r="H30" s="19">
        <f>SUMIFS(Dados!$N:$N,Dados!$G:$G,H22,Dados!$H:$H,$B$2,Dados!$D:$D,"Money Box")-H31</f>
        <v>1479.76</v>
      </c>
      <c r="I30" s="19">
        <f>SUMIFS(Dados!$N:$N,Dados!$G:$G,I22,Dados!$H:$H,$B$2,Dados!$D:$D,"Money Box")-I31</f>
        <v>0</v>
      </c>
      <c r="J30" s="19">
        <f>SUMIFS(Dados!$N:$N,Dados!$G:$G,J22,Dados!$H:$H,$B$2,Dados!$D:$D,"Money Box")-J31</f>
        <v>0</v>
      </c>
      <c r="K30" s="19">
        <f>SUMIFS(Dados!$N:$N,Dados!$G:$G,K22,Dados!$H:$H,$B$2,Dados!$D:$D,"Money Box")-K31</f>
        <v>0</v>
      </c>
      <c r="L30" s="19">
        <f>SUMIFS(Dados!$N:$N,Dados!$G:$G,L22,Dados!$H:$H,$B$2,Dados!$D:$D,"Money Box")-L31</f>
        <v>0</v>
      </c>
      <c r="M30" s="19">
        <f>SUMIFS(Dados!$N:$N,Dados!$G:$G,M22,Dados!$H:$H,$B$2,Dados!$D:$D,"Money Box")-M31</f>
        <v>0</v>
      </c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</row>
    <row r="31" ht="15.75" customHeight="1">
      <c r="A31" s="175" t="s">
        <v>334</v>
      </c>
      <c r="B31" s="19">
        <f>SUMIFS(Dados!$N:$N,Dados!$G:$G,B22,Dados!$H:$H,$B$2,Dados!$D:$D,"Money Box",Dados!$A:$A,"Drop")</f>
        <v>0</v>
      </c>
      <c r="C31" s="19">
        <f>SUMIFS(Dados!$N:$N,Dados!$G:$G,C22,Dados!$H:$H,$B$2,Dados!$D:$D,"Money Box",Dados!$A:$A,"Drop")</f>
        <v>0</v>
      </c>
      <c r="D31" s="19">
        <f>SUMIFS(Dados!$N:$N,Dados!$G:$G,D22,Dados!$H:$H,$B$2,Dados!$D:$D,"Money Box",Dados!$A:$A,"Drop")</f>
        <v>0</v>
      </c>
      <c r="E31" s="19">
        <f>SUMIFS(Dados!$N:$N,Dados!$G:$G,E22,Dados!$H:$H,$B$2,Dados!$D:$D,"Money Box",Dados!$A:$A,"Drop")</f>
        <v>0</v>
      </c>
      <c r="F31" s="19">
        <f>SUMIFS(Dados!$N:$N,Dados!$G:$G,F22,Dados!$H:$H,$B$2,Dados!$D:$D,"Money Box",Dados!$A:$A,"Drop")</f>
        <v>1000</v>
      </c>
      <c r="G31" s="19">
        <f>SUMIFS(Dados!$N:$N,Dados!$G:$G,G22,Dados!$H:$H,$B$2,Dados!$D:$D,"Money Box",Dados!$A:$A,"Drop")</f>
        <v>3000</v>
      </c>
      <c r="H31" s="19">
        <f>SUMIFS(Dados!$N:$N,Dados!$G:$G,H22,Dados!$H:$H,$B$2,Dados!$D:$D,"Money Box",Dados!$A:$A,"Drop")</f>
        <v>8510</v>
      </c>
      <c r="I31" s="19">
        <f>SUMIFS(Dados!$N:$N,Dados!$G:$G,I22,Dados!$H:$H,$B$2,Dados!$D:$D,"Money Box",Dados!$A:$A,"Drop")</f>
        <v>0</v>
      </c>
      <c r="J31" s="19">
        <f>SUMIFS(Dados!$N:$N,Dados!$G:$G,J22,Dados!$H:$H,$B$2,Dados!$D:$D,"Money Box",Dados!$A:$A,"Drop")</f>
        <v>0</v>
      </c>
      <c r="K31" s="19">
        <f>SUMIFS(Dados!$N:$N,Dados!$G:$G,K22,Dados!$H:$H,$B$2,Dados!$D:$D,"MoneyBox",Dados!$A:$A,"Drop")</f>
        <v>0</v>
      </c>
      <c r="L31" s="19">
        <f>SUMIFS(Dados!$N:$N,Dados!$G:$G,L22,Dados!$H:$H,$B$2,Dados!$D:$D,"MoneyBox",Dados!$A:$A,"Drop")</f>
        <v>0</v>
      </c>
      <c r="M31" s="19">
        <f>SUMIFS(Dados!$N:$N,Dados!$G:$G,M22,Dados!$H:$H,$B$2,Dados!$D:$D,"MoneyBox",Dados!$A:$A,"Drop")</f>
        <v>0</v>
      </c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</row>
    <row r="32" ht="15.75" customHeight="1">
      <c r="A32" s="175" t="s">
        <v>314</v>
      </c>
      <c r="B32" s="19">
        <f t="shared" ref="B32:M32" si="7">B24+B29-B30-B31</f>
        <v>80</v>
      </c>
      <c r="C32" s="19">
        <f t="shared" si="7"/>
        <v>80</v>
      </c>
      <c r="D32" s="19">
        <f t="shared" si="7"/>
        <v>80</v>
      </c>
      <c r="E32" s="19">
        <f t="shared" si="7"/>
        <v>80</v>
      </c>
      <c r="F32" s="19">
        <f t="shared" si="7"/>
        <v>368.96</v>
      </c>
      <c r="G32" s="19">
        <f t="shared" si="7"/>
        <v>341.47</v>
      </c>
      <c r="H32" s="19">
        <f t="shared" si="7"/>
        <v>415.31</v>
      </c>
      <c r="I32" s="19">
        <f t="shared" si="7"/>
        <v>820.06</v>
      </c>
      <c r="J32" s="19">
        <f t="shared" si="7"/>
        <v>820.06</v>
      </c>
      <c r="K32" s="19">
        <f t="shared" si="7"/>
        <v>820.06</v>
      </c>
      <c r="L32" s="19">
        <f t="shared" si="7"/>
        <v>820.06</v>
      </c>
      <c r="M32" s="19">
        <f t="shared" si="7"/>
        <v>820.06</v>
      </c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</row>
    <row r="33" ht="15.75" customHeight="1">
      <c r="A33" s="175" t="s">
        <v>335</v>
      </c>
      <c r="B33" s="49">
        <v>80.0</v>
      </c>
      <c r="C33" s="49">
        <v>80.0</v>
      </c>
      <c r="D33" s="49">
        <v>80.0</v>
      </c>
      <c r="E33" s="49">
        <v>80.0</v>
      </c>
      <c r="F33" s="49">
        <v>369.42</v>
      </c>
      <c r="G33" s="179">
        <v>340.6</v>
      </c>
      <c r="H33" s="19">
        <f>404+11.2</f>
        <v>415.2</v>
      </c>
      <c r="I33" s="19"/>
      <c r="J33" s="19"/>
      <c r="K33" s="19"/>
      <c r="L33" s="19"/>
      <c r="M33" s="19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</row>
    <row r="34" ht="15.75" customHeight="1">
      <c r="A34" s="180" t="s">
        <v>53</v>
      </c>
      <c r="B34" s="172">
        <f t="shared" ref="B34:M34" si="8">B32-B33</f>
        <v>0</v>
      </c>
      <c r="C34" s="172">
        <f t="shared" si="8"/>
        <v>0</v>
      </c>
      <c r="D34" s="172">
        <f t="shared" si="8"/>
        <v>0</v>
      </c>
      <c r="E34" s="172">
        <f t="shared" si="8"/>
        <v>0</v>
      </c>
      <c r="F34" s="172">
        <f t="shared" si="8"/>
        <v>-0.46</v>
      </c>
      <c r="G34" s="172">
        <f t="shared" si="8"/>
        <v>0.87</v>
      </c>
      <c r="H34" s="172">
        <f t="shared" si="8"/>
        <v>0.11</v>
      </c>
      <c r="I34" s="172">
        <f t="shared" si="8"/>
        <v>820.06</v>
      </c>
      <c r="J34" s="172">
        <f t="shared" si="8"/>
        <v>820.06</v>
      </c>
      <c r="K34" s="172">
        <f t="shared" si="8"/>
        <v>820.06</v>
      </c>
      <c r="L34" s="172">
        <f t="shared" si="8"/>
        <v>820.06</v>
      </c>
      <c r="M34" s="172">
        <f t="shared" si="8"/>
        <v>820.06</v>
      </c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</row>
    <row r="37" ht="15.75" customHeight="1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</row>
    <row r="38" ht="15.75" customHeight="1">
      <c r="A38" s="156" t="s">
        <v>303</v>
      </c>
      <c r="B38" s="156" t="s">
        <v>10</v>
      </c>
      <c r="C38" s="156"/>
      <c r="D38" s="156"/>
      <c r="E38" s="156"/>
      <c r="F38" s="156"/>
      <c r="G38" s="156"/>
      <c r="H38" s="174"/>
      <c r="I38" s="174"/>
      <c r="J38" s="174"/>
      <c r="K38" s="174"/>
      <c r="L38" s="174"/>
      <c r="M38" s="17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</row>
    <row r="39" ht="15.75" customHeight="1">
      <c r="A39" s="160" t="s">
        <v>96</v>
      </c>
      <c r="B39" s="16">
        <v>2026.0</v>
      </c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</row>
    <row r="40" ht="15.75" customHeight="1">
      <c r="A40" s="160" t="s">
        <v>304</v>
      </c>
      <c r="B40" s="27">
        <v>1.0</v>
      </c>
      <c r="C40" s="27">
        <v>2.0</v>
      </c>
      <c r="D40" s="27">
        <v>3.0</v>
      </c>
      <c r="E40" s="27">
        <v>4.0</v>
      </c>
      <c r="F40" s="27">
        <v>5.0</v>
      </c>
      <c r="G40" s="27">
        <v>6.0</v>
      </c>
      <c r="H40" s="27">
        <v>7.0</v>
      </c>
      <c r="I40" s="27">
        <v>8.0</v>
      </c>
      <c r="J40" s="27">
        <v>9.0</v>
      </c>
      <c r="K40" s="27">
        <v>10.0</v>
      </c>
      <c r="L40" s="27">
        <v>11.0</v>
      </c>
      <c r="M40" s="27">
        <v>12.0</v>
      </c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</row>
    <row r="41" ht="15.75" customHeight="1">
      <c r="A41" s="161" t="s">
        <v>304</v>
      </c>
      <c r="B41" s="162" t="s">
        <v>77</v>
      </c>
      <c r="C41" s="162" t="s">
        <v>78</v>
      </c>
      <c r="D41" s="162" t="s">
        <v>79</v>
      </c>
      <c r="E41" s="162" t="s">
        <v>80</v>
      </c>
      <c r="F41" s="162" t="s">
        <v>81</v>
      </c>
      <c r="G41" s="162" t="s">
        <v>82</v>
      </c>
      <c r="H41" s="162" t="s">
        <v>83</v>
      </c>
      <c r="I41" s="162" t="s">
        <v>84</v>
      </c>
      <c r="J41" s="162" t="s">
        <v>85</v>
      </c>
      <c r="K41" s="162" t="s">
        <v>86</v>
      </c>
      <c r="L41" s="162" t="s">
        <v>87</v>
      </c>
      <c r="M41" s="162" t="s">
        <v>88</v>
      </c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</row>
    <row r="42" ht="15.75" customHeight="1">
      <c r="A42" s="18" t="s">
        <v>305</v>
      </c>
      <c r="B42" s="181">
        <v>0.0</v>
      </c>
      <c r="C42" s="182">
        <f t="shared" ref="C42:M42" si="9">B51</f>
        <v>-1162.2</v>
      </c>
      <c r="D42" s="182">
        <f t="shared" si="9"/>
        <v>-2434.2</v>
      </c>
      <c r="E42" s="182">
        <f t="shared" si="9"/>
        <v>-2986.65</v>
      </c>
      <c r="F42" s="182">
        <f t="shared" si="9"/>
        <v>-3609.27</v>
      </c>
      <c r="G42" s="182">
        <f t="shared" si="9"/>
        <v>-3563.11</v>
      </c>
      <c r="H42" s="182">
        <f t="shared" si="9"/>
        <v>-3410.71</v>
      </c>
      <c r="I42" s="182">
        <f t="shared" si="9"/>
        <v>-3709.36</v>
      </c>
      <c r="J42" s="182">
        <f t="shared" si="9"/>
        <v>-3416.86</v>
      </c>
      <c r="K42" s="182">
        <f t="shared" si="9"/>
        <v>-3416.86</v>
      </c>
      <c r="L42" s="182">
        <f t="shared" si="9"/>
        <v>-3416.86</v>
      </c>
      <c r="M42" s="182">
        <f t="shared" si="9"/>
        <v>-3416.86</v>
      </c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</row>
    <row r="43" ht="15.75" customHeight="1">
      <c r="A43" s="175" t="s">
        <v>323</v>
      </c>
      <c r="B43" s="19"/>
      <c r="C43" s="19"/>
      <c r="D43" s="19"/>
      <c r="E43" s="19"/>
      <c r="F43" s="19">
        <f>SUMIFS(CloudBed!$O:$O,CloudBed!$R:$R,F40,CloudBed!$T:$T,"Revolut")</f>
        <v>20</v>
      </c>
      <c r="G43" s="19">
        <f>SUMIFS(CloudBed!$O:$O,CloudBed!$R:$R,G40,CloudBed!$T:$T,"Revolut")</f>
        <v>58</v>
      </c>
      <c r="H43" s="19">
        <f>SUMIFS(CloudBed!$O:$O,CloudBed!$R:$R,H40,CloudBed!$T:$T,"Revolut")</f>
        <v>46</v>
      </c>
      <c r="I43" s="19">
        <f>SUMIFS(CloudBed!$O:$O,CloudBed!$R:$R,I40,CloudBed!$T:$T,"Revolut")</f>
        <v>12</v>
      </c>
      <c r="J43" s="19">
        <f>SUMIFS(CloudBed!$O:$O,CloudBed!$R:$R,J40,CloudBed!$T:$T,"Revolut")</f>
        <v>0</v>
      </c>
      <c r="K43" s="19">
        <f>SUMIFS(CloudBed!$O:$O,CloudBed!$R:$R,K40,CloudBed!$T:$T,"Revolut")</f>
        <v>0</v>
      </c>
      <c r="L43" s="19">
        <f>SUMIFS(CloudBed!$O:$O,CloudBed!$R:$R,L40,CloudBed!$T:$T,"Revolut")</f>
        <v>0</v>
      </c>
      <c r="M43" s="19">
        <f>SUMIFS(CloudBed!$J:$J,CloudBed!$N:$N,"Revolut",CloudBed!$D:$D,M40)</f>
        <v>0</v>
      </c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</row>
    <row r="44" ht="15.75" customHeight="1">
      <c r="A44" s="175" t="s">
        <v>325</v>
      </c>
      <c r="B44" s="19"/>
      <c r="C44" s="19"/>
      <c r="D44" s="19"/>
      <c r="E44" s="19"/>
      <c r="F44" s="19">
        <f>SUMIFS(CloudBed!$U:$U,CloudBed!$R:$R,F40,CloudBed!$Z:$Z,"Revolut")</f>
        <v>503.25</v>
      </c>
      <c r="G44" s="19">
        <f>SUMIFS(CloudBed!$U:$U,CloudBed!$R:$R,G40,CloudBed!$Z:$Z,"Revolut")</f>
        <v>952</v>
      </c>
      <c r="H44" s="19">
        <f>SUMIFS(CloudBed!$U:$U,CloudBed!$R:$R,H40,CloudBed!$Z:$Z,"Revolut")</f>
        <v>806.5</v>
      </c>
      <c r="I44" s="19">
        <f>SUMIFS(CloudBed!$U:$U,CloudBed!$R:$R,I40,CloudBed!$Z:$Z,"Revolut")</f>
        <v>280.5</v>
      </c>
      <c r="J44" s="19">
        <f>SUMIFS(CloudBed!$U:$U,CloudBed!$R:$R,J40,CloudBed!$Z:$Z,"Revolut")</f>
        <v>0</v>
      </c>
      <c r="K44" s="19">
        <f>SUMIFS(CloudBed!$U:$U,CloudBed!$R:$R,K40,CloudBed!$Z:$Z,"Revolut")</f>
        <v>0</v>
      </c>
      <c r="L44" s="19">
        <f>SUMIFS(CloudBed!$U:$U,CloudBed!$R:$R,L40,CloudBed!$Z:$Z,"Revolut")</f>
        <v>0</v>
      </c>
      <c r="M44" s="19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</row>
    <row r="45" ht="15.75" customHeight="1">
      <c r="A45" s="175" t="s">
        <v>115</v>
      </c>
      <c r="B45" s="19">
        <f>SUMIFS(Extra!$H:$H,Extra!$I:$I,"Revolut",Extra!$C:$C,B40)</f>
        <v>0</v>
      </c>
      <c r="C45" s="19">
        <f>SUMIFS(Extra!$H:$H,Extra!$I:$I,"Revolut",Extra!$C:$C,C40)</f>
        <v>0</v>
      </c>
      <c r="D45" s="19">
        <f>SUMIFS(Extra!$H:$H,Extra!$I:$I,"Revolut",Extra!$C:$C,D40)</f>
        <v>0</v>
      </c>
      <c r="E45" s="19">
        <f>SUMIFS(Extra!$H:$H,Extra!$I:$I,"Revolut",Extra!$C:$C,E40)</f>
        <v>0</v>
      </c>
      <c r="F45" s="19">
        <f>SUMIFS(Extra!$H:$H,Extra!$I:$I,"Revolut",Extra!$C:$C,F40)</f>
        <v>72</v>
      </c>
      <c r="G45" s="19">
        <f>SUMIFS(Extra!$H:$H,Extra!$I:$I,"Revolut",Extra!$C:$C,G40)</f>
        <v>31</v>
      </c>
      <c r="H45" s="19">
        <f>SUMIFS(Extra!$H:$H,Extra!$I:$I,"Revolut",Extra!$C:$C,H40)</f>
        <v>12</v>
      </c>
      <c r="I45" s="19">
        <f>SUMIFS(Extra!$H:$H,Extra!$I:$I,"Revolut",Extra!$C:$C,I40)</f>
        <v>0</v>
      </c>
      <c r="J45" s="19">
        <f>SUMIFS(Extra!$H:$H,Extra!$I:$I,"Revolut",Extra!$C:$C,J40)</f>
        <v>0</v>
      </c>
      <c r="K45" s="19">
        <f>SUMIFS(Extra!$H:$H,Extra!$I:$I,"Revolut",Extra!$C:$C,K40)</f>
        <v>0</v>
      </c>
      <c r="L45" s="19">
        <f>SUMIFS(Extra!$H:$H,Extra!$I:$I,"Revolut",Extra!$C:$C,L40)</f>
        <v>0</v>
      </c>
      <c r="M45" s="19">
        <f>SUMIFS(Extra!$H:$H,Extra!$I:$I,"Revolut",Extra!$C:$C,M40)</f>
        <v>0</v>
      </c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</row>
    <row r="46" ht="15.75" customHeight="1">
      <c r="A46" s="175" t="s">
        <v>327</v>
      </c>
      <c r="B46" s="19">
        <f>SUMIFS(FF!$E:$E,FF!$F:$F,"Revolut",FF!$C:$C,B40)</f>
        <v>0</v>
      </c>
      <c r="C46" s="19">
        <f>SUMIFS(FF!$E:$E,FF!$F:$F,"Revolut",FF!$C:$C,C40)</f>
        <v>0</v>
      </c>
      <c r="D46" s="19">
        <f>SUMIFS(FF!$E:$E,FF!$F:$F,"Revolut",FF!$C:$C,D40)</f>
        <v>0</v>
      </c>
      <c r="E46" s="19">
        <f>SUMIFS(FF!$E:$E,FF!$F:$F,"Revolut",FF!$C:$C,E40)</f>
        <v>0</v>
      </c>
      <c r="F46" s="19">
        <f>SUMIFS(FF!$E:$E,FF!$F:$F,"Revolut",FF!$C:$C,F40)</f>
        <v>410</v>
      </c>
      <c r="G46" s="19">
        <f>SUMIFS(FF!$E:$E,FF!$F:$F,"Revolut",FF!$C:$C,G40)</f>
        <v>399.5</v>
      </c>
      <c r="H46" s="19">
        <f>SUMIFS(FF!$E:$E,FF!$F:$F,"Revolut",FF!$C:$C,H40)</f>
        <v>115</v>
      </c>
      <c r="I46" s="19">
        <f>SUMIFS(FF!$E:$E,FF!$F:$F,"Revolut",FF!$C:$C,I40)</f>
        <v>0</v>
      </c>
      <c r="J46" s="19">
        <f>SUMIFS(FF!$E:$E,FF!$F:$F,"Revolut",FF!$C:$C,J40)</f>
        <v>0</v>
      </c>
      <c r="K46" s="19">
        <f>SUMIFS(FF!$E:$E,FF!$F:$F,"Revolut",FF!$C:$C,K40)</f>
        <v>0</v>
      </c>
      <c r="L46" s="19">
        <f>SUMIFS(FF!$E:$E,FF!$F:$F,"Revolut",FF!$C:$C,L40)</f>
        <v>0</v>
      </c>
      <c r="M46" s="19">
        <f>SUMIFS(FF!$E:$E,FF!$F:$F,"Revolut",FF!$C:$C,M40)</f>
        <v>0</v>
      </c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</row>
    <row r="47" ht="15.75" customHeight="1">
      <c r="A47" s="175" t="s">
        <v>331</v>
      </c>
      <c r="B47" s="169">
        <f t="shared" ref="B47:M47" si="10">SUM(B43:B46)</f>
        <v>0</v>
      </c>
      <c r="C47" s="169">
        <f t="shared" si="10"/>
        <v>0</v>
      </c>
      <c r="D47" s="169">
        <f t="shared" si="10"/>
        <v>0</v>
      </c>
      <c r="E47" s="169">
        <f t="shared" si="10"/>
        <v>0</v>
      </c>
      <c r="F47" s="169">
        <f t="shared" si="10"/>
        <v>1005.25</v>
      </c>
      <c r="G47" s="169">
        <f t="shared" si="10"/>
        <v>1440.5</v>
      </c>
      <c r="H47" s="169">
        <f t="shared" si="10"/>
        <v>979.5</v>
      </c>
      <c r="I47" s="169">
        <f t="shared" si="10"/>
        <v>292.5</v>
      </c>
      <c r="J47" s="169">
        <f t="shared" si="10"/>
        <v>0</v>
      </c>
      <c r="K47" s="169">
        <f t="shared" si="10"/>
        <v>0</v>
      </c>
      <c r="L47" s="169">
        <f t="shared" si="10"/>
        <v>0</v>
      </c>
      <c r="M47" s="169">
        <f t="shared" si="10"/>
        <v>0</v>
      </c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</row>
    <row r="48" ht="15.75" customHeight="1">
      <c r="A48" s="175" t="s">
        <v>346</v>
      </c>
      <c r="B48" s="169"/>
      <c r="C48" s="169"/>
      <c r="D48" s="169"/>
      <c r="E48" s="169"/>
      <c r="F48" s="169">
        <f>15+90+160+120.75+45+45+432.5+35+2+4+25+35</f>
        <v>1009.25</v>
      </c>
      <c r="G48" s="187">
        <v>1425.96</v>
      </c>
      <c r="H48" s="187">
        <v>992.32</v>
      </c>
      <c r="I48" s="169"/>
      <c r="J48" s="169"/>
      <c r="K48" s="169"/>
      <c r="L48" s="169"/>
      <c r="M48" s="169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</row>
    <row r="49" ht="15.75" customHeight="1">
      <c r="A49" s="180" t="s">
        <v>53</v>
      </c>
      <c r="B49" s="172">
        <f t="shared" ref="B49:M49" si="11">B47-B48</f>
        <v>0</v>
      </c>
      <c r="C49" s="172">
        <f t="shared" si="11"/>
        <v>0</v>
      </c>
      <c r="D49" s="172">
        <f t="shared" si="11"/>
        <v>0</v>
      </c>
      <c r="E49" s="172">
        <f t="shared" si="11"/>
        <v>0</v>
      </c>
      <c r="F49" s="172">
        <f t="shared" si="11"/>
        <v>-4</v>
      </c>
      <c r="G49" s="172">
        <f t="shared" si="11"/>
        <v>14.54</v>
      </c>
      <c r="H49" s="172">
        <f t="shared" si="11"/>
        <v>-12.82</v>
      </c>
      <c r="I49" s="172">
        <f t="shared" si="11"/>
        <v>292.5</v>
      </c>
      <c r="J49" s="172">
        <f t="shared" si="11"/>
        <v>0</v>
      </c>
      <c r="K49" s="172">
        <f t="shared" si="11"/>
        <v>0</v>
      </c>
      <c r="L49" s="172">
        <f t="shared" si="11"/>
        <v>0</v>
      </c>
      <c r="M49" s="172">
        <f t="shared" si="11"/>
        <v>0</v>
      </c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</row>
    <row r="50" ht="15.75" customHeight="1">
      <c r="A50" s="175" t="s">
        <v>349</v>
      </c>
      <c r="B50" s="19">
        <f>SUMIFS(Dados!$N:$N,Dados!$G:$G,B40,Dados!$H:$H,$B$39,Dados!$D:$D,"Revolut")</f>
        <v>1162.2</v>
      </c>
      <c r="C50" s="19">
        <f>SUMIFS(Dados!$N:$N,Dados!$G:$G,C40,Dados!$H:$H,$B$39,Dados!$D:$D,"Revolut")</f>
        <v>1272</v>
      </c>
      <c r="D50" s="19">
        <f>SUMIFS(Dados!$N:$N,Dados!$G:$G,D40,Dados!$H:$H,$B$39,Dados!$D:$D,"Revolut")</f>
        <v>552.45</v>
      </c>
      <c r="E50" s="19">
        <f>SUMIFS(Dados!$N:$N,Dados!$G:$G,E40,Dados!$H:$H,$B$39,Dados!$D:$D,"Revolut")</f>
        <v>622.62</v>
      </c>
      <c r="F50" s="19">
        <f>SUMIFS(Dados!$N:$N,Dados!$G:$G,F40,Dados!$H:$H,$B$39,Dados!$D:$D,"Revolut")</f>
        <v>959.09</v>
      </c>
      <c r="G50" s="19">
        <f>SUMIFS(Dados!$N:$N,Dados!$G:$G,G40,Dados!$H:$H,$B$39,Dados!$D:$D,"Revolut")</f>
        <v>1288.1</v>
      </c>
      <c r="H50" s="19">
        <f>SUMIFS(Dados!$N:$N,Dados!$G:$G,H40,Dados!$H:$H,$B$39,Dados!$D:$D,"Revolut")</f>
        <v>1278.15</v>
      </c>
      <c r="I50" s="19">
        <f>SUMIFS(Dados!$N:$N,Dados!$G:$G,I40,Dados!$H:$H,$B$39,Dados!$D:$D,"Revolut")</f>
        <v>0</v>
      </c>
      <c r="J50" s="19">
        <f>SUMIFS(Dados!$N:$N,Dados!$G:$G,J40,Dados!$H:$H,$B$39,Dados!$D:$D,"Revolut")</f>
        <v>0</v>
      </c>
      <c r="K50" s="19">
        <f>SUMIFS(Dados!$N:$N,Dados!$G:$G,K40,Dados!$H:$H,$B$39,Dados!$D:$D,"Revolut")</f>
        <v>0</v>
      </c>
      <c r="L50" s="19">
        <f>SUMIFS(Dados!$N:$N,Dados!$G:$G,L40,Dados!$H:$H,$B$39,Dados!$D:$D,"Revolut")</f>
        <v>0</v>
      </c>
      <c r="M50" s="19">
        <f>SUMIFS(FF!$E:$E,FF!$F:$F,"Revolut",FF!$C:$C,M45)</f>
        <v>0</v>
      </c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</row>
    <row r="51" ht="15.75" customHeight="1">
      <c r="A51" s="18" t="s">
        <v>314</v>
      </c>
      <c r="B51" s="182">
        <f t="shared" ref="B51:M51" si="12">B42+B47-B50</f>
        <v>-1162.2</v>
      </c>
      <c r="C51" s="182">
        <f t="shared" si="12"/>
        <v>-2434.2</v>
      </c>
      <c r="D51" s="182">
        <f t="shared" si="12"/>
        <v>-2986.65</v>
      </c>
      <c r="E51" s="182">
        <f t="shared" si="12"/>
        <v>-3609.27</v>
      </c>
      <c r="F51" s="182">
        <f t="shared" si="12"/>
        <v>-3563.11</v>
      </c>
      <c r="G51" s="182">
        <f t="shared" si="12"/>
        <v>-3410.71</v>
      </c>
      <c r="H51" s="182">
        <f t="shared" si="12"/>
        <v>-3709.36</v>
      </c>
      <c r="I51" s="182">
        <f t="shared" si="12"/>
        <v>-3416.86</v>
      </c>
      <c r="J51" s="182">
        <f t="shared" si="12"/>
        <v>-3416.86</v>
      </c>
      <c r="K51" s="182">
        <f t="shared" si="12"/>
        <v>-3416.86</v>
      </c>
      <c r="L51" s="182">
        <f t="shared" si="12"/>
        <v>-3416.86</v>
      </c>
      <c r="M51" s="182">
        <f t="shared" si="12"/>
        <v>-3416.86</v>
      </c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</row>
    <row r="52" ht="15.75" customHeight="1">
      <c r="A52" s="175" t="s">
        <v>351</v>
      </c>
      <c r="B52" s="169"/>
      <c r="C52" s="169"/>
      <c r="D52" s="169"/>
      <c r="E52" s="169"/>
      <c r="F52" s="169"/>
      <c r="G52" s="187"/>
      <c r="H52" s="187"/>
      <c r="I52" s="169"/>
      <c r="J52" s="169"/>
      <c r="K52" s="169"/>
      <c r="L52" s="169"/>
      <c r="M52" s="169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</row>
    <row r="53" ht="15.75" customHeight="1">
      <c r="A53" s="180" t="s">
        <v>53</v>
      </c>
      <c r="B53" s="172">
        <f t="shared" ref="B53:M53" si="13">B51-B52</f>
        <v>-1162.2</v>
      </c>
      <c r="C53" s="172">
        <f t="shared" si="13"/>
        <v>-2434.2</v>
      </c>
      <c r="D53" s="172">
        <f t="shared" si="13"/>
        <v>-2986.65</v>
      </c>
      <c r="E53" s="172">
        <f t="shared" si="13"/>
        <v>-3609.27</v>
      </c>
      <c r="F53" s="172">
        <f t="shared" si="13"/>
        <v>-3563.11</v>
      </c>
      <c r="G53" s="172">
        <f t="shared" si="13"/>
        <v>-3410.71</v>
      </c>
      <c r="H53" s="172">
        <f t="shared" si="13"/>
        <v>-3709.36</v>
      </c>
      <c r="I53" s="172">
        <f t="shared" si="13"/>
        <v>-3416.86</v>
      </c>
      <c r="J53" s="172">
        <f t="shared" si="13"/>
        <v>-3416.86</v>
      </c>
      <c r="K53" s="172">
        <f t="shared" si="13"/>
        <v>-3416.86</v>
      </c>
      <c r="L53" s="172">
        <f t="shared" si="13"/>
        <v>-3416.86</v>
      </c>
      <c r="M53" s="172">
        <f t="shared" si="13"/>
        <v>-3416.86</v>
      </c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</row>
    <row r="55" ht="15.75" customHeight="1">
      <c r="A55" s="156" t="s">
        <v>303</v>
      </c>
      <c r="B55" s="24" t="s">
        <v>352</v>
      </c>
      <c r="C55" s="156"/>
      <c r="D55" s="156"/>
      <c r="E55" s="156"/>
      <c r="F55" s="156"/>
      <c r="G55" s="156"/>
      <c r="H55" s="174"/>
      <c r="I55" s="174"/>
      <c r="J55" s="174"/>
      <c r="K55" s="174"/>
      <c r="L55" s="174"/>
      <c r="M55" s="17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</row>
    <row r="56" ht="15.75" customHeight="1">
      <c r="A56" s="160" t="s">
        <v>96</v>
      </c>
      <c r="B56" s="16">
        <v>2026.0</v>
      </c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</row>
    <row r="57" ht="15.75" customHeight="1">
      <c r="A57" s="160" t="s">
        <v>304</v>
      </c>
      <c r="B57" s="27">
        <v>1.0</v>
      </c>
      <c r="C57" s="27">
        <v>2.0</v>
      </c>
      <c r="D57" s="27">
        <v>3.0</v>
      </c>
      <c r="E57" s="27">
        <v>4.0</v>
      </c>
      <c r="F57" s="27">
        <v>5.0</v>
      </c>
      <c r="G57" s="27">
        <v>6.0</v>
      </c>
      <c r="H57" s="27">
        <v>7.0</v>
      </c>
      <c r="I57" s="27">
        <v>8.0</v>
      </c>
      <c r="J57" s="27">
        <v>9.0</v>
      </c>
      <c r="K57" s="27">
        <v>10.0</v>
      </c>
      <c r="L57" s="27">
        <v>11.0</v>
      </c>
      <c r="M57" s="27">
        <v>12.0</v>
      </c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</row>
    <row r="58" ht="15.75" customHeight="1">
      <c r="A58" s="161" t="s">
        <v>304</v>
      </c>
      <c r="B58" s="162" t="s">
        <v>77</v>
      </c>
      <c r="C58" s="162" t="s">
        <v>78</v>
      </c>
      <c r="D58" s="162" t="s">
        <v>79</v>
      </c>
      <c r="E58" s="162" t="s">
        <v>80</v>
      </c>
      <c r="F58" s="162" t="s">
        <v>81</v>
      </c>
      <c r="G58" s="162" t="s">
        <v>82</v>
      </c>
      <c r="H58" s="162" t="s">
        <v>83</v>
      </c>
      <c r="I58" s="162" t="s">
        <v>84</v>
      </c>
      <c r="J58" s="162" t="s">
        <v>85</v>
      </c>
      <c r="K58" s="162" t="s">
        <v>86</v>
      </c>
      <c r="L58" s="162" t="s">
        <v>87</v>
      </c>
      <c r="M58" s="162" t="s">
        <v>88</v>
      </c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</row>
    <row r="59" ht="15.75" customHeight="1">
      <c r="A59" s="175" t="s">
        <v>323</v>
      </c>
      <c r="B59" s="19"/>
      <c r="C59" s="19"/>
      <c r="D59" s="19"/>
      <c r="E59" s="19"/>
      <c r="F59" s="19">
        <f>SUMIFS(CloudBed!$O:$O,CloudBed!$R:$R,F57,CloudBed!$T:$T,"Paypal")</f>
        <v>18</v>
      </c>
      <c r="G59" s="19">
        <f>SUMIFS(CloudBed!$O:$O,CloudBed!$R:$R,G57,CloudBed!$T:$T,"Paypal")</f>
        <v>94</v>
      </c>
      <c r="H59" s="19">
        <f>SUMIFS(CloudBed!$O:$O,CloudBed!$R:$R,H57,CloudBed!$T:$T,"Paypal")</f>
        <v>36</v>
      </c>
      <c r="I59" s="19">
        <f>SUMIFS(CloudBed!$O:$O,CloudBed!$R:$R,I57,CloudBed!$T:$T,"Paypal")</f>
        <v>0</v>
      </c>
      <c r="J59" s="19">
        <f>SUMIFS(CloudBed!$O:$O,CloudBed!$R:$R,J57,CloudBed!$T:$T,"Paypal")</f>
        <v>0</v>
      </c>
      <c r="K59" s="19">
        <f>SUMIFS(CloudBed!$O:$O,CloudBed!$R:$R,K57,CloudBed!$T:$T,"Paypal")</f>
        <v>0</v>
      </c>
      <c r="L59" s="19">
        <f>SUMIFS(CloudBed!$O:$O,CloudBed!$R:$R,L57,CloudBed!$T:$T,"Paypal")</f>
        <v>0</v>
      </c>
      <c r="M59" s="19">
        <f>SUMIFS(CloudBed!$J:$J,CloudBed!$N:$N,"Paypal",CloudBed!$D:$D,M57)</f>
        <v>0</v>
      </c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</row>
    <row r="60" ht="15.75" customHeight="1">
      <c r="A60" s="175" t="s">
        <v>325</v>
      </c>
      <c r="B60" s="19"/>
      <c r="C60" s="19"/>
      <c r="D60" s="19"/>
      <c r="E60" s="19"/>
      <c r="F60" s="19">
        <f>SUMIFS(CloudBed!$U:$U,CloudBed!$R:$R,F57,CloudBed!$Z:$Z,"Paypal")</f>
        <v>553.75</v>
      </c>
      <c r="G60" s="19">
        <f>SUMIFS(CloudBed!$U:$U,CloudBed!$R:$R,G57,CloudBed!$Z:$Z,"Paypal")</f>
        <v>1611.3</v>
      </c>
      <c r="H60" s="19">
        <f>SUMIFS(CloudBed!$U:$U,CloudBed!$R:$R,H57,CloudBed!$Z:$Z,"Paypal")</f>
        <v>630</v>
      </c>
      <c r="I60" s="19">
        <f>SUMIFS(CloudBed!$U:$U,CloudBed!$R:$R,I57,CloudBed!$Z:$Z,"Paypal")</f>
        <v>0</v>
      </c>
      <c r="J60" s="19">
        <f>SUMIFS(CloudBed!$U:$U,CloudBed!$R:$R,J57,CloudBed!$Z:$Z,"Paypal")</f>
        <v>0</v>
      </c>
      <c r="K60" s="19">
        <f>SUMIFS(CloudBed!$U:$U,CloudBed!$R:$R,K57,CloudBed!$Z:$Z,"Paypal")</f>
        <v>0</v>
      </c>
      <c r="L60" s="19">
        <f>SUMIFS(CloudBed!$U:$U,CloudBed!$R:$R,L57,CloudBed!$Z:$Z,"Paypal")</f>
        <v>0</v>
      </c>
      <c r="M60" s="19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</row>
    <row r="61" ht="15.75" customHeight="1">
      <c r="A61" s="175" t="s">
        <v>115</v>
      </c>
      <c r="B61" s="19">
        <f>SUMIFS(Extra!$H:$H,Extra!$I:$I,"Paypal",Extra!$C:$C,B57)</f>
        <v>0</v>
      </c>
      <c r="C61" s="19">
        <f>SUMIFS(Extra!$H:$H,Extra!$I:$I,"Paypal",Extra!$C:$C,C57)</f>
        <v>0</v>
      </c>
      <c r="D61" s="19">
        <f>SUMIFS(Extra!$H:$H,Extra!$I:$I,"Paypal",Extra!$C:$C,D57)</f>
        <v>0</v>
      </c>
      <c r="E61" s="19">
        <f>SUMIFS(Extra!$H:$H,Extra!$I:$I,"Paypal",Extra!$C:$C,E57)</f>
        <v>0</v>
      </c>
      <c r="F61" s="19">
        <f>SUMIFS(Extra!$H:$H,Extra!$I:$I,"Paypal",Extra!$C:$C,F57)</f>
        <v>23</v>
      </c>
      <c r="G61" s="19">
        <f>SUMIFS(Extra!$H:$H,Extra!$I:$I,"Paypal",Extra!$C:$C,G57)</f>
        <v>2</v>
      </c>
      <c r="H61" s="19">
        <f>SUMIFS(Extra!$H:$H,Extra!$I:$I,"Paypal",Extra!$C:$C,H57)</f>
        <v>52</v>
      </c>
      <c r="I61" s="19">
        <f>SUMIFS(Extra!$H:$H,Extra!$I:$I,"Paypal",Extra!$C:$C,I57)</f>
        <v>0</v>
      </c>
      <c r="J61" s="19">
        <f>SUMIFS(Extra!$H:$H,Extra!$I:$I,"Paypal",Extra!$C:$C,J57)</f>
        <v>0</v>
      </c>
      <c r="K61" s="19">
        <f>SUMIFS(Extra!$H:$H,Extra!$I:$I,"Paypal",Extra!$C:$C,K57)</f>
        <v>0</v>
      </c>
      <c r="L61" s="19">
        <f>SUMIFS(Extra!$H:$H,Extra!$I:$I,"Paypal",Extra!$C:$C,L57)</f>
        <v>0</v>
      </c>
      <c r="M61" s="19">
        <f>SUMIFS(Extra!$H:$H,Extra!$I:$I,"Paypal",Extra!$C:$C,M57)</f>
        <v>0</v>
      </c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</row>
    <row r="62" ht="15.75" customHeight="1">
      <c r="A62" s="175" t="s">
        <v>327</v>
      </c>
      <c r="B62" s="19">
        <f>SUMIFS(FF!$E:$E,FF!$F:$F,"Paypal",FF!$C:$C,B57)</f>
        <v>0</v>
      </c>
      <c r="C62" s="19">
        <f>SUMIFS(FF!$E:$E,FF!$F:$F,"Paypal",FF!$C:$C,C57)</f>
        <v>0</v>
      </c>
      <c r="D62" s="19">
        <f>SUMIFS(FF!$E:$E,FF!$F:$F,"Paypal",FF!$C:$C,D57)</f>
        <v>0</v>
      </c>
      <c r="E62" s="19">
        <f>SUMIFS(FF!$E:$E,FF!$F:$F,"Paypal",FF!$C:$C,E57)</f>
        <v>0</v>
      </c>
      <c r="F62" s="19">
        <f>SUMIFS(FF!$E:$E,FF!$F:$F,"Paypal",FF!$C:$C,F57)</f>
        <v>250</v>
      </c>
      <c r="G62" s="19">
        <f>SUMIFS(FF!$E:$E,FF!$F:$F,"Paypal",FF!$C:$C,G57)</f>
        <v>507.5</v>
      </c>
      <c r="H62" s="19">
        <f>SUMIFS(FF!$E:$E,FF!$F:$F,"Paypal",FF!$C:$C,H57)</f>
        <v>499.5</v>
      </c>
      <c r="I62" s="19">
        <f>SUMIFS(FF!$E:$E,FF!$F:$F,"Paypal",FF!$C:$C,I57)</f>
        <v>0</v>
      </c>
      <c r="J62" s="19">
        <f>SUMIFS(FF!$E:$E,FF!$F:$F,"Paypal",FF!$C:$C,J57)</f>
        <v>0</v>
      </c>
      <c r="K62" s="19">
        <f>SUMIFS(FF!$E:$E,FF!$F:$F,"Paypal",FF!$C:$C,K57)</f>
        <v>0</v>
      </c>
      <c r="L62" s="19">
        <f>SUMIFS(FF!$E:$E,FF!$F:$F,"Paypal",FF!$C:$C,L57)</f>
        <v>0</v>
      </c>
      <c r="M62" s="19">
        <f>SUMIFS(FF!$E:$E,FF!$F:$F,"Paypal",FF!$C:$C,M57)</f>
        <v>0</v>
      </c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</row>
    <row r="63" ht="15.75" customHeight="1">
      <c r="A63" s="175" t="s">
        <v>331</v>
      </c>
      <c r="B63" s="169">
        <f t="shared" ref="B63:M63" si="14">SUM(B59:B62)</f>
        <v>0</v>
      </c>
      <c r="C63" s="169">
        <f t="shared" si="14"/>
        <v>0</v>
      </c>
      <c r="D63" s="169">
        <f t="shared" si="14"/>
        <v>0</v>
      </c>
      <c r="E63" s="169">
        <f t="shared" si="14"/>
        <v>0</v>
      </c>
      <c r="F63" s="169">
        <f t="shared" si="14"/>
        <v>844.75</v>
      </c>
      <c r="G63" s="169">
        <f t="shared" si="14"/>
        <v>2214.8</v>
      </c>
      <c r="H63" s="169">
        <f t="shared" si="14"/>
        <v>1217.5</v>
      </c>
      <c r="I63" s="169">
        <f t="shared" si="14"/>
        <v>0</v>
      </c>
      <c r="J63" s="169">
        <f t="shared" si="14"/>
        <v>0</v>
      </c>
      <c r="K63" s="169">
        <f t="shared" si="14"/>
        <v>0</v>
      </c>
      <c r="L63" s="169">
        <f t="shared" si="14"/>
        <v>0</v>
      </c>
      <c r="M63" s="169">
        <f t="shared" si="14"/>
        <v>0</v>
      </c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</row>
    <row r="64" ht="15.75" customHeight="1">
      <c r="A64" s="175" t="s">
        <v>346</v>
      </c>
      <c r="B64" s="169"/>
      <c r="C64" s="169"/>
      <c r="D64" s="169"/>
      <c r="E64" s="169"/>
      <c r="F64" s="187">
        <v>844.07</v>
      </c>
      <c r="G64" s="187">
        <v>2225.88</v>
      </c>
      <c r="H64" s="187">
        <v>1217.47</v>
      </c>
      <c r="I64" s="187"/>
      <c r="J64" s="187"/>
      <c r="K64" s="187"/>
      <c r="L64" s="169"/>
      <c r="M64" s="169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</row>
    <row r="65" ht="15.75" customHeight="1">
      <c r="A65" s="180" t="s">
        <v>53</v>
      </c>
      <c r="B65" s="172">
        <f t="shared" ref="B65:M65" si="15">B63-B64</f>
        <v>0</v>
      </c>
      <c r="C65" s="172">
        <f t="shared" si="15"/>
        <v>0</v>
      </c>
      <c r="D65" s="172">
        <f t="shared" si="15"/>
        <v>0</v>
      </c>
      <c r="E65" s="172">
        <f t="shared" si="15"/>
        <v>0</v>
      </c>
      <c r="F65" s="172">
        <f t="shared" si="15"/>
        <v>0.68</v>
      </c>
      <c r="G65" s="172">
        <f t="shared" si="15"/>
        <v>-11.08</v>
      </c>
      <c r="H65" s="172">
        <f t="shared" si="15"/>
        <v>0.03</v>
      </c>
      <c r="I65" s="172">
        <f t="shared" si="15"/>
        <v>0</v>
      </c>
      <c r="J65" s="172">
        <f t="shared" si="15"/>
        <v>0</v>
      </c>
      <c r="K65" s="172">
        <f t="shared" si="15"/>
        <v>0</v>
      </c>
      <c r="L65" s="172">
        <f t="shared" si="15"/>
        <v>0</v>
      </c>
      <c r="M65" s="172">
        <f t="shared" si="15"/>
        <v>0</v>
      </c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</row>
    <row r="66" ht="15.75" customHeight="1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</row>
    <row r="67" ht="15.75" customHeight="1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</row>
    <row r="68" ht="15.75" customHeight="1">
      <c r="A68" s="156" t="s">
        <v>303</v>
      </c>
      <c r="B68" s="24" t="s">
        <v>8</v>
      </c>
      <c r="C68" s="24" t="s">
        <v>358</v>
      </c>
      <c r="D68" s="156"/>
      <c r="E68" s="156"/>
      <c r="F68" s="156"/>
      <c r="G68" s="156"/>
      <c r="H68" s="174"/>
      <c r="I68" s="174"/>
      <c r="J68" s="174"/>
      <c r="K68" s="174"/>
      <c r="L68" s="174"/>
      <c r="M68" s="17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</row>
    <row r="69" ht="15.75" customHeight="1">
      <c r="A69" s="160" t="s">
        <v>96</v>
      </c>
      <c r="B69" s="16">
        <v>2026.0</v>
      </c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</row>
    <row r="70" ht="15.75" customHeight="1">
      <c r="A70" s="160" t="s">
        <v>304</v>
      </c>
      <c r="B70" s="27">
        <v>1.0</v>
      </c>
      <c r="C70" s="27">
        <v>2.0</v>
      </c>
      <c r="D70" s="27">
        <v>3.0</v>
      </c>
      <c r="E70" s="27">
        <v>4.0</v>
      </c>
      <c r="F70" s="27">
        <v>5.0</v>
      </c>
      <c r="G70" s="27">
        <v>6.0</v>
      </c>
      <c r="H70" s="27">
        <v>7.0</v>
      </c>
      <c r="I70" s="27">
        <v>8.0</v>
      </c>
      <c r="J70" s="27">
        <v>9.0</v>
      </c>
      <c r="K70" s="27">
        <v>10.0</v>
      </c>
      <c r="L70" s="27">
        <v>11.0</v>
      </c>
      <c r="M70" s="27">
        <v>12.0</v>
      </c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</row>
    <row r="71" ht="15.75" customHeight="1">
      <c r="A71" s="161" t="s">
        <v>304</v>
      </c>
      <c r="B71" s="162" t="s">
        <v>77</v>
      </c>
      <c r="C71" s="162" t="s">
        <v>78</v>
      </c>
      <c r="D71" s="162" t="s">
        <v>79</v>
      </c>
      <c r="E71" s="162" t="s">
        <v>80</v>
      </c>
      <c r="F71" s="162" t="s">
        <v>81</v>
      </c>
      <c r="G71" s="162" t="s">
        <v>82</v>
      </c>
      <c r="H71" s="162" t="s">
        <v>83</v>
      </c>
      <c r="I71" s="162" t="s">
        <v>84</v>
      </c>
      <c r="J71" s="162" t="s">
        <v>85</v>
      </c>
      <c r="K71" s="162" t="s">
        <v>86</v>
      </c>
      <c r="L71" s="162" t="s">
        <v>87</v>
      </c>
      <c r="M71" s="162" t="s">
        <v>88</v>
      </c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</row>
    <row r="72" ht="15.75" customHeight="1">
      <c r="A72" s="18" t="s">
        <v>305</v>
      </c>
      <c r="B72" s="196">
        <v>0.0</v>
      </c>
      <c r="C72" s="163">
        <f t="shared" ref="C72:M72" si="16">B78</f>
        <v>0</v>
      </c>
      <c r="D72" s="163">
        <f t="shared" si="16"/>
        <v>0</v>
      </c>
      <c r="E72" s="163">
        <f t="shared" si="16"/>
        <v>0</v>
      </c>
      <c r="F72" s="163">
        <f t="shared" si="16"/>
        <v>0</v>
      </c>
      <c r="G72" s="163">
        <f t="shared" si="16"/>
        <v>1000</v>
      </c>
      <c r="H72" s="163">
        <f t="shared" si="16"/>
        <v>2200</v>
      </c>
      <c r="I72" s="163">
        <f t="shared" si="16"/>
        <v>5725</v>
      </c>
      <c r="J72" s="163">
        <f t="shared" si="16"/>
        <v>5725</v>
      </c>
      <c r="K72" s="163">
        <f t="shared" si="16"/>
        <v>5725</v>
      </c>
      <c r="L72" s="163">
        <f t="shared" si="16"/>
        <v>5725</v>
      </c>
      <c r="M72" s="163">
        <f t="shared" si="16"/>
        <v>5725</v>
      </c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</row>
    <row r="73" ht="15.75" customHeight="1">
      <c r="A73" s="175" t="s">
        <v>337</v>
      </c>
      <c r="B73" s="19">
        <f>sumifs(Dados!$N:$N,Dados!$B:$B,"From MB to Drop",Dados!$G:$G,B70)</f>
        <v>0</v>
      </c>
      <c r="C73" s="19">
        <f>sumifs(Dados!$N:$N,Dados!$B:$B,"From MB to Drop",Dados!$G:$G,C70)</f>
        <v>0</v>
      </c>
      <c r="D73" s="19">
        <f>sumifs(Dados!$N:$N,Dados!$B:$B,"From MB to Drop",Dados!$G:$G,D70)</f>
        <v>0</v>
      </c>
      <c r="E73" s="19">
        <f>sumifs(Dados!$N:$N,Dados!$B:$B,"From MB to Drop",Dados!$G:$G,E70)</f>
        <v>0</v>
      </c>
      <c r="F73" s="19">
        <f>sumifs(Dados!$N:$N,Dados!$B:$B,"From MB to Drop",Dados!$G:$G,F70)</f>
        <v>1000</v>
      </c>
      <c r="G73" s="19">
        <f>sumifs(Dados!$N:$N,Dados!$B:$B,"From MB to Drop",Dados!$G:$G,G70)</f>
        <v>3000</v>
      </c>
      <c r="H73" s="19">
        <f>sumifs(Dados!$N:$N,Dados!$B:$B,"From MB to Drop",Dados!$G:$G,H70)</f>
        <v>8510</v>
      </c>
      <c r="I73" s="19">
        <f>sumifs(Dados!$N:$N,Dados!$B:$B,"From MB to Drop",Dados!$G:$G,I70)</f>
        <v>0</v>
      </c>
      <c r="J73" s="19">
        <f>sumifs(Dados!$N:$N,Dados!$B:$B,"FromMBtoDrop",Dados!$G:$G,J70)</f>
        <v>0</v>
      </c>
      <c r="K73" s="19">
        <f>sumifs(Dados!$N:$N,Dados!$B:$B,"FromMBtoDrop",Dados!$G:$G,K70)</f>
        <v>0</v>
      </c>
      <c r="L73" s="19">
        <f>sumifs(Dados!$N:$N,Dados!$B:$B,"FromMBtoDrop",Dados!$G:$G,L70)</f>
        <v>0</v>
      </c>
      <c r="M73" s="19">
        <f>sumifs(Dados!$N:$N,Dados!$B:$B,"FromMBtoDrop",Dados!$G:$G,M70)</f>
        <v>0</v>
      </c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</row>
    <row r="74" ht="15.75" customHeight="1">
      <c r="A74" s="18" t="s">
        <v>359</v>
      </c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</row>
    <row r="75" ht="15.75" customHeight="1">
      <c r="A75" s="38" t="s">
        <v>312</v>
      </c>
      <c r="B75" s="19">
        <f>sumifs(Dados!$N:$N,Dados!$G:$G,B70,Dados!$H:$H,$B$83,Dados!$D:$D,$B$82)-B76</f>
        <v>0</v>
      </c>
      <c r="C75" s="19">
        <f>sumifs(Dados!$N:$N,Dados!$G:$G,C70,Dados!$H:$H,$B$83,Dados!$D:$D,$B$82)-C76</f>
        <v>0</v>
      </c>
      <c r="D75" s="19">
        <f>sumifs(Dados!$N:$N,Dados!$G:$G,D70,Dados!$H:$H,$B$83,Dados!$D:$D,$B$82)-D76</f>
        <v>0</v>
      </c>
      <c r="E75" s="19">
        <f>sumifs(Dados!$N:$N,Dados!$G:$G,E70,Dados!$H:$H,$B$83,Dados!$D:$D,$B$82)-E76</f>
        <v>0</v>
      </c>
      <c r="F75" s="19">
        <f>sumifs(Dados!$N:$N,Dados!$G:$G,F70,Dados!$H:$H,$B$83,Dados!$D:$D,$B$82)-F76</f>
        <v>0</v>
      </c>
      <c r="G75" s="19">
        <f>sumifs(Dados!$N:$N,Dados!$G:$G,G70,Dados!$H:$H,$B$83,Dados!$D:$D,$B$82)-G76</f>
        <v>1800</v>
      </c>
      <c r="H75" s="19">
        <f>sumifs(Dados!$N:$N,Dados!$G:$G,H70,Dados!$H:$H,$B$83,Dados!$D:$D,$B$82)-H76</f>
        <v>4985</v>
      </c>
      <c r="I75" s="19">
        <f>sumifs(Dados!$N:$N,Dados!$G:$G,I70,Dados!$H:$H,$B$83,Dados!$D:$D,$B$82)-I76</f>
        <v>0</v>
      </c>
      <c r="J75" s="19">
        <f>sumifs(Dados!$N:$N,Dados!$G:$G,J70,Dados!$H:$H,$B$83,Dados!$D:$D,$B$82)-J76</f>
        <v>0</v>
      </c>
      <c r="K75" s="19">
        <f>sumifs(Dados!$N:$N,Dados!$G:$G,K70,Dados!$H:$H,$B$83,Dados!$D:$D,$B$82)-K76</f>
        <v>0</v>
      </c>
      <c r="L75" s="19">
        <f>sumifs(Dados!$N:$N,Dados!$G:$G,L70,Dados!$H:$H,$B$83,Dados!$D:$D,$B$82)-L76</f>
        <v>0</v>
      </c>
      <c r="M75" s="19">
        <f>sumifs(Dados!$N:$N,Dados!$G:$G,M70,Dados!$H:$H,$B$83,Dados!$D:$D,$B$82)-M76</f>
        <v>0</v>
      </c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</row>
    <row r="76" ht="15.75" hidden="1" customHeight="1">
      <c r="A76" s="175" t="s">
        <v>360</v>
      </c>
      <c r="B76" s="19">
        <f>sumifs(Dados!$N:$N,Dados!$G:$G,B70,Dados!$H:$H,$B$69,Dados!$D:$D,$B$68,Dados!$A:$A,"*obra*")</f>
        <v>3668.42</v>
      </c>
      <c r="C76" s="19">
        <f>sumifs(Dados!$N:$N,Dados!$G:$G,C70,Dados!$H:$H,$B$69,Dados!$D:$D,$B$68,Dados!$A:$A,"*obra*")</f>
        <v>17372</v>
      </c>
      <c r="D76" s="19">
        <f>sumifs(Dados!$N:$N,Dados!$G:$G,D70,Dados!$H:$H,$B$69,Dados!$D:$D,$B$68,Dados!$A:$A,"*obra*")</f>
        <v>5265.81</v>
      </c>
      <c r="E76" s="19">
        <f>sumifs(Dados!$N:$N,Dados!$G:$G,E70,Dados!$H:$H,$B$69,Dados!$D:$D,$B$68,Dados!$A:$A,"*obra*")</f>
        <v>2650.73</v>
      </c>
      <c r="F76" s="19">
        <f>sumifs(Dados!$N:$N,Dados!$G:$G,F70,Dados!$H:$H,$B$69,Dados!$D:$D,$B$68,Dados!$A:$A,"*obra*")</f>
        <v>5280</v>
      </c>
      <c r="G76" s="19">
        <f>sumifs(Dados!$N:$N,Dados!$G:$G,G70,Dados!$H:$H,$B$69,Dados!$D:$D,$B$68,Dados!$A:$A,"*obra*")</f>
        <v>2330</v>
      </c>
      <c r="H76" s="19">
        <f>sumifs(Dados!$N:$N,Dados!$G:$G,H70,Dados!$H:$H,$B$69,Dados!$D:$D,$B$68,Dados!$A:$A,"*obra*")</f>
        <v>700</v>
      </c>
      <c r="I76" s="19">
        <f>sumifs(Dados!$N:$N,Dados!$G:$G,I70,Dados!$H:$H,$B$69,Dados!$D:$D,$B$68,Dados!$A:$A,"*obra*")</f>
        <v>0</v>
      </c>
      <c r="J76" s="19">
        <f>sumifs(Dados!$N:$N,Dados!$G:$G,J70,Dados!$H:$H,$B$69,Dados!$D:$D,$B$68,Dados!$A:$A,"*obra*")</f>
        <v>0</v>
      </c>
      <c r="K76" s="19">
        <f>sumifs(Dados!$N:$N,Dados!$G:$G,K70,Dados!$H:$H,$B$69,Dados!$D:$D,$B$68,Dados!$A:$A,"*obra*")</f>
        <v>0</v>
      </c>
      <c r="L76" s="19">
        <f>sumifs(Dados!$N:$N,Dados!$G:$G,L70,Dados!$H:$H,$B$69,Dados!$D:$D,$B$68,Dados!K:K,"*obra*")</f>
        <v>0</v>
      </c>
      <c r="M76" s="19">
        <f>sumifs(Dados!$N:$N,Dados!$G:$G,M70,Dados!$H:$H,$B$83,Dados!$D:$D,$B$82,Dados!L:L,"*obra*")</f>
        <v>0</v>
      </c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</row>
    <row r="77" ht="15.75" customHeight="1">
      <c r="A77" s="166" t="s">
        <v>222</v>
      </c>
      <c r="B77" s="167"/>
      <c r="C77" s="167"/>
      <c r="D77" s="167"/>
      <c r="E77" s="167"/>
      <c r="F77" s="167"/>
      <c r="G77" s="167"/>
      <c r="H77" s="167"/>
      <c r="I77" s="167"/>
      <c r="J77" s="167"/>
      <c r="K77" s="167"/>
      <c r="L77" s="167"/>
      <c r="M77" s="167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</row>
    <row r="78" ht="15.75" customHeight="1">
      <c r="A78" s="175" t="s">
        <v>314</v>
      </c>
      <c r="B78" s="169">
        <f t="shared" ref="B78:M78" si="17">B72+B73-B74-B75</f>
        <v>0</v>
      </c>
      <c r="C78" s="169">
        <f t="shared" si="17"/>
        <v>0</v>
      </c>
      <c r="D78" s="169">
        <f t="shared" si="17"/>
        <v>0</v>
      </c>
      <c r="E78" s="169">
        <f t="shared" si="17"/>
        <v>0</v>
      </c>
      <c r="F78" s="169">
        <f t="shared" si="17"/>
        <v>1000</v>
      </c>
      <c r="G78" s="169">
        <f t="shared" si="17"/>
        <v>2200</v>
      </c>
      <c r="H78" s="169">
        <f t="shared" si="17"/>
        <v>5725</v>
      </c>
      <c r="I78" s="169">
        <f t="shared" si="17"/>
        <v>5725</v>
      </c>
      <c r="J78" s="169">
        <f t="shared" si="17"/>
        <v>5725</v>
      </c>
      <c r="K78" s="169">
        <f t="shared" si="17"/>
        <v>5725</v>
      </c>
      <c r="L78" s="169">
        <f t="shared" si="17"/>
        <v>5725</v>
      </c>
      <c r="M78" s="169">
        <f t="shared" si="17"/>
        <v>5725</v>
      </c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</row>
    <row r="79" ht="15.75" customHeight="1">
      <c r="A79" s="38" t="s">
        <v>361</v>
      </c>
      <c r="B79" s="169"/>
      <c r="C79" s="187"/>
      <c r="D79" s="169"/>
      <c r="E79" s="169"/>
      <c r="F79" s="169">
        <v>1000.0</v>
      </c>
      <c r="G79" s="169">
        <v>2200.0</v>
      </c>
      <c r="H79" s="187">
        <v>5720.0</v>
      </c>
      <c r="I79" s="169"/>
      <c r="J79" s="169"/>
      <c r="K79" s="169"/>
      <c r="L79" s="169"/>
      <c r="M79" s="169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</row>
    <row r="80" ht="15.75" customHeight="1">
      <c r="A80" s="171" t="s">
        <v>53</v>
      </c>
      <c r="B80" s="172">
        <f t="shared" ref="B80:M80" si="18">B78-B79</f>
        <v>0</v>
      </c>
      <c r="C80" s="172">
        <f t="shared" si="18"/>
        <v>0</v>
      </c>
      <c r="D80" s="172">
        <f t="shared" si="18"/>
        <v>0</v>
      </c>
      <c r="E80" s="172">
        <f t="shared" si="18"/>
        <v>0</v>
      </c>
      <c r="F80" s="172">
        <f t="shared" si="18"/>
        <v>0</v>
      </c>
      <c r="G80" s="172">
        <f t="shared" si="18"/>
        <v>0</v>
      </c>
      <c r="H80" s="172">
        <f t="shared" si="18"/>
        <v>5</v>
      </c>
      <c r="I80" s="172">
        <f t="shared" si="18"/>
        <v>5725</v>
      </c>
      <c r="J80" s="172">
        <f t="shared" si="18"/>
        <v>5725</v>
      </c>
      <c r="K80" s="172">
        <f t="shared" si="18"/>
        <v>5725</v>
      </c>
      <c r="L80" s="172">
        <f t="shared" si="18"/>
        <v>5725</v>
      </c>
      <c r="M80" s="172">
        <f t="shared" si="18"/>
        <v>5725</v>
      </c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</row>
    <row r="81" ht="15.75" customHeight="1">
      <c r="A81" s="197"/>
      <c r="B81" s="197"/>
      <c r="C81" s="197"/>
      <c r="D81" s="197"/>
      <c r="E81" s="197"/>
      <c r="F81" s="197"/>
      <c r="G81" s="197"/>
      <c r="H81" s="198"/>
      <c r="I81" s="198"/>
      <c r="J81" s="198"/>
      <c r="K81" s="198"/>
      <c r="L81" s="198"/>
      <c r="M81" s="198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</row>
    <row r="82" ht="15.75" customHeight="1">
      <c r="A82" s="156" t="s">
        <v>303</v>
      </c>
      <c r="B82" s="24" t="s">
        <v>8</v>
      </c>
      <c r="C82" s="24" t="s">
        <v>179</v>
      </c>
      <c r="D82" s="156"/>
      <c r="E82" s="156"/>
      <c r="F82" s="156"/>
      <c r="G82" s="156"/>
      <c r="H82" s="174"/>
      <c r="I82" s="174"/>
      <c r="J82" s="174"/>
      <c r="K82" s="174"/>
      <c r="L82" s="174"/>
      <c r="M82" s="17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</row>
    <row r="83" ht="15.75" customHeight="1">
      <c r="A83" s="160" t="s">
        <v>96</v>
      </c>
      <c r="B83" s="16">
        <v>2026.0</v>
      </c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</row>
    <row r="84" ht="15.75" customHeight="1">
      <c r="A84" s="160" t="s">
        <v>304</v>
      </c>
      <c r="B84" s="27">
        <v>1.0</v>
      </c>
      <c r="C84" s="27">
        <v>2.0</v>
      </c>
      <c r="D84" s="27">
        <v>3.0</v>
      </c>
      <c r="E84" s="27">
        <v>4.0</v>
      </c>
      <c r="F84" s="27">
        <v>5.0</v>
      </c>
      <c r="G84" s="27">
        <v>6.0</v>
      </c>
      <c r="H84" s="27">
        <v>7.0</v>
      </c>
      <c r="I84" s="27">
        <v>8.0</v>
      </c>
      <c r="J84" s="27">
        <v>9.0</v>
      </c>
      <c r="K84" s="27">
        <v>10.0</v>
      </c>
      <c r="L84" s="27">
        <v>11.0</v>
      </c>
      <c r="M84" s="27">
        <v>12.0</v>
      </c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</row>
    <row r="85" ht="15.75" customHeight="1">
      <c r="A85" s="161" t="s">
        <v>304</v>
      </c>
      <c r="B85" s="162" t="s">
        <v>77</v>
      </c>
      <c r="C85" s="162" t="s">
        <v>78</v>
      </c>
      <c r="D85" s="162" t="s">
        <v>79</v>
      </c>
      <c r="E85" s="162" t="s">
        <v>80</v>
      </c>
      <c r="F85" s="162" t="s">
        <v>81</v>
      </c>
      <c r="G85" s="162" t="s">
        <v>82</v>
      </c>
      <c r="H85" s="162" t="s">
        <v>83</v>
      </c>
      <c r="I85" s="162" t="s">
        <v>84</v>
      </c>
      <c r="J85" s="162" t="s">
        <v>85</v>
      </c>
      <c r="K85" s="162" t="s">
        <v>86</v>
      </c>
      <c r="L85" s="162" t="s">
        <v>87</v>
      </c>
      <c r="M85" s="162" t="s">
        <v>88</v>
      </c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</row>
    <row r="86" ht="15.75" customHeight="1">
      <c r="A86" s="18" t="s">
        <v>305</v>
      </c>
      <c r="B86" s="196">
        <v>0.0</v>
      </c>
      <c r="C86" s="163">
        <f t="shared" ref="C86:M86" si="19">B90</f>
        <v>6331.58</v>
      </c>
      <c r="D86" s="163">
        <f t="shared" si="19"/>
        <v>8959.58</v>
      </c>
      <c r="E86" s="163">
        <f t="shared" si="19"/>
        <v>3693.77</v>
      </c>
      <c r="F86" s="163">
        <f t="shared" si="19"/>
        <v>1043.04</v>
      </c>
      <c r="G86" s="163">
        <f t="shared" si="19"/>
        <v>763.04</v>
      </c>
      <c r="H86" s="163">
        <f t="shared" si="19"/>
        <v>3433.04</v>
      </c>
      <c r="I86" s="163">
        <f t="shared" si="19"/>
        <v>2733.04</v>
      </c>
      <c r="J86" s="163">
        <f t="shared" si="19"/>
        <v>2733.04</v>
      </c>
      <c r="K86" s="163" t="str">
        <f t="shared" si="19"/>
        <v>#REF!</v>
      </c>
      <c r="L86" s="163" t="str">
        <f t="shared" si="19"/>
        <v>#REF!</v>
      </c>
      <c r="M86" s="163" t="str">
        <f t="shared" si="19"/>
        <v>#REF!</v>
      </c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</row>
    <row r="87" ht="15.75" customHeight="1">
      <c r="A87" s="175" t="s">
        <v>341</v>
      </c>
      <c r="B87" s="19">
        <f>sumifs(Dados!$N:$N,Dados!$G:$G,B84,Dados!$H:$H,$B$83,Dados!$B:$B,"From Adrian Money to Drop")</f>
        <v>10000</v>
      </c>
      <c r="C87" s="19">
        <f>sumifs(Dados!$N:$N,Dados!$G:$G,C84,Dados!$H:$H,$B$83,Dados!$B:$B,"From Adrian Money to Drop")</f>
        <v>20000</v>
      </c>
      <c r="D87" s="19">
        <f>sumifs(Dados!$N:$N,Dados!$G:$G,D84,Dados!$H:$H,$B$83,Dados!$B:$B,"From Adrian Money to Drop")</f>
        <v>0</v>
      </c>
      <c r="E87" s="19">
        <f>sumifs(Dados!$N:$N,Dados!$G:$G,E84,Dados!$H:$H,$B$83,Dados!$B:$B,"From Adrian Money to Drop")</f>
        <v>0</v>
      </c>
      <c r="F87" s="19">
        <f>sumifs(Dados!$N:$N,Dados!$G:$G,F84,Dados!$H:$H,$B$83,Dados!$B:$B,"From Adrian Money to Drop")</f>
        <v>5000</v>
      </c>
      <c r="G87" s="19">
        <f>sumifs(Dados!$N:$N,Dados!$G:$G,G84,Dados!$H:$H,$B$83,Dados!$B:$B,"From Adrian Money to Drop")</f>
        <v>5000</v>
      </c>
      <c r="H87" s="19">
        <f>sumifs(Dados!$N:$N,Dados!$G:$G,H84,Dados!$H:$H,$B$83,Dados!$B:$B,"From Adrian Money to Drop")</f>
        <v>0</v>
      </c>
      <c r="I87" s="19">
        <f>sumifs(Dados!$N:$N,Dados!$G:$G,I84,Dados!$H:$H,$B$83,Dados!$B:$B,"From Adrian Money to Drop")</f>
        <v>0</v>
      </c>
      <c r="J87" s="19">
        <f>sumifs(Dados!$N:$N,Dados!$G:$G,J84,Dados!$H:$H,$B$83,Dados!$B:$B,"From Adrian Money to Drop")</f>
        <v>0</v>
      </c>
      <c r="K87" s="19">
        <f>sumifs(Dados!$N:$N,Dados!$G:$G,K84,Dados!$H:$H,$B$83,Dados!$B:$B,"FromAdrianMoneytoDrop")</f>
        <v>0</v>
      </c>
      <c r="L87" s="19">
        <f>sumifs(Dados!$N:$N,Dados!$G:$G,L84,Dados!$H:$H,$B$83,Dados!$B:$B,"FromAdrianMoneytoDrop")</f>
        <v>0</v>
      </c>
      <c r="M87" s="19">
        <f>sumifs(Dados!$N:$N,Dados!$G:$G,M84,Dados!$H:$H,$B$83,Dados!$B:$B,"FromAdrianMoneytoDrop")</f>
        <v>0</v>
      </c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</row>
    <row r="88" ht="15.75" customHeight="1">
      <c r="A88" s="175" t="s">
        <v>360</v>
      </c>
      <c r="B88" s="19">
        <f>sumifs(Dados!$N:$N,Dados!$G:$G,B84,Dados!$H:$H,$B$83,Dados!$D:$D,$B$82,Dados!$A:$A,"*obra*")</f>
        <v>3668.42</v>
      </c>
      <c r="C88" s="19">
        <f>sumifs(Dados!$N:$N,Dados!$G:$G,C84,Dados!$H:$H,$B$83,Dados!$D:$D,$B$82,Dados!$A:$A,"*obra*")</f>
        <v>17372</v>
      </c>
      <c r="D88" s="19">
        <f>sumifs(Dados!$N:$N,Dados!$G:$G,D84,Dados!$H:$H,$B$83,Dados!$D:$D,$B$82,Dados!$A:$A,"*obra*")</f>
        <v>5265.81</v>
      </c>
      <c r="E88" s="19">
        <f>sumifs(Dados!$N:$N,Dados!$G:$G,E84,Dados!$H:$H,$B$83,Dados!$D:$D,$B$82,Dados!$A:$A,"*obra*")</f>
        <v>2650.73</v>
      </c>
      <c r="F88" s="19">
        <f>sumifs(Dados!$N:$N,Dados!$G:$G,F84,Dados!$H:$H,$B$83,Dados!$D:$D,$B$82,Dados!$A:$A,"*obra*")</f>
        <v>5280</v>
      </c>
      <c r="G88" s="19">
        <f>sumifs(Dados!$N:$N,Dados!$G:$G,G84,Dados!$H:$H,$B$83,Dados!$D:$D,$B$82,Dados!$A:$A,"*obra*")</f>
        <v>2330</v>
      </c>
      <c r="H88" s="19">
        <f>sumifs(Dados!$N:$N,Dados!$G:$G,H84,Dados!$H:$H,$B$83,Dados!$D:$D,$B$82,Dados!$A:$A,"*obra*")</f>
        <v>700</v>
      </c>
      <c r="I88" s="19">
        <f>sumifs(Dados!$N:$N,Dados!$G:$G,I84,Dados!$H:$H,$B$83,Dados!$D:$D,$B$82,Dados!$A:$A,"*obra*")</f>
        <v>0</v>
      </c>
      <c r="J88" s="19">
        <f>sumifs(Dados!$N:$N,Dados!$G:$G,J84,Dados!$H:$H,$B$83,Dados!$D:$D,$B$82,Dados!$A:$A,"*obra*")</f>
        <v>0</v>
      </c>
      <c r="K88" s="19">
        <f>sumifs(Dados!$N:$N,Dados!$G:$G,K84,Dados!$H:$H,$B$83,Dados!$D:$D,$B$82,Dados!$A:$A,"*obra*")</f>
        <v>0</v>
      </c>
      <c r="L88" s="19">
        <f>sumifs(Dados!$N:$N,Dados!$G:$G,L84,Dados!$H:$H,$B$83,Dados!$D:$D,$B$82,Dados!$A:$A,"*obra*")</f>
        <v>0</v>
      </c>
      <c r="M88" s="19">
        <f>sumifs(Dados!$N:$N,Dados!$G:$G,M84,Dados!$H:$H,$B$83,Dados!$D:$D,$B$82,Dados!$A:$A,"*obra*")</f>
        <v>0</v>
      </c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</row>
    <row r="89" ht="15.75" customHeight="1">
      <c r="A89" s="166" t="s">
        <v>222</v>
      </c>
      <c r="B89" s="167"/>
      <c r="C89" s="167"/>
      <c r="D89" s="167"/>
      <c r="E89" s="167"/>
      <c r="F89" s="167"/>
      <c r="G89" s="167"/>
      <c r="H89" s="167"/>
      <c r="I89" s="167"/>
      <c r="J89" s="167"/>
      <c r="K89" s="167"/>
      <c r="L89" s="167"/>
      <c r="M89" s="167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</row>
    <row r="90" ht="15.75" customHeight="1">
      <c r="A90" s="175" t="s">
        <v>314</v>
      </c>
      <c r="B90" s="169">
        <f t="shared" ref="B90:I90" si="20">B86+B87-B88</f>
        <v>6331.58</v>
      </c>
      <c r="C90" s="169">
        <f t="shared" si="20"/>
        <v>8959.58</v>
      </c>
      <c r="D90" s="169">
        <f t="shared" si="20"/>
        <v>3693.77</v>
      </c>
      <c r="E90" s="169">
        <f t="shared" si="20"/>
        <v>1043.04</v>
      </c>
      <c r="F90" s="169">
        <f t="shared" si="20"/>
        <v>763.04</v>
      </c>
      <c r="G90" s="169">
        <f t="shared" si="20"/>
        <v>3433.04</v>
      </c>
      <c r="H90" s="169">
        <f t="shared" si="20"/>
        <v>2733.04</v>
      </c>
      <c r="I90" s="169">
        <f t="shared" si="20"/>
        <v>2733.04</v>
      </c>
      <c r="J90" s="169" t="str">
        <f t="shared" ref="J90:M90" si="21">J86+J87-#REF!-J88</f>
        <v>#REF!</v>
      </c>
      <c r="K90" s="169" t="str">
        <f t="shared" si="21"/>
        <v>#REF!</v>
      </c>
      <c r="L90" s="169" t="str">
        <f t="shared" si="21"/>
        <v>#REF!</v>
      </c>
      <c r="M90" s="169" t="str">
        <f t="shared" si="21"/>
        <v>#REF!</v>
      </c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</row>
    <row r="91" ht="15.75" customHeight="1">
      <c r="A91" s="175" t="s">
        <v>363</v>
      </c>
      <c r="B91" s="169"/>
      <c r="C91" s="187"/>
      <c r="D91" s="169"/>
      <c r="E91" s="169"/>
      <c r="F91" s="187"/>
      <c r="G91" s="169"/>
      <c r="H91" s="187">
        <f>'Obra cash flow 1'!L13</f>
        <v>2680</v>
      </c>
      <c r="I91" s="169"/>
      <c r="J91" s="169"/>
      <c r="K91" s="169"/>
      <c r="L91" s="169"/>
      <c r="M91" s="169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</row>
    <row r="92" ht="15.75" customHeight="1">
      <c r="A92" s="171" t="s">
        <v>53</v>
      </c>
      <c r="B92" s="172"/>
      <c r="C92" s="172"/>
      <c r="D92" s="172"/>
      <c r="E92" s="172"/>
      <c r="F92" s="172"/>
      <c r="G92" s="172"/>
      <c r="H92" s="172">
        <f t="shared" ref="H92:M92" si="22">H90-H91</f>
        <v>53.04</v>
      </c>
      <c r="I92" s="172">
        <f t="shared" si="22"/>
        <v>2733.04</v>
      </c>
      <c r="J92" s="172" t="str">
        <f t="shared" si="22"/>
        <v>#REF!</v>
      </c>
      <c r="K92" s="172" t="str">
        <f t="shared" si="22"/>
        <v>#REF!</v>
      </c>
      <c r="L92" s="172" t="str">
        <f t="shared" si="22"/>
        <v>#REF!</v>
      </c>
      <c r="M92" s="172" t="str">
        <f t="shared" si="22"/>
        <v>#REF!</v>
      </c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</row>
    <row r="93" ht="15.75" customHeight="1">
      <c r="A93" s="43"/>
      <c r="B93" s="43"/>
      <c r="C93" s="43"/>
      <c r="D93" s="43"/>
      <c r="E93" s="43"/>
      <c r="F93" s="44"/>
      <c r="G93" s="53"/>
      <c r="H93" s="53"/>
      <c r="I93" s="43"/>
      <c r="J93" s="43"/>
      <c r="K93" s="43"/>
      <c r="L93" s="43"/>
      <c r="M93" s="43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</row>
    <row r="94" ht="15.75" customHeight="1">
      <c r="A94" s="43"/>
      <c r="B94" s="43"/>
      <c r="C94" s="43"/>
      <c r="D94" s="43"/>
      <c r="E94" s="43"/>
      <c r="F94" s="44"/>
      <c r="G94" s="53"/>
      <c r="H94" s="43"/>
      <c r="I94" s="43"/>
      <c r="J94" s="43"/>
      <c r="K94" s="43"/>
      <c r="L94" s="43"/>
      <c r="M94" s="43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</row>
    <row r="95" ht="15.75" customHeight="1">
      <c r="A95" s="156" t="s">
        <v>303</v>
      </c>
      <c r="B95" s="24" t="s">
        <v>369</v>
      </c>
      <c r="C95" s="24"/>
      <c r="D95" s="156"/>
      <c r="E95" s="156"/>
      <c r="F95" s="156"/>
      <c r="G95" s="156"/>
      <c r="H95" s="174"/>
      <c r="I95" s="174"/>
      <c r="J95" s="174"/>
      <c r="K95" s="174"/>
      <c r="L95" s="174"/>
      <c r="M95" s="17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</row>
    <row r="96" ht="15.75" customHeight="1">
      <c r="A96" s="160" t="s">
        <v>96</v>
      </c>
      <c r="B96" s="16">
        <v>2026.0</v>
      </c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</row>
    <row r="97" ht="15.75" customHeight="1">
      <c r="A97" s="160" t="s">
        <v>304</v>
      </c>
      <c r="B97" s="27">
        <v>1.0</v>
      </c>
      <c r="C97" s="27">
        <v>2.0</v>
      </c>
      <c r="D97" s="27">
        <v>3.0</v>
      </c>
      <c r="E97" s="27">
        <v>4.0</v>
      </c>
      <c r="F97" s="27">
        <v>5.0</v>
      </c>
      <c r="G97" s="27">
        <v>6.0</v>
      </c>
      <c r="H97" s="27">
        <v>7.0</v>
      </c>
      <c r="I97" s="27">
        <v>8.0</v>
      </c>
      <c r="J97" s="27">
        <v>9.0</v>
      </c>
      <c r="K97" s="27">
        <v>10.0</v>
      </c>
      <c r="L97" s="27">
        <v>11.0</v>
      </c>
      <c r="M97" s="27">
        <v>12.0</v>
      </c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</row>
    <row r="98" ht="15.75" customHeight="1">
      <c r="A98" s="161" t="s">
        <v>304</v>
      </c>
      <c r="B98" s="162" t="s">
        <v>77</v>
      </c>
      <c r="C98" s="162" t="s">
        <v>78</v>
      </c>
      <c r="D98" s="162" t="s">
        <v>79</v>
      </c>
      <c r="E98" s="162" t="s">
        <v>80</v>
      </c>
      <c r="F98" s="162" t="s">
        <v>81</v>
      </c>
      <c r="G98" s="162" t="s">
        <v>82</v>
      </c>
      <c r="H98" s="162" t="s">
        <v>83</v>
      </c>
      <c r="I98" s="162" t="s">
        <v>84</v>
      </c>
      <c r="J98" s="162" t="s">
        <v>85</v>
      </c>
      <c r="K98" s="162" t="s">
        <v>86</v>
      </c>
      <c r="L98" s="162" t="s">
        <v>87</v>
      </c>
      <c r="M98" s="162" t="s">
        <v>88</v>
      </c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</row>
    <row r="99" ht="15.75" customHeight="1">
      <c r="A99" s="175" t="s">
        <v>305</v>
      </c>
      <c r="B99" s="170">
        <f>17827+72000</f>
        <v>89827</v>
      </c>
      <c r="C99" s="163">
        <f t="shared" ref="C99:M99" si="23">B103</f>
        <v>79827</v>
      </c>
      <c r="D99" s="163">
        <f t="shared" si="23"/>
        <v>59827</v>
      </c>
      <c r="E99" s="163">
        <f t="shared" si="23"/>
        <v>59827</v>
      </c>
      <c r="F99" s="163">
        <f t="shared" si="23"/>
        <v>59680.53</v>
      </c>
      <c r="G99" s="163">
        <f t="shared" si="23"/>
        <v>52512.67</v>
      </c>
      <c r="H99" s="163">
        <f t="shared" si="23"/>
        <v>47512.67</v>
      </c>
      <c r="I99" s="163">
        <f t="shared" si="23"/>
        <v>47512.67</v>
      </c>
      <c r="J99" s="163">
        <f t="shared" si="23"/>
        <v>47512.67</v>
      </c>
      <c r="K99" s="163">
        <f t="shared" si="23"/>
        <v>47512.67</v>
      </c>
      <c r="L99" s="163">
        <f t="shared" si="23"/>
        <v>47512.67</v>
      </c>
      <c r="M99" s="163">
        <f t="shared" si="23"/>
        <v>47512.67</v>
      </c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</row>
    <row r="100" ht="15.75" customHeight="1">
      <c r="A100" s="229" t="s">
        <v>373</v>
      </c>
      <c r="B100" s="19">
        <f>sumifs(Dados!$N:$N,Dados!$G:$G,B97,Dados!$H:$H,$B$96,Dados!$A:$A,"Drop",Dados!$D:$D,"Drop Box")</f>
        <v>0</v>
      </c>
      <c r="C100" s="19">
        <f>sumifs(Dados!$N:$N,Dados!$G:$G,C97,Dados!$H:$H,$B$96,Dados!$A:$A,"Drop",Dados!$D:$D,"DropBox")</f>
        <v>0</v>
      </c>
      <c r="D100" s="19">
        <f>sumifs(Dados!$N:$N,Dados!$G:$G,D97,Dados!$H:$H,$B$96,Dados!$A:$A,"Drop",Dados!$D:$D,"DropBox")</f>
        <v>0</v>
      </c>
      <c r="E100" s="19">
        <f>sumifs(Dados!$N:$N,Dados!$G:$G,E97,Dados!$H:$H,$B$96,Dados!$A:$A,"Drop",Dados!$D:$D,"DropBox")</f>
        <v>0</v>
      </c>
      <c r="F100" s="19">
        <f>sumifs(Dados!$N:$N,Dados!$G:$G,F97,Dados!$H:$H,$B$96,Dados!$A:$A,"Drop",Dados!$D:$D,"DropBox")</f>
        <v>0</v>
      </c>
      <c r="G100" s="19">
        <f>sumifs(Dados!$N:$N,Dados!$G:$G,G97,Dados!$H:$H,$B$96,Dados!$A:$A,"Drop",Dados!$D:$D,"DropBox")</f>
        <v>0</v>
      </c>
      <c r="H100" s="19">
        <f>sumifs(Dados!$N:$N,Dados!$G:$G,H97,Dados!$H:$H,$B$96,Dados!$A:$A,"Drop",Dados!$D:$D,"DropBox")</f>
        <v>0</v>
      </c>
      <c r="I100" s="19">
        <f>sumifs(Dados!$N:$N,Dados!$G:$G,I97,Dados!$H:$H,$B$96,Dados!$A:$A,"Drop",Dados!$D:$D,"DropBox")</f>
        <v>0</v>
      </c>
      <c r="J100" s="19">
        <f>sumifs(Dados!$N:$N,Dados!$G:$G,J97,Dados!$H:$H,$B$96,Dados!$A:$A,"Drop",Dados!$D:$D,"DropBox")</f>
        <v>0</v>
      </c>
      <c r="K100" s="19">
        <f>sumifs(Dados!$N:$N,Dados!$G:$G,K97,Dados!$H:$H,$B$96,Dados!$A:$A,"Drop",Dados!$D:$D,"DropBox")</f>
        <v>0</v>
      </c>
      <c r="L100" s="19">
        <f>sumifs(Dados!$N:$N,Dados!$G:$G,L97,Dados!$H:$H,$B$96,Dados!$A:$A,"Drop",Dados!$D:$D,"DropBox")</f>
        <v>0</v>
      </c>
      <c r="M100" s="19">
        <f>sumifs(Dados!$N:$N,Dados!$G:$G,M97,Dados!$H:$H,$B$96,Dados!$A:$A,"Drop",Dados!$D:$D,"DropBox")</f>
        <v>0</v>
      </c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</row>
    <row r="101" ht="15.75" customHeight="1">
      <c r="A101" s="175" t="s">
        <v>334</v>
      </c>
      <c r="B101" s="19">
        <f>sumifs(Dados!$N:$N,Dados!$G:$G,B97,Dados!$H:$H,$B$96,Dados!$D:$D,$B$95,Dados!$A:$A,"Drop")</f>
        <v>10000</v>
      </c>
      <c r="C101" s="19">
        <f>sumifs(Dados!$N:$N,Dados!$G:$G,C97,Dados!$H:$H,$B$96,Dados!$D:$D,$B$95,Dados!$A:$A,"Drop")</f>
        <v>20000</v>
      </c>
      <c r="D101" s="19">
        <f>sumifs(Dados!$N:$N,Dados!$G:$G,D97,Dados!$H:$H,$B$96,Dados!$D:$D,$B$95,Dados!$A:$A,"Drop")</f>
        <v>0</v>
      </c>
      <c r="E101" s="19">
        <f>sumifs(Dados!$N:$N,Dados!$G:$G,E97,Dados!$H:$H,$B$96,Dados!$D:$D,$B$95,Dados!$A:$A,"Drop")</f>
        <v>0</v>
      </c>
      <c r="F101" s="19">
        <f>sumifs(Dados!$N:$N,Dados!$G:$G,F97,Dados!$H:$H,$B$96,Dados!$D:$D,$B$95,Dados!$A:$A,"Drop")</f>
        <v>5000</v>
      </c>
      <c r="G101" s="19">
        <f>sumifs(Dados!$N:$N,Dados!$G:$G,G97,Dados!$H:$H,$B$96,Dados!$D:$D,$B$95,Dados!$A:$A,"Drop")</f>
        <v>5000</v>
      </c>
      <c r="H101" s="19">
        <f>sumifs(Dados!$N:$N,Dados!$G:$G,H97,Dados!$H:$H,$B$96,Dados!$D:$D,$B$95,Dados!$A:$A,"Drop")</f>
        <v>0</v>
      </c>
      <c r="I101" s="19">
        <f>sumifs(Dados!$N:$N,Dados!$G:$G,I97,Dados!$H:$H,$B$96,Dados!$D:$D,$B$95,Dados!$A:$A,"Drop")</f>
        <v>0</v>
      </c>
      <c r="J101" s="19">
        <f>sumifs(Dados!$N:$N,Dados!$G:$G,J97,Dados!$H:$H,$B$96,Dados!$D:$D,$B$95,Dados!$A:$A,"Drop")</f>
        <v>0</v>
      </c>
      <c r="K101" s="19">
        <f>sumifs(Dados!$N:$N,Dados!$G:$G,K97,Dados!$H:$H,$B$96,Dados!$D:$D,$B$95,Dados!$A:$A,"Drop")</f>
        <v>0</v>
      </c>
      <c r="L101" s="19">
        <f>sumifs(Dados!$N:$N,Dados!$G:$G,L97,Dados!$H:$H,$B$96,Dados!$D:$D,$B$95,Dados!$A:$A,"Drop")</f>
        <v>0</v>
      </c>
      <c r="M101" s="19">
        <f>sumifs(Dados!$N:$N,Dados!$G:$G,M97,Dados!$H:$H,$B$96,Dados!$D:$D,$B$95,Dados!$A:$A,"Drop")</f>
        <v>0</v>
      </c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</row>
    <row r="102" ht="15.75" customHeight="1">
      <c r="A102" s="229" t="s">
        <v>312</v>
      </c>
      <c r="B102" s="19">
        <f>sumifs(Dados!$N:$N,Dados!$G:$G,B97,Dados!$H:$H,$B$96,Dados!$D:$D,$B$95)-B101</f>
        <v>0</v>
      </c>
      <c r="C102" s="19">
        <f>sumifs(Dados!$N:$N,Dados!$G:$G,C97,Dados!$H:$H,$B$96,Dados!$D:$D,$B$95)-C101</f>
        <v>0</v>
      </c>
      <c r="D102" s="19">
        <f>sumifs(Dados!$N:$N,Dados!$G:$G,D97,Dados!$H:$H,$B$96,Dados!$D:$D,$B$95)-D101</f>
        <v>0</v>
      </c>
      <c r="E102" s="19">
        <f>sumifs(Dados!$N:$N,Dados!$G:$G,E97,Dados!$H:$H,$B$96,Dados!$D:$D,$B$95)-E101</f>
        <v>146.47</v>
      </c>
      <c r="F102" s="19">
        <f>sumifs(Dados!$N:$N,Dados!$G:$G,F97,Dados!$H:$H,$B$96,Dados!$D:$D,$B$95)-F101</f>
        <v>2167.86</v>
      </c>
      <c r="G102" s="19">
        <f>sumifs(Dados!$N:$N,Dados!$G:$G,G97,Dados!$H:$H,$B$96,Dados!$D:$D,$B$95)-G101</f>
        <v>0</v>
      </c>
      <c r="H102" s="19">
        <f>sumifs(Dados!$N:$N,Dados!$G:$G,H97,Dados!$H:$H,$B$96,Dados!$D:$D,$B$95)-H101</f>
        <v>0</v>
      </c>
      <c r="I102" s="19">
        <f>sumifs(Dados!$N:$N,Dados!$G:$G,I97,Dados!$H:$H,$B$96,Dados!$D:$D,$B$95)-I101</f>
        <v>0</v>
      </c>
      <c r="J102" s="19">
        <f>sumifs(Dados!$N:$N,Dados!$G:$G,J97,Dados!$H:$H,$B$96,Dados!$D:$D,$B$95)-J101</f>
        <v>0</v>
      </c>
      <c r="K102" s="19">
        <f>sumifs(Dados!$N:$N,Dados!$G:$G,K97,Dados!$H:$H,$B$96,Dados!$D:$D,$B$95)-K101</f>
        <v>0</v>
      </c>
      <c r="L102" s="19">
        <f>sumifs(Dados!$N:$N,Dados!$G:$G,L97,Dados!$H:$H,$B$96,Dados!$D:$D,$B$95)-L101</f>
        <v>0</v>
      </c>
      <c r="M102" s="19">
        <f>sumifs(Dados!$N:$N,Dados!$G:$G,M97,Dados!$H:$H,$B$96,Dados!$D:$D,$B$95)</f>
        <v>0</v>
      </c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</row>
    <row r="103" ht="15.75" customHeight="1">
      <c r="A103" s="175" t="s">
        <v>314</v>
      </c>
      <c r="B103" s="163">
        <f t="shared" ref="B103:J103" si="24">B99+B100-B101-B102</f>
        <v>79827</v>
      </c>
      <c r="C103" s="163">
        <f t="shared" si="24"/>
        <v>59827</v>
      </c>
      <c r="D103" s="163">
        <f t="shared" si="24"/>
        <v>59827</v>
      </c>
      <c r="E103" s="163">
        <f t="shared" si="24"/>
        <v>59680.53</v>
      </c>
      <c r="F103" s="163">
        <f t="shared" si="24"/>
        <v>52512.67</v>
      </c>
      <c r="G103" s="163">
        <f t="shared" si="24"/>
        <v>47512.67</v>
      </c>
      <c r="H103" s="163">
        <f t="shared" si="24"/>
        <v>47512.67</v>
      </c>
      <c r="I103" s="163">
        <f t="shared" si="24"/>
        <v>47512.67</v>
      </c>
      <c r="J103" s="163">
        <f t="shared" si="24"/>
        <v>47512.67</v>
      </c>
      <c r="K103" s="163">
        <f t="shared" ref="K103:M103" si="25">K99+K100-K102</f>
        <v>47512.67</v>
      </c>
      <c r="L103" s="163">
        <f t="shared" si="25"/>
        <v>47512.67</v>
      </c>
      <c r="M103" s="163">
        <f t="shared" si="25"/>
        <v>47512.67</v>
      </c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</row>
    <row r="104" ht="15.75" customHeight="1">
      <c r="A104" s="175" t="s">
        <v>402</v>
      </c>
      <c r="B104" s="163"/>
      <c r="C104" s="163"/>
      <c r="D104" s="163"/>
      <c r="E104" s="163"/>
      <c r="F104" s="163"/>
      <c r="G104" s="163"/>
      <c r="H104" s="163"/>
      <c r="I104" s="163"/>
      <c r="J104" s="163"/>
      <c r="K104" s="163"/>
      <c r="L104" s="163"/>
      <c r="M104" s="163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</row>
    <row r="105" ht="15.75" customHeight="1">
      <c r="A105" s="171" t="s">
        <v>53</v>
      </c>
      <c r="B105" s="172">
        <f t="shared" ref="B105:M105" si="26">B103-B104</f>
        <v>79827</v>
      </c>
      <c r="C105" s="172">
        <f t="shared" si="26"/>
        <v>59827</v>
      </c>
      <c r="D105" s="172">
        <f t="shared" si="26"/>
        <v>59827</v>
      </c>
      <c r="E105" s="172">
        <f t="shared" si="26"/>
        <v>59680.53</v>
      </c>
      <c r="F105" s="172">
        <f t="shared" si="26"/>
        <v>52512.67</v>
      </c>
      <c r="G105" s="172">
        <f t="shared" si="26"/>
        <v>47512.67</v>
      </c>
      <c r="H105" s="172">
        <f t="shared" si="26"/>
        <v>47512.67</v>
      </c>
      <c r="I105" s="172">
        <f t="shared" si="26"/>
        <v>47512.67</v>
      </c>
      <c r="J105" s="172">
        <f t="shared" si="26"/>
        <v>47512.67</v>
      </c>
      <c r="K105" s="172">
        <f t="shared" si="26"/>
        <v>47512.67</v>
      </c>
      <c r="L105" s="172">
        <f t="shared" si="26"/>
        <v>47512.67</v>
      </c>
      <c r="M105" s="172">
        <f t="shared" si="26"/>
        <v>47512.67</v>
      </c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</row>
    <row r="106" ht="15.75" customHeight="1">
      <c r="A106" s="43"/>
      <c r="B106" s="43"/>
      <c r="C106" s="43"/>
      <c r="D106" s="43"/>
      <c r="E106" s="43"/>
      <c r="F106" s="53"/>
      <c r="G106" s="43"/>
      <c r="H106" s="43"/>
      <c r="I106" s="43"/>
      <c r="J106" s="43"/>
      <c r="K106" s="43"/>
      <c r="L106" s="43"/>
      <c r="M106" s="43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</row>
    <row r="108" ht="15.75" customHeight="1">
      <c r="A108" s="250" t="s">
        <v>303</v>
      </c>
      <c r="B108" s="250" t="s">
        <v>27</v>
      </c>
      <c r="C108" s="250"/>
      <c r="D108" s="250"/>
      <c r="E108" s="250"/>
      <c r="F108" s="250"/>
      <c r="G108" s="250"/>
      <c r="H108" s="251"/>
      <c r="I108" s="251"/>
      <c r="J108" s="251"/>
      <c r="K108" s="251"/>
      <c r="L108" s="251"/>
      <c r="M108" s="251"/>
      <c r="N108" s="252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</row>
    <row r="109" ht="15.75" customHeight="1">
      <c r="A109" s="160" t="s">
        <v>96</v>
      </c>
      <c r="B109" s="16">
        <v>2026.0</v>
      </c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16">
        <v>2025.0</v>
      </c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</row>
    <row r="110" ht="15.75" customHeight="1">
      <c r="A110" s="160" t="s">
        <v>304</v>
      </c>
      <c r="B110" s="162" t="s">
        <v>77</v>
      </c>
      <c r="C110" s="162" t="s">
        <v>78</v>
      </c>
      <c r="D110" s="162" t="s">
        <v>79</v>
      </c>
      <c r="E110" s="162" t="s">
        <v>80</v>
      </c>
      <c r="F110" s="162" t="s">
        <v>81</v>
      </c>
      <c r="G110" s="162" t="s">
        <v>82</v>
      </c>
      <c r="H110" s="162" t="s">
        <v>83</v>
      </c>
      <c r="I110" s="162" t="s">
        <v>84</v>
      </c>
      <c r="J110" s="162" t="s">
        <v>85</v>
      </c>
      <c r="K110" s="162" t="s">
        <v>86</v>
      </c>
      <c r="L110" s="162" t="s">
        <v>87</v>
      </c>
      <c r="M110" s="162" t="s">
        <v>88</v>
      </c>
      <c r="N110" s="3" t="s">
        <v>27</v>
      </c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</row>
    <row r="111" ht="15.75" customHeight="1">
      <c r="A111" s="175" t="s">
        <v>305</v>
      </c>
      <c r="B111" s="253">
        <f>B5+B24+B42+B86+B99</f>
        <v>179234.83</v>
      </c>
      <c r="C111" s="253">
        <f t="shared" ref="C111:M111" si="27">B118</f>
        <v>168621.9</v>
      </c>
      <c r="D111" s="253">
        <f t="shared" si="27"/>
        <v>121795.13</v>
      </c>
      <c r="E111" s="253">
        <f t="shared" si="27"/>
        <v>104826.83</v>
      </c>
      <c r="F111" s="253">
        <f t="shared" si="27"/>
        <v>90243.5</v>
      </c>
      <c r="G111" s="253">
        <f t="shared" si="27"/>
        <v>83796.17888</v>
      </c>
      <c r="H111" s="253">
        <f t="shared" si="27"/>
        <v>82911.41888</v>
      </c>
      <c r="I111" s="253">
        <f t="shared" si="27"/>
        <v>88904.62888</v>
      </c>
      <c r="J111" s="253">
        <f t="shared" si="27"/>
        <v>93258.48888</v>
      </c>
      <c r="K111" s="253">
        <f t="shared" si="27"/>
        <v>93258.48888</v>
      </c>
      <c r="L111" s="253">
        <f t="shared" si="27"/>
        <v>93258.48888</v>
      </c>
      <c r="M111" s="253">
        <f t="shared" si="27"/>
        <v>93258.48888</v>
      </c>
      <c r="N111" s="253">
        <f>B111</f>
        <v>179234.83</v>
      </c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</row>
    <row r="112" ht="15.75" customHeight="1">
      <c r="A112" s="175" t="s">
        <v>443</v>
      </c>
      <c r="B112" s="19">
        <f t="shared" ref="B112:L112" si="28">B7+B8+B9+B10+B11+B12+B25+B26+B27+B43+B44+B46+B59+B60+B62</f>
        <v>0</v>
      </c>
      <c r="C112" s="19">
        <f t="shared" si="28"/>
        <v>0</v>
      </c>
      <c r="D112" s="19">
        <f t="shared" si="28"/>
        <v>0</v>
      </c>
      <c r="E112" s="19">
        <f t="shared" si="28"/>
        <v>0</v>
      </c>
      <c r="F112" s="19">
        <f t="shared" si="28"/>
        <v>8447.858881</v>
      </c>
      <c r="G112" s="19">
        <f t="shared" si="28"/>
        <v>23097.56</v>
      </c>
      <c r="H112" s="19">
        <f t="shared" si="28"/>
        <v>25285.63</v>
      </c>
      <c r="I112" s="19">
        <f t="shared" si="28"/>
        <v>9944.66</v>
      </c>
      <c r="J112" s="19">
        <f t="shared" si="28"/>
        <v>0</v>
      </c>
      <c r="K112" s="19">
        <f t="shared" si="28"/>
        <v>0</v>
      </c>
      <c r="L112" s="19">
        <f t="shared" si="28"/>
        <v>0</v>
      </c>
      <c r="M112" s="19" t="str">
        <f>M7+M9+#REF!+#REF!+M43+M46+M59+M62</f>
        <v>#REF!</v>
      </c>
      <c r="N112" s="19" t="str">
        <f t="shared" ref="N112:N114" si="30">SUM(B112:M112)</f>
        <v>#REF!</v>
      </c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</row>
    <row r="113" ht="15.75" customHeight="1">
      <c r="A113" s="175" t="s">
        <v>111</v>
      </c>
      <c r="B113" s="19" t="str">
        <f t="shared" ref="B113:M113" si="29">B6</f>
        <v/>
      </c>
      <c r="C113" s="19" t="str">
        <f t="shared" si="29"/>
        <v/>
      </c>
      <c r="D113" s="19" t="str">
        <f t="shared" si="29"/>
        <v/>
      </c>
      <c r="E113" s="19" t="str">
        <f t="shared" si="29"/>
        <v/>
      </c>
      <c r="F113" s="19" t="str">
        <f t="shared" si="29"/>
        <v/>
      </c>
      <c r="G113" s="19">
        <f t="shared" si="29"/>
        <v>639.65</v>
      </c>
      <c r="H113" s="19">
        <f t="shared" si="29"/>
        <v>356.4</v>
      </c>
      <c r="I113" s="19" t="str">
        <f t="shared" si="29"/>
        <v/>
      </c>
      <c r="J113" s="19" t="str">
        <f t="shared" si="29"/>
        <v/>
      </c>
      <c r="K113" s="19" t="str">
        <f t="shared" si="29"/>
        <v/>
      </c>
      <c r="L113" s="19" t="str">
        <f t="shared" si="29"/>
        <v/>
      </c>
      <c r="M113" s="19" t="str">
        <f t="shared" si="29"/>
        <v/>
      </c>
      <c r="N113" s="19">
        <f t="shared" si="30"/>
        <v>996.05</v>
      </c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</row>
    <row r="114" ht="15.75" customHeight="1">
      <c r="A114" s="175" t="s">
        <v>114</v>
      </c>
      <c r="B114" s="19">
        <f t="shared" ref="B114:L114" si="31">B28+B45+B61</f>
        <v>0</v>
      </c>
      <c r="C114" s="19">
        <f t="shared" si="31"/>
        <v>0</v>
      </c>
      <c r="D114" s="19">
        <f t="shared" si="31"/>
        <v>0</v>
      </c>
      <c r="E114" s="19">
        <f t="shared" si="31"/>
        <v>0</v>
      </c>
      <c r="F114" s="19">
        <f t="shared" si="31"/>
        <v>605.5</v>
      </c>
      <c r="G114" s="19">
        <f t="shared" si="31"/>
        <v>547</v>
      </c>
      <c r="H114" s="19">
        <f t="shared" si="31"/>
        <v>1014.9</v>
      </c>
      <c r="I114" s="19">
        <f t="shared" si="31"/>
        <v>0</v>
      </c>
      <c r="J114" s="19">
        <f t="shared" si="31"/>
        <v>0</v>
      </c>
      <c r="K114" s="19">
        <f t="shared" si="31"/>
        <v>0</v>
      </c>
      <c r="L114" s="19">
        <f t="shared" si="31"/>
        <v>0</v>
      </c>
      <c r="M114" s="19" t="str">
        <f>#REF!+M45+M61</f>
        <v>#REF!</v>
      </c>
      <c r="N114" s="19" t="str">
        <f t="shared" si="30"/>
        <v>#REF!</v>
      </c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</row>
    <row r="115" ht="15.75" customHeight="1">
      <c r="A115" s="255" t="s">
        <v>331</v>
      </c>
      <c r="B115" s="256">
        <f t="shared" ref="B115:N115" si="32">sum(B112:B114)</f>
        <v>0</v>
      </c>
      <c r="C115" s="256">
        <f t="shared" si="32"/>
        <v>0</v>
      </c>
      <c r="D115" s="256">
        <f t="shared" si="32"/>
        <v>0</v>
      </c>
      <c r="E115" s="256">
        <f t="shared" si="32"/>
        <v>0</v>
      </c>
      <c r="F115" s="256">
        <f t="shared" si="32"/>
        <v>9053.358881</v>
      </c>
      <c r="G115" s="256">
        <f t="shared" si="32"/>
        <v>24284.21</v>
      </c>
      <c r="H115" s="256">
        <f t="shared" si="32"/>
        <v>26656.93</v>
      </c>
      <c r="I115" s="256">
        <f t="shared" si="32"/>
        <v>9944.66</v>
      </c>
      <c r="J115" s="256">
        <f t="shared" si="32"/>
        <v>0</v>
      </c>
      <c r="K115" s="256">
        <f t="shared" si="32"/>
        <v>0</v>
      </c>
      <c r="L115" s="256">
        <f t="shared" si="32"/>
        <v>0</v>
      </c>
      <c r="M115" s="256" t="str">
        <f t="shared" si="32"/>
        <v>#REF!</v>
      </c>
      <c r="N115" s="256" t="str">
        <f t="shared" si="32"/>
        <v>#REF!</v>
      </c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</row>
    <row r="116" ht="15.75" customHeight="1">
      <c r="A116" s="258" t="s">
        <v>36</v>
      </c>
      <c r="B116" s="260">
        <f t="shared" ref="B116:M116" si="33">B13+B30+B50+B75+B88+B102</f>
        <v>10612.93</v>
      </c>
      <c r="C116" s="260">
        <f t="shared" si="33"/>
        <v>46826.77</v>
      </c>
      <c r="D116" s="260">
        <f t="shared" si="33"/>
        <v>16968.3</v>
      </c>
      <c r="E116" s="260">
        <f t="shared" si="33"/>
        <v>14583.33</v>
      </c>
      <c r="F116" s="260">
        <f t="shared" si="33"/>
        <v>15500.68</v>
      </c>
      <c r="G116" s="260">
        <f t="shared" si="33"/>
        <v>25168.97</v>
      </c>
      <c r="H116" s="260">
        <f t="shared" si="33"/>
        <v>20663.72</v>
      </c>
      <c r="I116" s="260">
        <f t="shared" si="33"/>
        <v>5590.8</v>
      </c>
      <c r="J116" s="260">
        <f t="shared" si="33"/>
        <v>0</v>
      </c>
      <c r="K116" s="260">
        <f t="shared" si="33"/>
        <v>0</v>
      </c>
      <c r="L116" s="260">
        <f t="shared" si="33"/>
        <v>0</v>
      </c>
      <c r="M116" s="260">
        <f t="shared" si="33"/>
        <v>0</v>
      </c>
      <c r="N116" s="260" t="str">
        <f>sum(#REF!)</f>
        <v>#REF!</v>
      </c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</row>
    <row r="117" ht="15.75" customHeight="1">
      <c r="A117" s="229" t="s">
        <v>222</v>
      </c>
      <c r="B117" s="268" t="str">
        <f t="shared" ref="B117:L117" si="34">B14</f>
        <v/>
      </c>
      <c r="C117" s="268" t="str">
        <f t="shared" si="34"/>
        <v/>
      </c>
      <c r="D117" s="268" t="str">
        <f t="shared" si="34"/>
        <v/>
      </c>
      <c r="E117" s="268" t="str">
        <f t="shared" si="34"/>
        <v/>
      </c>
      <c r="F117" s="268" t="str">
        <f t="shared" si="34"/>
        <v/>
      </c>
      <c r="G117" s="268" t="str">
        <f t="shared" si="34"/>
        <v/>
      </c>
      <c r="H117" s="268" t="str">
        <f t="shared" si="34"/>
        <v/>
      </c>
      <c r="I117" s="268" t="str">
        <f t="shared" si="34"/>
        <v/>
      </c>
      <c r="J117" s="268" t="str">
        <f t="shared" si="34"/>
        <v/>
      </c>
      <c r="K117" s="268" t="str">
        <f t="shared" si="34"/>
        <v/>
      </c>
      <c r="L117" s="268" t="str">
        <f t="shared" si="34"/>
        <v/>
      </c>
      <c r="M117" s="268">
        <f>M14+M89</f>
        <v>0</v>
      </c>
      <c r="N117" s="19">
        <f>SUM(B117:M117)</f>
        <v>0</v>
      </c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</row>
    <row r="118" ht="15.75" customHeight="1">
      <c r="A118" s="175" t="s">
        <v>314</v>
      </c>
      <c r="B118" s="253">
        <f t="shared" ref="B118:N118" si="35">B111+B115-B116+B117</f>
        <v>168621.9</v>
      </c>
      <c r="C118" s="253">
        <f t="shared" si="35"/>
        <v>121795.13</v>
      </c>
      <c r="D118" s="253">
        <f t="shared" si="35"/>
        <v>104826.83</v>
      </c>
      <c r="E118" s="253">
        <f t="shared" si="35"/>
        <v>90243.5</v>
      </c>
      <c r="F118" s="253">
        <f t="shared" si="35"/>
        <v>83796.17888</v>
      </c>
      <c r="G118" s="253">
        <f t="shared" si="35"/>
        <v>82911.41888</v>
      </c>
      <c r="H118" s="253">
        <f t="shared" si="35"/>
        <v>88904.62888</v>
      </c>
      <c r="I118" s="253">
        <f t="shared" si="35"/>
        <v>93258.48888</v>
      </c>
      <c r="J118" s="253">
        <f t="shared" si="35"/>
        <v>93258.48888</v>
      </c>
      <c r="K118" s="253">
        <f t="shared" si="35"/>
        <v>93258.48888</v>
      </c>
      <c r="L118" s="253">
        <f t="shared" si="35"/>
        <v>93258.48888</v>
      </c>
      <c r="M118" s="253" t="str">
        <f t="shared" si="35"/>
        <v>#REF!</v>
      </c>
      <c r="N118" s="253" t="str">
        <f t="shared" si="35"/>
        <v>#REF!</v>
      </c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</row>
    <row r="119" ht="15.75" customHeight="1">
      <c r="A119" s="18" t="s">
        <v>314</v>
      </c>
      <c r="B119" s="270">
        <f t="shared" ref="B119:M119" si="36">B103+B90+B78+B51+B32+B15</f>
        <v>168621.9</v>
      </c>
      <c r="C119" s="270">
        <f t="shared" si="36"/>
        <v>121795.13</v>
      </c>
      <c r="D119" s="270">
        <f t="shared" si="36"/>
        <v>104826.83</v>
      </c>
      <c r="E119" s="270">
        <f t="shared" si="36"/>
        <v>90243.5</v>
      </c>
      <c r="F119" s="270">
        <f t="shared" si="36"/>
        <v>82951.42888</v>
      </c>
      <c r="G119" s="270">
        <f t="shared" si="36"/>
        <v>79852.32888</v>
      </c>
      <c r="H119" s="270">
        <f t="shared" si="36"/>
        <v>84628.03888</v>
      </c>
      <c r="I119" s="270">
        <f t="shared" si="36"/>
        <v>88981.89888</v>
      </c>
      <c r="J119" s="270" t="str">
        <f t="shared" si="36"/>
        <v>#REF!</v>
      </c>
      <c r="K119" s="270" t="str">
        <f t="shared" si="36"/>
        <v>#REF!</v>
      </c>
      <c r="L119" s="270" t="str">
        <f t="shared" si="36"/>
        <v>#REF!</v>
      </c>
      <c r="M119" s="270" t="str">
        <f t="shared" si="36"/>
        <v>#REF!</v>
      </c>
      <c r="N119" s="19" t="str">
        <f>M119</f>
        <v>#REF!</v>
      </c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</row>
    <row r="120" ht="15.75" customHeight="1">
      <c r="A120" s="18" t="s">
        <v>476</v>
      </c>
      <c r="B120" s="270"/>
      <c r="C120" s="271">
        <f>B121</f>
        <v>0</v>
      </c>
      <c r="D120" s="270">
        <f t="shared" ref="D120:K120" si="37">C120+C121</f>
        <v>0</v>
      </c>
      <c r="E120" s="270">
        <f t="shared" si="37"/>
        <v>0</v>
      </c>
      <c r="F120" s="270">
        <f t="shared" si="37"/>
        <v>0</v>
      </c>
      <c r="G120" s="270">
        <f t="shared" si="37"/>
        <v>844.75</v>
      </c>
      <c r="H120" s="270">
        <f t="shared" si="37"/>
        <v>3059.55</v>
      </c>
      <c r="I120" s="270">
        <f t="shared" si="37"/>
        <v>4277.05</v>
      </c>
      <c r="J120" s="270">
        <f t="shared" si="37"/>
        <v>4277.05</v>
      </c>
      <c r="K120" s="270">
        <f t="shared" si="37"/>
        <v>4277.05</v>
      </c>
      <c r="L120" s="270"/>
      <c r="M120" s="270">
        <f>L121+L120</f>
        <v>0</v>
      </c>
      <c r="N120" s="19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</row>
    <row r="121" ht="15.75" customHeight="1">
      <c r="A121" s="18" t="s">
        <v>477</v>
      </c>
      <c r="B121" s="270">
        <f t="shared" ref="B121:M121" si="38">B63</f>
        <v>0</v>
      </c>
      <c r="C121" s="270">
        <f t="shared" si="38"/>
        <v>0</v>
      </c>
      <c r="D121" s="270">
        <f t="shared" si="38"/>
        <v>0</v>
      </c>
      <c r="E121" s="270">
        <f t="shared" si="38"/>
        <v>0</v>
      </c>
      <c r="F121" s="270">
        <f t="shared" si="38"/>
        <v>844.75</v>
      </c>
      <c r="G121" s="270">
        <f t="shared" si="38"/>
        <v>2214.8</v>
      </c>
      <c r="H121" s="270">
        <f t="shared" si="38"/>
        <v>1217.5</v>
      </c>
      <c r="I121" s="270">
        <f t="shared" si="38"/>
        <v>0</v>
      </c>
      <c r="J121" s="270">
        <f t="shared" si="38"/>
        <v>0</v>
      </c>
      <c r="K121" s="270">
        <f t="shared" si="38"/>
        <v>0</v>
      </c>
      <c r="L121" s="270">
        <f t="shared" si="38"/>
        <v>0</v>
      </c>
      <c r="M121" s="270">
        <f t="shared" si="38"/>
        <v>0</v>
      </c>
      <c r="N121" s="19" t="str">
        <f>N118-N119</f>
        <v>#REF!</v>
      </c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</row>
    <row r="122" ht="15.75" customHeight="1">
      <c r="A122" s="18" t="s">
        <v>314</v>
      </c>
      <c r="B122" s="270">
        <f t="shared" ref="B122:K122" si="39">B119+B120+B121</f>
        <v>168621.9</v>
      </c>
      <c r="C122" s="270">
        <f t="shared" si="39"/>
        <v>121795.13</v>
      </c>
      <c r="D122" s="270">
        <f t="shared" si="39"/>
        <v>104826.83</v>
      </c>
      <c r="E122" s="270">
        <f t="shared" si="39"/>
        <v>90243.5</v>
      </c>
      <c r="F122" s="270">
        <f t="shared" si="39"/>
        <v>83796.17888</v>
      </c>
      <c r="G122" s="270">
        <f t="shared" si="39"/>
        <v>82911.87888</v>
      </c>
      <c r="H122" s="270">
        <f t="shared" si="39"/>
        <v>88905.08888</v>
      </c>
      <c r="I122" s="270">
        <f t="shared" si="39"/>
        <v>93258.94888</v>
      </c>
      <c r="J122" s="270" t="str">
        <f t="shared" si="39"/>
        <v>#REF!</v>
      </c>
      <c r="K122" s="270" t="str">
        <f t="shared" si="39"/>
        <v>#REF!</v>
      </c>
      <c r="L122" s="270" t="str">
        <f>L119+L121</f>
        <v>#REF!</v>
      </c>
      <c r="M122" s="270" t="str">
        <f>M119+M120+M121</f>
        <v>#REF!</v>
      </c>
      <c r="N122" s="19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</row>
    <row r="123" ht="15.75" customHeight="1">
      <c r="A123" s="180" t="s">
        <v>350</v>
      </c>
      <c r="B123" s="172">
        <f t="shared" ref="B123:M123" si="40">B118-B122</f>
        <v>0</v>
      </c>
      <c r="C123" s="172">
        <f t="shared" si="40"/>
        <v>0</v>
      </c>
      <c r="D123" s="172">
        <f t="shared" si="40"/>
        <v>0</v>
      </c>
      <c r="E123" s="172">
        <f t="shared" si="40"/>
        <v>0</v>
      </c>
      <c r="F123" s="172">
        <f t="shared" si="40"/>
        <v>0</v>
      </c>
      <c r="G123" s="172">
        <f t="shared" si="40"/>
        <v>-0.46</v>
      </c>
      <c r="H123" s="172">
        <f t="shared" si="40"/>
        <v>-0.46</v>
      </c>
      <c r="I123" s="172">
        <f t="shared" si="40"/>
        <v>-0.46</v>
      </c>
      <c r="J123" s="172" t="str">
        <f t="shared" si="40"/>
        <v>#REF!</v>
      </c>
      <c r="K123" s="172" t="str">
        <f t="shared" si="40"/>
        <v>#REF!</v>
      </c>
      <c r="L123" s="172" t="str">
        <f t="shared" si="40"/>
        <v>#REF!</v>
      </c>
      <c r="M123" s="172" t="str">
        <f t="shared" si="40"/>
        <v>#REF!</v>
      </c>
      <c r="N123" s="172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</row>
    <row r="125" ht="15.75" customHeight="1">
      <c r="A125" s="278" t="s">
        <v>286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7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</row>
    <row r="126" ht="15.75" customHeight="1">
      <c r="A126" s="38"/>
      <c r="B126" s="162" t="s">
        <v>77</v>
      </c>
      <c r="C126" s="162" t="s">
        <v>78</v>
      </c>
      <c r="D126" s="162" t="s">
        <v>79</v>
      </c>
      <c r="E126" s="162" t="s">
        <v>80</v>
      </c>
      <c r="F126" s="162" t="s">
        <v>81</v>
      </c>
      <c r="G126" s="162" t="s">
        <v>82</v>
      </c>
      <c r="H126" s="162" t="s">
        <v>83</v>
      </c>
      <c r="I126" s="162" t="s">
        <v>84</v>
      </c>
      <c r="J126" s="162" t="s">
        <v>85</v>
      </c>
      <c r="K126" s="162" t="s">
        <v>86</v>
      </c>
      <c r="L126" s="162" t="s">
        <v>87</v>
      </c>
      <c r="M126" s="162" t="s">
        <v>88</v>
      </c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</row>
    <row r="127" ht="15.75" customHeight="1">
      <c r="A127" s="38" t="s">
        <v>491</v>
      </c>
      <c r="B127" s="163">
        <f t="shared" ref="B127:M127" si="41">B118-B111</f>
        <v>-10612.93</v>
      </c>
      <c r="C127" s="163">
        <f t="shared" si="41"/>
        <v>-46826.77</v>
      </c>
      <c r="D127" s="163">
        <f t="shared" si="41"/>
        <v>-16968.3</v>
      </c>
      <c r="E127" s="163">
        <f t="shared" si="41"/>
        <v>-14583.33</v>
      </c>
      <c r="F127" s="163">
        <f t="shared" si="41"/>
        <v>-6447.321119</v>
      </c>
      <c r="G127" s="163">
        <f t="shared" si="41"/>
        <v>-884.76</v>
      </c>
      <c r="H127" s="163">
        <f t="shared" si="41"/>
        <v>5993.21</v>
      </c>
      <c r="I127" s="163">
        <f t="shared" si="41"/>
        <v>4353.86</v>
      </c>
      <c r="J127" s="163">
        <f t="shared" si="41"/>
        <v>0</v>
      </c>
      <c r="K127" s="163">
        <f t="shared" si="41"/>
        <v>0</v>
      </c>
      <c r="L127" s="163">
        <f t="shared" si="41"/>
        <v>0</v>
      </c>
      <c r="M127" s="163" t="str">
        <f t="shared" si="41"/>
        <v>#REF!</v>
      </c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</row>
    <row r="128" ht="15.75" customHeight="1">
      <c r="A128" s="38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63"/>
      <c r="M128" s="163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</row>
    <row r="129" ht="15.75" customHeight="1">
      <c r="A129" s="18" t="s">
        <v>493</v>
      </c>
      <c r="B129" s="170">
        <f t="shared" ref="B129:K129" si="42">B115</f>
        <v>0</v>
      </c>
      <c r="C129" s="170">
        <f t="shared" si="42"/>
        <v>0</v>
      </c>
      <c r="D129" s="170">
        <f t="shared" si="42"/>
        <v>0</v>
      </c>
      <c r="E129" s="170">
        <f t="shared" si="42"/>
        <v>0</v>
      </c>
      <c r="F129" s="170">
        <f t="shared" si="42"/>
        <v>9053.358881</v>
      </c>
      <c r="G129" s="170">
        <f t="shared" si="42"/>
        <v>24284.21</v>
      </c>
      <c r="H129" s="170">
        <f t="shared" si="42"/>
        <v>26656.93</v>
      </c>
      <c r="I129" s="170">
        <f t="shared" si="42"/>
        <v>9944.66</v>
      </c>
      <c r="J129" s="170">
        <f t="shared" si="42"/>
        <v>0</v>
      </c>
      <c r="K129" s="170">
        <f t="shared" si="42"/>
        <v>0</v>
      </c>
      <c r="L129" s="163"/>
      <c r="M129" s="163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</row>
    <row r="130" ht="15.75" customHeight="1">
      <c r="A130" s="18" t="s">
        <v>349</v>
      </c>
      <c r="B130" s="163">
        <f t="shared" ref="B130:K130" si="43">B116</f>
        <v>10612.93</v>
      </c>
      <c r="C130" s="163">
        <f t="shared" si="43"/>
        <v>46826.77</v>
      </c>
      <c r="D130" s="163">
        <f t="shared" si="43"/>
        <v>16968.3</v>
      </c>
      <c r="E130" s="163">
        <f t="shared" si="43"/>
        <v>14583.33</v>
      </c>
      <c r="F130" s="163">
        <f t="shared" si="43"/>
        <v>15500.68</v>
      </c>
      <c r="G130" s="163">
        <f t="shared" si="43"/>
        <v>25168.97</v>
      </c>
      <c r="H130" s="163">
        <f t="shared" si="43"/>
        <v>20663.72</v>
      </c>
      <c r="I130" s="163">
        <f t="shared" si="43"/>
        <v>5590.8</v>
      </c>
      <c r="J130" s="163">
        <f t="shared" si="43"/>
        <v>0</v>
      </c>
      <c r="K130" s="163">
        <f t="shared" si="43"/>
        <v>0</v>
      </c>
      <c r="L130" s="163"/>
      <c r="M130" s="163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</row>
    <row r="131" ht="15.75" customHeight="1">
      <c r="A131" s="18" t="s">
        <v>127</v>
      </c>
      <c r="B131" s="170">
        <f t="shared" ref="B131:K131" si="44">B129-B130</f>
        <v>-10612.93</v>
      </c>
      <c r="C131" s="170">
        <f t="shared" si="44"/>
        <v>-46826.77</v>
      </c>
      <c r="D131" s="170">
        <f t="shared" si="44"/>
        <v>-16968.3</v>
      </c>
      <c r="E131" s="170">
        <f t="shared" si="44"/>
        <v>-14583.33</v>
      </c>
      <c r="F131" s="170">
        <f t="shared" si="44"/>
        <v>-6447.321119</v>
      </c>
      <c r="G131" s="170">
        <f t="shared" si="44"/>
        <v>-884.76</v>
      </c>
      <c r="H131" s="170">
        <f t="shared" si="44"/>
        <v>5993.21</v>
      </c>
      <c r="I131" s="170">
        <f t="shared" si="44"/>
        <v>4353.86</v>
      </c>
      <c r="J131" s="170">
        <f t="shared" si="44"/>
        <v>0</v>
      </c>
      <c r="K131" s="170">
        <f t="shared" si="44"/>
        <v>0</v>
      </c>
      <c r="L131" s="170"/>
      <c r="M131" s="170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</row>
    <row r="132" ht="15.75" customHeight="1">
      <c r="A132" s="38"/>
      <c r="B132" s="163"/>
      <c r="C132" s="163"/>
      <c r="D132" s="163"/>
      <c r="E132" s="163"/>
      <c r="F132" s="163"/>
      <c r="G132" s="163"/>
      <c r="H132" s="163"/>
      <c r="I132" s="163"/>
      <c r="J132" s="163"/>
      <c r="K132" s="163"/>
      <c r="L132" s="163"/>
      <c r="M132" s="163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</row>
    <row r="133" ht="15.75" customHeight="1">
      <c r="A133" s="171" t="s">
        <v>53</v>
      </c>
      <c r="B133" s="172">
        <f t="shared" ref="B133:K133" si="45">B127-B131</f>
        <v>0</v>
      </c>
      <c r="C133" s="172">
        <f t="shared" si="45"/>
        <v>0</v>
      </c>
      <c r="D133" s="172">
        <f t="shared" si="45"/>
        <v>0</v>
      </c>
      <c r="E133" s="172">
        <f t="shared" si="45"/>
        <v>0</v>
      </c>
      <c r="F133" s="172">
        <f t="shared" si="45"/>
        <v>0</v>
      </c>
      <c r="G133" s="172">
        <f t="shared" si="45"/>
        <v>0</v>
      </c>
      <c r="H133" s="172">
        <f t="shared" si="45"/>
        <v>0</v>
      </c>
      <c r="I133" s="172">
        <f t="shared" si="45"/>
        <v>0</v>
      </c>
      <c r="J133" s="172">
        <f t="shared" si="45"/>
        <v>0</v>
      </c>
      <c r="K133" s="172">
        <f t="shared" si="45"/>
        <v>0</v>
      </c>
      <c r="L133" s="172" t="str">
        <f t="shared" ref="L133:M133" si="46">#REF!-L132</f>
        <v>#REF!</v>
      </c>
      <c r="M133" s="172" t="str">
        <f t="shared" si="46"/>
        <v>#REF!</v>
      </c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</row>
    <row r="134" ht="15.75" customHeight="1">
      <c r="A134" s="43"/>
      <c r="B134" s="53"/>
      <c r="C134" s="304"/>
      <c r="D134" s="43"/>
      <c r="E134" s="43"/>
      <c r="F134" s="53"/>
      <c r="G134" s="43"/>
      <c r="H134" s="43"/>
      <c r="I134" s="43"/>
      <c r="J134" s="53"/>
      <c r="K134" s="53"/>
      <c r="L134" s="43"/>
      <c r="M134" s="43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</row>
    <row r="135" ht="15.75" customHeight="1">
      <c r="A135" s="305" t="s">
        <v>531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7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</row>
    <row r="136" ht="15.75" customHeight="1">
      <c r="A136" s="38"/>
      <c r="B136" s="162" t="s">
        <v>77</v>
      </c>
      <c r="C136" s="162" t="s">
        <v>78</v>
      </c>
      <c r="D136" s="162" t="s">
        <v>79</v>
      </c>
      <c r="E136" s="162" t="s">
        <v>80</v>
      </c>
      <c r="F136" s="162" t="s">
        <v>81</v>
      </c>
      <c r="G136" s="162" t="s">
        <v>82</v>
      </c>
      <c r="H136" s="162" t="s">
        <v>83</v>
      </c>
      <c r="I136" s="162" t="s">
        <v>84</v>
      </c>
      <c r="J136" s="162" t="s">
        <v>85</v>
      </c>
      <c r="K136" s="162" t="s">
        <v>86</v>
      </c>
      <c r="L136" s="162" t="s">
        <v>87</v>
      </c>
      <c r="M136" s="162" t="s">
        <v>88</v>
      </c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</row>
    <row r="137" ht="15.75" customHeight="1">
      <c r="A137" s="18" t="s">
        <v>493</v>
      </c>
      <c r="B137" s="163">
        <f t="shared" ref="B137:M137" si="47">B87+B73+B100</f>
        <v>10000</v>
      </c>
      <c r="C137" s="163">
        <f t="shared" si="47"/>
        <v>20000</v>
      </c>
      <c r="D137" s="163">
        <f t="shared" si="47"/>
        <v>0</v>
      </c>
      <c r="E137" s="163">
        <f t="shared" si="47"/>
        <v>0</v>
      </c>
      <c r="F137" s="163">
        <f t="shared" si="47"/>
        <v>6000</v>
      </c>
      <c r="G137" s="163">
        <f t="shared" si="47"/>
        <v>8000</v>
      </c>
      <c r="H137" s="163">
        <f t="shared" si="47"/>
        <v>8510</v>
      </c>
      <c r="I137" s="163">
        <f t="shared" si="47"/>
        <v>0</v>
      </c>
      <c r="J137" s="163">
        <f t="shared" si="47"/>
        <v>0</v>
      </c>
      <c r="K137" s="163">
        <f t="shared" si="47"/>
        <v>0</v>
      </c>
      <c r="L137" s="163">
        <f t="shared" si="47"/>
        <v>0</v>
      </c>
      <c r="M137" s="163">
        <f t="shared" si="47"/>
        <v>0</v>
      </c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</row>
    <row r="138" ht="15.75" customHeight="1">
      <c r="A138" s="18" t="s">
        <v>332</v>
      </c>
      <c r="B138" s="19">
        <f t="shared" ref="B138:M138" si="48">B31+B101</f>
        <v>10000</v>
      </c>
      <c r="C138" s="19">
        <f t="shared" si="48"/>
        <v>20000</v>
      </c>
      <c r="D138" s="19">
        <f t="shared" si="48"/>
        <v>0</v>
      </c>
      <c r="E138" s="19">
        <f t="shared" si="48"/>
        <v>0</v>
      </c>
      <c r="F138" s="19">
        <f t="shared" si="48"/>
        <v>6000</v>
      </c>
      <c r="G138" s="19">
        <f t="shared" si="48"/>
        <v>8000</v>
      </c>
      <c r="H138" s="19">
        <f t="shared" si="48"/>
        <v>8510</v>
      </c>
      <c r="I138" s="19">
        <f t="shared" si="48"/>
        <v>0</v>
      </c>
      <c r="J138" s="19">
        <f t="shared" si="48"/>
        <v>0</v>
      </c>
      <c r="K138" s="19">
        <f t="shared" si="48"/>
        <v>0</v>
      </c>
      <c r="L138" s="19">
        <f t="shared" si="48"/>
        <v>0</v>
      </c>
      <c r="M138" s="19">
        <f t="shared" si="48"/>
        <v>0</v>
      </c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</row>
    <row r="139" ht="15.75" customHeight="1">
      <c r="A139" s="171" t="s">
        <v>53</v>
      </c>
      <c r="B139" s="172">
        <f t="shared" ref="B139:M139" si="49">B137-B138</f>
        <v>0</v>
      </c>
      <c r="C139" s="172">
        <f t="shared" si="49"/>
        <v>0</v>
      </c>
      <c r="D139" s="172">
        <f t="shared" si="49"/>
        <v>0</v>
      </c>
      <c r="E139" s="172">
        <f t="shared" si="49"/>
        <v>0</v>
      </c>
      <c r="F139" s="172">
        <f t="shared" si="49"/>
        <v>0</v>
      </c>
      <c r="G139" s="172">
        <f t="shared" si="49"/>
        <v>0</v>
      </c>
      <c r="H139" s="172">
        <f t="shared" si="49"/>
        <v>0</v>
      </c>
      <c r="I139" s="172">
        <f t="shared" si="49"/>
        <v>0</v>
      </c>
      <c r="J139" s="172">
        <f t="shared" si="49"/>
        <v>0</v>
      </c>
      <c r="K139" s="172">
        <f t="shared" si="49"/>
        <v>0</v>
      </c>
      <c r="L139" s="172">
        <f t="shared" si="49"/>
        <v>0</v>
      </c>
      <c r="M139" s="172">
        <f t="shared" si="49"/>
        <v>0</v>
      </c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5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5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5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309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5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5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5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4"/>
      <c r="I147" s="5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5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5"/>
      <c r="I149" s="45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5"/>
      <c r="I150" s="45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</row>
    <row r="201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</row>
    <row r="202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</row>
    <row r="203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</row>
    <row r="204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</row>
    <row r="205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</row>
    <row r="206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</row>
    <row r="207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</row>
    <row r="20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</row>
    <row r="209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</row>
    <row r="210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</row>
    <row r="211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</row>
    <row r="212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</row>
    <row r="213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</row>
    <row r="214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</row>
    <row r="215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43"/>
    </row>
    <row r="216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43"/>
    </row>
    <row r="217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43"/>
    </row>
    <row r="21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43"/>
    </row>
    <row r="219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</row>
    <row r="220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</row>
    <row r="221" ht="15.7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</row>
    <row r="222" ht="15.7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</row>
    <row r="223" ht="15.7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43"/>
    </row>
    <row r="224" ht="15.7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  <c r="AF224" s="43"/>
    </row>
    <row r="225" ht="15.7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</row>
    <row r="226" ht="15.7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43"/>
    </row>
    <row r="227" ht="15.7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  <c r="AF227" s="43"/>
    </row>
    <row r="228" ht="15.7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</row>
    <row r="229" ht="15.7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</row>
    <row r="230" ht="15.7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  <c r="AF230" s="43"/>
    </row>
    <row r="231" ht="15.7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</row>
    <row r="232" ht="15.7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</row>
    <row r="233" ht="15.75" customHeight="1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</row>
    <row r="234" ht="15.75" customHeight="1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</row>
    <row r="235" ht="15.75" customHeight="1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</row>
    <row r="236" ht="15.75" customHeight="1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</row>
    <row r="237" ht="15.75" customHeight="1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</row>
    <row r="238" ht="15.75" customHeight="1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</row>
    <row r="239" ht="15.75" customHeight="1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</row>
    <row r="240" ht="15.75" customHeight="1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</row>
    <row r="241" ht="15.75" customHeight="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</row>
    <row r="242" ht="15.75" customHeight="1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</row>
    <row r="243" ht="15.75" customHeight="1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</row>
    <row r="244" ht="15.75" customHeight="1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</row>
    <row r="245" ht="15.75" customHeight="1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</row>
    <row r="246" ht="15.75" customHeight="1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</row>
    <row r="247" ht="15.75" customHeight="1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</row>
    <row r="248" ht="15.75" customHeight="1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</row>
    <row r="249" ht="15.75" customHeight="1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</row>
    <row r="250" ht="15.75" customHeight="1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</row>
    <row r="251" ht="15.75" customHeight="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</row>
    <row r="252" ht="15.75" customHeight="1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</row>
    <row r="253" ht="15.75" customHeight="1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</row>
    <row r="254" ht="15.75" customHeight="1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</row>
    <row r="255" ht="15.75" customHeight="1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</row>
    <row r="256" ht="15.75" customHeight="1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</row>
    <row r="257" ht="15.75" customHeight="1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</row>
    <row r="258" ht="15.75" customHeight="1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</row>
    <row r="259" ht="15.75" customHeight="1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</row>
    <row r="260" ht="15.75" customHeight="1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</row>
    <row r="261" ht="15.75" customHeight="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</row>
    <row r="262" ht="15.75" customHeight="1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</row>
    <row r="263" ht="15.75" customHeight="1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</row>
    <row r="264" ht="15.75" customHeight="1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</row>
    <row r="265" ht="15.75" customHeight="1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</row>
    <row r="266" ht="15.75" customHeight="1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</row>
    <row r="267" ht="15.75" customHeight="1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</row>
    <row r="268" ht="15.75" customHeight="1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</row>
    <row r="269" ht="15.75" customHeight="1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</row>
    <row r="270" ht="15.75" customHeight="1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</row>
    <row r="271" ht="15.75" customHeight="1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</row>
    <row r="272" ht="15.75" customHeight="1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</row>
    <row r="273" ht="15.75" customHeight="1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</row>
    <row r="274" ht="15.75" customHeight="1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  <row r="275" ht="15.75" customHeight="1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</row>
    <row r="276" ht="15.75" customHeight="1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</row>
    <row r="277" ht="15.75" customHeight="1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</row>
    <row r="278" ht="15.75" customHeight="1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</row>
    <row r="279" ht="15.75" customHeight="1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</row>
    <row r="280" ht="15.75" customHeight="1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</row>
    <row r="281" ht="15.75" customHeight="1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  <row r="282" ht="15.75" customHeight="1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</row>
    <row r="283" ht="15.75" customHeight="1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</row>
    <row r="284" ht="15.75" customHeight="1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</row>
    <row r="285" ht="15.75" customHeight="1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</row>
    <row r="286" ht="15.75" customHeight="1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</row>
    <row r="287" ht="15.75" customHeight="1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</row>
    <row r="288" ht="15.75" customHeight="1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</row>
    <row r="289" ht="15.75" customHeight="1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</row>
    <row r="290" ht="15.75" customHeight="1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</row>
    <row r="291" ht="15.75" customHeight="1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</row>
    <row r="292" ht="15.75" customHeight="1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</row>
    <row r="293" ht="15.75" customHeight="1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</row>
    <row r="294" ht="15.75" customHeight="1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</row>
    <row r="295" ht="15.75" customHeight="1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  <c r="AC295" s="43"/>
      <c r="AD295" s="43"/>
      <c r="AE295" s="43"/>
      <c r="AF295" s="43"/>
    </row>
    <row r="296" ht="15.75" customHeight="1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  <c r="AB296" s="43"/>
      <c r="AC296" s="43"/>
      <c r="AD296" s="43"/>
      <c r="AE296" s="43"/>
      <c r="AF296" s="43"/>
    </row>
    <row r="297" ht="15.75" customHeight="1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  <c r="AC297" s="43"/>
      <c r="AD297" s="43"/>
      <c r="AE297" s="43"/>
      <c r="AF297" s="43"/>
    </row>
    <row r="298" ht="15.75" customHeight="1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  <c r="AB298" s="43"/>
      <c r="AC298" s="43"/>
      <c r="AD298" s="43"/>
      <c r="AE298" s="43"/>
      <c r="AF298" s="43"/>
    </row>
    <row r="299" ht="15.75" customHeight="1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  <c r="AC299" s="43"/>
      <c r="AD299" s="43"/>
      <c r="AE299" s="43"/>
      <c r="AF299" s="43"/>
    </row>
    <row r="300" ht="15.75" customHeight="1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  <c r="AC300" s="43"/>
      <c r="AD300" s="43"/>
      <c r="AE300" s="43"/>
      <c r="AF300" s="43"/>
    </row>
    <row r="301" ht="15.75" customHeight="1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  <c r="AC301" s="43"/>
      <c r="AD301" s="43"/>
      <c r="AE301" s="43"/>
      <c r="AF301" s="43"/>
    </row>
    <row r="302" ht="15.75" customHeight="1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  <c r="AB302" s="43"/>
      <c r="AC302" s="43"/>
      <c r="AD302" s="43"/>
      <c r="AE302" s="43"/>
      <c r="AF302" s="43"/>
    </row>
    <row r="303" ht="15.75" customHeight="1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  <c r="AD303" s="43"/>
      <c r="AE303" s="43"/>
      <c r="AF303" s="43"/>
    </row>
    <row r="304" ht="15.75" customHeight="1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  <c r="AC304" s="43"/>
      <c r="AD304" s="43"/>
      <c r="AE304" s="43"/>
      <c r="AF304" s="43"/>
    </row>
    <row r="305" ht="15.75" customHeight="1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  <c r="AC305" s="43"/>
      <c r="AD305" s="43"/>
      <c r="AE305" s="43"/>
      <c r="AF305" s="43"/>
    </row>
    <row r="306" ht="15.75" customHeight="1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  <c r="AC306" s="43"/>
      <c r="AD306" s="43"/>
      <c r="AE306" s="43"/>
      <c r="AF306" s="43"/>
    </row>
    <row r="307" ht="15.75" customHeight="1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  <c r="AC307" s="43"/>
      <c r="AD307" s="43"/>
      <c r="AE307" s="43"/>
      <c r="AF307" s="43"/>
    </row>
    <row r="308" ht="15.75" customHeight="1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  <c r="AC308" s="43"/>
      <c r="AD308" s="43"/>
      <c r="AE308" s="43"/>
      <c r="AF308" s="43"/>
    </row>
    <row r="309" ht="15.75" customHeight="1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  <c r="AC309" s="43"/>
      <c r="AD309" s="43"/>
      <c r="AE309" s="43"/>
      <c r="AF309" s="43"/>
    </row>
    <row r="310" ht="15.75" customHeight="1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  <c r="AC310" s="43"/>
      <c r="AD310" s="43"/>
      <c r="AE310" s="43"/>
      <c r="AF310" s="43"/>
    </row>
    <row r="311" ht="15.75" customHeight="1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  <c r="AC311" s="43"/>
      <c r="AD311" s="43"/>
      <c r="AE311" s="43"/>
      <c r="AF311" s="43"/>
    </row>
    <row r="312" ht="15.75" customHeight="1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  <c r="AB312" s="43"/>
      <c r="AC312" s="43"/>
      <c r="AD312" s="43"/>
      <c r="AE312" s="43"/>
      <c r="AF312" s="43"/>
    </row>
    <row r="313" ht="15.75" customHeight="1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  <c r="AC313" s="43"/>
      <c r="AD313" s="43"/>
      <c r="AE313" s="43"/>
      <c r="AF313" s="43"/>
    </row>
    <row r="314" ht="15.75" customHeight="1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  <c r="AC314" s="43"/>
      <c r="AD314" s="43"/>
      <c r="AE314" s="43"/>
      <c r="AF314" s="43"/>
    </row>
    <row r="315" ht="15.75" customHeight="1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  <c r="AC315" s="43"/>
      <c r="AD315" s="43"/>
      <c r="AE315" s="43"/>
      <c r="AF315" s="43"/>
    </row>
    <row r="316" ht="15.75" customHeight="1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  <c r="AC316" s="43"/>
      <c r="AD316" s="43"/>
      <c r="AE316" s="43"/>
      <c r="AF316" s="43"/>
    </row>
    <row r="317" ht="15.75" customHeight="1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  <c r="AC317" s="43"/>
      <c r="AD317" s="43"/>
      <c r="AE317" s="43"/>
      <c r="AF317" s="43"/>
    </row>
    <row r="318" ht="15.75" customHeight="1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  <c r="AC318" s="43"/>
      <c r="AD318" s="43"/>
      <c r="AE318" s="43"/>
      <c r="AF318" s="43"/>
    </row>
    <row r="319" ht="15.75" customHeight="1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  <c r="AC319" s="43"/>
      <c r="AD319" s="43"/>
      <c r="AE319" s="43"/>
      <c r="AF319" s="43"/>
    </row>
    <row r="320" ht="15.75" customHeight="1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  <c r="AC320" s="43"/>
      <c r="AD320" s="43"/>
      <c r="AE320" s="43"/>
      <c r="AF320" s="43"/>
    </row>
    <row r="321" ht="15.75" customHeight="1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  <c r="AC321" s="43"/>
      <c r="AD321" s="43"/>
      <c r="AE321" s="43"/>
      <c r="AF321" s="43"/>
    </row>
    <row r="322" ht="15.75" customHeight="1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  <c r="AC322" s="43"/>
      <c r="AD322" s="43"/>
      <c r="AE322" s="43"/>
      <c r="AF322" s="43"/>
    </row>
    <row r="323" ht="15.75" customHeight="1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  <c r="AC323" s="43"/>
      <c r="AD323" s="43"/>
      <c r="AE323" s="43"/>
      <c r="AF323" s="43"/>
    </row>
    <row r="324" ht="15.75" customHeight="1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  <c r="AC324" s="43"/>
      <c r="AD324" s="43"/>
      <c r="AE324" s="43"/>
      <c r="AF324" s="43"/>
    </row>
    <row r="325" ht="15.75" customHeight="1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  <c r="AC325" s="43"/>
      <c r="AD325" s="43"/>
      <c r="AE325" s="43"/>
      <c r="AF325" s="43"/>
    </row>
    <row r="326" ht="15.75" customHeight="1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  <c r="AC326" s="43"/>
      <c r="AD326" s="43"/>
      <c r="AE326" s="43"/>
      <c r="AF326" s="43"/>
    </row>
    <row r="327" ht="15.75" customHeight="1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  <c r="AC327" s="43"/>
      <c r="AD327" s="43"/>
      <c r="AE327" s="43"/>
      <c r="AF327" s="43"/>
    </row>
    <row r="328" ht="15.75" customHeight="1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  <c r="AB328" s="43"/>
      <c r="AC328" s="43"/>
      <c r="AD328" s="43"/>
      <c r="AE328" s="43"/>
      <c r="AF328" s="43"/>
    </row>
    <row r="329" ht="15.75" customHeight="1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  <c r="AC329" s="43"/>
      <c r="AD329" s="43"/>
      <c r="AE329" s="43"/>
      <c r="AF329" s="43"/>
    </row>
    <row r="330" ht="15.75" customHeight="1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  <c r="AB330" s="43"/>
      <c r="AC330" s="43"/>
      <c r="AD330" s="43"/>
      <c r="AE330" s="43"/>
      <c r="AF330" s="43"/>
    </row>
    <row r="331" ht="15.75" customHeight="1">
      <c r="A331" s="45"/>
      <c r="B331" s="45"/>
      <c r="C331" s="45"/>
      <c r="D331" s="45"/>
      <c r="E331" s="45"/>
      <c r="F331" s="45"/>
      <c r="G331" s="45"/>
      <c r="H331" s="43"/>
      <c r="I331" s="43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  <c r="AE331" s="45"/>
      <c r="AF331" s="45"/>
    </row>
    <row r="332" ht="15.75" customHeight="1">
      <c r="A332" s="45"/>
      <c r="B332" s="45"/>
      <c r="C332" s="45"/>
      <c r="D332" s="45"/>
      <c r="E332" s="45"/>
      <c r="F332" s="45"/>
      <c r="G332" s="45"/>
      <c r="H332" s="43"/>
      <c r="I332" s="43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</row>
    <row r="333" ht="15.75" customHeight="1">
      <c r="A333" s="45"/>
      <c r="B333" s="45"/>
      <c r="C333" s="45"/>
      <c r="D333" s="45"/>
      <c r="E333" s="45"/>
      <c r="F333" s="45"/>
      <c r="G333" s="45"/>
      <c r="H333" s="43"/>
      <c r="I333" s="43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  <c r="AF333" s="45"/>
    </row>
    <row r="334" ht="15.75" customHeight="1">
      <c r="A334" s="45"/>
      <c r="B334" s="45"/>
      <c r="C334" s="45"/>
      <c r="D334" s="45"/>
      <c r="E334" s="45"/>
      <c r="F334" s="45"/>
      <c r="G334" s="45"/>
      <c r="H334" s="43"/>
      <c r="I334" s="43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</row>
    <row r="335" ht="15.75" customHeight="1">
      <c r="A335" s="45"/>
      <c r="B335" s="45"/>
      <c r="C335" s="45"/>
      <c r="D335" s="45"/>
      <c r="E335" s="45"/>
      <c r="F335" s="45"/>
      <c r="G335" s="45"/>
      <c r="H335" s="43"/>
      <c r="I335" s="43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</row>
    <row r="336" ht="15.75" customHeight="1">
      <c r="A336" s="45"/>
      <c r="B336" s="45"/>
      <c r="C336" s="45"/>
      <c r="D336" s="45"/>
      <c r="E336" s="45"/>
      <c r="F336" s="45"/>
      <c r="G336" s="45"/>
      <c r="H336" s="43"/>
      <c r="I336" s="43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</row>
    <row r="337" ht="15.75" customHeight="1">
      <c r="A337" s="45"/>
      <c r="B337" s="45"/>
      <c r="C337" s="45"/>
      <c r="D337" s="45"/>
      <c r="E337" s="45"/>
      <c r="F337" s="45"/>
      <c r="G337" s="45"/>
      <c r="H337" s="43"/>
      <c r="I337" s="43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</row>
    <row r="338" ht="15.75" customHeight="1">
      <c r="A338" s="45"/>
      <c r="B338" s="45"/>
      <c r="C338" s="45"/>
      <c r="D338" s="45"/>
      <c r="E338" s="45"/>
      <c r="F338" s="45"/>
      <c r="G338" s="45"/>
      <c r="H338" s="43"/>
      <c r="I338" s="43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  <c r="AF338" s="45"/>
    </row>
    <row r="339" ht="15.75" customHeight="1">
      <c r="A339" s="45"/>
      <c r="B339" s="45"/>
      <c r="C339" s="45"/>
      <c r="D339" s="45"/>
      <c r="E339" s="45"/>
      <c r="F339" s="45"/>
      <c r="G339" s="45"/>
      <c r="H339" s="43"/>
      <c r="I339" s="43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</row>
    <row r="340" ht="15.75" customHeight="1">
      <c r="A340" s="45"/>
      <c r="B340" s="45"/>
      <c r="C340" s="45"/>
      <c r="D340" s="45"/>
      <c r="E340" s="45"/>
      <c r="F340" s="45"/>
      <c r="G340" s="45"/>
      <c r="H340" s="43"/>
      <c r="I340" s="43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</row>
    <row r="341" ht="15.75" customHeight="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</row>
    <row r="342" ht="15.75" customHeight="1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</row>
    <row r="343" ht="15.75" customHeight="1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</row>
    <row r="344" ht="15.75" customHeight="1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</row>
    <row r="345" ht="15.75" customHeight="1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</row>
    <row r="346" ht="15.75" customHeight="1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</row>
    <row r="347" ht="15.75" customHeight="1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</row>
    <row r="348" ht="15.75" customHeight="1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</row>
    <row r="349" ht="15.75" customHeight="1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</row>
    <row r="350" ht="15.75" customHeight="1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</row>
    <row r="351" ht="15.75" customHeight="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</row>
    <row r="352" ht="15.75" customHeight="1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</row>
    <row r="353" ht="15.75" customHeight="1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</row>
    <row r="354" ht="15.75" customHeight="1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</row>
    <row r="355" ht="15.75" customHeight="1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</row>
    <row r="356" ht="15.75" customHeight="1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</row>
    <row r="357" ht="15.75" customHeight="1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</row>
    <row r="358" ht="15.75" customHeight="1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</row>
    <row r="359" ht="15.75" customHeight="1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</row>
    <row r="360" ht="15.75" customHeight="1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</row>
    <row r="361" ht="15.75" customHeight="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</row>
    <row r="362" ht="15.75" customHeight="1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</row>
    <row r="363" ht="15.75" customHeight="1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</row>
    <row r="364" ht="15.75" customHeight="1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</row>
    <row r="365" ht="15.75" customHeight="1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</row>
    <row r="366" ht="15.75" customHeight="1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</row>
    <row r="367" ht="15.75" customHeight="1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</row>
    <row r="368" ht="15.75" customHeight="1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  <c r="AF368" s="45"/>
    </row>
    <row r="369" ht="15.75" customHeight="1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  <c r="AF369" s="45"/>
    </row>
    <row r="370" ht="15.75" customHeight="1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</row>
    <row r="371" ht="15.75" customHeight="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  <c r="AF371" s="45"/>
    </row>
    <row r="372" ht="15.75" customHeight="1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  <c r="AF372" s="45"/>
    </row>
    <row r="373" ht="15.75" customHeight="1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  <c r="AF373" s="45"/>
    </row>
    <row r="374" ht="15.75" customHeight="1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  <c r="AF374" s="45"/>
    </row>
    <row r="375" ht="15.75" customHeight="1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</row>
    <row r="376" ht="15.75" customHeight="1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  <c r="AF376" s="45"/>
    </row>
    <row r="377" ht="15.75" customHeight="1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5"/>
      <c r="AF377" s="45"/>
    </row>
    <row r="378" ht="15.75" customHeight="1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  <c r="AE378" s="45"/>
      <c r="AF378" s="45"/>
    </row>
    <row r="379" ht="15.75" customHeight="1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</row>
    <row r="380" ht="15.75" customHeight="1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  <c r="AE380" s="45"/>
      <c r="AF380" s="45"/>
    </row>
    <row r="381" ht="15.75" customHeight="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45"/>
      <c r="AF381" s="45"/>
    </row>
    <row r="382" ht="15.75" customHeight="1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  <c r="AE382" s="45"/>
      <c r="AF382" s="45"/>
    </row>
    <row r="383" ht="15.75" customHeight="1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  <c r="AF383" s="45"/>
    </row>
    <row r="384" ht="15.75" customHeight="1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45"/>
    </row>
    <row r="385" ht="15.75" customHeight="1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5"/>
      <c r="AF385" s="45"/>
    </row>
    <row r="386" ht="15.75" customHeight="1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  <c r="AE386" s="45"/>
      <c r="AF386" s="45"/>
    </row>
    <row r="387" ht="15.75" customHeight="1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5"/>
      <c r="AF387" s="45"/>
    </row>
    <row r="388" ht="15.75" customHeight="1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  <c r="AE388" s="45"/>
      <c r="AF388" s="45"/>
    </row>
    <row r="389" ht="15.75" customHeight="1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</row>
    <row r="390" ht="15.75" customHeight="1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</row>
    <row r="391" ht="15.75" customHeight="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  <c r="AF391" s="45"/>
    </row>
    <row r="392" ht="15.75" customHeight="1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  <c r="AE392" s="45"/>
      <c r="AF392" s="45"/>
    </row>
    <row r="393" ht="15.75" customHeight="1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5"/>
      <c r="AF393" s="45"/>
    </row>
    <row r="394" ht="15.75" customHeight="1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5"/>
      <c r="AF394" s="45"/>
    </row>
    <row r="395" ht="15.75" customHeight="1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  <c r="AE395" s="45"/>
      <c r="AF395" s="45"/>
    </row>
    <row r="396" ht="15.75" customHeight="1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  <c r="AE396" s="45"/>
      <c r="AF396" s="45"/>
    </row>
    <row r="397" ht="15.75" customHeight="1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</row>
    <row r="398" ht="15.75" customHeight="1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5"/>
      <c r="AF398" s="45"/>
    </row>
    <row r="399" ht="15.75" customHeight="1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  <c r="AF399" s="45"/>
    </row>
    <row r="400" ht="15.75" customHeight="1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5"/>
      <c r="AF400" s="45"/>
    </row>
    <row r="401" ht="15.75" customHeight="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  <c r="AF401" s="45"/>
    </row>
    <row r="402" ht="15.75" customHeight="1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5"/>
      <c r="AF402" s="45"/>
    </row>
    <row r="403" ht="15.75" customHeight="1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  <c r="AF403" s="45"/>
    </row>
    <row r="404" ht="15.75" customHeight="1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  <c r="AF404" s="45"/>
    </row>
    <row r="405" ht="15.75" customHeight="1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</row>
    <row r="406" ht="15.75" customHeight="1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  <c r="AC406" s="45"/>
      <c r="AD406" s="45"/>
      <c r="AE406" s="45"/>
      <c r="AF406" s="45"/>
    </row>
    <row r="407" ht="15.75" customHeight="1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  <c r="AD407" s="45"/>
      <c r="AE407" s="45"/>
      <c r="AF407" s="45"/>
    </row>
    <row r="408" ht="15.75" customHeight="1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</row>
    <row r="409" ht="15.75" customHeight="1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  <c r="AD409" s="45"/>
      <c r="AE409" s="45"/>
      <c r="AF409" s="45"/>
    </row>
    <row r="410" ht="15.75" customHeight="1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  <c r="AC410" s="45"/>
      <c r="AD410" s="45"/>
      <c r="AE410" s="45"/>
      <c r="AF410" s="45"/>
    </row>
    <row r="411" ht="15.75" customHeight="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  <c r="AE411" s="45"/>
      <c r="AF411" s="45"/>
    </row>
    <row r="412" ht="15.75" customHeight="1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  <c r="AD412" s="45"/>
      <c r="AE412" s="45"/>
      <c r="AF412" s="45"/>
    </row>
    <row r="413" ht="15.75" customHeight="1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  <c r="AE413" s="45"/>
      <c r="AF413" s="45"/>
    </row>
    <row r="414" ht="15.75" customHeight="1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  <c r="AD414" s="45"/>
      <c r="AE414" s="45"/>
      <c r="AF414" s="45"/>
    </row>
    <row r="415" ht="15.75" customHeight="1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  <c r="AD415" s="45"/>
      <c r="AE415" s="45"/>
      <c r="AF415" s="45"/>
    </row>
    <row r="416" ht="15.75" customHeight="1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  <c r="AD416" s="45"/>
      <c r="AE416" s="45"/>
      <c r="AF416" s="45"/>
    </row>
    <row r="417" ht="15.75" customHeight="1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  <c r="AD417" s="45"/>
      <c r="AE417" s="45"/>
      <c r="AF417" s="45"/>
    </row>
    <row r="418" ht="15.75" customHeight="1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  <c r="AD418" s="45"/>
      <c r="AE418" s="45"/>
      <c r="AF418" s="45"/>
    </row>
    <row r="419" ht="15.75" customHeight="1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  <c r="AE419" s="45"/>
      <c r="AF419" s="45"/>
    </row>
    <row r="420" ht="15.75" customHeight="1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  <c r="AE420" s="45"/>
      <c r="AF420" s="45"/>
    </row>
    <row r="421" ht="15.75" customHeight="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  <c r="AE421" s="45"/>
      <c r="AF421" s="45"/>
    </row>
    <row r="422" ht="15.75" customHeight="1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  <c r="AE422" s="45"/>
      <c r="AF422" s="45"/>
    </row>
    <row r="423" ht="15.75" customHeight="1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  <c r="AE423" s="45"/>
      <c r="AF423" s="45"/>
    </row>
    <row r="424" ht="15.75" customHeight="1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  <c r="AE424" s="45"/>
      <c r="AF424" s="45"/>
    </row>
    <row r="425" ht="15.75" customHeight="1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  <c r="AE425" s="45"/>
      <c r="AF425" s="45"/>
    </row>
    <row r="426" ht="15.75" customHeight="1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  <c r="AD426" s="45"/>
      <c r="AE426" s="45"/>
      <c r="AF426" s="45"/>
    </row>
    <row r="427" ht="15.75" customHeight="1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  <c r="AE427" s="45"/>
      <c r="AF427" s="45"/>
    </row>
    <row r="428" ht="15.75" customHeight="1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  <c r="AE428" s="45"/>
      <c r="AF428" s="45"/>
    </row>
    <row r="429" ht="15.75" customHeight="1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  <c r="AD429" s="45"/>
      <c r="AE429" s="45"/>
      <c r="AF429" s="45"/>
    </row>
    <row r="430" ht="15.75" customHeight="1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  <c r="AD430" s="45"/>
      <c r="AE430" s="45"/>
      <c r="AF430" s="45"/>
    </row>
    <row r="431" ht="15.75" customHeight="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  <c r="AD431" s="45"/>
      <c r="AE431" s="45"/>
      <c r="AF431" s="45"/>
    </row>
    <row r="432" ht="15.75" customHeight="1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  <c r="AC432" s="45"/>
      <c r="AD432" s="45"/>
      <c r="AE432" s="45"/>
      <c r="AF432" s="45"/>
    </row>
    <row r="433" ht="15.75" customHeight="1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  <c r="AD433" s="45"/>
      <c r="AE433" s="45"/>
      <c r="AF433" s="45"/>
    </row>
    <row r="434" ht="15.75" customHeight="1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  <c r="AC434" s="45"/>
      <c r="AD434" s="45"/>
      <c r="AE434" s="45"/>
      <c r="AF434" s="45"/>
    </row>
    <row r="435" ht="15.75" customHeight="1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  <c r="AE435" s="45"/>
      <c r="AF435" s="45"/>
    </row>
    <row r="436" ht="15.75" customHeight="1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  <c r="AE436" s="45"/>
      <c r="AF436" s="45"/>
    </row>
    <row r="437" ht="15.75" customHeight="1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  <c r="AE437" s="45"/>
      <c r="AF437" s="45"/>
    </row>
    <row r="438" ht="15.75" customHeight="1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  <c r="AE438" s="45"/>
      <c r="AF438" s="45"/>
    </row>
    <row r="439" ht="15.75" customHeight="1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  <c r="AE439" s="45"/>
      <c r="AF439" s="45"/>
    </row>
    <row r="440" ht="15.75" customHeight="1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  <c r="AE440" s="45"/>
      <c r="AF440" s="45"/>
    </row>
    <row r="441" ht="15.75" customHeight="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  <c r="AE441" s="45"/>
      <c r="AF441" s="45"/>
    </row>
    <row r="442" ht="15.75" customHeight="1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  <c r="AE442" s="45"/>
      <c r="AF442" s="45"/>
    </row>
    <row r="443" ht="15.75" customHeight="1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</row>
    <row r="444" ht="15.75" customHeight="1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  <c r="AD444" s="45"/>
      <c r="AE444" s="45"/>
      <c r="AF444" s="45"/>
    </row>
    <row r="445" ht="15.75" customHeight="1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  <c r="AE445" s="45"/>
      <c r="AF445" s="45"/>
    </row>
    <row r="446" ht="15.75" customHeight="1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</row>
    <row r="447" ht="15.75" customHeight="1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  <c r="AE447" s="45"/>
      <c r="AF447" s="45"/>
    </row>
    <row r="448" ht="15.75" customHeight="1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  <c r="AE448" s="45"/>
      <c r="AF448" s="45"/>
    </row>
    <row r="449" ht="15.75" customHeight="1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  <c r="AF449" s="45"/>
    </row>
    <row r="450" ht="15.75" customHeight="1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  <c r="AF450" s="45"/>
    </row>
    <row r="451" ht="15.75" customHeight="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5"/>
    </row>
    <row r="452" ht="15.75" customHeight="1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  <c r="AF452" s="45"/>
    </row>
    <row r="453" ht="15.75" customHeight="1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5"/>
    </row>
    <row r="454" ht="15.75" customHeight="1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  <c r="AF454" s="45"/>
    </row>
    <row r="455" ht="15.75" customHeight="1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  <c r="AF455" s="45"/>
    </row>
    <row r="456" ht="15.75" customHeight="1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  <c r="AF456" s="45"/>
    </row>
    <row r="457" ht="15.75" customHeight="1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  <c r="AF457" s="45"/>
    </row>
    <row r="458" ht="15.75" customHeight="1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5"/>
      <c r="AF458" s="45"/>
    </row>
    <row r="459" ht="15.75" customHeight="1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  <c r="AF459" s="45"/>
    </row>
    <row r="460" ht="15.75" customHeight="1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  <c r="AE460" s="45"/>
      <c r="AF460" s="45"/>
    </row>
    <row r="461" ht="15.75" customHeight="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  <c r="AF461" s="45"/>
    </row>
    <row r="462" ht="15.75" customHeight="1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5"/>
      <c r="AF462" s="45"/>
    </row>
    <row r="463" ht="15.75" customHeight="1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  <c r="AF463" s="45"/>
    </row>
    <row r="464" ht="15.75" customHeight="1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  <c r="AF464" s="45"/>
    </row>
    <row r="465" ht="15.75" customHeight="1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5"/>
    </row>
    <row r="466" ht="15.75" customHeight="1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  <c r="AF466" s="45"/>
    </row>
    <row r="467" ht="15.75" customHeight="1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5"/>
      <c r="AF467" s="45"/>
    </row>
    <row r="468" ht="15.75" customHeight="1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  <c r="AF468" s="45"/>
    </row>
    <row r="469" ht="15.75" customHeight="1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</row>
    <row r="470" ht="15.75" customHeight="1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  <c r="AF470" s="45"/>
    </row>
    <row r="471" ht="15.75" customHeight="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5"/>
    </row>
    <row r="472" ht="15.75" customHeight="1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5"/>
      <c r="AF472" s="45"/>
    </row>
    <row r="473" ht="15.75" customHeight="1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  <c r="AE473" s="45"/>
      <c r="AF473" s="45"/>
    </row>
    <row r="474" ht="15.75" customHeight="1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  <c r="AE474" s="45"/>
      <c r="AF474" s="45"/>
    </row>
    <row r="475" ht="15.75" customHeight="1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  <c r="AF475" s="45"/>
    </row>
    <row r="476" ht="15.75" customHeight="1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  <c r="AE476" s="45"/>
      <c r="AF476" s="45"/>
    </row>
    <row r="477" ht="15.75" customHeight="1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5"/>
      <c r="AF477" s="45"/>
    </row>
    <row r="478" ht="15.75" customHeight="1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  <c r="AE478" s="45"/>
      <c r="AF478" s="45"/>
    </row>
    <row r="479" ht="15.75" customHeight="1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  <c r="AE479" s="45"/>
      <c r="AF479" s="45"/>
    </row>
    <row r="480" ht="15.75" customHeight="1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  <c r="AE480" s="45"/>
      <c r="AF480" s="45"/>
    </row>
    <row r="481" ht="15.75" customHeight="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</row>
    <row r="482" ht="15.75" customHeight="1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  <c r="AE482" s="45"/>
      <c r="AF482" s="45"/>
    </row>
    <row r="483" ht="15.75" customHeight="1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  <c r="AF483" s="45"/>
    </row>
    <row r="484" ht="15.75" customHeight="1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</row>
    <row r="485" ht="15.75" customHeight="1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5"/>
      <c r="AF485" s="45"/>
    </row>
    <row r="486" ht="15.75" customHeight="1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  <c r="AE486" s="45"/>
      <c r="AF486" s="45"/>
    </row>
    <row r="487" ht="15.75" customHeight="1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  <c r="AE487" s="45"/>
      <c r="AF487" s="45"/>
    </row>
    <row r="488" ht="15.75" customHeight="1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  <c r="AE488" s="45"/>
      <c r="AF488" s="45"/>
    </row>
    <row r="489" ht="15.75" customHeight="1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  <c r="AE489" s="45"/>
      <c r="AF489" s="45"/>
    </row>
    <row r="490" ht="15.75" customHeight="1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  <c r="AE490" s="45"/>
      <c r="AF490" s="45"/>
    </row>
    <row r="491" ht="15.75" customHeight="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  <c r="AF491" s="45"/>
    </row>
    <row r="492" ht="15.75" customHeight="1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  <c r="AF492" s="45"/>
    </row>
    <row r="493" ht="15.75" customHeight="1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  <c r="AF493" s="45"/>
    </row>
    <row r="494" ht="15.75" customHeight="1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5"/>
      <c r="AF494" s="45"/>
    </row>
    <row r="495" ht="15.75" customHeight="1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5"/>
    </row>
    <row r="496" ht="15.75" customHeight="1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  <c r="AF496" s="45"/>
    </row>
    <row r="497" ht="15.75" customHeight="1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  <c r="AF497" s="45"/>
    </row>
    <row r="498" ht="15.75" customHeight="1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  <c r="AF498" s="45"/>
    </row>
    <row r="499" ht="15.75" customHeight="1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5"/>
    </row>
    <row r="500" ht="15.75" customHeight="1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5"/>
      <c r="AF500" s="45"/>
    </row>
    <row r="501" ht="15.75" customHeight="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</row>
    <row r="502" ht="15.75" customHeight="1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  <c r="AF502" s="45"/>
    </row>
    <row r="503" ht="15.75" customHeight="1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5"/>
    </row>
    <row r="504" ht="15.75" customHeight="1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  <c r="AF504" s="45"/>
    </row>
    <row r="505" ht="15.75" customHeight="1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</row>
    <row r="506" ht="15.75" customHeight="1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5"/>
      <c r="AF506" s="45"/>
    </row>
    <row r="507" ht="15.75" customHeight="1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  <c r="AF507" s="45"/>
    </row>
    <row r="508" ht="15.75" customHeight="1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5"/>
      <c r="AF508" s="45"/>
    </row>
    <row r="509" ht="15.75" customHeight="1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  <c r="AF509" s="45"/>
    </row>
    <row r="510" ht="15.75" customHeight="1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5"/>
    </row>
    <row r="511" ht="15.75" customHeight="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</row>
    <row r="512" ht="15.75" customHeight="1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  <c r="AE512" s="45"/>
      <c r="AF512" s="45"/>
    </row>
    <row r="513" ht="15.75" customHeight="1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  <c r="AE513" s="45"/>
      <c r="AF513" s="45"/>
    </row>
    <row r="514" ht="15.75" customHeight="1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  <c r="AE514" s="45"/>
      <c r="AF514" s="45"/>
    </row>
    <row r="515" ht="15.75" customHeight="1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  <c r="AE515" s="45"/>
      <c r="AF515" s="45"/>
    </row>
    <row r="516" ht="15.75" customHeight="1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  <c r="AE516" s="45"/>
      <c r="AF516" s="45"/>
    </row>
    <row r="517" ht="15.75" customHeight="1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  <c r="AF517" s="45"/>
    </row>
    <row r="518" ht="15.75" customHeight="1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  <c r="AF518" s="45"/>
    </row>
    <row r="519" ht="15.75" customHeight="1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</row>
    <row r="520" ht="15.75" customHeight="1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  <c r="AF520" s="45"/>
    </row>
    <row r="521" ht="15.75" customHeight="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5"/>
      <c r="AF521" s="45"/>
    </row>
    <row r="522" ht="15.75" customHeight="1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</row>
    <row r="523" ht="15.75" customHeight="1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5"/>
      <c r="AF523" s="45"/>
    </row>
    <row r="524" ht="15.75" customHeight="1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  <c r="AE524" s="45"/>
      <c r="AF524" s="45"/>
    </row>
    <row r="525" ht="15.75" customHeight="1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5"/>
      <c r="AF525" s="45"/>
    </row>
    <row r="526" ht="15.75" customHeight="1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  <c r="AF526" s="45"/>
    </row>
    <row r="527" ht="15.75" customHeight="1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5"/>
      <c r="AF527" s="45"/>
    </row>
    <row r="528" ht="15.75" customHeight="1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  <c r="AD528" s="45"/>
      <c r="AE528" s="45"/>
      <c r="AF528" s="45"/>
    </row>
    <row r="529" ht="15.75" customHeight="1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  <c r="AD529" s="45"/>
      <c r="AE529" s="45"/>
      <c r="AF529" s="45"/>
    </row>
    <row r="530" ht="15.75" customHeight="1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  <c r="AD530" s="45"/>
      <c r="AE530" s="45"/>
      <c r="AF530" s="45"/>
    </row>
    <row r="531" ht="15.75" customHeight="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  <c r="AD531" s="45"/>
      <c r="AE531" s="45"/>
      <c r="AF531" s="45"/>
    </row>
    <row r="532" ht="15.75" customHeight="1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  <c r="AD532" s="45"/>
      <c r="AE532" s="45"/>
      <c r="AF532" s="45"/>
    </row>
    <row r="533" ht="15.75" customHeight="1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  <c r="AD533" s="45"/>
      <c r="AE533" s="45"/>
      <c r="AF533" s="45"/>
    </row>
    <row r="534" ht="15.75" customHeight="1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  <c r="AD534" s="45"/>
      <c r="AE534" s="45"/>
      <c r="AF534" s="45"/>
    </row>
    <row r="535" ht="15.75" customHeight="1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  <c r="AE535" s="45"/>
      <c r="AF535" s="45"/>
    </row>
    <row r="536" ht="15.75" customHeight="1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  <c r="AD536" s="45"/>
      <c r="AE536" s="45"/>
      <c r="AF536" s="45"/>
    </row>
    <row r="537" ht="15.75" customHeight="1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  <c r="AD537" s="45"/>
      <c r="AE537" s="45"/>
      <c r="AF537" s="45"/>
    </row>
    <row r="538" ht="15.75" customHeight="1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  <c r="AD538" s="45"/>
      <c r="AE538" s="45"/>
      <c r="AF538" s="45"/>
    </row>
    <row r="539" ht="15.75" customHeight="1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  <c r="AD539" s="45"/>
      <c r="AE539" s="45"/>
      <c r="AF539" s="45"/>
    </row>
    <row r="540" ht="15.75" customHeight="1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  <c r="AD540" s="45"/>
      <c r="AE540" s="45"/>
      <c r="AF540" s="45"/>
    </row>
    <row r="541" ht="15.75" customHeight="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  <c r="AD541" s="45"/>
      <c r="AE541" s="45"/>
      <c r="AF541" s="45"/>
    </row>
    <row r="542" ht="15.75" customHeight="1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  <c r="AD542" s="45"/>
      <c r="AE542" s="45"/>
      <c r="AF542" s="45"/>
    </row>
    <row r="543" ht="15.75" customHeight="1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  <c r="AD543" s="45"/>
      <c r="AE543" s="45"/>
      <c r="AF543" s="45"/>
    </row>
    <row r="544" ht="15.75" customHeight="1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  <c r="AD544" s="45"/>
      <c r="AE544" s="45"/>
      <c r="AF544" s="45"/>
    </row>
    <row r="545" ht="15.75" customHeight="1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  <c r="AD545" s="45"/>
      <c r="AE545" s="45"/>
      <c r="AF545" s="45"/>
    </row>
    <row r="546" ht="15.75" customHeight="1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  <c r="AD546" s="45"/>
      <c r="AE546" s="45"/>
      <c r="AF546" s="45"/>
    </row>
    <row r="547" ht="15.75" customHeight="1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  <c r="AD547" s="45"/>
      <c r="AE547" s="45"/>
      <c r="AF547" s="45"/>
    </row>
    <row r="548" ht="15.75" customHeight="1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  <c r="AD548" s="45"/>
      <c r="AE548" s="45"/>
      <c r="AF548" s="45"/>
    </row>
    <row r="549" ht="15.75" customHeight="1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  <c r="AD549" s="45"/>
      <c r="AE549" s="45"/>
      <c r="AF549" s="45"/>
    </row>
    <row r="550" ht="15.75" customHeight="1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  <c r="AD550" s="45"/>
      <c r="AE550" s="45"/>
      <c r="AF550" s="45"/>
    </row>
    <row r="551" ht="15.75" customHeight="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  <c r="AD551" s="45"/>
      <c r="AE551" s="45"/>
      <c r="AF551" s="45"/>
    </row>
    <row r="552" ht="15.75" customHeight="1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  <c r="AD552" s="45"/>
      <c r="AE552" s="45"/>
      <c r="AF552" s="45"/>
    </row>
    <row r="553" ht="15.75" customHeight="1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  <c r="AE553" s="45"/>
      <c r="AF553" s="45"/>
    </row>
    <row r="554" ht="15.75" customHeight="1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  <c r="AD554" s="45"/>
      <c r="AE554" s="45"/>
      <c r="AF554" s="45"/>
    </row>
    <row r="555" ht="15.75" customHeight="1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  <c r="AD555" s="45"/>
      <c r="AE555" s="45"/>
      <c r="AF555" s="45"/>
    </row>
    <row r="556" ht="15.75" customHeight="1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  <c r="AD556" s="45"/>
      <c r="AE556" s="45"/>
      <c r="AF556" s="45"/>
    </row>
    <row r="557" ht="15.75" customHeight="1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</row>
    <row r="558" ht="15.75" customHeight="1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  <c r="AD558" s="45"/>
      <c r="AE558" s="45"/>
      <c r="AF558" s="45"/>
    </row>
    <row r="559" ht="15.75" customHeight="1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  <c r="AE559" s="45"/>
      <c r="AF559" s="45"/>
    </row>
    <row r="560" ht="15.75" customHeight="1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</row>
    <row r="561" ht="15.75" customHeight="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  <c r="AE561" s="45"/>
      <c r="AF561" s="45"/>
    </row>
    <row r="562" ht="15.75" customHeight="1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  <c r="AD562" s="45"/>
      <c r="AE562" s="45"/>
      <c r="AF562" s="45"/>
    </row>
    <row r="563" ht="15.75" customHeight="1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  <c r="AE563" s="45"/>
      <c r="AF563" s="45"/>
    </row>
    <row r="564" ht="15.75" customHeight="1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  <c r="AD564" s="45"/>
      <c r="AE564" s="45"/>
      <c r="AF564" s="45"/>
    </row>
    <row r="565" ht="15.75" customHeight="1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  <c r="AE565" s="45"/>
      <c r="AF565" s="45"/>
    </row>
    <row r="566" ht="15.75" customHeight="1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  <c r="AD566" s="45"/>
      <c r="AE566" s="45"/>
      <c r="AF566" s="45"/>
    </row>
    <row r="567" ht="15.75" customHeight="1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  <c r="AE567" s="45"/>
      <c r="AF567" s="45"/>
    </row>
    <row r="568" ht="15.75" customHeight="1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  <c r="AE568" s="45"/>
      <c r="AF568" s="45"/>
    </row>
    <row r="569" ht="15.75" customHeight="1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  <c r="AE569" s="45"/>
      <c r="AF569" s="45"/>
    </row>
    <row r="570" ht="15.75" customHeight="1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  <c r="AD570" s="45"/>
      <c r="AE570" s="45"/>
      <c r="AF570" s="45"/>
    </row>
    <row r="571" ht="15.75" customHeight="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/>
      <c r="AE571" s="45"/>
      <c r="AF571" s="45"/>
    </row>
    <row r="572" ht="15.75" customHeight="1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  <c r="AD572" s="45"/>
      <c r="AE572" s="45"/>
      <c r="AF572" s="45"/>
    </row>
    <row r="573" ht="15.75" customHeight="1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  <c r="AE573" s="45"/>
      <c r="AF573" s="45"/>
    </row>
    <row r="574" ht="15.75" customHeight="1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  <c r="AE574" s="45"/>
      <c r="AF574" s="45"/>
    </row>
    <row r="575" ht="15.75" customHeight="1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  <c r="AE575" s="45"/>
      <c r="AF575" s="45"/>
    </row>
    <row r="576" ht="15.75" customHeight="1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  <c r="AD576" s="45"/>
      <c r="AE576" s="45"/>
      <c r="AF576" s="45"/>
    </row>
    <row r="577" ht="15.75" customHeight="1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/>
      <c r="AE577" s="45"/>
      <c r="AF577" s="45"/>
    </row>
    <row r="578" ht="15.75" customHeight="1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  <c r="AD578" s="45"/>
      <c r="AE578" s="45"/>
      <c r="AF578" s="45"/>
    </row>
    <row r="579" ht="15.75" customHeight="1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/>
      <c r="AE579" s="45"/>
      <c r="AF579" s="45"/>
    </row>
    <row r="580" ht="15.75" customHeight="1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  <c r="AD580" s="45"/>
      <c r="AE580" s="45"/>
      <c r="AF580" s="45"/>
    </row>
    <row r="581" ht="15.75" customHeight="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  <c r="AE581" s="45"/>
      <c r="AF581" s="45"/>
    </row>
    <row r="582" ht="15.75" customHeight="1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  <c r="AD582" s="45"/>
      <c r="AE582" s="45"/>
      <c r="AF582" s="45"/>
    </row>
    <row r="583" ht="15.75" customHeight="1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  <c r="AE583" s="45"/>
      <c r="AF583" s="45"/>
    </row>
    <row r="584" ht="15.75" customHeight="1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  <c r="AD584" s="45"/>
      <c r="AE584" s="45"/>
      <c r="AF584" s="45"/>
    </row>
    <row r="585" ht="15.75" customHeight="1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/>
      <c r="AE585" s="45"/>
      <c r="AF585" s="45"/>
    </row>
    <row r="586" ht="15.75" customHeight="1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  <c r="AD586" s="45"/>
      <c r="AE586" s="45"/>
      <c r="AF586" s="45"/>
    </row>
    <row r="587" ht="15.75" customHeight="1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  <c r="AE587" s="45"/>
      <c r="AF587" s="45"/>
    </row>
    <row r="588" ht="15.75" customHeight="1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  <c r="AD588" s="45"/>
      <c r="AE588" s="45"/>
      <c r="AF588" s="45"/>
    </row>
    <row r="589" ht="15.75" customHeight="1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  <c r="AE589" s="45"/>
      <c r="AF589" s="45"/>
    </row>
    <row r="590" ht="15.75" customHeight="1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  <c r="AD590" s="45"/>
      <c r="AE590" s="45"/>
      <c r="AF590" s="45"/>
    </row>
    <row r="591" ht="15.75" customHeight="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  <c r="AE591" s="45"/>
      <c r="AF591" s="45"/>
    </row>
    <row r="592" ht="15.75" customHeight="1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  <c r="AD592" s="45"/>
      <c r="AE592" s="45"/>
      <c r="AF592" s="45"/>
    </row>
    <row r="593" ht="15.75" customHeight="1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  <c r="AE593" s="45"/>
      <c r="AF593" s="45"/>
    </row>
    <row r="594" ht="15.75" customHeight="1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  <c r="AD594" s="45"/>
      <c r="AE594" s="45"/>
      <c r="AF594" s="45"/>
    </row>
    <row r="595" ht="15.75" customHeight="1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</row>
    <row r="596" ht="15.75" customHeight="1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  <c r="AE596" s="45"/>
      <c r="AF596" s="45"/>
    </row>
    <row r="597" ht="15.75" customHeight="1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  <c r="AE597" s="45"/>
      <c r="AF597" s="45"/>
    </row>
    <row r="598" ht="15.75" customHeight="1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</row>
    <row r="599" ht="15.75" customHeight="1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  <c r="AE599" s="45"/>
      <c r="AF599" s="45"/>
    </row>
    <row r="600" ht="15.75" customHeight="1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  <c r="AE600" s="45"/>
      <c r="AF600" s="45"/>
    </row>
    <row r="601" ht="15.75" customHeight="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  <c r="AE601" s="45"/>
      <c r="AF601" s="45"/>
    </row>
    <row r="602" ht="15.75" customHeight="1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  <c r="AD602" s="45"/>
      <c r="AE602" s="45"/>
      <c r="AF602" s="45"/>
    </row>
    <row r="603" ht="15.75" customHeight="1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/>
      <c r="AE603" s="45"/>
      <c r="AF603" s="45"/>
    </row>
    <row r="604" ht="15.75" customHeight="1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  <c r="AD604" s="45"/>
      <c r="AE604" s="45"/>
      <c r="AF604" s="45"/>
    </row>
    <row r="605" ht="15.75" customHeight="1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/>
      <c r="AE605" s="45"/>
      <c r="AF605" s="45"/>
    </row>
    <row r="606" ht="15.75" customHeight="1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  <c r="AD606" s="45"/>
      <c r="AE606" s="45"/>
      <c r="AF606" s="45"/>
    </row>
    <row r="607" ht="15.75" customHeight="1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  <c r="AD607" s="45"/>
      <c r="AE607" s="45"/>
      <c r="AF607" s="45"/>
    </row>
    <row r="608" ht="15.75" customHeight="1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  <c r="AD608" s="45"/>
      <c r="AE608" s="45"/>
      <c r="AF608" s="45"/>
    </row>
    <row r="609" ht="15.75" customHeight="1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  <c r="AD609" s="45"/>
      <c r="AE609" s="45"/>
      <c r="AF609" s="45"/>
    </row>
    <row r="610" ht="15.75" customHeight="1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  <c r="AD610" s="45"/>
      <c r="AE610" s="45"/>
      <c r="AF610" s="45"/>
    </row>
    <row r="611" ht="15.75" customHeight="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  <c r="AD611" s="45"/>
      <c r="AE611" s="45"/>
      <c r="AF611" s="45"/>
    </row>
    <row r="612" ht="15.75" customHeight="1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  <c r="AD612" s="45"/>
      <c r="AE612" s="45"/>
      <c r="AF612" s="45"/>
    </row>
    <row r="613" ht="15.75" customHeight="1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  <c r="AD613" s="45"/>
      <c r="AE613" s="45"/>
      <c r="AF613" s="45"/>
    </row>
    <row r="614" ht="15.75" customHeight="1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  <c r="AD614" s="45"/>
      <c r="AE614" s="45"/>
      <c r="AF614" s="45"/>
    </row>
    <row r="615" ht="15.75" customHeight="1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  <c r="AD615" s="45"/>
      <c r="AE615" s="45"/>
      <c r="AF615" s="45"/>
    </row>
    <row r="616" ht="15.75" customHeight="1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  <c r="AD616" s="45"/>
      <c r="AE616" s="45"/>
      <c r="AF616" s="45"/>
    </row>
    <row r="617" ht="15.75" customHeight="1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  <c r="AD617" s="45"/>
      <c r="AE617" s="45"/>
      <c r="AF617" s="45"/>
    </row>
    <row r="618" ht="15.75" customHeight="1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  <c r="AD618" s="45"/>
      <c r="AE618" s="45"/>
      <c r="AF618" s="45"/>
    </row>
    <row r="619" ht="15.75" customHeight="1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  <c r="AD619" s="45"/>
      <c r="AE619" s="45"/>
      <c r="AF619" s="45"/>
    </row>
    <row r="620" ht="15.75" customHeight="1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  <c r="AD620" s="45"/>
      <c r="AE620" s="45"/>
      <c r="AF620" s="45"/>
    </row>
    <row r="621" ht="15.75" customHeight="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  <c r="AD621" s="45"/>
      <c r="AE621" s="45"/>
      <c r="AF621" s="45"/>
    </row>
    <row r="622" ht="15.75" customHeight="1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  <c r="AD622" s="45"/>
      <c r="AE622" s="45"/>
      <c r="AF622" s="45"/>
    </row>
    <row r="623" ht="15.75" customHeight="1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  <c r="AD623" s="45"/>
      <c r="AE623" s="45"/>
      <c r="AF623" s="45"/>
    </row>
    <row r="624" ht="15.75" customHeight="1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  <c r="AD624" s="45"/>
      <c r="AE624" s="45"/>
      <c r="AF624" s="45"/>
    </row>
    <row r="625" ht="15.75" customHeight="1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  <c r="AD625" s="45"/>
      <c r="AE625" s="45"/>
      <c r="AF625" s="45"/>
    </row>
    <row r="626" ht="15.75" customHeight="1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  <c r="AD626" s="45"/>
      <c r="AE626" s="45"/>
      <c r="AF626" s="45"/>
    </row>
    <row r="627" ht="15.75" customHeight="1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  <c r="AD627" s="45"/>
      <c r="AE627" s="45"/>
      <c r="AF627" s="45"/>
    </row>
    <row r="628" ht="15.75" customHeight="1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  <c r="AD628" s="45"/>
      <c r="AE628" s="45"/>
      <c r="AF628" s="45"/>
    </row>
    <row r="629" ht="15.75" customHeight="1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  <c r="AD629" s="45"/>
      <c r="AE629" s="45"/>
      <c r="AF629" s="45"/>
    </row>
    <row r="630" ht="15.75" customHeight="1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  <c r="AD630" s="45"/>
      <c r="AE630" s="45"/>
      <c r="AF630" s="45"/>
    </row>
    <row r="631" ht="15.75" customHeight="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  <c r="AD631" s="45"/>
      <c r="AE631" s="45"/>
      <c r="AF631" s="45"/>
    </row>
    <row r="632" ht="15.75" customHeight="1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  <c r="AD632" s="45"/>
      <c r="AE632" s="45"/>
      <c r="AF632" s="45"/>
    </row>
    <row r="633" ht="15.75" customHeight="1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</row>
    <row r="634" ht="15.75" customHeight="1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  <c r="AD634" s="45"/>
      <c r="AE634" s="45"/>
      <c r="AF634" s="45"/>
    </row>
    <row r="635" ht="15.75" customHeight="1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  <c r="AD635" s="45"/>
      <c r="AE635" s="45"/>
      <c r="AF635" s="45"/>
    </row>
    <row r="636" ht="15.75" customHeight="1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</row>
    <row r="637" ht="15.75" customHeight="1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  <c r="AD637" s="45"/>
      <c r="AE637" s="45"/>
      <c r="AF637" s="45"/>
    </row>
    <row r="638" ht="15.75" customHeight="1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  <c r="AD638" s="45"/>
      <c r="AE638" s="45"/>
      <c r="AF638" s="45"/>
    </row>
    <row r="639" ht="15.75" customHeight="1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  <c r="AD639" s="45"/>
      <c r="AE639" s="45"/>
      <c r="AF639" s="45"/>
    </row>
    <row r="640" ht="15.75" customHeight="1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  <c r="AD640" s="45"/>
      <c r="AE640" s="45"/>
      <c r="AF640" s="45"/>
    </row>
    <row r="641" ht="15.75" customHeight="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  <c r="AD641" s="45"/>
      <c r="AE641" s="45"/>
      <c r="AF641" s="45"/>
    </row>
    <row r="642" ht="15.75" customHeight="1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  <c r="AD642" s="45"/>
      <c r="AE642" s="45"/>
      <c r="AF642" s="45"/>
    </row>
    <row r="643" ht="15.75" customHeight="1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  <c r="AD643" s="45"/>
      <c r="AE643" s="45"/>
      <c r="AF643" s="45"/>
    </row>
    <row r="644" ht="15.75" customHeight="1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  <c r="AD644" s="45"/>
      <c r="AE644" s="45"/>
      <c r="AF644" s="45"/>
    </row>
    <row r="645" ht="15.75" customHeight="1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  <c r="AD645" s="45"/>
      <c r="AE645" s="45"/>
      <c r="AF645" s="45"/>
    </row>
    <row r="646" ht="15.75" customHeight="1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  <c r="AD646" s="45"/>
      <c r="AE646" s="45"/>
      <c r="AF646" s="45"/>
    </row>
    <row r="647" ht="15.75" customHeight="1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  <c r="AD647" s="45"/>
      <c r="AE647" s="45"/>
      <c r="AF647" s="45"/>
    </row>
    <row r="648" ht="15.75" customHeight="1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  <c r="AD648" s="45"/>
      <c r="AE648" s="45"/>
      <c r="AF648" s="45"/>
    </row>
    <row r="649" ht="15.75" customHeight="1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  <c r="AD649" s="45"/>
      <c r="AE649" s="45"/>
      <c r="AF649" s="45"/>
    </row>
    <row r="650" ht="15.75" customHeight="1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  <c r="AD650" s="45"/>
      <c r="AE650" s="45"/>
      <c r="AF650" s="45"/>
    </row>
    <row r="651" ht="15.75" customHeight="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  <c r="AD651" s="45"/>
      <c r="AE651" s="45"/>
      <c r="AF651" s="45"/>
    </row>
    <row r="652" ht="15.75" customHeight="1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  <c r="AD652" s="45"/>
      <c r="AE652" s="45"/>
      <c r="AF652" s="45"/>
    </row>
    <row r="653" ht="15.75" customHeight="1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  <c r="AE653" s="45"/>
      <c r="AF653" s="45"/>
    </row>
    <row r="654" ht="15.75" customHeight="1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  <c r="AE654" s="45"/>
      <c r="AF654" s="45"/>
    </row>
    <row r="655" ht="15.75" customHeight="1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  <c r="AE655" s="45"/>
      <c r="AF655" s="45"/>
    </row>
    <row r="656" ht="15.75" customHeight="1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  <c r="AD656" s="45"/>
      <c r="AE656" s="45"/>
      <c r="AF656" s="45"/>
    </row>
    <row r="657" ht="15.75" customHeight="1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  <c r="AE657" s="45"/>
      <c r="AF657" s="45"/>
    </row>
    <row r="658" ht="15.75" customHeight="1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  <c r="AE658" s="45"/>
      <c r="AF658" s="45"/>
    </row>
    <row r="659" ht="15.75" customHeight="1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  <c r="AE659" s="45"/>
      <c r="AF659" s="45"/>
    </row>
    <row r="660" ht="15.75" customHeight="1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  <c r="AE660" s="45"/>
      <c r="AF660" s="45"/>
    </row>
    <row r="661" ht="15.75" customHeight="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  <c r="AE661" s="45"/>
      <c r="AF661" s="45"/>
    </row>
    <row r="662" ht="15.75" customHeight="1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  <c r="AD662" s="45"/>
      <c r="AE662" s="45"/>
      <c r="AF662" s="45"/>
    </row>
    <row r="663" ht="15.75" customHeight="1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  <c r="AD663" s="45"/>
      <c r="AE663" s="45"/>
      <c r="AF663" s="45"/>
    </row>
    <row r="664" ht="15.75" customHeight="1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  <c r="AD664" s="45"/>
      <c r="AE664" s="45"/>
      <c r="AF664" s="45"/>
    </row>
    <row r="665" ht="15.75" customHeight="1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  <c r="AD665" s="45"/>
      <c r="AE665" s="45"/>
      <c r="AF665" s="45"/>
    </row>
    <row r="666" ht="15.75" customHeight="1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  <c r="AD666" s="45"/>
      <c r="AE666" s="45"/>
      <c r="AF666" s="45"/>
    </row>
    <row r="667" ht="15.75" customHeight="1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  <c r="AD667" s="45"/>
      <c r="AE667" s="45"/>
      <c r="AF667" s="45"/>
    </row>
    <row r="668" ht="15.75" customHeight="1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  <c r="AD668" s="45"/>
      <c r="AE668" s="45"/>
      <c r="AF668" s="45"/>
    </row>
    <row r="669" ht="15.75" customHeight="1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  <c r="AD669" s="45"/>
      <c r="AE669" s="45"/>
      <c r="AF669" s="45"/>
    </row>
    <row r="670" ht="15.75" customHeight="1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  <c r="AD670" s="45"/>
      <c r="AE670" s="45"/>
      <c r="AF670" s="45"/>
    </row>
    <row r="671" ht="15.75" customHeight="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</row>
    <row r="672" ht="15.75" customHeight="1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  <c r="AD672" s="45"/>
      <c r="AE672" s="45"/>
      <c r="AF672" s="45"/>
    </row>
    <row r="673" ht="15.75" customHeight="1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  <c r="AD673" s="45"/>
      <c r="AE673" s="45"/>
      <c r="AF673" s="45"/>
    </row>
    <row r="674" ht="15.75" customHeight="1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</row>
    <row r="675" ht="15.75" customHeight="1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  <c r="AD675" s="45"/>
      <c r="AE675" s="45"/>
      <c r="AF675" s="45"/>
    </row>
    <row r="676" ht="15.75" customHeight="1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  <c r="AD676" s="45"/>
      <c r="AE676" s="45"/>
      <c r="AF676" s="45"/>
    </row>
    <row r="677" ht="15.75" customHeight="1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  <c r="AD677" s="45"/>
      <c r="AE677" s="45"/>
      <c r="AF677" s="45"/>
    </row>
    <row r="678" ht="15.75" customHeight="1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  <c r="AD678" s="45"/>
      <c r="AE678" s="45"/>
      <c r="AF678" s="45"/>
    </row>
    <row r="679" ht="15.75" customHeight="1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  <c r="AD679" s="45"/>
      <c r="AE679" s="45"/>
      <c r="AF679" s="45"/>
    </row>
    <row r="680" ht="15.75" customHeight="1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  <c r="AD680" s="45"/>
      <c r="AE680" s="45"/>
      <c r="AF680" s="45"/>
    </row>
    <row r="681" ht="15.75" customHeight="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  <c r="AD681" s="45"/>
      <c r="AE681" s="45"/>
      <c r="AF681" s="45"/>
    </row>
    <row r="682" ht="15.75" customHeight="1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  <c r="AD682" s="45"/>
      <c r="AE682" s="45"/>
      <c r="AF682" s="45"/>
    </row>
    <row r="683" ht="15.75" customHeight="1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  <c r="AD683" s="45"/>
      <c r="AE683" s="45"/>
      <c r="AF683" s="45"/>
    </row>
    <row r="684" ht="15.75" customHeight="1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  <c r="AD684" s="45"/>
      <c r="AE684" s="45"/>
      <c r="AF684" s="45"/>
    </row>
    <row r="685" ht="15.75" customHeight="1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  <c r="AD685" s="45"/>
      <c r="AE685" s="45"/>
      <c r="AF685" s="45"/>
    </row>
    <row r="686" ht="15.75" customHeight="1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  <c r="AD686" s="45"/>
      <c r="AE686" s="45"/>
      <c r="AF686" s="45"/>
    </row>
    <row r="687" ht="15.75" customHeight="1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  <c r="AE687" s="45"/>
      <c r="AF687" s="45"/>
    </row>
    <row r="688" ht="15.75" customHeight="1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  <c r="AD688" s="45"/>
      <c r="AE688" s="45"/>
      <c r="AF688" s="45"/>
    </row>
    <row r="689" ht="15.75" customHeight="1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  <c r="AD689" s="45"/>
      <c r="AE689" s="45"/>
      <c r="AF689" s="45"/>
    </row>
    <row r="690" ht="15.75" customHeight="1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  <c r="AD690" s="45"/>
      <c r="AE690" s="45"/>
      <c r="AF690" s="45"/>
    </row>
    <row r="691" ht="15.75" customHeight="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  <c r="AD691" s="45"/>
      <c r="AE691" s="45"/>
      <c r="AF691" s="45"/>
    </row>
    <row r="692" ht="15.75" customHeight="1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  <c r="AD692" s="45"/>
      <c r="AE692" s="45"/>
      <c r="AF692" s="45"/>
    </row>
    <row r="693" ht="15.75" customHeight="1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  <c r="AD693" s="45"/>
      <c r="AE693" s="45"/>
      <c r="AF693" s="45"/>
    </row>
    <row r="694" ht="15.75" customHeight="1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  <c r="AD694" s="45"/>
      <c r="AE694" s="45"/>
      <c r="AF694" s="45"/>
    </row>
    <row r="695" ht="15.75" customHeight="1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  <c r="AD695" s="45"/>
      <c r="AE695" s="45"/>
      <c r="AF695" s="45"/>
    </row>
    <row r="696" ht="15.75" customHeight="1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  <c r="AD696" s="45"/>
      <c r="AE696" s="45"/>
      <c r="AF696" s="45"/>
    </row>
    <row r="697" ht="15.75" customHeight="1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  <c r="AD697" s="45"/>
      <c r="AE697" s="45"/>
      <c r="AF697" s="45"/>
    </row>
    <row r="698" ht="15.75" customHeight="1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  <c r="AD698" s="45"/>
      <c r="AE698" s="45"/>
      <c r="AF698" s="45"/>
    </row>
    <row r="699" ht="15.75" customHeight="1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  <c r="AD699" s="45"/>
      <c r="AE699" s="45"/>
      <c r="AF699" s="45"/>
    </row>
    <row r="700" ht="15.75" customHeight="1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  <c r="AD700" s="45"/>
      <c r="AE700" s="45"/>
      <c r="AF700" s="45"/>
    </row>
    <row r="701" ht="15.75" customHeight="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  <c r="AD701" s="45"/>
      <c r="AE701" s="45"/>
      <c r="AF701" s="45"/>
    </row>
    <row r="702" ht="15.75" customHeight="1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  <c r="AD702" s="45"/>
      <c r="AE702" s="45"/>
      <c r="AF702" s="45"/>
    </row>
    <row r="703" ht="15.75" customHeight="1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  <c r="AD703" s="45"/>
      <c r="AE703" s="45"/>
      <c r="AF703" s="45"/>
    </row>
    <row r="704" ht="15.75" customHeight="1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  <c r="AD704" s="45"/>
      <c r="AE704" s="45"/>
      <c r="AF704" s="45"/>
    </row>
    <row r="705" ht="15.75" customHeight="1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  <c r="AD705" s="45"/>
      <c r="AE705" s="45"/>
      <c r="AF705" s="45"/>
    </row>
    <row r="706" ht="15.75" customHeight="1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  <c r="AD706" s="45"/>
      <c r="AE706" s="45"/>
      <c r="AF706" s="45"/>
    </row>
    <row r="707" ht="15.75" customHeight="1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  <c r="AD707" s="45"/>
      <c r="AE707" s="45"/>
      <c r="AF707" s="45"/>
    </row>
    <row r="708" ht="15.75" customHeight="1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  <c r="AD708" s="45"/>
      <c r="AE708" s="45"/>
      <c r="AF708" s="45"/>
    </row>
    <row r="709" ht="15.75" customHeight="1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</row>
    <row r="710" ht="15.75" customHeight="1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  <c r="AD710" s="45"/>
      <c r="AE710" s="45"/>
      <c r="AF710" s="45"/>
    </row>
    <row r="711" ht="15.75" customHeight="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  <c r="AE711" s="45"/>
      <c r="AF711" s="45"/>
    </row>
    <row r="712" ht="15.75" customHeight="1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</row>
    <row r="713" ht="15.75" customHeight="1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5"/>
      <c r="AE713" s="45"/>
      <c r="AF713" s="45"/>
    </row>
    <row r="714" ht="15.75" customHeight="1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  <c r="AD714" s="45"/>
      <c r="AE714" s="45"/>
      <c r="AF714" s="45"/>
    </row>
    <row r="715" ht="15.75" customHeight="1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  <c r="AD715" s="45"/>
      <c r="AE715" s="45"/>
      <c r="AF715" s="45"/>
    </row>
    <row r="716" ht="15.75" customHeight="1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  <c r="AD716" s="45"/>
      <c r="AE716" s="45"/>
      <c r="AF716" s="45"/>
    </row>
    <row r="717" ht="15.75" customHeight="1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  <c r="AD717" s="45"/>
      <c r="AE717" s="45"/>
      <c r="AF717" s="45"/>
    </row>
    <row r="718" ht="15.75" customHeight="1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  <c r="AD718" s="45"/>
      <c r="AE718" s="45"/>
      <c r="AF718" s="45"/>
    </row>
    <row r="719" ht="15.75" customHeight="1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  <c r="AD719" s="45"/>
      <c r="AE719" s="45"/>
      <c r="AF719" s="45"/>
    </row>
    <row r="720" ht="15.75" customHeight="1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  <c r="AD720" s="45"/>
      <c r="AE720" s="45"/>
      <c r="AF720" s="45"/>
    </row>
    <row r="721" ht="15.75" customHeight="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  <c r="AD721" s="45"/>
      <c r="AE721" s="45"/>
      <c r="AF721" s="45"/>
    </row>
    <row r="722" ht="15.75" customHeight="1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  <c r="AD722" s="45"/>
      <c r="AE722" s="45"/>
      <c r="AF722" s="45"/>
    </row>
    <row r="723" ht="15.75" customHeight="1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  <c r="AD723" s="45"/>
      <c r="AE723" s="45"/>
      <c r="AF723" s="45"/>
    </row>
    <row r="724" ht="15.75" customHeight="1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  <c r="AD724" s="45"/>
      <c r="AE724" s="45"/>
      <c r="AF724" s="45"/>
    </row>
    <row r="725" ht="15.75" customHeight="1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  <c r="AD725" s="45"/>
      <c r="AE725" s="45"/>
      <c r="AF725" s="45"/>
    </row>
    <row r="726" ht="15.75" customHeight="1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  <c r="AD726" s="45"/>
      <c r="AE726" s="45"/>
      <c r="AF726" s="45"/>
    </row>
    <row r="727" ht="15.75" customHeight="1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  <c r="AD727" s="45"/>
      <c r="AE727" s="45"/>
      <c r="AF727" s="45"/>
    </row>
    <row r="728" ht="15.75" customHeight="1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  <c r="AD728" s="45"/>
      <c r="AE728" s="45"/>
      <c r="AF728" s="45"/>
    </row>
    <row r="729" ht="15.75" customHeight="1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  <c r="AD729" s="45"/>
      <c r="AE729" s="45"/>
      <c r="AF729" s="45"/>
    </row>
    <row r="730" ht="15.75" customHeight="1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  <c r="AD730" s="45"/>
      <c r="AE730" s="45"/>
      <c r="AF730" s="45"/>
    </row>
    <row r="731" ht="15.75" customHeight="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  <c r="AD731" s="45"/>
      <c r="AE731" s="45"/>
      <c r="AF731" s="45"/>
    </row>
    <row r="732" ht="15.75" customHeight="1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  <c r="AD732" s="45"/>
      <c r="AE732" s="45"/>
      <c r="AF732" s="45"/>
    </row>
    <row r="733" ht="15.75" customHeight="1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  <c r="AD733" s="45"/>
      <c r="AE733" s="45"/>
      <c r="AF733" s="45"/>
    </row>
    <row r="734" ht="15.75" customHeight="1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  <c r="AD734" s="45"/>
      <c r="AE734" s="45"/>
      <c r="AF734" s="45"/>
    </row>
    <row r="735" ht="15.75" customHeight="1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  <c r="AD735" s="45"/>
      <c r="AE735" s="45"/>
      <c r="AF735" s="45"/>
    </row>
    <row r="736" ht="15.75" customHeight="1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  <c r="AD736" s="45"/>
      <c r="AE736" s="45"/>
      <c r="AF736" s="45"/>
    </row>
    <row r="737" ht="15.75" customHeight="1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  <c r="AD737" s="45"/>
      <c r="AE737" s="45"/>
      <c r="AF737" s="45"/>
    </row>
    <row r="738" ht="15.75" customHeight="1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  <c r="AD738" s="45"/>
      <c r="AE738" s="45"/>
      <c r="AF738" s="45"/>
    </row>
    <row r="739" ht="15.75" customHeight="1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  <c r="AD739" s="45"/>
      <c r="AE739" s="45"/>
      <c r="AF739" s="45"/>
    </row>
    <row r="740" ht="15.75" customHeight="1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  <c r="AD740" s="45"/>
      <c r="AE740" s="45"/>
      <c r="AF740" s="45"/>
    </row>
    <row r="741" ht="15.75" customHeight="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  <c r="AD741" s="45"/>
      <c r="AE741" s="45"/>
      <c r="AF741" s="45"/>
    </row>
    <row r="742" ht="15.75" customHeight="1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  <c r="AD742" s="45"/>
      <c r="AE742" s="45"/>
      <c r="AF742" s="45"/>
    </row>
    <row r="743" ht="15.75" customHeight="1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  <c r="AD743" s="45"/>
      <c r="AE743" s="45"/>
      <c r="AF743" s="45"/>
    </row>
    <row r="744" ht="15.75" customHeight="1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  <c r="AD744" s="45"/>
      <c r="AE744" s="45"/>
      <c r="AF744" s="45"/>
    </row>
    <row r="745" ht="15.75" customHeight="1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  <c r="AD745" s="45"/>
      <c r="AE745" s="45"/>
      <c r="AF745" s="45"/>
    </row>
    <row r="746" ht="15.75" customHeight="1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  <c r="AD746" s="45"/>
      <c r="AE746" s="45"/>
      <c r="AF746" s="45"/>
    </row>
    <row r="747" ht="15.75" customHeight="1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</row>
    <row r="748" ht="15.75" customHeight="1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  <c r="AD748" s="45"/>
      <c r="AE748" s="45"/>
      <c r="AF748" s="45"/>
    </row>
    <row r="749" ht="15.75" customHeight="1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  <c r="AD749" s="45"/>
      <c r="AE749" s="45"/>
      <c r="AF749" s="45"/>
    </row>
    <row r="750" ht="15.75" customHeight="1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</row>
    <row r="751" ht="15.75" customHeight="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  <c r="AD751" s="45"/>
      <c r="AE751" s="45"/>
      <c r="AF751" s="45"/>
    </row>
    <row r="752" ht="15.75" customHeight="1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  <c r="AD752" s="45"/>
      <c r="AE752" s="45"/>
      <c r="AF752" s="45"/>
    </row>
    <row r="753" ht="15.75" customHeight="1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  <c r="AD753" s="45"/>
      <c r="AE753" s="45"/>
      <c r="AF753" s="45"/>
    </row>
    <row r="754" ht="15.75" customHeight="1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  <c r="AD754" s="45"/>
      <c r="AE754" s="45"/>
      <c r="AF754" s="45"/>
    </row>
    <row r="755" ht="15.75" customHeight="1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  <c r="AD755" s="45"/>
      <c r="AE755" s="45"/>
      <c r="AF755" s="45"/>
    </row>
    <row r="756" ht="15.75" customHeight="1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  <c r="AD756" s="45"/>
      <c r="AE756" s="45"/>
      <c r="AF756" s="45"/>
    </row>
    <row r="757" ht="15.75" customHeight="1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  <c r="AD757" s="45"/>
      <c r="AE757" s="45"/>
      <c r="AF757" s="45"/>
    </row>
    <row r="758" ht="15.75" customHeight="1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  <c r="AD758" s="45"/>
      <c r="AE758" s="45"/>
      <c r="AF758" s="45"/>
    </row>
    <row r="759" ht="15.75" customHeight="1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  <c r="AD759" s="45"/>
      <c r="AE759" s="45"/>
      <c r="AF759" s="45"/>
    </row>
    <row r="760" ht="15.75" customHeight="1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  <c r="AD760" s="45"/>
      <c r="AE760" s="45"/>
      <c r="AF760" s="45"/>
    </row>
    <row r="761" ht="15.75" customHeight="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  <c r="AD761" s="45"/>
      <c r="AE761" s="45"/>
      <c r="AF761" s="45"/>
    </row>
    <row r="762" ht="15.75" customHeight="1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  <c r="AD762" s="45"/>
      <c r="AE762" s="45"/>
      <c r="AF762" s="45"/>
    </row>
    <row r="763" ht="15.75" customHeight="1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  <c r="AD763" s="45"/>
      <c r="AE763" s="45"/>
      <c r="AF763" s="45"/>
    </row>
    <row r="764" ht="15.75" customHeight="1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  <c r="AD764" s="45"/>
      <c r="AE764" s="45"/>
      <c r="AF764" s="45"/>
    </row>
    <row r="765" ht="15.75" customHeight="1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  <c r="AD765" s="45"/>
      <c r="AE765" s="45"/>
      <c r="AF765" s="45"/>
    </row>
    <row r="766" ht="15.75" customHeight="1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  <c r="AD766" s="45"/>
      <c r="AE766" s="45"/>
      <c r="AF766" s="45"/>
    </row>
    <row r="767" ht="15.75" customHeight="1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  <c r="AD767" s="45"/>
      <c r="AE767" s="45"/>
      <c r="AF767" s="45"/>
    </row>
    <row r="768" ht="15.75" customHeight="1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  <c r="AD768" s="45"/>
      <c r="AE768" s="45"/>
      <c r="AF768" s="45"/>
    </row>
    <row r="769" ht="15.75" customHeight="1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  <c r="AD769" s="45"/>
      <c r="AE769" s="45"/>
      <c r="AF769" s="45"/>
    </row>
    <row r="770" ht="15.75" customHeight="1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  <c r="AD770" s="45"/>
      <c r="AE770" s="45"/>
      <c r="AF770" s="45"/>
    </row>
    <row r="771" ht="15.75" customHeight="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  <c r="AD771" s="45"/>
      <c r="AE771" s="45"/>
      <c r="AF771" s="45"/>
    </row>
    <row r="772" ht="15.75" customHeight="1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  <c r="AD772" s="45"/>
      <c r="AE772" s="45"/>
      <c r="AF772" s="45"/>
    </row>
    <row r="773" ht="15.75" customHeight="1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  <c r="AD773" s="45"/>
      <c r="AE773" s="45"/>
      <c r="AF773" s="45"/>
    </row>
    <row r="774" ht="15.75" customHeight="1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  <c r="AD774" s="45"/>
      <c r="AE774" s="45"/>
      <c r="AF774" s="45"/>
    </row>
    <row r="775" ht="15.75" customHeight="1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  <c r="AD775" s="45"/>
      <c r="AE775" s="45"/>
      <c r="AF775" s="45"/>
    </row>
    <row r="776" ht="15.75" customHeight="1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  <c r="AD776" s="45"/>
      <c r="AE776" s="45"/>
      <c r="AF776" s="45"/>
    </row>
    <row r="777" ht="15.75" customHeight="1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  <c r="AD777" s="45"/>
      <c r="AE777" s="45"/>
      <c r="AF777" s="45"/>
    </row>
    <row r="778" ht="15.75" customHeight="1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  <c r="AD778" s="45"/>
      <c r="AE778" s="45"/>
      <c r="AF778" s="45"/>
    </row>
    <row r="779" ht="15.75" customHeight="1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  <c r="AD779" s="45"/>
      <c r="AE779" s="45"/>
      <c r="AF779" s="45"/>
    </row>
    <row r="780" ht="15.75" customHeight="1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  <c r="AD780" s="45"/>
      <c r="AE780" s="45"/>
      <c r="AF780" s="45"/>
    </row>
    <row r="781" ht="15.75" customHeight="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  <c r="AD781" s="45"/>
      <c r="AE781" s="45"/>
      <c r="AF781" s="45"/>
    </row>
    <row r="782" ht="15.75" customHeight="1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  <c r="AD782" s="45"/>
      <c r="AE782" s="45"/>
      <c r="AF782" s="45"/>
    </row>
    <row r="783" ht="15.75" customHeight="1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  <c r="AD783" s="45"/>
      <c r="AE783" s="45"/>
      <c r="AF783" s="45"/>
    </row>
    <row r="784" ht="15.75" customHeight="1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  <c r="AD784" s="45"/>
      <c r="AE784" s="45"/>
      <c r="AF784" s="45"/>
    </row>
    <row r="785" ht="15.75" customHeight="1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</row>
    <row r="786" ht="15.75" customHeight="1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  <c r="AD786" s="45"/>
      <c r="AE786" s="45"/>
      <c r="AF786" s="45"/>
    </row>
    <row r="787" ht="15.75" customHeight="1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/>
      <c r="AE787" s="45"/>
      <c r="AF787" s="45"/>
    </row>
    <row r="788" ht="15.75" customHeight="1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</row>
    <row r="789" ht="15.75" customHeight="1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  <c r="AD789" s="45"/>
      <c r="AE789" s="45"/>
      <c r="AF789" s="45"/>
    </row>
    <row r="790" ht="15.75" customHeight="1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  <c r="AD790" s="45"/>
      <c r="AE790" s="45"/>
      <c r="AF790" s="45"/>
    </row>
    <row r="791" ht="15.75" customHeight="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5"/>
      <c r="AE791" s="45"/>
      <c r="AF791" s="45"/>
    </row>
    <row r="792" ht="15.75" customHeight="1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  <c r="AD792" s="45"/>
      <c r="AE792" s="45"/>
      <c r="AF792" s="45"/>
    </row>
    <row r="793" ht="15.75" customHeight="1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5"/>
      <c r="AE793" s="45"/>
      <c r="AF793" s="45"/>
    </row>
    <row r="794" ht="15.75" customHeight="1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  <c r="AD794" s="45"/>
      <c r="AE794" s="45"/>
      <c r="AF794" s="45"/>
    </row>
    <row r="795" ht="15.75" customHeight="1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  <c r="AD795" s="45"/>
      <c r="AE795" s="45"/>
      <c r="AF795" s="45"/>
    </row>
    <row r="796" ht="15.75" customHeight="1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  <c r="AD796" s="45"/>
      <c r="AE796" s="45"/>
      <c r="AF796" s="45"/>
    </row>
    <row r="797" ht="15.75" customHeight="1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  <c r="AD797" s="45"/>
      <c r="AE797" s="45"/>
      <c r="AF797" s="45"/>
    </row>
    <row r="798" ht="15.75" customHeight="1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  <c r="AD798" s="45"/>
      <c r="AE798" s="45"/>
      <c r="AF798" s="45"/>
    </row>
    <row r="799" ht="15.75" customHeight="1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  <c r="AD799" s="45"/>
      <c r="AE799" s="45"/>
      <c r="AF799" s="45"/>
    </row>
    <row r="800" ht="15.75" customHeight="1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  <c r="AD800" s="45"/>
      <c r="AE800" s="45"/>
      <c r="AF800" s="45"/>
    </row>
    <row r="801" ht="15.75" customHeight="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  <c r="AD801" s="45"/>
      <c r="AE801" s="45"/>
      <c r="AF801" s="45"/>
    </row>
    <row r="802" ht="15.75" customHeight="1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  <c r="AD802" s="45"/>
      <c r="AE802" s="45"/>
      <c r="AF802" s="45"/>
    </row>
    <row r="803" ht="15.75" customHeight="1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  <c r="AD803" s="45"/>
      <c r="AE803" s="45"/>
      <c r="AF803" s="45"/>
    </row>
    <row r="804" ht="15.75" customHeight="1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  <c r="AD804" s="45"/>
      <c r="AE804" s="45"/>
      <c r="AF804" s="45"/>
    </row>
    <row r="805" ht="15.75" customHeight="1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  <c r="AD805" s="45"/>
      <c r="AE805" s="45"/>
      <c r="AF805" s="45"/>
    </row>
    <row r="806" ht="15.75" customHeight="1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  <c r="AD806" s="45"/>
      <c r="AE806" s="45"/>
      <c r="AF806" s="45"/>
    </row>
    <row r="807" ht="15.75" customHeight="1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  <c r="AD807" s="45"/>
      <c r="AE807" s="45"/>
      <c r="AF807" s="45"/>
    </row>
    <row r="808" ht="15.75" customHeight="1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  <c r="AD808" s="45"/>
      <c r="AE808" s="45"/>
      <c r="AF808" s="45"/>
    </row>
    <row r="809" ht="15.75" customHeight="1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/>
      <c r="AE809" s="45"/>
      <c r="AF809" s="45"/>
    </row>
    <row r="810" ht="15.75" customHeight="1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5"/>
      <c r="AE810" s="45"/>
      <c r="AF810" s="45"/>
    </row>
    <row r="811" ht="15.75" customHeight="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/>
      <c r="AE811" s="45"/>
      <c r="AF811" s="45"/>
    </row>
    <row r="812" ht="15.75" customHeight="1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  <c r="AD812" s="45"/>
      <c r="AE812" s="45"/>
      <c r="AF812" s="45"/>
    </row>
    <row r="813" ht="15.75" customHeight="1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5"/>
      <c r="AE813" s="45"/>
      <c r="AF813" s="45"/>
    </row>
    <row r="814" ht="15.75" customHeight="1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  <c r="AD814" s="45"/>
      <c r="AE814" s="45"/>
      <c r="AF814" s="45"/>
    </row>
    <row r="815" ht="15.75" customHeight="1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/>
      <c r="AE815" s="45"/>
      <c r="AF815" s="45"/>
    </row>
    <row r="816" ht="15.75" customHeight="1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  <c r="AD816" s="45"/>
      <c r="AE816" s="45"/>
      <c r="AF816" s="45"/>
    </row>
    <row r="817" ht="15.75" customHeight="1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  <c r="AE817" s="45"/>
      <c r="AF817" s="45"/>
    </row>
    <row r="818" ht="15.75" customHeight="1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  <c r="AD818" s="45"/>
      <c r="AE818" s="45"/>
      <c r="AF818" s="45"/>
    </row>
    <row r="819" ht="15.75" customHeight="1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5"/>
      <c r="AE819" s="45"/>
      <c r="AF819" s="45"/>
    </row>
    <row r="820" ht="15.75" customHeight="1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  <c r="AD820" s="45"/>
      <c r="AE820" s="45"/>
      <c r="AF820" s="45"/>
    </row>
    <row r="821" ht="15.75" customHeight="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  <c r="AE821" s="45"/>
      <c r="AF821" s="45"/>
    </row>
    <row r="822" ht="15.75" customHeight="1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  <c r="AD822" s="45"/>
      <c r="AE822" s="45"/>
      <c r="AF822" s="45"/>
    </row>
    <row r="823" ht="15.75" customHeight="1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</row>
    <row r="824" ht="15.75" customHeight="1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  <c r="AD824" s="45"/>
      <c r="AE824" s="45"/>
      <c r="AF824" s="45"/>
    </row>
    <row r="825" ht="15.75" customHeight="1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/>
      <c r="AE825" s="45"/>
      <c r="AF825" s="45"/>
    </row>
    <row r="826" ht="15.75" customHeight="1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</row>
    <row r="827" ht="15.75" customHeight="1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  <c r="AD827" s="45"/>
      <c r="AE827" s="45"/>
      <c r="AF827" s="45"/>
    </row>
    <row r="828" ht="15.75" customHeight="1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  <c r="AD828" s="45"/>
      <c r="AE828" s="45"/>
      <c r="AF828" s="45"/>
    </row>
    <row r="829" ht="15.75" customHeight="1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5"/>
      <c r="AE829" s="45"/>
      <c r="AF829" s="45"/>
    </row>
    <row r="830" ht="15.75" customHeight="1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  <c r="AD830" s="45"/>
      <c r="AE830" s="45"/>
      <c r="AF830" s="45"/>
    </row>
    <row r="831" ht="15.75" customHeight="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  <c r="AD831" s="45"/>
      <c r="AE831" s="45"/>
      <c r="AF831" s="45"/>
    </row>
    <row r="832" ht="15.75" customHeight="1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  <c r="AD832" s="45"/>
      <c r="AE832" s="45"/>
      <c r="AF832" s="45"/>
    </row>
    <row r="833" ht="15.75" customHeight="1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/>
      <c r="AE833" s="45"/>
      <c r="AF833" s="45"/>
    </row>
    <row r="834" ht="15.75" customHeight="1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  <c r="AE834" s="45"/>
      <c r="AF834" s="45"/>
    </row>
    <row r="835" ht="15.75" customHeight="1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5"/>
      <c r="AE835" s="45"/>
      <c r="AF835" s="45"/>
    </row>
    <row r="836" ht="15.75" customHeight="1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  <c r="AD836" s="45"/>
      <c r="AE836" s="45"/>
      <c r="AF836" s="45"/>
    </row>
    <row r="837" ht="15.75" customHeight="1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5"/>
      <c r="AE837" s="45"/>
      <c r="AF837" s="45"/>
    </row>
    <row r="838" ht="15.75" customHeight="1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5"/>
      <c r="AE838" s="45"/>
      <c r="AF838" s="45"/>
    </row>
    <row r="839" ht="15.75" customHeight="1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/>
      <c r="AE839" s="45"/>
      <c r="AF839" s="45"/>
    </row>
    <row r="840" ht="15.75" customHeight="1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  <c r="AE840" s="45"/>
      <c r="AF840" s="45"/>
    </row>
    <row r="841" ht="15.75" customHeight="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5"/>
      <c r="AE841" s="45"/>
      <c r="AF841" s="45"/>
    </row>
    <row r="842" ht="15.75" customHeight="1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  <c r="AE842" s="45"/>
      <c r="AF842" s="45"/>
    </row>
    <row r="843" ht="15.75" customHeight="1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  <c r="AE843" s="45"/>
      <c r="AF843" s="45"/>
    </row>
    <row r="844" ht="15.75" customHeight="1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5"/>
      <c r="AE844" s="45"/>
      <c r="AF844" s="45"/>
    </row>
    <row r="845" ht="15.75" customHeight="1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/>
      <c r="AE845" s="45"/>
      <c r="AF845" s="45"/>
    </row>
    <row r="846" ht="15.75" customHeight="1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  <c r="AE846" s="45"/>
      <c r="AF846" s="45"/>
    </row>
    <row r="847" ht="15.75" customHeight="1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  <c r="AE847" s="45"/>
      <c r="AF847" s="45"/>
    </row>
    <row r="848" ht="15.75" customHeight="1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5"/>
      <c r="AE848" s="45"/>
      <c r="AF848" s="45"/>
    </row>
    <row r="849" ht="15.75" customHeight="1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/>
      <c r="AE849" s="45"/>
      <c r="AF849" s="45"/>
    </row>
    <row r="850" ht="15.75" customHeight="1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5"/>
      <c r="AE850" s="45"/>
      <c r="AF850" s="45"/>
    </row>
    <row r="851" ht="15.75" customHeight="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/>
      <c r="AE851" s="45"/>
      <c r="AF851" s="45"/>
    </row>
    <row r="852" ht="15.75" customHeight="1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  <c r="AE852" s="45"/>
      <c r="AF852" s="45"/>
    </row>
    <row r="853" ht="15.75" customHeight="1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/>
      <c r="AE853" s="45"/>
      <c r="AF853" s="45"/>
    </row>
    <row r="854" ht="15.75" customHeight="1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  <c r="AD854" s="45"/>
      <c r="AE854" s="45"/>
      <c r="AF854" s="45"/>
    </row>
    <row r="855" ht="15.75" customHeight="1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/>
      <c r="AE855" s="45"/>
      <c r="AF855" s="45"/>
    </row>
    <row r="856" ht="15.75" customHeight="1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  <c r="AD856" s="45"/>
      <c r="AE856" s="45"/>
      <c r="AF856" s="45"/>
    </row>
    <row r="857" ht="15.75" customHeight="1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  <c r="AD857" s="45"/>
      <c r="AE857" s="45"/>
      <c r="AF857" s="45"/>
    </row>
    <row r="858" ht="15.75" customHeight="1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5"/>
      <c r="AE858" s="45"/>
      <c r="AF858" s="45"/>
    </row>
    <row r="859" ht="15.75" customHeight="1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5"/>
      <c r="AE859" s="45"/>
      <c r="AF859" s="45"/>
    </row>
    <row r="860" ht="15.75" customHeight="1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  <c r="AD860" s="45"/>
      <c r="AE860" s="45"/>
      <c r="AF860" s="45"/>
    </row>
    <row r="861" ht="15.75" customHeight="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</row>
    <row r="862" ht="15.75" customHeight="1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  <c r="AD862" s="45"/>
      <c r="AE862" s="45"/>
      <c r="AF862" s="45"/>
    </row>
    <row r="863" ht="15.75" customHeight="1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5"/>
      <c r="AE863" s="45"/>
      <c r="AF863" s="45"/>
    </row>
    <row r="864" ht="15.75" customHeight="1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</row>
    <row r="865" ht="15.75" customHeight="1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  <c r="AE865" s="45"/>
      <c r="AF865" s="45"/>
    </row>
    <row r="866" ht="15.75" customHeight="1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  <c r="AE866" s="45"/>
      <c r="AF866" s="45"/>
    </row>
    <row r="867" ht="15.75" customHeight="1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  <c r="AE867" s="45"/>
      <c r="AF867" s="45"/>
    </row>
    <row r="868" ht="15.75" customHeight="1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5"/>
      <c r="AE868" s="45"/>
      <c r="AF868" s="45"/>
    </row>
    <row r="869" ht="15.75" customHeight="1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  <c r="AE869" s="45"/>
      <c r="AF869" s="45"/>
    </row>
    <row r="870" ht="15.75" customHeight="1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5"/>
      <c r="AE870" s="45"/>
      <c r="AF870" s="45"/>
    </row>
    <row r="871" ht="15.75" customHeight="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/>
      <c r="AE871" s="45"/>
      <c r="AF871" s="45"/>
    </row>
    <row r="872" ht="15.75" customHeight="1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  <c r="AE872" s="45"/>
      <c r="AF872" s="45"/>
    </row>
    <row r="873" ht="15.75" customHeight="1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  <c r="AE873" s="45"/>
      <c r="AF873" s="45"/>
    </row>
    <row r="874" ht="15.75" customHeight="1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5"/>
      <c r="AE874" s="45"/>
      <c r="AF874" s="45"/>
    </row>
    <row r="875" ht="15.75" customHeight="1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/>
      <c r="AE875" s="45"/>
      <c r="AF875" s="45"/>
    </row>
    <row r="876" ht="15.75" customHeight="1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  <c r="AD876" s="45"/>
      <c r="AE876" s="45"/>
      <c r="AF876" s="45"/>
    </row>
    <row r="877" ht="15.75" customHeight="1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  <c r="AE877" s="45"/>
      <c r="AF877" s="45"/>
    </row>
    <row r="878" ht="15.75" customHeight="1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  <c r="AE878" s="45"/>
      <c r="AF878" s="45"/>
    </row>
    <row r="879" ht="15.75" customHeight="1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/>
      <c r="AE879" s="45"/>
      <c r="AF879" s="45"/>
    </row>
    <row r="880" ht="15.75" customHeight="1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  <c r="AD880" s="45"/>
      <c r="AE880" s="45"/>
      <c r="AF880" s="45"/>
    </row>
    <row r="881" ht="15.75" customHeight="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5"/>
      <c r="AE881" s="45"/>
      <c r="AF881" s="45"/>
    </row>
    <row r="882" ht="15.75" customHeight="1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  <c r="AD882" s="45"/>
      <c r="AE882" s="45"/>
      <c r="AF882" s="45"/>
    </row>
    <row r="883" ht="15.75" customHeight="1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  <c r="AD883" s="45"/>
      <c r="AE883" s="45"/>
      <c r="AF883" s="45"/>
    </row>
    <row r="884" ht="15.75" customHeight="1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  <c r="AD884" s="45"/>
      <c r="AE884" s="45"/>
      <c r="AF884" s="45"/>
    </row>
    <row r="885" ht="15.75" customHeight="1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5"/>
      <c r="AE885" s="45"/>
      <c r="AF885" s="45"/>
    </row>
    <row r="886" ht="15.75" customHeight="1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  <c r="AE886" s="45"/>
      <c r="AF886" s="45"/>
    </row>
    <row r="887" ht="15.75" customHeight="1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5"/>
      <c r="AE887" s="45"/>
      <c r="AF887" s="45"/>
    </row>
    <row r="888" ht="15.75" customHeight="1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  <c r="AD888" s="45"/>
      <c r="AE888" s="45"/>
      <c r="AF888" s="45"/>
    </row>
    <row r="889" ht="15.75" customHeight="1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  <c r="AD889" s="45"/>
      <c r="AE889" s="45"/>
      <c r="AF889" s="45"/>
    </row>
    <row r="890" ht="15.75" customHeight="1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  <c r="AD890" s="45"/>
      <c r="AE890" s="45"/>
      <c r="AF890" s="45"/>
    </row>
    <row r="891" ht="15.75" customHeight="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  <c r="AD891" s="45"/>
      <c r="AE891" s="45"/>
      <c r="AF891" s="45"/>
    </row>
    <row r="892" ht="15.75" customHeight="1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  <c r="AD892" s="45"/>
      <c r="AE892" s="45"/>
      <c r="AF892" s="45"/>
    </row>
    <row r="893" ht="15.75" customHeight="1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  <c r="AD893" s="45"/>
      <c r="AE893" s="45"/>
      <c r="AF893" s="45"/>
    </row>
    <row r="894" ht="15.75" customHeight="1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  <c r="AD894" s="45"/>
      <c r="AE894" s="45"/>
      <c r="AF894" s="45"/>
    </row>
    <row r="895" ht="15.75" customHeight="1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  <c r="AD895" s="45"/>
      <c r="AE895" s="45"/>
      <c r="AF895" s="45"/>
    </row>
    <row r="896" ht="15.75" customHeight="1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  <c r="AD896" s="45"/>
      <c r="AE896" s="45"/>
      <c r="AF896" s="45"/>
    </row>
    <row r="897" ht="15.75" customHeight="1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  <c r="AD897" s="45"/>
      <c r="AE897" s="45"/>
      <c r="AF897" s="45"/>
    </row>
    <row r="898" ht="15.75" customHeight="1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  <c r="AD898" s="45"/>
      <c r="AE898" s="45"/>
      <c r="AF898" s="45"/>
    </row>
    <row r="899" ht="15.75" customHeight="1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</row>
    <row r="900" ht="15.75" customHeight="1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  <c r="AD900" s="45"/>
      <c r="AE900" s="45"/>
      <c r="AF900" s="45"/>
    </row>
    <row r="901" ht="15.75" customHeight="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  <c r="AD901" s="45"/>
      <c r="AE901" s="45"/>
      <c r="AF901" s="45"/>
    </row>
    <row r="902" ht="15.75" customHeight="1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</row>
    <row r="903" ht="15.75" customHeight="1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  <c r="AD903" s="45"/>
      <c r="AE903" s="45"/>
      <c r="AF903" s="45"/>
    </row>
    <row r="904" ht="15.75" customHeight="1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  <c r="AD904" s="45"/>
      <c r="AE904" s="45"/>
      <c r="AF904" s="45"/>
    </row>
    <row r="905" ht="15.75" customHeight="1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  <c r="AD905" s="45"/>
      <c r="AE905" s="45"/>
      <c r="AF905" s="45"/>
    </row>
    <row r="906" ht="15.75" customHeight="1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  <c r="AD906" s="45"/>
      <c r="AE906" s="45"/>
      <c r="AF906" s="45"/>
    </row>
    <row r="907" ht="15.75" customHeight="1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  <c r="AD907" s="45"/>
      <c r="AE907" s="45"/>
      <c r="AF907" s="45"/>
    </row>
    <row r="908" ht="15.75" customHeight="1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  <c r="AD908" s="45"/>
      <c r="AE908" s="45"/>
      <c r="AF908" s="45"/>
    </row>
    <row r="909" ht="15.75" customHeight="1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  <c r="AD909" s="45"/>
      <c r="AE909" s="45"/>
      <c r="AF909" s="45"/>
    </row>
    <row r="910" ht="15.75" customHeight="1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  <c r="AD910" s="45"/>
      <c r="AE910" s="45"/>
      <c r="AF910" s="45"/>
    </row>
    <row r="911" ht="15.75" customHeight="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  <c r="AD911" s="45"/>
      <c r="AE911" s="45"/>
      <c r="AF911" s="45"/>
    </row>
    <row r="912" ht="15.75" customHeight="1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  <c r="AD912" s="45"/>
      <c r="AE912" s="45"/>
      <c r="AF912" s="45"/>
    </row>
    <row r="913" ht="15.75" customHeight="1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  <c r="AD913" s="45"/>
      <c r="AE913" s="45"/>
      <c r="AF913" s="45"/>
    </row>
    <row r="914" ht="15.75" customHeight="1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  <c r="AD914" s="45"/>
      <c r="AE914" s="45"/>
      <c r="AF914" s="45"/>
    </row>
    <row r="915" ht="15.75" customHeight="1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  <c r="AD915" s="45"/>
      <c r="AE915" s="45"/>
      <c r="AF915" s="45"/>
    </row>
    <row r="916" ht="15.75" customHeight="1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  <c r="AD916" s="45"/>
      <c r="AE916" s="45"/>
      <c r="AF916" s="45"/>
    </row>
    <row r="917" ht="15.75" customHeight="1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  <c r="AD917" s="45"/>
      <c r="AE917" s="45"/>
      <c r="AF917" s="45"/>
    </row>
    <row r="918" ht="15.75" customHeight="1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  <c r="AC918" s="45"/>
      <c r="AD918" s="45"/>
      <c r="AE918" s="45"/>
      <c r="AF918" s="45"/>
    </row>
    <row r="919" ht="15.75" customHeight="1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  <c r="AD919" s="45"/>
      <c r="AE919" s="45"/>
      <c r="AF919" s="45"/>
    </row>
    <row r="920" ht="15.75" customHeight="1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  <c r="AC920" s="45"/>
      <c r="AD920" s="45"/>
      <c r="AE920" s="45"/>
      <c r="AF920" s="45"/>
    </row>
    <row r="921" ht="15.75" customHeight="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  <c r="AD921" s="45"/>
      <c r="AE921" s="45"/>
      <c r="AF921" s="45"/>
    </row>
    <row r="922" ht="15.75" customHeight="1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  <c r="AC922" s="45"/>
      <c r="AD922" s="45"/>
      <c r="AE922" s="45"/>
      <c r="AF922" s="45"/>
    </row>
    <row r="923" ht="15.75" customHeight="1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  <c r="AD923" s="45"/>
      <c r="AE923" s="45"/>
      <c r="AF923" s="45"/>
    </row>
    <row r="924" ht="15.75" customHeight="1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  <c r="AC924" s="45"/>
      <c r="AD924" s="45"/>
      <c r="AE924" s="45"/>
      <c r="AF924" s="45"/>
    </row>
    <row r="925" ht="15.75" customHeight="1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  <c r="AD925" s="45"/>
      <c r="AE925" s="45"/>
      <c r="AF925" s="45"/>
    </row>
    <row r="926" ht="15.75" customHeight="1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  <c r="AD926" s="45"/>
      <c r="AE926" s="45"/>
      <c r="AF926" s="45"/>
    </row>
    <row r="927" ht="15.75" customHeight="1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  <c r="AD927" s="45"/>
      <c r="AE927" s="45"/>
      <c r="AF927" s="45"/>
    </row>
    <row r="928" ht="15.75" customHeight="1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  <c r="AC928" s="45"/>
      <c r="AD928" s="45"/>
      <c r="AE928" s="45"/>
      <c r="AF928" s="45"/>
    </row>
    <row r="929" ht="15.75" customHeight="1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  <c r="AD929" s="45"/>
      <c r="AE929" s="45"/>
      <c r="AF929" s="45"/>
    </row>
    <row r="930" ht="15.75" customHeight="1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  <c r="AC930" s="45"/>
      <c r="AD930" s="45"/>
      <c r="AE930" s="45"/>
      <c r="AF930" s="45"/>
    </row>
    <row r="931" ht="15.75" customHeight="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  <c r="AD931" s="45"/>
      <c r="AE931" s="45"/>
      <c r="AF931" s="45"/>
    </row>
    <row r="932" ht="15.75" customHeight="1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  <c r="AC932" s="45"/>
      <c r="AD932" s="45"/>
      <c r="AE932" s="45"/>
      <c r="AF932" s="45"/>
    </row>
    <row r="933" ht="15.75" customHeight="1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  <c r="AD933" s="45"/>
      <c r="AE933" s="45"/>
      <c r="AF933" s="45"/>
    </row>
    <row r="934" ht="15.75" customHeight="1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  <c r="AC934" s="45"/>
      <c r="AD934" s="45"/>
      <c r="AE934" s="45"/>
      <c r="AF934" s="45"/>
    </row>
    <row r="935" ht="15.75" customHeight="1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  <c r="AD935" s="45"/>
      <c r="AE935" s="45"/>
      <c r="AF935" s="45"/>
    </row>
    <row r="936" ht="15.75" customHeight="1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  <c r="AC936" s="45"/>
      <c r="AD936" s="45"/>
      <c r="AE936" s="45"/>
      <c r="AF936" s="45"/>
    </row>
    <row r="937" ht="15.75" customHeight="1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</row>
    <row r="938" ht="15.75" customHeight="1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  <c r="AC938" s="45"/>
      <c r="AD938" s="45"/>
      <c r="AE938" s="45"/>
      <c r="AF938" s="45"/>
    </row>
    <row r="939" ht="15.75" customHeight="1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  <c r="AD939" s="45"/>
      <c r="AE939" s="45"/>
      <c r="AF939" s="45"/>
    </row>
    <row r="940" ht="15.75" customHeight="1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</row>
    <row r="941" ht="15.75" customHeight="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  <c r="AD941" s="45"/>
      <c r="AE941" s="45"/>
      <c r="AF941" s="45"/>
    </row>
    <row r="942" ht="15.75" customHeight="1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  <c r="AC942" s="45"/>
      <c r="AD942" s="45"/>
      <c r="AE942" s="45"/>
      <c r="AF942" s="45"/>
    </row>
    <row r="943" ht="15.75" customHeight="1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  <c r="AD943" s="45"/>
      <c r="AE943" s="45"/>
      <c r="AF943" s="45"/>
    </row>
    <row r="944" ht="15.75" customHeight="1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  <c r="AC944" s="45"/>
      <c r="AD944" s="45"/>
      <c r="AE944" s="45"/>
      <c r="AF944" s="45"/>
    </row>
    <row r="945" ht="15.75" customHeight="1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  <c r="AC945" s="45"/>
      <c r="AD945" s="45"/>
      <c r="AE945" s="45"/>
      <c r="AF945" s="45"/>
    </row>
    <row r="946" ht="15.75" customHeight="1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  <c r="AC946" s="45"/>
      <c r="AD946" s="45"/>
      <c r="AE946" s="45"/>
      <c r="AF946" s="45"/>
    </row>
    <row r="947" ht="15.75" customHeight="1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  <c r="AD947" s="45"/>
      <c r="AE947" s="45"/>
      <c r="AF947" s="45"/>
    </row>
    <row r="948" ht="15.75" customHeight="1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  <c r="AC948" s="45"/>
      <c r="AD948" s="45"/>
      <c r="AE948" s="45"/>
      <c r="AF948" s="45"/>
    </row>
    <row r="949" ht="15.75" customHeight="1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  <c r="AC949" s="45"/>
      <c r="AD949" s="45"/>
      <c r="AE949" s="45"/>
      <c r="AF949" s="45"/>
    </row>
    <row r="950" ht="15.75" customHeight="1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  <c r="AC950" s="45"/>
      <c r="AD950" s="45"/>
      <c r="AE950" s="45"/>
      <c r="AF950" s="45"/>
    </row>
    <row r="951" ht="15.75" customHeight="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  <c r="AC951" s="45"/>
      <c r="AD951" s="45"/>
      <c r="AE951" s="45"/>
      <c r="AF951" s="45"/>
    </row>
    <row r="952" ht="15.75" customHeight="1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  <c r="AC952" s="45"/>
      <c r="AD952" s="45"/>
      <c r="AE952" s="45"/>
      <c r="AF952" s="45"/>
    </row>
    <row r="953" ht="15.75" customHeight="1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  <c r="AC953" s="45"/>
      <c r="AD953" s="45"/>
      <c r="AE953" s="45"/>
      <c r="AF953" s="45"/>
    </row>
    <row r="954" ht="15.75" customHeight="1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  <c r="AC954" s="45"/>
      <c r="AD954" s="45"/>
      <c r="AE954" s="45"/>
      <c r="AF954" s="45"/>
    </row>
    <row r="955" ht="15.75" customHeight="1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  <c r="AC955" s="45"/>
      <c r="AD955" s="45"/>
      <c r="AE955" s="45"/>
      <c r="AF955" s="45"/>
    </row>
    <row r="956" ht="15.75" customHeight="1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  <c r="AC956" s="45"/>
      <c r="AD956" s="45"/>
      <c r="AE956" s="45"/>
      <c r="AF956" s="45"/>
    </row>
    <row r="957" ht="15.75" customHeight="1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  <c r="AC957" s="45"/>
      <c r="AD957" s="45"/>
      <c r="AE957" s="45"/>
      <c r="AF957" s="45"/>
    </row>
    <row r="958" ht="15.75" customHeight="1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  <c r="AC958" s="45"/>
      <c r="AD958" s="45"/>
      <c r="AE958" s="45"/>
      <c r="AF958" s="45"/>
    </row>
    <row r="959" ht="15.75" customHeight="1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  <c r="AC959" s="45"/>
      <c r="AD959" s="45"/>
      <c r="AE959" s="45"/>
      <c r="AF959" s="45"/>
    </row>
    <row r="960" ht="15.75" customHeight="1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  <c r="AC960" s="45"/>
      <c r="AD960" s="45"/>
      <c r="AE960" s="45"/>
      <c r="AF960" s="45"/>
    </row>
    <row r="961" ht="15.75" customHeight="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  <c r="AC961" s="45"/>
      <c r="AD961" s="45"/>
      <c r="AE961" s="45"/>
      <c r="AF961" s="45"/>
    </row>
    <row r="962" ht="15.75" customHeight="1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  <c r="AC962" s="45"/>
      <c r="AD962" s="45"/>
      <c r="AE962" s="45"/>
      <c r="AF962" s="45"/>
    </row>
    <row r="963" ht="15.75" customHeight="1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  <c r="AC963" s="45"/>
      <c r="AD963" s="45"/>
      <c r="AE963" s="45"/>
      <c r="AF963" s="45"/>
    </row>
    <row r="964" ht="15.75" customHeight="1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  <c r="AC964" s="45"/>
      <c r="AD964" s="45"/>
      <c r="AE964" s="45"/>
      <c r="AF964" s="45"/>
    </row>
    <row r="965" ht="15.75" customHeight="1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  <c r="AC965" s="45"/>
      <c r="AD965" s="45"/>
      <c r="AE965" s="45"/>
      <c r="AF965" s="45"/>
    </row>
    <row r="966" ht="15.75" customHeight="1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  <c r="AC966" s="45"/>
      <c r="AD966" s="45"/>
      <c r="AE966" s="45"/>
      <c r="AF966" s="45"/>
    </row>
    <row r="967" ht="15.75" customHeight="1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  <c r="AC967" s="45"/>
      <c r="AD967" s="45"/>
      <c r="AE967" s="45"/>
      <c r="AF967" s="45"/>
    </row>
    <row r="968" ht="15.75" customHeight="1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  <c r="AC968" s="45"/>
      <c r="AD968" s="45"/>
      <c r="AE968" s="45"/>
      <c r="AF968" s="45"/>
    </row>
    <row r="969" ht="15.75" customHeight="1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  <c r="AC969" s="45"/>
      <c r="AD969" s="45"/>
      <c r="AE969" s="45"/>
      <c r="AF969" s="45"/>
    </row>
    <row r="970" ht="15.75" customHeight="1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  <c r="AC970" s="45"/>
      <c r="AD970" s="45"/>
      <c r="AE970" s="45"/>
      <c r="AF970" s="45"/>
    </row>
    <row r="971" ht="15.75" customHeight="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  <c r="AC971" s="45"/>
      <c r="AD971" s="45"/>
      <c r="AE971" s="45"/>
      <c r="AF971" s="45"/>
    </row>
    <row r="972" ht="15.75" customHeight="1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  <c r="AC972" s="45"/>
      <c r="AD972" s="45"/>
      <c r="AE972" s="45"/>
      <c r="AF972" s="45"/>
    </row>
    <row r="973" ht="15.75" customHeight="1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  <c r="AC973" s="45"/>
      <c r="AD973" s="45"/>
      <c r="AE973" s="45"/>
      <c r="AF973" s="45"/>
    </row>
    <row r="974" ht="15.75" customHeight="1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  <c r="AC974" s="45"/>
      <c r="AD974" s="45"/>
      <c r="AE974" s="45"/>
      <c r="AF974" s="45"/>
    </row>
    <row r="975" ht="15.75" customHeight="1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</row>
    <row r="976" ht="15.75" customHeight="1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  <c r="AC976" s="45"/>
      <c r="AD976" s="45"/>
      <c r="AE976" s="45"/>
      <c r="AF976" s="45"/>
    </row>
    <row r="977" ht="15.75" customHeight="1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  <c r="AC977" s="45"/>
      <c r="AD977" s="45"/>
      <c r="AE977" s="45"/>
      <c r="AF977" s="45"/>
    </row>
    <row r="978" ht="15.75" customHeight="1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</row>
    <row r="979" ht="15.75" customHeight="1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  <c r="AC979" s="45"/>
      <c r="AD979" s="45"/>
      <c r="AE979" s="45"/>
      <c r="AF979" s="45"/>
    </row>
    <row r="980" ht="15.75" customHeight="1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  <c r="AB980" s="45"/>
      <c r="AC980" s="45"/>
      <c r="AD980" s="45"/>
      <c r="AE980" s="45"/>
      <c r="AF980" s="45"/>
    </row>
    <row r="981" ht="15.75" customHeight="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  <c r="AC981" s="45"/>
      <c r="AD981" s="45"/>
      <c r="AE981" s="45"/>
      <c r="AF981" s="45"/>
    </row>
    <row r="982" ht="15.75" customHeight="1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  <c r="AB982" s="45"/>
      <c r="AC982" s="45"/>
      <c r="AD982" s="45"/>
      <c r="AE982" s="45"/>
      <c r="AF982" s="45"/>
    </row>
    <row r="983" ht="15.75" customHeight="1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  <c r="AC983" s="45"/>
      <c r="AD983" s="45"/>
      <c r="AE983" s="45"/>
      <c r="AF983" s="45"/>
    </row>
    <row r="984" ht="15.75" customHeight="1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  <c r="AB984" s="45"/>
      <c r="AC984" s="45"/>
      <c r="AD984" s="45"/>
      <c r="AE984" s="45"/>
      <c r="AF984" s="45"/>
    </row>
    <row r="985" ht="15.75" customHeight="1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  <c r="AC985" s="45"/>
      <c r="AD985" s="45"/>
      <c r="AE985" s="45"/>
      <c r="AF985" s="45"/>
    </row>
    <row r="986" ht="15.75" customHeight="1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  <c r="AB986" s="45"/>
      <c r="AC986" s="45"/>
      <c r="AD986" s="45"/>
      <c r="AE986" s="45"/>
      <c r="AF986" s="45"/>
    </row>
    <row r="987" ht="15.75" customHeight="1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  <c r="AC987" s="45"/>
      <c r="AD987" s="45"/>
      <c r="AE987" s="45"/>
      <c r="AF987" s="45"/>
    </row>
    <row r="988" ht="15.75" customHeight="1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  <c r="AB988" s="45"/>
      <c r="AC988" s="45"/>
      <c r="AD988" s="45"/>
      <c r="AE988" s="45"/>
      <c r="AF988" s="45"/>
    </row>
    <row r="989" ht="15.75" customHeight="1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  <c r="AC989" s="45"/>
      <c r="AD989" s="45"/>
      <c r="AE989" s="45"/>
      <c r="AF989" s="45"/>
    </row>
    <row r="990" ht="15.75" customHeight="1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5"/>
      <c r="AB990" s="45"/>
      <c r="AC990" s="45"/>
      <c r="AD990" s="45"/>
      <c r="AE990" s="45"/>
      <c r="AF990" s="45"/>
    </row>
    <row r="991" ht="15.75" customHeight="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  <c r="AB991" s="45"/>
      <c r="AC991" s="45"/>
      <c r="AD991" s="45"/>
      <c r="AE991" s="45"/>
      <c r="AF991" s="45"/>
    </row>
    <row r="992" ht="15.75" customHeight="1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/>
      <c r="AB992" s="45"/>
      <c r="AC992" s="45"/>
      <c r="AD992" s="45"/>
      <c r="AE992" s="45"/>
      <c r="AF992" s="45"/>
    </row>
    <row r="993" ht="15.75" customHeight="1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  <c r="AC993" s="45"/>
      <c r="AD993" s="45"/>
      <c r="AE993" s="45"/>
      <c r="AF993" s="45"/>
    </row>
    <row r="994" ht="15.75" customHeight="1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  <c r="AB994" s="45"/>
      <c r="AC994" s="45"/>
      <c r="AD994" s="45"/>
      <c r="AE994" s="45"/>
      <c r="AF994" s="45"/>
    </row>
    <row r="995" ht="15.75" customHeight="1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  <c r="AC995" s="45"/>
      <c r="AD995" s="45"/>
      <c r="AE995" s="45"/>
      <c r="AF995" s="45"/>
    </row>
    <row r="996" ht="15.75" customHeight="1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  <c r="AB996" s="45"/>
      <c r="AC996" s="45"/>
      <c r="AD996" s="45"/>
      <c r="AE996" s="45"/>
      <c r="AF996" s="45"/>
    </row>
    <row r="997" ht="15.75" customHeight="1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  <c r="AC997" s="45"/>
      <c r="AD997" s="45"/>
      <c r="AE997" s="45"/>
      <c r="AF997" s="45"/>
    </row>
  </sheetData>
  <mergeCells count="2">
    <mergeCell ref="A125:M125"/>
    <mergeCell ref="A135:M135"/>
  </mergeCells>
  <drawing r:id="rId4"/>
  <legacyDrawing r:id="rId5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sheetData>
    <row r="1">
      <c r="A1" s="32" t="s">
        <v>304</v>
      </c>
      <c r="B1" s="32">
        <v>5.0</v>
      </c>
      <c r="C1" s="32"/>
      <c r="D1" s="32"/>
      <c r="E1" s="32"/>
      <c r="F1" s="32"/>
      <c r="G1" s="32"/>
      <c r="H1" s="32"/>
    </row>
    <row r="2">
      <c r="A2" s="32" t="s">
        <v>353</v>
      </c>
      <c r="B2" s="32" t="s">
        <v>354</v>
      </c>
      <c r="C2" s="32" t="s">
        <v>355</v>
      </c>
      <c r="D2" s="32" t="s">
        <v>356</v>
      </c>
      <c r="E2" s="32" t="s">
        <v>327</v>
      </c>
      <c r="F2" s="32" t="s">
        <v>114</v>
      </c>
      <c r="G2" s="32" t="s">
        <v>332</v>
      </c>
      <c r="H2" s="32" t="s">
        <v>357</v>
      </c>
      <c r="I2" s="32" t="s">
        <v>335</v>
      </c>
      <c r="J2" s="32" t="s">
        <v>72</v>
      </c>
    </row>
    <row r="3">
      <c r="A3" s="32">
        <v>1.0</v>
      </c>
      <c r="B3" s="49">
        <v>80.0</v>
      </c>
      <c r="C3" s="151">
        <f>SUMIFS(CloudBed!O:O,CloudBed!T:T,"Money Box",CloudBed!Q:Q,A3,CloudBed!R:R,$B$1)</f>
        <v>0</v>
      </c>
      <c r="D3" s="151">
        <f>SUMIFS(CloudBed!U:U,CloudBed!Z:Z,"Money Box",CloudBed!W:W,A3,CloudBed!X:X,$B$1)</f>
        <v>0</v>
      </c>
      <c r="E3" s="151">
        <f>SUMIFS(FF!E:E,FF!B:B,A3,FF!C:C,$B$1,FF!F:F,"FF")</f>
        <v>40</v>
      </c>
      <c r="F3" s="151">
        <f>sumifs(Extra!H:H,Extra!B:B,A3,Extra!C:C,$B$1,Extra!I:I,"MoneyBox")</f>
        <v>0</v>
      </c>
      <c r="G3" s="151">
        <f>SUMIFS(Dados!N:N,Dados!F:F,A3,Dados!G:G,$B$1,Dados!D:D,"MoneyBox")</f>
        <v>0</v>
      </c>
      <c r="H3" s="34">
        <f t="shared" ref="H3:H34" si="1">B3+D3+C3+F3+E3-G3</f>
        <v>120</v>
      </c>
      <c r="I3" s="32">
        <v>124.0</v>
      </c>
      <c r="J3" s="34">
        <f t="shared" ref="J3:J34" si="2">H3-I3</f>
        <v>-4</v>
      </c>
    </row>
    <row r="4">
      <c r="A4" s="32">
        <v>2.0</v>
      </c>
      <c r="B4" s="34">
        <f t="shared" ref="B4:B33" si="3">H3</f>
        <v>120</v>
      </c>
      <c r="C4" s="151">
        <f>SUMIFS(CloudBed!O:O,CloudBed!T:T,"Money Box",CloudBed!Q:Q,A4,CloudBed!R:R,$B$1)</f>
        <v>6</v>
      </c>
      <c r="D4" s="151">
        <f>SUMIFS(CloudBed!U:U,CloudBed!Z:Z,"Money Box",CloudBed!W:W,A4,CloudBed!X:X,$B$1)</f>
        <v>161</v>
      </c>
      <c r="E4" s="151">
        <f>SUMIFS(FF!E:E,FF!B:B,A4,FF!C:C,$B$1,FF!F:F,"FF")</f>
        <v>45</v>
      </c>
      <c r="F4" s="151">
        <f>sumifs(Extra!H:H,Extra!B:B,A4,Extra!C:C,$B$1,Extra!I:I,"MoneyBox")</f>
        <v>0</v>
      </c>
      <c r="G4" s="151">
        <f>SUMIFS(Dados!N:N,Dados!F:F,A4,Dados!G:G,$B$1,Dados!D:D,"MoneyBox")</f>
        <v>0</v>
      </c>
      <c r="H4" s="34">
        <f t="shared" si="1"/>
        <v>332</v>
      </c>
      <c r="I4" s="32">
        <v>364.0</v>
      </c>
      <c r="J4" s="34">
        <f t="shared" si="2"/>
        <v>-32</v>
      </c>
    </row>
    <row r="5">
      <c r="A5" s="32">
        <v>3.0</v>
      </c>
      <c r="B5" s="34">
        <f t="shared" si="3"/>
        <v>332</v>
      </c>
      <c r="C5" s="151">
        <f>SUMIFS(CloudBed!O:O,CloudBed!T:T,"Money Box",CloudBed!Q:Q,A5,CloudBed!R:R,$B$1)</f>
        <v>4</v>
      </c>
      <c r="D5" s="151">
        <f>SUMIFS(CloudBed!U:U,CloudBed!Z:Z,"Money Box",CloudBed!W:W,A5,CloudBed!X:X,$B$1)</f>
        <v>40.25</v>
      </c>
      <c r="E5" s="151">
        <f>SUMIFS(FF!E:E,FF!B:B,A5,FF!C:C,$B$1,FF!F:F,"FF")</f>
        <v>0</v>
      </c>
      <c r="F5" s="151">
        <f>sumifs(Extra!H:H,Extra!B:B,A5,Extra!C:C,$B$1,Extra!I:I,"MoneyBox")</f>
        <v>0</v>
      </c>
      <c r="G5" s="151">
        <f>SUMIFS(Dados!N:N,Dados!F:F,A5,Dados!G:G,$B$1,Dados!D:D,"MoneyBox")</f>
        <v>0</v>
      </c>
      <c r="H5" s="34">
        <f t="shared" si="1"/>
        <v>376.25</v>
      </c>
      <c r="I5" s="32">
        <v>436.5</v>
      </c>
      <c r="J5" s="34">
        <f t="shared" si="2"/>
        <v>-60.25</v>
      </c>
    </row>
    <row r="6">
      <c r="A6" s="32">
        <v>4.0</v>
      </c>
      <c r="B6" s="34">
        <f t="shared" si="3"/>
        <v>376.25</v>
      </c>
      <c r="C6" s="151">
        <f>SUMIFS(CloudBed!O:O,CloudBed!T:T,"Money Box",CloudBed!Q:Q,A6,CloudBed!R:R,$B$1)</f>
        <v>8</v>
      </c>
      <c r="D6" s="151">
        <f>SUMIFS(CloudBed!U:U,CloudBed!Z:Z,"Money Box",CloudBed!W:W,A6,CloudBed!X:X,$B$1)</f>
        <v>0</v>
      </c>
      <c r="E6" s="151">
        <f>SUMIFS(FF!E:E,FF!B:B,A6,FF!C:C,$B$1,FF!F:F,"FF")</f>
        <v>0</v>
      </c>
      <c r="F6" s="151">
        <f>sumifs(Extra!H:H,Extra!B:B,A6,Extra!C:C,$B$1,Extra!I:I,"MoneyBox")</f>
        <v>0</v>
      </c>
      <c r="G6" s="151">
        <f>SUMIFS(Dados!N:N,Dados!F:F,A6,Dados!G:G,$B$1,Dados!D:D,"MoneyBox")</f>
        <v>0</v>
      </c>
      <c r="H6" s="34">
        <f t="shared" si="1"/>
        <v>384.25</v>
      </c>
      <c r="J6" s="34">
        <f t="shared" si="2"/>
        <v>384.25</v>
      </c>
    </row>
    <row r="7">
      <c r="A7" s="32">
        <v>5.0</v>
      </c>
      <c r="B7" s="34">
        <f t="shared" si="3"/>
        <v>384.25</v>
      </c>
      <c r="C7" s="151">
        <f>SUMIFS(CloudBed!O:O,CloudBed!T:T,"Money Box",CloudBed!Q:Q,A7,CloudBed!R:R,$B$1)</f>
        <v>10</v>
      </c>
      <c r="D7" s="151">
        <f>SUMIFS(CloudBed!U:U,CloudBed!Z:Z,"Money Box",CloudBed!W:W,A7,CloudBed!X:X,$B$1)</f>
        <v>0</v>
      </c>
      <c r="E7" s="151">
        <f>SUMIFS(FF!E:E,FF!B:B,A7,FF!C:C,$B$1,FF!F:F,"FF")</f>
        <v>0</v>
      </c>
      <c r="F7" s="151">
        <f>sumifs(Extra!H:H,Extra!B:B,A7,Extra!C:C,$B$1,Extra!I:I,"MoneyBox")</f>
        <v>0</v>
      </c>
      <c r="G7" s="151">
        <f>SUMIFS(Dados!N:N,Dados!F:F,A7,Dados!G:G,$B$1,Dados!D:D,"MoneyBox")</f>
        <v>0</v>
      </c>
      <c r="H7" s="34">
        <f t="shared" si="1"/>
        <v>394.25</v>
      </c>
      <c r="I7" s="32">
        <v>478.3</v>
      </c>
      <c r="J7" s="34">
        <f t="shared" si="2"/>
        <v>-84.05</v>
      </c>
    </row>
    <row r="8">
      <c r="A8" s="32">
        <v>6.0</v>
      </c>
      <c r="B8" s="34">
        <f t="shared" si="3"/>
        <v>394.25</v>
      </c>
      <c r="C8" s="151">
        <f>SUMIFS(CloudBed!O:O,CloudBed!T:T,"Money Box",CloudBed!Q:Q,A8,CloudBed!R:R,$B$1)</f>
        <v>2</v>
      </c>
      <c r="D8" s="151">
        <f>SUMIFS(CloudBed!U:U,CloudBed!Z:Z,"Money Box",CloudBed!W:W,A8,CloudBed!X:X,$B$1)</f>
        <v>161</v>
      </c>
      <c r="E8" s="151">
        <f>SUMIFS(FF!E:E,FF!B:B,A8,FF!C:C,$B$1,FF!F:F,"FF")</f>
        <v>45</v>
      </c>
      <c r="F8" s="151">
        <f>sumifs(Extra!H:H,Extra!B:B,A8,Extra!C:C,$B$1,Extra!I:I,"MoneyBox")</f>
        <v>0</v>
      </c>
      <c r="G8" s="151">
        <f>SUMIFS(Dados!N:N,Dados!F:F,A8,Dados!G:G,$B$1,Dados!D:D,"MoneyBox")</f>
        <v>0</v>
      </c>
      <c r="H8" s="34">
        <f t="shared" si="1"/>
        <v>602.25</v>
      </c>
      <c r="I8" s="32">
        <v>680.3</v>
      </c>
      <c r="J8" s="34">
        <f t="shared" si="2"/>
        <v>-78.05</v>
      </c>
    </row>
    <row r="9">
      <c r="A9" s="32">
        <v>7.0</v>
      </c>
      <c r="B9" s="34">
        <f t="shared" si="3"/>
        <v>602.25</v>
      </c>
      <c r="C9" s="151">
        <f>SUMIFS(CloudBed!O:O,CloudBed!T:T,"Money Box",CloudBed!Q:Q,A9,CloudBed!R:R,$B$1)</f>
        <v>0</v>
      </c>
      <c r="D9" s="151">
        <f>SUMIFS(CloudBed!U:U,CloudBed!Z:Z,"Money Box",CloudBed!W:W,A9,CloudBed!X:X,$B$1)</f>
        <v>0</v>
      </c>
      <c r="E9" s="151">
        <f>SUMIFS(FF!E:E,FF!B:B,A9,FF!C:C,$B$1,FF!F:F,"FF")</f>
        <v>0</v>
      </c>
      <c r="F9" s="151">
        <f>sumifs(Extra!H:H,Extra!B:B,A9,Extra!C:C,$B$1,Extra!I:I,"MoneyBox")</f>
        <v>0</v>
      </c>
      <c r="G9" s="151">
        <f>SUMIFS(Dados!N:N,Dados!F:F,A9,Dados!G:G,$B$1,Dados!D:D,"MoneyBox")</f>
        <v>0</v>
      </c>
      <c r="H9" s="34">
        <f t="shared" si="1"/>
        <v>602.25</v>
      </c>
      <c r="I9" s="32">
        <v>306.55</v>
      </c>
      <c r="J9" s="34">
        <f t="shared" si="2"/>
        <v>295.7</v>
      </c>
    </row>
    <row r="10">
      <c r="A10" s="32">
        <v>8.0</v>
      </c>
      <c r="B10" s="34">
        <f t="shared" si="3"/>
        <v>602.25</v>
      </c>
      <c r="C10" s="151">
        <f>SUMIFS(CloudBed!O:O,CloudBed!T:T,"Money Box",CloudBed!Q:Q,A10,CloudBed!R:R,$B$1)</f>
        <v>2</v>
      </c>
      <c r="D10" s="151">
        <f>SUMIFS(CloudBed!U:U,CloudBed!Z:Z,"Money Box",CloudBed!W:W,A10,CloudBed!X:X,$B$1)</f>
        <v>40.25</v>
      </c>
      <c r="E10" s="151">
        <f>SUMIFS(FF!E:E,FF!B:B,A10,FF!C:C,$B$1,FF!F:F,"FF")</f>
        <v>0</v>
      </c>
      <c r="F10" s="151">
        <f>sumifs(Extra!H:H,Extra!B:B,A10,Extra!C:C,$B$1,Extra!I:I,"MoneyBox")</f>
        <v>0</v>
      </c>
      <c r="G10" s="151">
        <f>SUMIFS(Dados!N:N,Dados!F:F,A10,Dados!G:G,$B$1,Dados!D:D,"MoneyBox")</f>
        <v>0</v>
      </c>
      <c r="H10" s="34">
        <f t="shared" si="1"/>
        <v>644.5</v>
      </c>
      <c r="I10" s="32">
        <v>242.05</v>
      </c>
      <c r="J10" s="34">
        <f t="shared" si="2"/>
        <v>402.45</v>
      </c>
    </row>
    <row r="11">
      <c r="A11" s="32">
        <v>9.0</v>
      </c>
      <c r="B11" s="34">
        <f t="shared" si="3"/>
        <v>644.5</v>
      </c>
      <c r="C11" s="151">
        <f>SUMIFS(CloudBed!O:O,CloudBed!T:T,"Money Box",CloudBed!Q:Q,A11,CloudBed!R:R,$B$1)</f>
        <v>4</v>
      </c>
      <c r="D11" s="151">
        <f>SUMIFS(CloudBed!U:U,CloudBed!Z:Z,"Money Box",CloudBed!W:W,A11,CloudBed!X:X,$B$1)</f>
        <v>0</v>
      </c>
      <c r="E11" s="151">
        <f>SUMIFS(FF!E:E,FF!B:B,A11,FF!C:C,$B$1,FF!F:F,"FF")</f>
        <v>0</v>
      </c>
      <c r="F11" s="151">
        <f>sumifs(Extra!H:H,Extra!B:B,A11,Extra!C:C,$B$1,Extra!I:I,"MoneyBox")</f>
        <v>0</v>
      </c>
      <c r="G11" s="151">
        <f>SUMIFS(Dados!N:N,Dados!F:F,A11,Dados!G:G,$B$1,Dados!D:D,"MoneyBox")</f>
        <v>0</v>
      </c>
      <c r="H11" s="34">
        <f t="shared" si="1"/>
        <v>648.5</v>
      </c>
      <c r="I11" s="32">
        <v>168.05</v>
      </c>
      <c r="J11" s="34">
        <f t="shared" si="2"/>
        <v>480.45</v>
      </c>
    </row>
    <row r="12">
      <c r="A12" s="32">
        <v>10.0</v>
      </c>
      <c r="B12" s="34">
        <f t="shared" si="3"/>
        <v>648.5</v>
      </c>
      <c r="C12" s="151">
        <f>SUMIFS(CloudBed!O:O,CloudBed!T:T,"Money Box",CloudBed!Q:Q,A12,CloudBed!R:R,$B$1)</f>
        <v>10</v>
      </c>
      <c r="D12" s="151">
        <f>SUMIFS(CloudBed!U:U,CloudBed!Z:Z,"Money Box",CloudBed!W:W,A12,CloudBed!X:X,$B$1)</f>
        <v>0</v>
      </c>
      <c r="E12" s="151">
        <f>SUMIFS(FF!E:E,FF!B:B,A12,FF!C:C,$B$1,FF!F:F,"FF")</f>
        <v>0</v>
      </c>
      <c r="F12" s="151">
        <f>sumifs(Extra!H:H,Extra!B:B,A12,Extra!C:C,$B$1,Extra!I:I,"MoneyBox")</f>
        <v>0</v>
      </c>
      <c r="G12" s="151">
        <f>SUMIFS(Dados!N:N,Dados!F:F,A12,Dados!G:G,$B$1,Dados!D:D,"MoneyBox")</f>
        <v>0</v>
      </c>
      <c r="H12" s="34">
        <f t="shared" si="1"/>
        <v>658.5</v>
      </c>
      <c r="I12" s="32">
        <v>183.05</v>
      </c>
      <c r="J12" s="34">
        <f t="shared" si="2"/>
        <v>475.45</v>
      </c>
    </row>
    <row r="13">
      <c r="A13" s="32">
        <v>11.0</v>
      </c>
      <c r="B13" s="34">
        <f t="shared" si="3"/>
        <v>658.5</v>
      </c>
      <c r="C13" s="151">
        <f>SUMIFS(CloudBed!O:O,CloudBed!T:T,"Money Box",CloudBed!Q:Q,A13,CloudBed!R:R,$B$1)</f>
        <v>2</v>
      </c>
      <c r="D13" s="151">
        <f>SUMIFS(CloudBed!U:U,CloudBed!Z:Z,"Money Box",CloudBed!W:W,A13,CloudBed!X:X,$B$1)</f>
        <v>80.5</v>
      </c>
      <c r="E13" s="151">
        <f>SUMIFS(FF!E:E,FF!B:B,A13,FF!C:C,$B$1,FF!F:F,"FF")</f>
        <v>0</v>
      </c>
      <c r="F13" s="151">
        <f>sumifs(Extra!H:H,Extra!B:B,A13,Extra!C:C,$B$1,Extra!I:I,"MoneyBox")</f>
        <v>0</v>
      </c>
      <c r="G13" s="151">
        <f>SUMIFS(Dados!N:N,Dados!F:F,A13,Dados!G:G,$B$1,Dados!D:D,"MoneyBox")</f>
        <v>0</v>
      </c>
      <c r="H13" s="34">
        <f t="shared" si="1"/>
        <v>741</v>
      </c>
      <c r="I13" s="32">
        <v>260.08</v>
      </c>
      <c r="J13" s="34">
        <f t="shared" si="2"/>
        <v>480.92</v>
      </c>
    </row>
    <row r="14">
      <c r="A14" s="32">
        <v>12.0</v>
      </c>
      <c r="B14" s="34">
        <f t="shared" si="3"/>
        <v>741</v>
      </c>
      <c r="C14" s="151">
        <f>SUMIFS(CloudBed!O:O,CloudBed!T:T,"Money Box",CloudBed!Q:Q,A14,CloudBed!R:R,$B$1)</f>
        <v>12</v>
      </c>
      <c r="D14" s="151">
        <f>SUMIFS(CloudBed!U:U,CloudBed!Z:Z,"Money Box",CloudBed!W:W,A14,CloudBed!X:X,$B$1)</f>
        <v>72</v>
      </c>
      <c r="E14" s="151">
        <f>SUMIFS(FF!E:E,FF!B:B,A14,FF!C:C,$B$1,FF!F:F,"FF")</f>
        <v>0</v>
      </c>
      <c r="F14" s="151">
        <f>sumifs(Extra!H:H,Extra!B:B,A14,Extra!C:C,$B$1,Extra!I:I,"MoneyBox")</f>
        <v>0</v>
      </c>
      <c r="G14" s="151">
        <f>SUMIFS(Dados!N:N,Dados!F:F,A14,Dados!G:G,$B$1,Dados!D:D,"MoneyBox")</f>
        <v>0</v>
      </c>
      <c r="H14" s="34">
        <f t="shared" si="1"/>
        <v>825</v>
      </c>
      <c r="I14" s="32">
        <v>341.0</v>
      </c>
      <c r="J14" s="34">
        <f t="shared" si="2"/>
        <v>484</v>
      </c>
    </row>
    <row r="15">
      <c r="A15" s="32">
        <v>13.0</v>
      </c>
      <c r="B15" s="34">
        <f t="shared" si="3"/>
        <v>825</v>
      </c>
      <c r="C15" s="151">
        <f>SUMIFS(CloudBed!O:O,CloudBed!T:T,"Money Box",CloudBed!Q:Q,A15,CloudBed!R:R,$B$1)</f>
        <v>4</v>
      </c>
      <c r="D15" s="151">
        <f>SUMIFS(CloudBed!U:U,CloudBed!Z:Z,"Money Box",CloudBed!W:W,A15,CloudBed!X:X,$B$1)</f>
        <v>76.5</v>
      </c>
      <c r="E15" s="151">
        <f>SUMIFS(FF!E:E,FF!B:B,A15,FF!C:C,$B$1,FF!F:F,"FF")</f>
        <v>0</v>
      </c>
      <c r="F15" s="151">
        <f>sumifs(Extra!H:H,Extra!B:B,A15,Extra!C:C,$B$1,Extra!I:I,"MoneyBox")</f>
        <v>0</v>
      </c>
      <c r="G15" s="151">
        <f>SUMIFS(Dados!N:N,Dados!F:F,A15,Dados!G:G,$B$1,Dados!D:D,"MoneyBox")</f>
        <v>0</v>
      </c>
      <c r="H15" s="34">
        <f t="shared" si="1"/>
        <v>905.5</v>
      </c>
      <c r="I15" s="32">
        <v>430.6</v>
      </c>
      <c r="J15" s="34">
        <f t="shared" si="2"/>
        <v>474.9</v>
      </c>
    </row>
    <row r="16">
      <c r="A16" s="32">
        <v>14.0</v>
      </c>
      <c r="B16" s="34">
        <f t="shared" si="3"/>
        <v>905.5</v>
      </c>
      <c r="C16" s="151">
        <f>SUMIFS(CloudBed!O:O,CloudBed!T:T,"Money Box",CloudBed!Q:Q,A16,CloudBed!R:R,$B$1)</f>
        <v>8</v>
      </c>
      <c r="D16" s="151">
        <f>SUMIFS(CloudBed!U:U,CloudBed!Z:Z,"Money Box",CloudBed!W:W,A16,CloudBed!X:X,$B$1)</f>
        <v>0</v>
      </c>
      <c r="E16" s="151">
        <f>SUMIFS(FF!E:E,FF!B:B,A16,FF!C:C,$B$1,FF!F:F,"FF")</f>
        <v>0</v>
      </c>
      <c r="F16" s="151">
        <f>sumifs(Extra!H:H,Extra!B:B,A16,Extra!C:C,$B$1,Extra!I:I,"MoneyBox")</f>
        <v>0</v>
      </c>
      <c r="G16" s="151">
        <f>SUMIFS(Dados!N:N,Dados!F:F,A16,Dados!G:G,$B$1,Dados!D:D,"MoneyBox")</f>
        <v>0</v>
      </c>
      <c r="H16" s="34">
        <f t="shared" si="1"/>
        <v>913.5</v>
      </c>
      <c r="I16" s="32">
        <v>410.69</v>
      </c>
      <c r="J16" s="34">
        <f t="shared" si="2"/>
        <v>502.81</v>
      </c>
    </row>
    <row r="17">
      <c r="A17" s="32">
        <v>15.0</v>
      </c>
      <c r="B17" s="34">
        <f t="shared" si="3"/>
        <v>913.5</v>
      </c>
      <c r="C17" s="151">
        <f>SUMIFS(CloudBed!O:O,CloudBed!T:T,"Money Box",CloudBed!Q:Q,A17,CloudBed!R:R,$B$1)</f>
        <v>0</v>
      </c>
      <c r="D17" s="151">
        <f>SUMIFS(CloudBed!U:U,CloudBed!Z:Z,"Money Box",CloudBed!W:W,A17,CloudBed!X:X,$B$1)</f>
        <v>0</v>
      </c>
      <c r="E17" s="151">
        <f>SUMIFS(FF!E:E,FF!B:B,A17,FF!C:C,$B$1,FF!F:F,"FF")</f>
        <v>40</v>
      </c>
      <c r="F17" s="151">
        <f>sumifs(Extra!H:H,Extra!B:B,A17,Extra!C:C,$B$1,Extra!I:I,"MoneyBox")</f>
        <v>0</v>
      </c>
      <c r="G17" s="151">
        <f>SUMIFS(Dados!N:N,Dados!F:F,A17,Dados!G:G,$B$1,Dados!D:D,"MoneyBox")</f>
        <v>0</v>
      </c>
      <c r="H17" s="34">
        <f t="shared" si="1"/>
        <v>953.5</v>
      </c>
      <c r="I17" s="32">
        <v>451.4</v>
      </c>
      <c r="J17" s="34">
        <f t="shared" si="2"/>
        <v>502.1</v>
      </c>
    </row>
    <row r="18">
      <c r="A18" s="32">
        <v>16.0</v>
      </c>
      <c r="B18" s="34">
        <f t="shared" si="3"/>
        <v>953.5</v>
      </c>
      <c r="C18" s="151">
        <f>SUMIFS(CloudBed!O:O,CloudBed!T:T,"Money Box",CloudBed!Q:Q,A18,CloudBed!R:R,$B$1)</f>
        <v>6</v>
      </c>
      <c r="D18" s="151">
        <f>SUMIFS(CloudBed!U:U,CloudBed!Z:Z,"Money Box",CloudBed!W:W,A18,CloudBed!X:X,$B$1)</f>
        <v>106.25</v>
      </c>
      <c r="E18" s="151">
        <f>SUMIFS(FF!E:E,FF!B:B,A18,FF!C:C,$B$1,FF!F:F,"FF")</f>
        <v>35</v>
      </c>
      <c r="F18" s="151">
        <f>sumifs(Extra!H:H,Extra!B:B,A18,Extra!C:C,$B$1,Extra!I:I,"MoneyBox")</f>
        <v>0</v>
      </c>
      <c r="G18" s="151">
        <f>SUMIFS(Dados!N:N,Dados!F:F,A18,Dados!G:G,$B$1,Dados!D:D,"MoneyBox")</f>
        <v>0</v>
      </c>
      <c r="H18" s="34">
        <f t="shared" si="1"/>
        <v>1100.75</v>
      </c>
      <c r="I18" s="32">
        <v>119.66</v>
      </c>
      <c r="J18" s="34">
        <f t="shared" si="2"/>
        <v>981.09</v>
      </c>
    </row>
    <row r="19">
      <c r="A19" s="32">
        <v>17.0</v>
      </c>
      <c r="B19" s="34">
        <f t="shared" si="3"/>
        <v>1100.75</v>
      </c>
      <c r="C19" s="151">
        <f>SUMIFS(CloudBed!O:O,CloudBed!T:T,"Money Box",CloudBed!Q:Q,A19,CloudBed!R:R,$B$1)</f>
        <v>16</v>
      </c>
      <c r="D19" s="151">
        <f>SUMIFS(CloudBed!U:U,CloudBed!Z:Z,"Money Box",CloudBed!W:W,A19,CloudBed!X:X,$B$1)</f>
        <v>153</v>
      </c>
      <c r="E19" s="151">
        <f>SUMIFS(FF!E:E,FF!B:B,A19,FF!C:C,$B$1,FF!F:F,"FF")</f>
        <v>35</v>
      </c>
      <c r="F19" s="151">
        <f>sumifs(Extra!H:H,Extra!B:B,A19,Extra!C:C,$B$1,Extra!I:I,"MoneyBox")</f>
        <v>0</v>
      </c>
      <c r="G19" s="151">
        <f>SUMIFS(Dados!N:N,Dados!F:F,A19,Dados!G:G,$B$1,Dados!D:D,"MoneyBox")</f>
        <v>0</v>
      </c>
      <c r="H19" s="34">
        <f t="shared" si="1"/>
        <v>1304.75</v>
      </c>
      <c r="I19" s="32">
        <v>380.65</v>
      </c>
      <c r="J19" s="34">
        <f t="shared" si="2"/>
        <v>924.1</v>
      </c>
    </row>
    <row r="20">
      <c r="A20" s="32">
        <v>18.0</v>
      </c>
      <c r="B20" s="34">
        <f t="shared" si="3"/>
        <v>1304.75</v>
      </c>
      <c r="C20" s="151">
        <f>SUMIFS(CloudBed!O:O,CloudBed!T:T,"Money Box",CloudBed!Q:Q,A20,CloudBed!R:R,$B$1)</f>
        <v>8</v>
      </c>
      <c r="D20" s="151">
        <f>SUMIFS(CloudBed!U:U,CloudBed!Z:Z,"Money Box",CloudBed!W:W,A20,CloudBed!X:X,$B$1)</f>
        <v>34</v>
      </c>
      <c r="E20" s="151">
        <f>SUMIFS(FF!E:E,FF!B:B,A20,FF!C:C,$B$1,FF!F:F,"FF")</f>
        <v>35</v>
      </c>
      <c r="F20" s="151">
        <f>sumifs(Extra!H:H,Extra!B:B,A20,Extra!C:C,$B$1,Extra!I:I,"MoneyBox")</f>
        <v>0</v>
      </c>
      <c r="G20" s="151">
        <f>SUMIFS(Dados!N:N,Dados!F:F,A20,Dados!G:G,$B$1,Dados!D:D,"MoneyBox")</f>
        <v>0</v>
      </c>
      <c r="H20" s="34">
        <f t="shared" si="1"/>
        <v>1381.75</v>
      </c>
      <c r="I20" s="32">
        <v>455.55</v>
      </c>
      <c r="J20" s="34">
        <f t="shared" si="2"/>
        <v>926.2</v>
      </c>
    </row>
    <row r="21">
      <c r="A21" s="32">
        <v>19.0</v>
      </c>
      <c r="B21" s="34">
        <f t="shared" si="3"/>
        <v>1381.75</v>
      </c>
      <c r="C21" s="151">
        <f>SUMIFS(CloudBed!O:O,CloudBed!T:T,"Money Box",CloudBed!Q:Q,A21,CloudBed!R:R,$B$1)</f>
        <v>0</v>
      </c>
      <c r="D21" s="151">
        <f>SUMIFS(CloudBed!U:U,CloudBed!Z:Z,"Money Box",CloudBed!W:W,A21,CloudBed!X:X,$B$1)</f>
        <v>0</v>
      </c>
      <c r="E21" s="151">
        <f>SUMIFS(FF!E:E,FF!B:B,A21,FF!C:C,$B$1,FF!F:F,"FF")</f>
        <v>70</v>
      </c>
      <c r="F21" s="151">
        <f>sumifs(Extra!H:H,Extra!B:B,A21,Extra!C:C,$B$1,Extra!I:I,"MoneyBox")</f>
        <v>0</v>
      </c>
      <c r="G21" s="151">
        <f>SUMIFS(Dados!N:N,Dados!F:F,A21,Dados!G:G,$B$1,Dados!D:D,"MoneyBox")</f>
        <v>0</v>
      </c>
      <c r="H21" s="34">
        <f t="shared" si="1"/>
        <v>1451.75</v>
      </c>
      <c r="I21" s="32">
        <v>548.19</v>
      </c>
      <c r="J21" s="34">
        <f t="shared" si="2"/>
        <v>903.56</v>
      </c>
    </row>
    <row r="22">
      <c r="A22" s="32">
        <v>20.0</v>
      </c>
      <c r="B22" s="34">
        <f t="shared" si="3"/>
        <v>1451.75</v>
      </c>
      <c r="C22" s="151">
        <f>SUMIFS(CloudBed!O:O,CloudBed!T:T,"Money Box",CloudBed!Q:Q,A22,CloudBed!R:R,$B$1)</f>
        <v>4</v>
      </c>
      <c r="D22" s="151">
        <f>SUMIFS(CloudBed!U:U,CloudBed!Z:Z,"Money Box",CloudBed!W:W,A22,CloudBed!X:X,$B$1)</f>
        <v>38.25</v>
      </c>
      <c r="E22" s="151">
        <f>SUMIFS(FF!E:E,FF!B:B,A22,FF!C:C,$B$1,FF!F:F,"FF")</f>
        <v>0</v>
      </c>
      <c r="F22" s="151">
        <f>sumifs(Extra!H:H,Extra!B:B,A22,Extra!C:C,$B$1,Extra!I:I,"MoneyBox")</f>
        <v>0</v>
      </c>
      <c r="G22" s="151">
        <f>SUMIFS(Dados!N:N,Dados!F:F,A22,Dados!G:G,$B$1,Dados!D:D,"MoneyBox")</f>
        <v>0</v>
      </c>
      <c r="H22" s="34">
        <f t="shared" si="1"/>
        <v>1494</v>
      </c>
      <c r="I22" s="32">
        <v>592.5</v>
      </c>
      <c r="J22" s="34">
        <f t="shared" si="2"/>
        <v>901.5</v>
      </c>
    </row>
    <row r="23">
      <c r="A23" s="32">
        <v>21.0</v>
      </c>
      <c r="B23" s="34">
        <f t="shared" si="3"/>
        <v>1494</v>
      </c>
      <c r="C23" s="151">
        <f>SUMIFS(CloudBed!O:O,CloudBed!T:T,"Money Box",CloudBed!Q:Q,A23,CloudBed!R:R,$B$1)</f>
        <v>2</v>
      </c>
      <c r="D23" s="151">
        <f>SUMIFS(CloudBed!U:U,CloudBed!Z:Z,"Money Box",CloudBed!W:W,A23,CloudBed!X:X,$B$1)</f>
        <v>38.25</v>
      </c>
      <c r="E23" s="151">
        <f>SUMIFS(FF!E:E,FF!B:B,A23,FF!C:C,$B$1,FF!F:F,"FF")</f>
        <v>0</v>
      </c>
      <c r="F23" s="151">
        <f>sumifs(Extra!H:H,Extra!B:B,A23,Extra!C:C,$B$1,Extra!I:I,"MoneyBox")</f>
        <v>0</v>
      </c>
      <c r="G23" s="151">
        <f>SUMIFS(Dados!N:N,Dados!F:F,A23,Dados!G:G,$B$1,Dados!D:D,"MoneyBox")</f>
        <v>0</v>
      </c>
      <c r="H23" s="34">
        <f t="shared" si="1"/>
        <v>1534.25</v>
      </c>
      <c r="I23" s="32">
        <v>605.72</v>
      </c>
      <c r="J23" s="34">
        <f t="shared" si="2"/>
        <v>928.53</v>
      </c>
    </row>
    <row r="24">
      <c r="A24" s="32">
        <v>22.0</v>
      </c>
      <c r="B24" s="34">
        <f t="shared" si="3"/>
        <v>1534.25</v>
      </c>
      <c r="C24" s="151">
        <f>SUMIFS(CloudBed!O:O,CloudBed!T:T,"Money Box",CloudBed!Q:Q,A24,CloudBed!R:R,$B$1)</f>
        <v>0</v>
      </c>
      <c r="D24" s="151">
        <f>SUMIFS(CloudBed!U:U,CloudBed!Z:Z,"Money Box",CloudBed!W:W,A24,CloudBed!X:X,$B$1)</f>
        <v>0</v>
      </c>
      <c r="E24" s="151">
        <f>SUMIFS(FF!E:E,FF!B:B,A24,FF!C:C,$B$1,FF!F:F,"FF")</f>
        <v>95</v>
      </c>
      <c r="F24" s="151">
        <f>sumifs(Extra!H:H,Extra!B:B,A24,Extra!C:C,$B$1,Extra!I:I,"MoneyBox")</f>
        <v>0</v>
      </c>
      <c r="G24" s="151">
        <f>SUMIFS(Dados!N:N,Dados!F:F,A24,Dados!G:G,$B$1,Dados!D:D,"MoneyBox")</f>
        <v>0</v>
      </c>
      <c r="H24" s="34">
        <f t="shared" si="1"/>
        <v>1629.25</v>
      </c>
      <c r="I24" s="32">
        <v>154.92</v>
      </c>
      <c r="J24" s="34">
        <f t="shared" si="2"/>
        <v>1474.33</v>
      </c>
    </row>
    <row r="25">
      <c r="A25" s="32">
        <v>23.0</v>
      </c>
      <c r="B25" s="34">
        <f t="shared" si="3"/>
        <v>1629.25</v>
      </c>
      <c r="C25" s="151">
        <f>SUMIFS(CloudBed!O:O,CloudBed!T:T,"Money Box",CloudBed!Q:Q,A25,CloudBed!R:R,$B$1)</f>
        <v>2</v>
      </c>
      <c r="D25" s="151">
        <f>SUMIFS(CloudBed!U:U,CloudBed!Z:Z,"Money Box",CloudBed!W:W,A25,CloudBed!X:X,$B$1)</f>
        <v>38.25</v>
      </c>
      <c r="E25" s="151">
        <f>SUMIFS(FF!E:E,FF!B:B,A25,FF!C:C,$B$1,FF!F:F,"FF")</f>
        <v>35</v>
      </c>
      <c r="F25" s="151">
        <f>sumifs(Extra!H:H,Extra!B:B,A25,Extra!C:C,$B$1,Extra!I:I,"MoneyBox")</f>
        <v>0</v>
      </c>
      <c r="G25" s="151">
        <f>SUMIFS(Dados!N:N,Dados!F:F,A25,Dados!G:G,$B$1,Dados!D:D,"MoneyBox")</f>
        <v>0</v>
      </c>
      <c r="H25" s="34">
        <f t="shared" si="1"/>
        <v>1704.5</v>
      </c>
      <c r="I25" s="32">
        <v>228.0</v>
      </c>
      <c r="J25" s="34">
        <f t="shared" si="2"/>
        <v>1476.5</v>
      </c>
    </row>
    <row r="26">
      <c r="A26" s="32">
        <v>24.0</v>
      </c>
      <c r="B26" s="34">
        <f t="shared" si="3"/>
        <v>1704.5</v>
      </c>
      <c r="C26" s="151">
        <f>SUMIFS(CloudBed!O:O,CloudBed!T:T,"Money Box",CloudBed!Q:Q,A26,CloudBed!R:R,$B$1)</f>
        <v>2</v>
      </c>
      <c r="D26" s="151">
        <f>SUMIFS(CloudBed!U:U,CloudBed!Z:Z,"Money Box",CloudBed!W:W,A26,CloudBed!X:X,$B$1)</f>
        <v>29.75</v>
      </c>
      <c r="E26" s="151">
        <f>SUMIFS(FF!E:E,FF!B:B,A26,FF!C:C,$B$1,FF!F:F,"FF")</f>
        <v>0</v>
      </c>
      <c r="F26" s="151">
        <f>sumifs(Extra!H:H,Extra!B:B,A26,Extra!C:C,$B$1,Extra!I:I,"MoneyBox")</f>
        <v>0</v>
      </c>
      <c r="G26" s="151">
        <f>SUMIFS(Dados!N:N,Dados!F:F,A26,Dados!G:G,$B$1,Dados!D:D,"MoneyBox")</f>
        <v>0</v>
      </c>
      <c r="H26" s="34">
        <f t="shared" si="1"/>
        <v>1736.25</v>
      </c>
      <c r="I26" s="32">
        <v>266.62</v>
      </c>
      <c r="J26" s="34">
        <f t="shared" si="2"/>
        <v>1469.63</v>
      </c>
    </row>
    <row r="27">
      <c r="A27" s="32">
        <v>25.0</v>
      </c>
      <c r="B27" s="34">
        <f t="shared" si="3"/>
        <v>1736.25</v>
      </c>
      <c r="C27" s="151">
        <f>SUMIFS(CloudBed!O:O,CloudBed!T:T,"Money Box",CloudBed!Q:Q,A27,CloudBed!R:R,$B$1)</f>
        <v>10</v>
      </c>
      <c r="D27" s="151">
        <f>SUMIFS(CloudBed!U:U,CloudBed!Z:Z,"Money Box",CloudBed!W:W,A27,CloudBed!X:X,$B$1)</f>
        <v>0</v>
      </c>
      <c r="E27" s="151">
        <f>SUMIFS(FF!E:E,FF!B:B,A27,FF!C:C,$B$1,FF!F:F,"FF")</f>
        <v>0</v>
      </c>
      <c r="F27" s="151">
        <f>sumifs(Extra!H:H,Extra!B:B,A27,Extra!C:C,$B$1,Extra!I:I,"MoneyBox")</f>
        <v>0</v>
      </c>
      <c r="G27" s="151">
        <f>SUMIFS(Dados!N:N,Dados!F:F,A27,Dados!G:G,$B$1,Dados!D:D,"MoneyBox")</f>
        <v>0</v>
      </c>
      <c r="H27" s="34">
        <f t="shared" si="1"/>
        <v>1746.25</v>
      </c>
      <c r="I27" s="32">
        <v>289.67</v>
      </c>
      <c r="J27" s="34">
        <f t="shared" si="2"/>
        <v>1456.58</v>
      </c>
    </row>
    <row r="28">
      <c r="A28" s="32">
        <v>26.0</v>
      </c>
      <c r="B28" s="34">
        <f t="shared" si="3"/>
        <v>1746.25</v>
      </c>
      <c r="C28" s="151">
        <f>SUMIFS(CloudBed!O:O,CloudBed!T:T,"Money Box",CloudBed!Q:Q,A28,CloudBed!R:R,$B$1)</f>
        <v>0</v>
      </c>
      <c r="D28" s="151">
        <f>SUMIFS(CloudBed!U:U,CloudBed!Z:Z,"Money Box",CloudBed!W:W,A28,CloudBed!X:X,$B$1)</f>
        <v>0</v>
      </c>
      <c r="E28" s="151">
        <f>SUMIFS(FF!E:E,FF!B:B,A28,FF!C:C,$B$1,FF!F:F,"FF")</f>
        <v>126</v>
      </c>
      <c r="F28" s="151">
        <f>sumifs(Extra!H:H,Extra!B:B,A28,Extra!C:C,$B$1,Extra!I:I,"MoneyBox")</f>
        <v>0</v>
      </c>
      <c r="G28" s="151">
        <f>SUMIFS(Dados!N:N,Dados!F:F,A28,Dados!G:G,$B$1,Dados!D:D,"MoneyBox")</f>
        <v>0</v>
      </c>
      <c r="H28" s="34">
        <f t="shared" si="1"/>
        <v>1872.25</v>
      </c>
      <c r="I28" s="32">
        <v>339.0</v>
      </c>
      <c r="J28" s="34">
        <f t="shared" si="2"/>
        <v>1533.25</v>
      </c>
    </row>
    <row r="29">
      <c r="A29" s="32">
        <v>27.0</v>
      </c>
      <c r="B29" s="34">
        <f t="shared" si="3"/>
        <v>1872.25</v>
      </c>
      <c r="C29" s="151">
        <f>SUMIFS(CloudBed!O:O,CloudBed!T:T,"Money Box",CloudBed!Q:Q,A29,CloudBed!R:R,$B$1)</f>
        <v>8</v>
      </c>
      <c r="D29" s="151">
        <f>SUMIFS(CloudBed!U:U,CloudBed!Z:Z,"Money Box",CloudBed!W:W,A29,CloudBed!X:X,$B$1)</f>
        <v>0</v>
      </c>
      <c r="E29" s="151">
        <f>SUMIFS(FF!E:E,FF!B:B,A29,FF!C:C,$B$1,FF!F:F,"FF")</f>
        <v>0</v>
      </c>
      <c r="F29" s="151">
        <f>sumifs(Extra!H:H,Extra!B:B,A29,Extra!C:C,$B$1,Extra!I:I,"MoneyBox")</f>
        <v>0</v>
      </c>
      <c r="G29" s="151">
        <f>SUMIFS(Dados!N:N,Dados!F:F,A29,Dados!G:G,$B$1,Dados!D:D,"MoneyBox")</f>
        <v>0</v>
      </c>
      <c r="H29" s="34">
        <f t="shared" si="1"/>
        <v>1880.25</v>
      </c>
      <c r="I29" s="32">
        <v>388.0</v>
      </c>
      <c r="J29" s="34">
        <f t="shared" si="2"/>
        <v>1492.25</v>
      </c>
    </row>
    <row r="30">
      <c r="A30" s="32">
        <v>28.0</v>
      </c>
      <c r="B30" s="34">
        <f t="shared" si="3"/>
        <v>1880.25</v>
      </c>
      <c r="C30" s="151">
        <f>SUMIFS(CloudBed!O:O,CloudBed!T:T,"Money Box",CloudBed!Q:Q,A30,CloudBed!R:R,$B$1)</f>
        <v>44</v>
      </c>
      <c r="D30" s="151">
        <f>SUMIFS(CloudBed!U:U,CloudBed!Z:Z,"Money Box",CloudBed!W:W,A30,CloudBed!X:X,$B$1)</f>
        <v>306</v>
      </c>
      <c r="E30" s="151">
        <f>SUMIFS(FF!E:E,FF!B:B,A30,FF!C:C,$B$1,FF!F:F,"FF")</f>
        <v>0</v>
      </c>
      <c r="F30" s="151">
        <f>sumifs(Extra!H:H,Extra!B:B,A30,Extra!C:C,$B$1,Extra!I:I,"MoneyBox")</f>
        <v>0</v>
      </c>
      <c r="G30" s="151">
        <f>SUMIFS(Dados!N:N,Dados!F:F,A30,Dados!G:G,$B$1,Dados!D:D,"MoneyBox")</f>
        <v>0</v>
      </c>
      <c r="H30" s="34">
        <f t="shared" si="1"/>
        <v>2230.25</v>
      </c>
      <c r="I30" s="32">
        <v>299.72</v>
      </c>
      <c r="J30" s="34">
        <f t="shared" si="2"/>
        <v>1930.53</v>
      </c>
    </row>
    <row r="31">
      <c r="A31" s="32">
        <v>29.0</v>
      </c>
      <c r="B31" s="34">
        <f t="shared" si="3"/>
        <v>2230.25</v>
      </c>
      <c r="C31" s="151">
        <f>SUMIFS(CloudBed!O:O,CloudBed!T:T,"Money Box",CloudBed!Q:Q,A31,CloudBed!R:R,$B$1)</f>
        <v>0</v>
      </c>
      <c r="D31" s="151">
        <f>SUMIFS(CloudBed!U:U,CloudBed!Z:Z,"Money Box",CloudBed!W:W,A31,CloudBed!X:X,$B$1)</f>
        <v>0</v>
      </c>
      <c r="E31" s="151">
        <f>SUMIFS(FF!E:E,FF!B:B,A31,FF!C:C,$B$1,FF!F:F,"FF")</f>
        <v>0</v>
      </c>
      <c r="F31" s="151">
        <f>sumifs(Extra!H:H,Extra!B:B,A31,Extra!C:C,$B$1,Extra!I:I,"MoneyBox")</f>
        <v>0</v>
      </c>
      <c r="G31" s="151">
        <f>SUMIFS(Dados!N:N,Dados!F:F,A31,Dados!G:G,$B$1,Dados!D:D,"MoneyBox")</f>
        <v>0</v>
      </c>
      <c r="H31" s="34">
        <f t="shared" si="1"/>
        <v>2230.25</v>
      </c>
      <c r="I31" s="32">
        <v>276.0</v>
      </c>
      <c r="J31" s="34">
        <f t="shared" si="2"/>
        <v>1954.25</v>
      </c>
    </row>
    <row r="32">
      <c r="A32" s="32">
        <v>30.0</v>
      </c>
      <c r="B32" s="34">
        <f t="shared" si="3"/>
        <v>2230.25</v>
      </c>
      <c r="C32" s="151">
        <f>SUMIFS(CloudBed!O:O,CloudBed!T:T,"Money Box",CloudBed!Q:Q,A32,CloudBed!R:R,$B$1)</f>
        <v>2</v>
      </c>
      <c r="D32" s="151">
        <f>SUMIFS(CloudBed!U:U,CloudBed!Z:Z,"Money Box",CloudBed!W:W,A32,CloudBed!X:X,$B$1)</f>
        <v>38.25</v>
      </c>
      <c r="E32" s="151">
        <f>SUMIFS(FF!E:E,FF!B:B,A32,FF!C:C,$B$1,FF!F:F,"FF")</f>
        <v>0</v>
      </c>
      <c r="F32" s="151">
        <f>sumifs(Extra!H:H,Extra!B:B,A32,Extra!C:C,$B$1,Extra!I:I,"MoneyBox")</f>
        <v>0</v>
      </c>
      <c r="G32" s="151">
        <f>SUMIFS(Dados!N:N,Dados!F:F,A32,Dados!G:G,$B$1,Dados!D:D,"MoneyBox")</f>
        <v>0</v>
      </c>
      <c r="H32" s="34">
        <f t="shared" si="1"/>
        <v>2270.5</v>
      </c>
      <c r="I32" s="32">
        <v>288.92</v>
      </c>
      <c r="J32" s="34">
        <f t="shared" si="2"/>
        <v>1981.58</v>
      </c>
    </row>
    <row r="33">
      <c r="A33" s="32">
        <v>31.0</v>
      </c>
      <c r="B33" s="34">
        <f t="shared" si="3"/>
        <v>2270.5</v>
      </c>
      <c r="C33" s="151">
        <f>SUMIFS(CloudBed!O:O,CloudBed!T:T,"Money Box",CloudBed!Q:Q,A33,CloudBed!R:R,$B$1)</f>
        <v>0</v>
      </c>
      <c r="D33" s="151">
        <f>SUMIFS(CloudBed!U:U,CloudBed!Z:Z,"Money Box",CloudBed!W:W,A33,CloudBed!X:X,$B$1)</f>
        <v>0</v>
      </c>
      <c r="E33" s="151">
        <f>SUMIFS(FF!E:E,FF!B:B,A33,FF!C:C,$B$1,FF!F:F,"FF")</f>
        <v>70</v>
      </c>
      <c r="F33" s="151">
        <f>sumifs(Extra!H:H,Extra!B:B,A33,Extra!C:C,$B$1,Extra!I:I,"MoneyBox")</f>
        <v>0</v>
      </c>
      <c r="G33" s="151">
        <f>SUMIFS(Dados!N:N,Dados!F:F,A33,Dados!G:G,$B$1,Dados!D:D,"MoneyBox")</f>
        <v>0</v>
      </c>
      <c r="H33" s="34">
        <f t="shared" si="1"/>
        <v>2340.5</v>
      </c>
      <c r="I33" s="32">
        <v>369.42</v>
      </c>
      <c r="J33" s="34">
        <f t="shared" si="2"/>
        <v>1971.08</v>
      </c>
    </row>
    <row r="34">
      <c r="A34" s="32" t="s">
        <v>9</v>
      </c>
      <c r="B34" s="34">
        <f>B3</f>
        <v>80</v>
      </c>
      <c r="C34" s="151">
        <f t="shared" ref="C34:G34" si="4">SUM(C3:C33)</f>
        <v>176</v>
      </c>
      <c r="D34" s="151">
        <f t="shared" si="4"/>
        <v>1413.5</v>
      </c>
      <c r="E34" s="151">
        <f t="shared" si="4"/>
        <v>671</v>
      </c>
      <c r="F34" s="151">
        <f t="shared" si="4"/>
        <v>0</v>
      </c>
      <c r="G34" s="151">
        <f t="shared" si="4"/>
        <v>0</v>
      </c>
      <c r="H34" s="34">
        <f t="shared" si="1"/>
        <v>2340.5</v>
      </c>
      <c r="I34" s="49">
        <v>369.42</v>
      </c>
      <c r="J34" s="34">
        <f t="shared" si="2"/>
        <v>1971.08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sheetData>
    <row r="1">
      <c r="A1" s="32" t="s">
        <v>304</v>
      </c>
      <c r="B1" s="32">
        <v>6.0</v>
      </c>
      <c r="C1" s="32"/>
      <c r="D1" s="32"/>
      <c r="E1" s="32"/>
      <c r="F1" s="32"/>
      <c r="G1" s="32"/>
      <c r="H1" s="32"/>
    </row>
    <row r="2">
      <c r="A2" s="32" t="s">
        <v>353</v>
      </c>
      <c r="B2" s="32" t="s">
        <v>354</v>
      </c>
      <c r="C2" s="32" t="s">
        <v>355</v>
      </c>
      <c r="D2" s="32" t="s">
        <v>356</v>
      </c>
      <c r="E2" s="32" t="s">
        <v>327</v>
      </c>
      <c r="F2" s="32" t="s">
        <v>114</v>
      </c>
      <c r="G2" s="32" t="s">
        <v>332</v>
      </c>
      <c r="H2" s="32" t="s">
        <v>357</v>
      </c>
      <c r="I2" s="32" t="s">
        <v>335</v>
      </c>
      <c r="J2" s="32" t="s">
        <v>72</v>
      </c>
    </row>
    <row r="3">
      <c r="A3" s="32">
        <v>1.0</v>
      </c>
      <c r="B3" s="49">
        <f>'Daily cash flow 05-2026'!H34</f>
        <v>2340.5</v>
      </c>
      <c r="C3" s="151">
        <f>SUMIFS(CloudBed!O:O,CloudBed!T:T,"Money Box",CloudBed!Q:Q,A3,CloudBed!R:R,$B$1)</f>
        <v>78</v>
      </c>
      <c r="D3" s="151">
        <f>SUMIFS(CloudBed!U:U,CloudBed!Z:Z,"Money Box",CloudBed!W:W,A3,CloudBed!X:X,$B$1)</f>
        <v>0</v>
      </c>
      <c r="E3" s="151">
        <f>SUMIFS(FF!E:E,FF!B:B,A3,FF!C:C,$B$1,FF!F:F,"FF")</f>
        <v>70</v>
      </c>
      <c r="F3" s="151">
        <f>sumifs(Extra!H:H,Extra!B:B,A3,Extra!C:C,$B$1,Extra!I:I,"MoneyBox")</f>
        <v>0</v>
      </c>
      <c r="G3" s="151">
        <f>SUMIFS(Dados!N:N,Dados!F:F,A3,Dados!G:G,$B$1,Dados!D:D,"MoneyBox")</f>
        <v>0</v>
      </c>
      <c r="H3" s="34">
        <f t="shared" ref="H3:H34" si="1">B3+D3+C3+F3+E3-G3</f>
        <v>2488.5</v>
      </c>
      <c r="I3" s="32">
        <v>647.17</v>
      </c>
      <c r="J3" s="34">
        <f t="shared" ref="J3:J34" si="2">H3-I3</f>
        <v>1841.33</v>
      </c>
    </row>
    <row r="4">
      <c r="A4" s="32">
        <v>2.0</v>
      </c>
      <c r="B4" s="34">
        <f t="shared" ref="B4:B33" si="3">H3</f>
        <v>2488.5</v>
      </c>
      <c r="C4" s="151">
        <f>SUMIFS(CloudBed!O:O,CloudBed!T:T,"Money Box",CloudBed!Q:Q,A4,CloudBed!R:R,$B$1)</f>
        <v>10</v>
      </c>
      <c r="D4" s="151">
        <f>SUMIFS(CloudBed!U:U,CloudBed!Z:Z,"Money Box",CloudBed!W:W,A4,CloudBed!X:X,$B$1)</f>
        <v>153</v>
      </c>
      <c r="E4" s="151">
        <f>SUMIFS(FF!E:E,FF!B:B,A4,FF!C:C,$B$1,FF!F:F,"FF")</f>
        <v>0</v>
      </c>
      <c r="F4" s="151">
        <f>sumifs(Extra!H:H,Extra!B:B,A4,Extra!C:C,$B$1,Extra!I:I,"MoneyBox")</f>
        <v>0</v>
      </c>
      <c r="G4" s="151">
        <f>SUMIFS(Dados!N:N,Dados!F:F,A4,Dados!G:G,$B$1,Dados!D:D,"MoneyBox")</f>
        <v>0</v>
      </c>
      <c r="H4" s="34">
        <f t="shared" si="1"/>
        <v>2651.5</v>
      </c>
      <c r="I4" s="32">
        <v>724.52</v>
      </c>
      <c r="J4" s="34">
        <f t="shared" si="2"/>
        <v>1926.98</v>
      </c>
    </row>
    <row r="5">
      <c r="A5" s="32">
        <v>3.0</v>
      </c>
      <c r="B5" s="34">
        <f t="shared" si="3"/>
        <v>2651.5</v>
      </c>
      <c r="C5" s="151">
        <f>SUMIFS(CloudBed!O:O,CloudBed!T:T,"Money Box",CloudBed!Q:Q,A5,CloudBed!R:R,$B$1)</f>
        <v>4</v>
      </c>
      <c r="D5" s="151">
        <f>SUMIFS(CloudBed!U:U,CloudBed!Z:Z,"Money Box",CloudBed!W:W,A5,CloudBed!X:X,$B$1)</f>
        <v>54.4</v>
      </c>
      <c r="E5" s="151">
        <f>SUMIFS(FF!E:E,FF!B:B,A5,FF!C:C,$B$1,FF!F:F,"FF")</f>
        <v>97.5</v>
      </c>
      <c r="F5" s="151">
        <f>sumifs(Extra!H:H,Extra!B:B,A5,Extra!C:C,$B$1,Extra!I:I,"MoneyBox")</f>
        <v>0</v>
      </c>
      <c r="G5" s="151">
        <f>SUMIFS(Dados!N:N,Dados!F:F,A5,Dados!G:G,$B$1,Dados!D:D,"MoneyBox")</f>
        <v>0</v>
      </c>
      <c r="H5" s="34">
        <f t="shared" si="1"/>
        <v>2807.4</v>
      </c>
      <c r="I5" s="32">
        <v>835.12</v>
      </c>
      <c r="J5" s="34">
        <f t="shared" si="2"/>
        <v>1972.28</v>
      </c>
    </row>
    <row r="6">
      <c r="A6" s="32">
        <v>4.0</v>
      </c>
      <c r="B6" s="34">
        <f t="shared" si="3"/>
        <v>2807.4</v>
      </c>
      <c r="C6" s="151">
        <f>SUMIFS(CloudBed!O:O,CloudBed!T:T,"Money Box",CloudBed!Q:Q,A6,CloudBed!R:R,$B$1)</f>
        <v>12</v>
      </c>
      <c r="D6" s="151">
        <f>SUMIFS(CloudBed!U:U,CloudBed!Z:Z,"Money Box",CloudBed!W:W,A6,CloudBed!X:X,$B$1)</f>
        <v>184.45</v>
      </c>
      <c r="E6" s="151">
        <f>SUMIFS(FF!E:E,FF!B:B,A6,FF!C:C,$B$1,FF!F:F,"FF")</f>
        <v>96</v>
      </c>
      <c r="F6" s="151">
        <f>sumifs(Extra!H:H,Extra!B:B,A6,Extra!C:C,$B$1,Extra!I:I,"MoneyBox")</f>
        <v>0</v>
      </c>
      <c r="G6" s="151">
        <f>SUMIFS(Dados!N:N,Dados!F:F,A6,Dados!G:G,$B$1,Dados!D:D,"MoneyBox")</f>
        <v>0</v>
      </c>
      <c r="H6" s="34">
        <f t="shared" si="1"/>
        <v>3099.85</v>
      </c>
      <c r="I6" s="32">
        <v>341.57</v>
      </c>
      <c r="J6" s="34">
        <f t="shared" si="2"/>
        <v>2758.28</v>
      </c>
    </row>
    <row r="7">
      <c r="A7" s="32">
        <v>5.0</v>
      </c>
      <c r="B7" s="34">
        <f t="shared" si="3"/>
        <v>3099.85</v>
      </c>
      <c r="C7" s="151">
        <f>SUMIFS(CloudBed!O:O,CloudBed!T:T,"Money Box",CloudBed!Q:Q,A7,CloudBed!R:R,$B$1)</f>
        <v>0</v>
      </c>
      <c r="D7" s="151">
        <f>SUMIFS(CloudBed!U:U,CloudBed!Z:Z,"Money Box",CloudBed!W:W,A7,CloudBed!X:X,$B$1)</f>
        <v>0</v>
      </c>
      <c r="E7" s="151">
        <f>SUMIFS(FF!E:E,FF!B:B,A7,FF!C:C,$B$1,FF!F:F,"FF")</f>
        <v>34</v>
      </c>
      <c r="F7" s="151">
        <f>sumifs(Extra!H:H,Extra!B:B,A7,Extra!C:C,$B$1,Extra!I:I,"MoneyBox")</f>
        <v>0</v>
      </c>
      <c r="G7" s="151">
        <f>SUMIFS(Dados!N:N,Dados!F:F,A7,Dados!G:G,$B$1,Dados!D:D,"MoneyBox")</f>
        <v>0</v>
      </c>
      <c r="H7" s="34">
        <f t="shared" si="1"/>
        <v>3133.85</v>
      </c>
      <c r="I7" s="32">
        <v>388.52</v>
      </c>
      <c r="J7" s="34">
        <f t="shared" si="2"/>
        <v>2745.33</v>
      </c>
    </row>
    <row r="8">
      <c r="A8" s="32">
        <v>6.0</v>
      </c>
      <c r="B8" s="34">
        <f t="shared" si="3"/>
        <v>3133.85</v>
      </c>
      <c r="C8" s="151">
        <f>SUMIFS(CloudBed!O:O,CloudBed!T:T,"Money Box",CloudBed!Q:Q,A8,CloudBed!R:R,$B$1)</f>
        <v>8</v>
      </c>
      <c r="D8" s="151">
        <f>SUMIFS(CloudBed!U:U,CloudBed!Z:Z,"Money Box",CloudBed!W:W,A8,CloudBed!X:X,$B$1)</f>
        <v>144.2</v>
      </c>
      <c r="E8" s="151">
        <f>SUMIFS(FF!E:E,FF!B:B,A8,FF!C:C,$B$1,FF!F:F,"FF")</f>
        <v>0</v>
      </c>
      <c r="F8" s="151">
        <f>sumifs(Extra!H:H,Extra!B:B,A8,Extra!C:C,$B$1,Extra!I:I,"MoneyBox")</f>
        <v>0</v>
      </c>
      <c r="G8" s="151">
        <f>SUMIFS(Dados!N:N,Dados!F:F,A8,Dados!G:G,$B$1,Dados!D:D,"MoneyBox")</f>
        <v>0</v>
      </c>
      <c r="H8" s="34">
        <f t="shared" si="1"/>
        <v>3286.05</v>
      </c>
      <c r="I8" s="32">
        <v>525.72</v>
      </c>
      <c r="J8" s="34">
        <f t="shared" si="2"/>
        <v>2760.33</v>
      </c>
    </row>
    <row r="9">
      <c r="A9" s="32">
        <v>7.0</v>
      </c>
      <c r="B9" s="34">
        <f t="shared" si="3"/>
        <v>3286.05</v>
      </c>
      <c r="C9" s="151">
        <f>SUMIFS(CloudBed!O:O,CloudBed!T:T,"Money Box",CloudBed!Q:Q,A9,CloudBed!R:R,$B$1)</f>
        <v>6</v>
      </c>
      <c r="D9" s="151">
        <f>SUMIFS(CloudBed!U:U,CloudBed!Z:Z,"Money Box",CloudBed!W:W,A9,CloudBed!X:X,$B$1)</f>
        <v>89.25</v>
      </c>
      <c r="E9" s="151">
        <f>SUMIFS(FF!E:E,FF!B:B,A9,FF!C:C,$B$1,FF!F:F,"FF")</f>
        <v>0</v>
      </c>
      <c r="F9" s="151">
        <f>sumifs(Extra!H:H,Extra!B:B,A9,Extra!C:C,$B$1,Extra!I:I,"MoneyBox")</f>
        <v>0</v>
      </c>
      <c r="G9" s="151">
        <f>SUMIFS(Dados!N:N,Dados!F:F,A9,Dados!G:G,$B$1,Dados!D:D,"MoneyBox")</f>
        <v>0</v>
      </c>
      <c r="H9" s="34">
        <f t="shared" si="1"/>
        <v>3381.3</v>
      </c>
      <c r="I9" s="32">
        <v>136.9</v>
      </c>
      <c r="J9" s="34">
        <f t="shared" si="2"/>
        <v>3244.4</v>
      </c>
    </row>
    <row r="10">
      <c r="A10" s="32">
        <v>8.0</v>
      </c>
      <c r="B10" s="34">
        <f t="shared" si="3"/>
        <v>3381.3</v>
      </c>
      <c r="C10" s="151">
        <f>SUMIFS(CloudBed!O:O,CloudBed!T:T,"Money Box",CloudBed!Q:Q,A10,CloudBed!R:R,$B$1)</f>
        <v>4</v>
      </c>
      <c r="D10" s="151">
        <f>SUMIFS(CloudBed!U:U,CloudBed!Z:Z,"Money Box",CloudBed!W:W,A10,CloudBed!X:X,$B$1)</f>
        <v>73.95</v>
      </c>
      <c r="E10" s="151">
        <f>SUMIFS(FF!E:E,FF!B:B,A10,FF!C:C,$B$1,FF!F:F,"FF")</f>
        <v>0</v>
      </c>
      <c r="F10" s="151">
        <f>sumifs(Extra!H:H,Extra!B:B,A10,Extra!C:C,$B$1,Extra!I:I,"MoneyBox")</f>
        <v>0</v>
      </c>
      <c r="G10" s="151">
        <f>SUMIFS(Dados!N:N,Dados!F:F,A10,Dados!G:G,$B$1,Dados!D:D,"MoneyBox")</f>
        <v>0</v>
      </c>
      <c r="H10" s="34">
        <f t="shared" si="1"/>
        <v>3459.25</v>
      </c>
      <c r="I10" s="32">
        <v>395.15</v>
      </c>
      <c r="J10" s="34">
        <f t="shared" si="2"/>
        <v>3064.1</v>
      </c>
    </row>
    <row r="11">
      <c r="A11" s="32">
        <v>9.0</v>
      </c>
      <c r="B11" s="34">
        <f t="shared" si="3"/>
        <v>3459.25</v>
      </c>
      <c r="C11" s="151">
        <f>SUMIFS(CloudBed!O:O,CloudBed!T:T,"Money Box",CloudBed!Q:Q,A11,CloudBed!R:R,$B$1)</f>
        <v>20</v>
      </c>
      <c r="D11" s="151">
        <f>SUMIFS(CloudBed!U:U,CloudBed!Z:Z,"Money Box",CloudBed!W:W,A11,CloudBed!X:X,$B$1)</f>
        <v>348.5</v>
      </c>
      <c r="E11" s="151">
        <f>SUMIFS(FF!E:E,FF!B:B,A11,FF!C:C,$B$1,FF!F:F,"FF")</f>
        <v>0</v>
      </c>
      <c r="F11" s="151">
        <f>sumifs(Extra!H:H,Extra!B:B,A11,Extra!C:C,$B$1,Extra!I:I,"MoneyBox")</f>
        <v>0</v>
      </c>
      <c r="G11" s="151">
        <f>SUMIFS(Dados!N:N,Dados!F:F,A11,Dados!G:G,$B$1,Dados!D:D,"MoneyBox")</f>
        <v>0</v>
      </c>
      <c r="H11" s="34">
        <f t="shared" si="1"/>
        <v>3827.75</v>
      </c>
      <c r="I11" s="32">
        <v>657.0</v>
      </c>
      <c r="J11" s="34">
        <f t="shared" si="2"/>
        <v>3170.75</v>
      </c>
    </row>
    <row r="12">
      <c r="A12" s="32">
        <v>10.0</v>
      </c>
      <c r="B12" s="34">
        <f t="shared" si="3"/>
        <v>3827.75</v>
      </c>
      <c r="C12" s="151">
        <f>SUMIFS(CloudBed!O:O,CloudBed!T:T,"Money Box",CloudBed!Q:Q,A12,CloudBed!R:R,$B$1)</f>
        <v>0</v>
      </c>
      <c r="D12" s="151">
        <f>SUMIFS(CloudBed!U:U,CloudBed!Z:Z,"Money Box",CloudBed!W:W,A12,CloudBed!X:X,$B$1)</f>
        <v>0</v>
      </c>
      <c r="E12" s="151">
        <f>SUMIFS(FF!E:E,FF!B:B,A12,FF!C:C,$B$1,FF!F:F,"FF")</f>
        <v>0</v>
      </c>
      <c r="F12" s="151">
        <f>sumifs(Extra!H:H,Extra!B:B,A12,Extra!C:C,$B$1,Extra!I:I,"MoneyBox")</f>
        <v>0</v>
      </c>
      <c r="G12" s="151">
        <f>SUMIFS(Dados!N:N,Dados!F:F,A12,Dados!G:G,$B$1,Dados!D:D,"MoneyBox")</f>
        <v>0</v>
      </c>
      <c r="H12" s="34">
        <f t="shared" si="1"/>
        <v>3827.75</v>
      </c>
      <c r="I12" s="32">
        <v>646.0</v>
      </c>
      <c r="J12" s="34">
        <f t="shared" si="2"/>
        <v>3181.75</v>
      </c>
    </row>
    <row r="13">
      <c r="A13" s="32">
        <v>11.0</v>
      </c>
      <c r="B13" s="34">
        <f t="shared" si="3"/>
        <v>3827.75</v>
      </c>
      <c r="C13" s="151">
        <f>SUMIFS(CloudBed!O:O,CloudBed!T:T,"Money Box",CloudBed!Q:Q,A13,CloudBed!R:R,$B$1)</f>
        <v>2</v>
      </c>
      <c r="D13" s="151">
        <f>SUMIFS(CloudBed!U:U,CloudBed!Z:Z,"Money Box",CloudBed!W:W,A13,CloudBed!X:X,$B$1)</f>
        <v>38.25</v>
      </c>
      <c r="E13" s="151">
        <f>SUMIFS(FF!E:E,FF!B:B,A13,FF!C:C,$B$1,FF!F:F,"FF")</f>
        <v>129</v>
      </c>
      <c r="F13" s="151">
        <f>sumifs(Extra!H:H,Extra!B:B,A13,Extra!C:C,$B$1,Extra!I:I,"MoneyBox")</f>
        <v>0</v>
      </c>
      <c r="G13" s="151">
        <f>SUMIFS(Dados!N:N,Dados!F:F,A13,Dados!G:G,$B$1,Dados!D:D,"MoneyBox")</f>
        <v>0</v>
      </c>
      <c r="H13" s="34">
        <f t="shared" si="1"/>
        <v>3997</v>
      </c>
      <c r="I13" s="32">
        <v>375.0</v>
      </c>
      <c r="J13" s="34">
        <f t="shared" si="2"/>
        <v>3622</v>
      </c>
    </row>
    <row r="14">
      <c r="A14" s="32">
        <v>12.0</v>
      </c>
      <c r="B14" s="34">
        <f t="shared" si="3"/>
        <v>3997</v>
      </c>
      <c r="C14" s="151">
        <f>SUMIFS(CloudBed!O:O,CloudBed!T:T,"Money Box",CloudBed!Q:Q,A14,CloudBed!R:R,$B$1)</f>
        <v>0</v>
      </c>
      <c r="D14" s="151">
        <f>SUMIFS(CloudBed!U:U,CloudBed!Z:Z,"Money Box",CloudBed!W:W,A14,CloudBed!X:X,$B$1)</f>
        <v>0</v>
      </c>
      <c r="E14" s="151">
        <f>SUMIFS(FF!E:E,FF!B:B,A14,FF!C:C,$B$1,FF!F:F,"FF")</f>
        <v>0</v>
      </c>
      <c r="F14" s="151">
        <f>sumifs(Extra!H:H,Extra!B:B,A14,Extra!C:C,$B$1,Extra!I:I,"MoneyBox")</f>
        <v>0</v>
      </c>
      <c r="G14" s="151">
        <f>SUMIFS(Dados!N:N,Dados!F:F,A14,Dados!G:G,$B$1,Dados!D:D,"MoneyBox")</f>
        <v>0</v>
      </c>
      <c r="H14" s="34">
        <f t="shared" si="1"/>
        <v>3997</v>
      </c>
      <c r="I14" s="32">
        <v>389.62</v>
      </c>
      <c r="J14" s="34">
        <f t="shared" si="2"/>
        <v>3607.38</v>
      </c>
    </row>
    <row r="15">
      <c r="A15" s="32">
        <v>13.0</v>
      </c>
      <c r="B15" s="34">
        <f t="shared" si="3"/>
        <v>3997</v>
      </c>
      <c r="C15" s="151">
        <f>SUMIFS(CloudBed!O:O,CloudBed!T:T,"Money Box",CloudBed!Q:Q,A15,CloudBed!R:R,$B$1)</f>
        <v>12</v>
      </c>
      <c r="D15" s="151">
        <f>SUMIFS(CloudBed!U:U,CloudBed!Z:Z,"Money Box",CloudBed!W:W,A15,CloudBed!X:X,$B$1)</f>
        <v>229.5</v>
      </c>
      <c r="E15" s="151">
        <f>SUMIFS(FF!E:E,FF!B:B,A15,FF!C:C,$B$1,FF!F:F,"FF")</f>
        <v>0</v>
      </c>
      <c r="F15" s="151">
        <f>sumifs(Extra!H:H,Extra!B:B,A15,Extra!C:C,$B$1,Extra!I:I,"MoneyBox")</f>
        <v>0</v>
      </c>
      <c r="G15" s="151">
        <f>SUMIFS(Dados!N:N,Dados!F:F,A15,Dados!G:G,$B$1,Dados!D:D,"MoneyBox")</f>
        <v>0</v>
      </c>
      <c r="H15" s="34">
        <f t="shared" si="1"/>
        <v>4238.5</v>
      </c>
      <c r="I15" s="32">
        <v>573.97</v>
      </c>
      <c r="J15" s="34">
        <f t="shared" si="2"/>
        <v>3664.53</v>
      </c>
    </row>
    <row r="16">
      <c r="A16" s="32">
        <v>14.0</v>
      </c>
      <c r="B16" s="34">
        <f t="shared" si="3"/>
        <v>4238.5</v>
      </c>
      <c r="C16" s="151">
        <f>SUMIFS(CloudBed!O:O,CloudBed!T:T,"Money Box",CloudBed!Q:Q,A16,CloudBed!R:R,$B$1)</f>
        <v>14</v>
      </c>
      <c r="D16" s="151">
        <f>SUMIFS(CloudBed!U:U,CloudBed!Z:Z,"Money Box",CloudBed!W:W,A16,CloudBed!X:X,$B$1)</f>
        <v>233.75</v>
      </c>
      <c r="E16" s="151">
        <f>SUMIFS(FF!E:E,FF!B:B,A16,FF!C:C,$B$1,FF!F:F,"FF")</f>
        <v>35</v>
      </c>
      <c r="F16" s="151">
        <f>sumifs(Extra!H:H,Extra!B:B,A16,Extra!C:C,$B$1,Extra!I:I,"MoneyBox")</f>
        <v>0</v>
      </c>
      <c r="G16" s="151">
        <f>SUMIFS(Dados!N:N,Dados!F:F,A16,Dados!G:G,$B$1,Dados!D:D,"MoneyBox")</f>
        <v>0</v>
      </c>
      <c r="H16" s="34">
        <f t="shared" si="1"/>
        <v>4521.25</v>
      </c>
      <c r="I16" s="32">
        <v>377.72</v>
      </c>
      <c r="J16" s="34">
        <f t="shared" si="2"/>
        <v>4143.53</v>
      </c>
    </row>
    <row r="17">
      <c r="A17" s="32">
        <v>15.0</v>
      </c>
      <c r="B17" s="34">
        <f t="shared" si="3"/>
        <v>4521.25</v>
      </c>
      <c r="C17" s="151">
        <f>SUMIFS(CloudBed!O:O,CloudBed!T:T,"Money Box",CloudBed!Q:Q,A17,CloudBed!R:R,$B$1)</f>
        <v>0</v>
      </c>
      <c r="D17" s="151">
        <f>SUMIFS(CloudBed!U:U,CloudBed!Z:Z,"Money Box",CloudBed!W:W,A17,CloudBed!X:X,$B$1)</f>
        <v>0</v>
      </c>
      <c r="E17" s="151">
        <f>SUMIFS(FF!E:E,FF!B:B,A17,FF!C:C,$B$1,FF!F:F,"FF")</f>
        <v>0</v>
      </c>
      <c r="F17" s="151">
        <f>sumifs(Extra!H:H,Extra!B:B,A17,Extra!C:C,$B$1,Extra!I:I,"MoneyBox")</f>
        <v>0</v>
      </c>
      <c r="G17" s="151">
        <f>SUMIFS(Dados!N:N,Dados!F:F,A17,Dados!G:G,$B$1,Dados!D:D,"MoneyBox")</f>
        <v>0</v>
      </c>
      <c r="H17" s="34">
        <f t="shared" si="1"/>
        <v>4521.25</v>
      </c>
      <c r="I17" s="32">
        <v>389.72</v>
      </c>
      <c r="J17" s="34">
        <f t="shared" si="2"/>
        <v>4131.53</v>
      </c>
    </row>
    <row r="18">
      <c r="A18" s="32">
        <v>16.0</v>
      </c>
      <c r="B18" s="34">
        <f t="shared" si="3"/>
        <v>4521.25</v>
      </c>
      <c r="C18" s="151">
        <f>SUMIFS(CloudBed!O:O,CloudBed!T:T,"Money Box",CloudBed!Q:Q,A18,CloudBed!R:R,$B$1)</f>
        <v>6</v>
      </c>
      <c r="D18" s="151">
        <f>SUMIFS(CloudBed!U:U,CloudBed!Z:Z,"Money Box",CloudBed!W:W,A18,CloudBed!X:X,$B$1)</f>
        <v>114.75</v>
      </c>
      <c r="E18" s="151">
        <f>SUMIFS(FF!E:E,FF!B:B,A18,FF!C:C,$B$1,FF!F:F,"FF")</f>
        <v>0</v>
      </c>
      <c r="F18" s="151">
        <f>sumifs(Extra!H:H,Extra!B:B,A18,Extra!C:C,$B$1,Extra!I:I,"MoneyBox")</f>
        <v>0</v>
      </c>
      <c r="G18" s="151">
        <f>SUMIFS(Dados!N:N,Dados!F:F,A18,Dados!G:G,$B$1,Dados!D:D,"MoneyBox")</f>
        <v>0</v>
      </c>
      <c r="H18" s="34">
        <f t="shared" si="1"/>
        <v>4642</v>
      </c>
      <c r="I18" s="32">
        <v>503.2</v>
      </c>
      <c r="J18" s="34">
        <f t="shared" si="2"/>
        <v>4138.8</v>
      </c>
    </row>
    <row r="19">
      <c r="A19" s="32">
        <v>17.0</v>
      </c>
      <c r="B19" s="34">
        <f t="shared" si="3"/>
        <v>4642</v>
      </c>
      <c r="C19" s="151">
        <f>SUMIFS(CloudBed!O:O,CloudBed!T:T,"Money Box",CloudBed!Q:Q,A19,CloudBed!R:R,$B$1)</f>
        <v>4</v>
      </c>
      <c r="D19" s="151">
        <f>SUMIFS(CloudBed!U:U,CloudBed!Z:Z,"Money Box",CloudBed!W:W,A19,CloudBed!X:X,$B$1)</f>
        <v>59.5</v>
      </c>
      <c r="E19" s="151">
        <f>SUMIFS(FF!E:E,FF!B:B,A19,FF!C:C,$B$1,FF!F:F,"FF")</f>
        <v>35</v>
      </c>
      <c r="F19" s="151">
        <f>sumifs(Extra!H:H,Extra!B:B,A19,Extra!C:C,$B$1,Extra!I:I,"MoneyBox")</f>
        <v>0</v>
      </c>
      <c r="G19" s="151">
        <f>SUMIFS(Dados!N:N,Dados!F:F,A19,Dados!G:G,$B$1,Dados!D:D,"MoneyBox")</f>
        <v>0</v>
      </c>
      <c r="H19" s="34">
        <f t="shared" si="1"/>
        <v>4740.5</v>
      </c>
      <c r="I19" s="32">
        <v>702.45</v>
      </c>
      <c r="J19" s="34">
        <f t="shared" si="2"/>
        <v>4038.05</v>
      </c>
    </row>
    <row r="20">
      <c r="A20" s="32">
        <v>18.0</v>
      </c>
      <c r="B20" s="34">
        <f t="shared" si="3"/>
        <v>4740.5</v>
      </c>
      <c r="C20" s="151">
        <f>SUMIFS(CloudBed!O:O,CloudBed!T:T,"Money Box",CloudBed!Q:Q,A20,CloudBed!R:R,$B$1)</f>
        <v>4</v>
      </c>
      <c r="D20" s="151">
        <f>SUMIFS(CloudBed!U:U,CloudBed!Z:Z,"Money Box",CloudBed!W:W,A20,CloudBed!X:X,$B$1)</f>
        <v>76.5</v>
      </c>
      <c r="E20" s="151">
        <f>SUMIFS(FF!E:E,FF!B:B,A20,FF!C:C,$B$1,FF!F:F,"FF")</f>
        <v>148.5</v>
      </c>
      <c r="F20" s="151">
        <f>sumifs(Extra!H:H,Extra!B:B,A20,Extra!C:C,$B$1,Extra!I:I,"MoneyBox")</f>
        <v>0</v>
      </c>
      <c r="G20" s="151">
        <f>SUMIFS(Dados!N:N,Dados!F:F,A20,Dados!G:G,$B$1,Dados!D:D,"MoneyBox")</f>
        <v>0</v>
      </c>
      <c r="H20" s="34">
        <f t="shared" si="1"/>
        <v>4969.5</v>
      </c>
      <c r="I20" s="32">
        <v>886.95</v>
      </c>
      <c r="J20" s="34">
        <f t="shared" si="2"/>
        <v>4082.55</v>
      </c>
    </row>
    <row r="21">
      <c r="A21" s="32">
        <v>19.0</v>
      </c>
      <c r="B21" s="34">
        <f t="shared" si="3"/>
        <v>4969.5</v>
      </c>
      <c r="C21" s="151">
        <f>SUMIFS(CloudBed!O:O,CloudBed!T:T,"Money Box",CloudBed!Q:Q,A21,CloudBed!R:R,$B$1)</f>
        <v>0</v>
      </c>
      <c r="D21" s="151">
        <f>SUMIFS(CloudBed!U:U,CloudBed!Z:Z,"Money Box",CloudBed!W:W,A21,CloudBed!X:X,$B$1)</f>
        <v>0</v>
      </c>
      <c r="E21" s="151">
        <f>SUMIFS(FF!E:E,FF!B:B,A21,FF!C:C,$B$1,FF!F:F,"FF")</f>
        <v>100</v>
      </c>
      <c r="F21" s="151">
        <f>sumifs(Extra!H:H,Extra!B:B,A21,Extra!C:C,$B$1,Extra!I:I,"MoneyBox")</f>
        <v>0</v>
      </c>
      <c r="G21" s="151">
        <f>SUMIFS(Dados!N:N,Dados!F:F,A21,Dados!G:G,$B$1,Dados!D:D,"MoneyBox")</f>
        <v>0</v>
      </c>
      <c r="H21" s="34">
        <f t="shared" si="1"/>
        <v>5069.5</v>
      </c>
      <c r="I21" s="32">
        <v>118.95</v>
      </c>
      <c r="J21" s="34">
        <f t="shared" si="2"/>
        <v>4950.55</v>
      </c>
    </row>
    <row r="22">
      <c r="A22" s="32">
        <v>20.0</v>
      </c>
      <c r="B22" s="34">
        <f t="shared" si="3"/>
        <v>5069.5</v>
      </c>
      <c r="C22" s="151">
        <f>SUMIFS(CloudBed!O:O,CloudBed!T:T,"Money Box",CloudBed!Q:Q,A22,CloudBed!R:R,$B$1)</f>
        <v>12</v>
      </c>
      <c r="D22" s="151">
        <f>SUMIFS(CloudBed!U:U,CloudBed!Z:Z,"Money Box",CloudBed!W:W,A22,CloudBed!X:X,$B$1)</f>
        <v>209.7</v>
      </c>
      <c r="E22" s="151">
        <f>SUMIFS(FF!E:E,FF!B:B,A22,FF!C:C,$B$1,FF!F:F,"FF")</f>
        <v>45</v>
      </c>
      <c r="F22" s="151">
        <f>sumifs(Extra!H:H,Extra!B:B,A22,Extra!C:C,$B$1,Extra!I:I,"MoneyBox")</f>
        <v>0</v>
      </c>
      <c r="G22" s="151">
        <f>SUMIFS(Dados!N:N,Dados!F:F,A22,Dados!G:G,$B$1,Dados!D:D,"MoneyBox")</f>
        <v>0</v>
      </c>
      <c r="H22" s="34">
        <f t="shared" si="1"/>
        <v>5336.2</v>
      </c>
      <c r="I22" s="32">
        <v>103.27</v>
      </c>
      <c r="J22" s="34">
        <f t="shared" si="2"/>
        <v>5232.93</v>
      </c>
    </row>
    <row r="23">
      <c r="A23" s="32">
        <v>21.0</v>
      </c>
      <c r="B23" s="34">
        <f t="shared" si="3"/>
        <v>5336.2</v>
      </c>
      <c r="C23" s="151">
        <f>SUMIFS(CloudBed!O:O,CloudBed!T:T,"Money Box",CloudBed!Q:Q,A23,CloudBed!R:R,$B$1)</f>
        <v>0</v>
      </c>
      <c r="D23" s="151">
        <f>SUMIFS(CloudBed!U:U,CloudBed!Z:Z,"Money Box",CloudBed!W:W,A23,CloudBed!X:X,$B$1)</f>
        <v>0</v>
      </c>
      <c r="E23" s="151">
        <f>SUMIFS(FF!E:E,FF!B:B,A23,FF!C:C,$B$1,FF!F:F,"FF")</f>
        <v>35</v>
      </c>
      <c r="F23" s="151">
        <f>sumifs(Extra!H:H,Extra!B:B,A23,Extra!C:C,$B$1,Extra!I:I,"MoneyBox")</f>
        <v>0</v>
      </c>
      <c r="G23" s="151">
        <f>SUMIFS(Dados!N:N,Dados!F:F,A23,Dados!G:G,$B$1,Dados!D:D,"MoneyBox")</f>
        <v>0</v>
      </c>
      <c r="H23" s="34">
        <f t="shared" si="1"/>
        <v>5371.2</v>
      </c>
      <c r="I23" s="32">
        <v>145.27</v>
      </c>
      <c r="J23" s="34">
        <f t="shared" si="2"/>
        <v>5225.93</v>
      </c>
    </row>
    <row r="24">
      <c r="A24" s="32">
        <v>22.0</v>
      </c>
      <c r="B24" s="34">
        <f t="shared" si="3"/>
        <v>5371.2</v>
      </c>
      <c r="C24" s="151">
        <f>SUMIFS(CloudBed!O:O,CloudBed!T:T,"Money Box",CloudBed!Q:Q,A24,CloudBed!R:R,$B$1)</f>
        <v>0</v>
      </c>
      <c r="D24" s="151">
        <f>SUMIFS(CloudBed!U:U,CloudBed!Z:Z,"Money Box",CloudBed!W:W,A24,CloudBed!X:X,$B$1)</f>
        <v>0</v>
      </c>
      <c r="E24" s="151">
        <f>SUMIFS(FF!E:E,FF!B:B,A24,FF!C:C,$B$1,FF!F:F,"FF")</f>
        <v>0</v>
      </c>
      <c r="F24" s="151">
        <f>sumifs(Extra!H:H,Extra!B:B,A24,Extra!C:C,$B$1,Extra!I:I,"MoneyBox")</f>
        <v>0</v>
      </c>
      <c r="G24" s="151">
        <f>SUMIFS(Dados!N:N,Dados!F:F,A24,Dados!G:G,$B$1,Dados!D:D,"MoneyBox")</f>
        <v>0</v>
      </c>
      <c r="H24" s="34">
        <f t="shared" si="1"/>
        <v>5371.2</v>
      </c>
      <c r="I24" s="32">
        <v>182.06</v>
      </c>
      <c r="J24" s="34">
        <f t="shared" si="2"/>
        <v>5189.14</v>
      </c>
    </row>
    <row r="25">
      <c r="A25" s="32">
        <v>23.0</v>
      </c>
      <c r="B25" s="34">
        <f t="shared" si="3"/>
        <v>5371.2</v>
      </c>
      <c r="C25" s="151">
        <f>SUMIFS(CloudBed!O:O,CloudBed!T:T,"Money Box",CloudBed!Q:Q,A25,CloudBed!R:R,$B$1)</f>
        <v>4</v>
      </c>
      <c r="D25" s="151">
        <f>SUMIFS(CloudBed!U:U,CloudBed!Z:Z,"Money Box",CloudBed!W:W,A25,CloudBed!X:X,$B$1)</f>
        <v>76.5</v>
      </c>
      <c r="E25" s="151">
        <f>SUMIFS(FF!E:E,FF!B:B,A25,FF!C:C,$B$1,FF!F:F,"FF")</f>
        <v>70</v>
      </c>
      <c r="F25" s="151">
        <f>sumifs(Extra!H:H,Extra!B:B,A25,Extra!C:C,$B$1,Extra!I:I,"MoneyBox")</f>
        <v>0</v>
      </c>
      <c r="G25" s="151">
        <f>SUMIFS(Dados!N:N,Dados!F:F,A25,Dados!G:G,$B$1,Dados!D:D,"MoneyBox")</f>
        <v>0</v>
      </c>
      <c r="H25" s="34">
        <f t="shared" si="1"/>
        <v>5521.7</v>
      </c>
      <c r="I25" s="32">
        <v>285.81</v>
      </c>
      <c r="J25" s="34">
        <f t="shared" si="2"/>
        <v>5235.89</v>
      </c>
    </row>
    <row r="26">
      <c r="A26" s="32">
        <v>24.0</v>
      </c>
      <c r="B26" s="34">
        <f t="shared" si="3"/>
        <v>5521.7</v>
      </c>
      <c r="C26" s="151">
        <f>SUMIFS(CloudBed!O:O,CloudBed!T:T,"Money Box",CloudBed!Q:Q,A26,CloudBed!R:R,$B$1)</f>
        <v>12</v>
      </c>
      <c r="D26" s="151">
        <f>SUMIFS(CloudBed!U:U,CloudBed!Z:Z,"Money Box",CloudBed!W:W,A26,CloudBed!X:X,$B$1)</f>
        <v>229.5</v>
      </c>
      <c r="E26" s="151">
        <f>SUMIFS(FF!E:E,FF!B:B,A26,FF!C:C,$B$1,FF!F:F,"FF")</f>
        <v>0</v>
      </c>
      <c r="F26" s="151">
        <f>sumifs(Extra!H:H,Extra!B:B,A26,Extra!C:C,$B$1,Extra!I:I,"MoneyBox")</f>
        <v>0</v>
      </c>
      <c r="G26" s="151">
        <f>SUMIFS(Dados!N:N,Dados!F:F,A26,Dados!G:G,$B$1,Dados!D:D,"MoneyBox")</f>
        <v>0</v>
      </c>
      <c r="H26" s="34">
        <f t="shared" si="1"/>
        <v>5763.2</v>
      </c>
      <c r="I26" s="32">
        <v>501.31</v>
      </c>
      <c r="J26" s="34">
        <f t="shared" si="2"/>
        <v>5261.89</v>
      </c>
    </row>
    <row r="27">
      <c r="A27" s="32">
        <v>25.0</v>
      </c>
      <c r="B27" s="34">
        <f t="shared" si="3"/>
        <v>5763.2</v>
      </c>
      <c r="C27" s="151">
        <f>SUMIFS(CloudBed!O:O,CloudBed!T:T,"Money Box",CloudBed!Q:Q,A27,CloudBed!R:R,$B$1)</f>
        <v>12</v>
      </c>
      <c r="D27" s="151">
        <f>SUMIFS(CloudBed!U:U,CloudBed!Z:Z,"Money Box",CloudBed!W:W,A27,CloudBed!X:X,$B$1)</f>
        <v>178.5</v>
      </c>
      <c r="E27" s="151">
        <f>SUMIFS(FF!E:E,FF!B:B,A27,FF!C:C,$B$1,FF!F:F,"FF")</f>
        <v>35</v>
      </c>
      <c r="F27" s="151">
        <f>sumifs(Extra!H:H,Extra!B:B,A27,Extra!C:C,$B$1,Extra!I:I,"MoneyBox")</f>
        <v>0</v>
      </c>
      <c r="G27" s="151">
        <f>SUMIFS(Dados!N:N,Dados!F:F,A27,Dados!G:G,$B$1,Dados!D:D,"MoneyBox")</f>
        <v>0</v>
      </c>
      <c r="H27" s="34">
        <f t="shared" si="1"/>
        <v>5988.7</v>
      </c>
      <c r="I27" s="32">
        <v>172.54</v>
      </c>
      <c r="J27" s="34">
        <f t="shared" si="2"/>
        <v>5816.16</v>
      </c>
    </row>
    <row r="28">
      <c r="A28" s="32">
        <v>26.0</v>
      </c>
      <c r="B28" s="34">
        <f t="shared" si="3"/>
        <v>5988.7</v>
      </c>
      <c r="C28" s="151">
        <f>SUMIFS(CloudBed!O:O,CloudBed!T:T,"Money Box",CloudBed!Q:Q,A28,CloudBed!R:R,$B$1)</f>
        <v>2</v>
      </c>
      <c r="D28" s="151">
        <f>SUMIFS(CloudBed!U:U,CloudBed!Z:Z,"Money Box",CloudBed!W:W,A28,CloudBed!X:X,$B$1)</f>
        <v>38.25</v>
      </c>
      <c r="E28" s="151">
        <f>SUMIFS(FF!E:E,FF!B:B,A28,FF!C:C,$B$1,FF!F:F,"FF")</f>
        <v>40</v>
      </c>
      <c r="F28" s="151">
        <f>sumifs(Extra!H:H,Extra!B:B,A28,Extra!C:C,$B$1,Extra!I:I,"MoneyBox")</f>
        <v>0</v>
      </c>
      <c r="G28" s="151">
        <f>SUMIFS(Dados!N:N,Dados!F:F,A28,Dados!G:G,$B$1,Dados!D:D,"MoneyBox")</f>
        <v>0</v>
      </c>
      <c r="H28" s="34">
        <f t="shared" si="1"/>
        <v>6068.95</v>
      </c>
      <c r="I28" s="32">
        <v>302.84</v>
      </c>
      <c r="J28" s="34">
        <f t="shared" si="2"/>
        <v>5766.11</v>
      </c>
    </row>
    <row r="29">
      <c r="A29" s="32">
        <v>27.0</v>
      </c>
      <c r="B29" s="34">
        <f t="shared" si="3"/>
        <v>6068.95</v>
      </c>
      <c r="C29" s="151">
        <f>SUMIFS(CloudBed!O:O,CloudBed!T:T,"Money Box",CloudBed!Q:Q,A29,CloudBed!R:R,$B$1)</f>
        <v>8</v>
      </c>
      <c r="D29" s="151">
        <f>SUMIFS(CloudBed!U:U,CloudBed!Z:Z,"Money Box",CloudBed!W:W,A29,CloudBed!X:X,$B$1)</f>
        <v>119</v>
      </c>
      <c r="E29" s="151">
        <f>SUMIFS(FF!E:E,FF!B:B,A29,FF!C:C,$B$1,FF!F:F,"FF")</f>
        <v>35</v>
      </c>
      <c r="F29" s="151">
        <f>sumifs(Extra!H:H,Extra!B:B,A29,Extra!C:C,$B$1,Extra!I:I,"MoneyBox")</f>
        <v>0</v>
      </c>
      <c r="G29" s="151">
        <f>SUMIFS(Dados!N:N,Dados!F:F,A29,Dados!G:G,$B$1,Dados!D:D,"MoneyBox")</f>
        <v>0</v>
      </c>
      <c r="H29" s="34">
        <f t="shared" si="1"/>
        <v>6230.95</v>
      </c>
      <c r="I29" s="32">
        <v>466.0</v>
      </c>
      <c r="J29" s="34">
        <f t="shared" si="2"/>
        <v>5764.95</v>
      </c>
    </row>
    <row r="30">
      <c r="A30" s="32">
        <v>28.0</v>
      </c>
      <c r="B30" s="34">
        <f t="shared" si="3"/>
        <v>6230.95</v>
      </c>
      <c r="C30" s="151">
        <f>SUMIFS(CloudBed!O:O,CloudBed!T:T,"Money Box",CloudBed!Q:Q,A30,CloudBed!R:R,$B$1)</f>
        <v>0</v>
      </c>
      <c r="D30" s="151">
        <f>SUMIFS(CloudBed!U:U,CloudBed!Z:Z,"Money Box",CloudBed!W:W,A30,CloudBed!X:X,$B$1)</f>
        <v>0</v>
      </c>
      <c r="E30" s="151">
        <f>SUMIFS(FF!E:E,FF!B:B,A30,FF!C:C,$B$1,FF!F:F,"FF")</f>
        <v>55</v>
      </c>
      <c r="F30" s="151">
        <f>sumifs(Extra!H:H,Extra!B:B,A30,Extra!C:C,$B$1,Extra!I:I,"MoneyBox")</f>
        <v>0</v>
      </c>
      <c r="G30" s="151">
        <f>SUMIFS(Dados!N:N,Dados!F:F,A30,Dados!G:G,$B$1,Dados!D:D,"MoneyBox")</f>
        <v>0</v>
      </c>
      <c r="H30" s="34">
        <f t="shared" si="1"/>
        <v>6285.95</v>
      </c>
      <c r="I30" s="32">
        <v>108.34</v>
      </c>
      <c r="J30" s="34">
        <f t="shared" si="2"/>
        <v>6177.61</v>
      </c>
    </row>
    <row r="31">
      <c r="A31" s="32">
        <v>29.0</v>
      </c>
      <c r="B31" s="34">
        <f t="shared" si="3"/>
        <v>6285.95</v>
      </c>
      <c r="C31" s="151">
        <f>SUMIFS(CloudBed!O:O,CloudBed!T:T,"Money Box",CloudBed!Q:Q,A31,CloudBed!R:R,$B$1)</f>
        <v>30</v>
      </c>
      <c r="D31" s="151">
        <f>SUMIFS(CloudBed!U:U,CloudBed!Z:Z,"Money Box",CloudBed!W:W,A31,CloudBed!X:X,$B$1)</f>
        <v>565.25</v>
      </c>
      <c r="E31" s="151">
        <f>SUMIFS(FF!E:E,FF!B:B,A31,FF!C:C,$B$1,FF!F:F,"FF")</f>
        <v>25</v>
      </c>
      <c r="F31" s="151">
        <f>sumifs(Extra!H:H,Extra!B:B,A31,Extra!C:C,$B$1,Extra!I:I,"MoneyBox")</f>
        <v>0</v>
      </c>
      <c r="G31" s="151">
        <f>SUMIFS(Dados!N:N,Dados!F:F,A31,Dados!G:G,$B$1,Dados!D:D,"MoneyBox")</f>
        <v>0</v>
      </c>
      <c r="H31" s="34">
        <f t="shared" si="1"/>
        <v>6906.2</v>
      </c>
      <c r="I31" s="32">
        <v>205.0</v>
      </c>
      <c r="J31" s="34">
        <f t="shared" si="2"/>
        <v>6701.2</v>
      </c>
    </row>
    <row r="32">
      <c r="A32" s="32">
        <v>30.0</v>
      </c>
      <c r="B32" s="34">
        <f t="shared" si="3"/>
        <v>6906.2</v>
      </c>
      <c r="C32" s="151">
        <f>SUMIFS(CloudBed!O:O,CloudBed!T:T,"Money Box",CloudBed!Q:Q,A32,CloudBed!R:R,$B$1)</f>
        <v>12</v>
      </c>
      <c r="D32" s="151">
        <f>SUMIFS(CloudBed!U:U,CloudBed!Z:Z,"Money Box",CloudBed!W:W,A32,CloudBed!X:X,$B$1)</f>
        <v>76.5</v>
      </c>
      <c r="E32" s="151">
        <f>SUMIFS(FF!E:E,FF!B:B,A32,FF!C:C,$B$1,FF!F:F,"FF")</f>
        <v>35</v>
      </c>
      <c r="F32" s="151">
        <f>sumifs(Extra!H:H,Extra!B:B,A32,Extra!C:C,$B$1,Extra!I:I,"MoneyBox")</f>
        <v>0</v>
      </c>
      <c r="G32" s="151">
        <f>SUMIFS(Dados!N:N,Dados!F:F,A32,Dados!G:G,$B$1,Dados!D:D,"MoneyBox")</f>
        <v>0</v>
      </c>
      <c r="H32" s="34">
        <f t="shared" si="1"/>
        <v>7029.7</v>
      </c>
      <c r="I32" s="32">
        <v>340.6</v>
      </c>
      <c r="J32" s="34">
        <f t="shared" si="2"/>
        <v>6689.1</v>
      </c>
    </row>
    <row r="33">
      <c r="A33" s="32">
        <v>31.0</v>
      </c>
      <c r="B33" s="34">
        <f t="shared" si="3"/>
        <v>7029.7</v>
      </c>
      <c r="C33" s="151">
        <f>SUMIFS(CloudBed!O:O,CloudBed!T:T,"Money Box",CloudBed!Q:Q,A33,CloudBed!R:R,$B$1)</f>
        <v>0</v>
      </c>
      <c r="D33" s="151">
        <f>SUMIFS(CloudBed!U:U,CloudBed!Z:Z,"Money Box",CloudBed!W:W,A33,CloudBed!X:X,$B$1)</f>
        <v>0</v>
      </c>
      <c r="E33" s="151">
        <f>SUMIFS(FF!E:E,FF!B:B,A33,FF!C:C,$B$1,FF!F:F,"FF")</f>
        <v>0</v>
      </c>
      <c r="F33" s="151">
        <f>sumifs(Extra!H:H,Extra!B:B,A33,Extra!C:C,$B$1,Extra!I:I,"MoneyBox")</f>
        <v>0</v>
      </c>
      <c r="G33" s="151">
        <f>SUMIFS(Dados!N:N,Dados!F:F,A33,Dados!G:G,$B$1,Dados!D:D,"MoneyBox")</f>
        <v>0</v>
      </c>
      <c r="H33" s="34">
        <f t="shared" si="1"/>
        <v>7029.7</v>
      </c>
      <c r="I33" s="32">
        <v>340.6</v>
      </c>
      <c r="J33" s="34">
        <f t="shared" si="2"/>
        <v>6689.1</v>
      </c>
    </row>
    <row r="34">
      <c r="A34" s="32" t="s">
        <v>9</v>
      </c>
      <c r="B34" s="34">
        <f>B3</f>
        <v>2340.5</v>
      </c>
      <c r="C34" s="151">
        <f t="shared" ref="C34:G34" si="4">SUM(C3:C33)</f>
        <v>276</v>
      </c>
      <c r="D34" s="151">
        <f t="shared" si="4"/>
        <v>3293.2</v>
      </c>
      <c r="E34" s="151">
        <f t="shared" si="4"/>
        <v>1120</v>
      </c>
      <c r="F34" s="151">
        <f t="shared" si="4"/>
        <v>0</v>
      </c>
      <c r="G34" s="151">
        <f t="shared" si="4"/>
        <v>0</v>
      </c>
      <c r="H34" s="34">
        <f t="shared" si="1"/>
        <v>7029.7</v>
      </c>
      <c r="I34" s="179">
        <v>340.6</v>
      </c>
      <c r="J34" s="34">
        <f t="shared" si="2"/>
        <v>6689.1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8.0"/>
    <col customWidth="1" min="3" max="3" width="7.13"/>
  </cols>
  <sheetData>
    <row r="1">
      <c r="A1" s="32" t="s">
        <v>304</v>
      </c>
      <c r="B1" s="32">
        <v>7.0</v>
      </c>
      <c r="C1" s="32"/>
      <c r="D1" s="32"/>
      <c r="E1" s="32"/>
      <c r="F1" s="32"/>
      <c r="G1" s="32"/>
      <c r="H1" s="32"/>
    </row>
    <row r="2">
      <c r="A2" s="32" t="s">
        <v>353</v>
      </c>
      <c r="B2" s="32" t="s">
        <v>354</v>
      </c>
      <c r="C2" s="32" t="s">
        <v>355</v>
      </c>
      <c r="D2" s="32" t="s">
        <v>356</v>
      </c>
      <c r="E2" s="32" t="s">
        <v>327</v>
      </c>
      <c r="F2" s="32" t="s">
        <v>114</v>
      </c>
      <c r="G2" s="32" t="s">
        <v>332</v>
      </c>
      <c r="H2" s="32" t="s">
        <v>357</v>
      </c>
      <c r="I2" s="32" t="s">
        <v>335</v>
      </c>
      <c r="J2" s="32" t="s">
        <v>72</v>
      </c>
    </row>
    <row r="3">
      <c r="A3" s="32">
        <v>1.0</v>
      </c>
      <c r="B3" s="49">
        <f>'Daily cash flow 06-2026'!I34</f>
        <v>340.6</v>
      </c>
      <c r="C3" s="151">
        <f>SUMIFS(CloudBed!O:O,CloudBed!T:T,"Money Box",CloudBed!Q:Q,A3,CloudBed!R:R,$B$1)</f>
        <v>4</v>
      </c>
      <c r="D3" s="151">
        <f>SUMIFS(CloudBed!U:U,CloudBed!Z:Z,"Money Box",CloudBed!W:W,A3,CloudBed!X:X,$B$1)</f>
        <v>68</v>
      </c>
      <c r="E3" s="151">
        <f>SUMIFS(FF!E:E,FF!B:B,A3,FF!C:C,$B$1,FF!F:F,"FF")</f>
        <v>15</v>
      </c>
      <c r="F3" s="151">
        <f>sumifs(Extra!H:H,Extra!B:B,A3,Extra!C:C,$B$1,Extra!I:I,"MoneyBox")</f>
        <v>0</v>
      </c>
      <c r="G3" s="151">
        <f>SUMIFS(Dados!N:N,Dados!F:F,A3,Dados!G:G,$B$1,Dados!D:D,"MoneyBox")</f>
        <v>0</v>
      </c>
      <c r="H3" s="34">
        <f t="shared" ref="H3:H34" si="1">B3+D3+C3+F3+E3-G3</f>
        <v>427.6</v>
      </c>
      <c r="J3" s="34">
        <f t="shared" ref="J3:J34" si="2">H3-I3</f>
        <v>427.6</v>
      </c>
    </row>
    <row r="4">
      <c r="A4" s="32">
        <v>2.0</v>
      </c>
      <c r="B4" s="34">
        <f t="shared" ref="B4:B33" si="3">H3</f>
        <v>427.6</v>
      </c>
      <c r="C4" s="151">
        <f>SUMIFS(CloudBed!O:O,CloudBed!T:T,"Money Box",CloudBed!Q:Q,A4,CloudBed!R:R,$B$1)</f>
        <v>2</v>
      </c>
      <c r="D4" s="151">
        <f>SUMIFS(CloudBed!U:U,CloudBed!Z:Z,"Money Box",CloudBed!W:W,A4,CloudBed!X:X,$B$1)</f>
        <v>29.75</v>
      </c>
      <c r="E4" s="151">
        <f>SUMIFS(FF!E:E,FF!B:B,A4,FF!C:C,$B$1,FF!F:F,"FF")</f>
        <v>95</v>
      </c>
      <c r="F4" s="151">
        <f>sumifs(Extra!H:H,Extra!B:B,A4,Extra!C:C,$B$1,Extra!I:I,"MoneyBox")</f>
        <v>0</v>
      </c>
      <c r="G4" s="151">
        <f>SUMIFS(Dados!N:N,Dados!F:F,A4,Dados!G:G,$B$1,Dados!D:D,"MoneyBox")</f>
        <v>0</v>
      </c>
      <c r="H4" s="34">
        <f t="shared" si="1"/>
        <v>554.35</v>
      </c>
      <c r="J4" s="34">
        <f t="shared" si="2"/>
        <v>554.35</v>
      </c>
    </row>
    <row r="5">
      <c r="A5" s="32">
        <v>3.0</v>
      </c>
      <c r="B5" s="34">
        <f t="shared" si="3"/>
        <v>554.35</v>
      </c>
      <c r="C5" s="151">
        <f>SUMIFS(CloudBed!O:O,CloudBed!T:T,"Money Box",CloudBed!Q:Q,A5,CloudBed!R:R,$B$1)</f>
        <v>12</v>
      </c>
      <c r="D5" s="151">
        <f>SUMIFS(CloudBed!U:U,CloudBed!Z:Z,"Money Box",CloudBed!W:W,A5,CloudBed!X:X,$B$1)</f>
        <v>178.5</v>
      </c>
      <c r="E5" s="151">
        <f>SUMIFS(FF!E:E,FF!B:B,A5,FF!C:C,$B$1,FF!F:F,"FF")</f>
        <v>100</v>
      </c>
      <c r="F5" s="151">
        <f>sumifs(Extra!H:H,Extra!B:B,A5,Extra!C:C,$B$1,Extra!I:I,"MoneyBox")</f>
        <v>0</v>
      </c>
      <c r="G5" s="151">
        <f>SUMIFS(Dados!N:N,Dados!F:F,A5,Dados!G:G,$B$1,Dados!D:D,"MoneyBox")</f>
        <v>0</v>
      </c>
      <c r="H5" s="34">
        <f t="shared" si="1"/>
        <v>844.85</v>
      </c>
      <c r="I5" s="32">
        <v>203.15</v>
      </c>
      <c r="J5" s="34">
        <f t="shared" si="2"/>
        <v>641.7</v>
      </c>
    </row>
    <row r="6">
      <c r="A6" s="32">
        <v>4.0</v>
      </c>
      <c r="B6" s="34">
        <f t="shared" si="3"/>
        <v>844.85</v>
      </c>
      <c r="C6" s="151">
        <f>SUMIFS(CloudBed!O:O,CloudBed!T:T,"Money Box",CloudBed!Q:Q,A6,CloudBed!R:R,$B$1)</f>
        <v>6</v>
      </c>
      <c r="D6" s="151">
        <f>SUMIFS(CloudBed!U:U,CloudBed!Z:Z,"Money Box",CloudBed!W:W,A6,CloudBed!X:X,$B$1)</f>
        <v>89.25</v>
      </c>
      <c r="E6" s="151">
        <f>SUMIFS(FF!E:E,FF!B:B,A6,FF!C:C,$B$1,FF!F:F,"FF")</f>
        <v>25</v>
      </c>
      <c r="F6" s="151">
        <f>sumifs(Extra!H:H,Extra!B:B,A6,Extra!C:C,$B$1,Extra!I:I,"MoneyBox")</f>
        <v>0</v>
      </c>
      <c r="G6" s="151">
        <f>SUMIFS(Dados!N:N,Dados!F:F,A6,Dados!G:G,$B$1,Dados!D:D,"MoneyBox")</f>
        <v>0</v>
      </c>
      <c r="H6" s="34">
        <f t="shared" si="1"/>
        <v>965.1</v>
      </c>
      <c r="I6" s="32">
        <v>360.15</v>
      </c>
      <c r="J6" s="34">
        <f t="shared" si="2"/>
        <v>604.95</v>
      </c>
    </row>
    <row r="7">
      <c r="A7" s="32">
        <v>5.0</v>
      </c>
      <c r="B7" s="34">
        <f t="shared" si="3"/>
        <v>965.1</v>
      </c>
      <c r="C7" s="151">
        <f>SUMIFS(CloudBed!O:O,CloudBed!T:T,"Money Box",CloudBed!Q:Q,A7,CloudBed!R:R,$B$1)</f>
        <v>8</v>
      </c>
      <c r="D7" s="151">
        <f>SUMIFS(CloudBed!U:U,CloudBed!Z:Z,"Money Box",CloudBed!W:W,A7,CloudBed!X:X,$B$1)</f>
        <v>116.45</v>
      </c>
      <c r="E7" s="151">
        <f>SUMIFS(FF!E:E,FF!B:B,A7,FF!C:C,$B$1,FF!F:F,"FF")</f>
        <v>0</v>
      </c>
      <c r="F7" s="151">
        <f>sumifs(Extra!H:H,Extra!B:B,A7,Extra!C:C,$B$1,Extra!I:I,"MoneyBox")</f>
        <v>0</v>
      </c>
      <c r="G7" s="151">
        <f>SUMIFS(Dados!N:N,Dados!F:F,A7,Dados!G:G,$B$1,Dados!D:D,"MoneyBox")</f>
        <v>0</v>
      </c>
      <c r="H7" s="34">
        <f t="shared" si="1"/>
        <v>1089.55</v>
      </c>
      <c r="J7" s="34">
        <f t="shared" si="2"/>
        <v>1089.55</v>
      </c>
    </row>
    <row r="8">
      <c r="A8" s="32">
        <v>6.0</v>
      </c>
      <c r="B8" s="34">
        <f t="shared" si="3"/>
        <v>1089.55</v>
      </c>
      <c r="C8" s="151">
        <f>SUMIFS(CloudBed!O:O,CloudBed!T:T,"Money Box",CloudBed!Q:Q,A8,CloudBed!R:R,$B$1)</f>
        <v>14</v>
      </c>
      <c r="D8" s="151">
        <f>SUMIFS(CloudBed!U:U,CloudBed!Z:Z,"Money Box",CloudBed!W:W,A8,CloudBed!X:X,$B$1)</f>
        <v>208.25</v>
      </c>
      <c r="E8" s="151">
        <f>SUMIFS(FF!E:E,FF!B:B,A8,FF!C:C,$B$1,FF!F:F,"FF")</f>
        <v>67</v>
      </c>
      <c r="F8" s="151">
        <f>sumifs(Extra!H:H,Extra!B:B,A8,Extra!C:C,$B$1,Extra!I:I,"MoneyBox")</f>
        <v>0</v>
      </c>
      <c r="G8" s="151">
        <f>SUMIFS(Dados!N:N,Dados!F:F,A8,Dados!G:G,$B$1,Dados!D:D,"MoneyBox")</f>
        <v>0</v>
      </c>
      <c r="H8" s="34">
        <f t="shared" si="1"/>
        <v>1378.8</v>
      </c>
      <c r="J8" s="34">
        <f t="shared" si="2"/>
        <v>1378.8</v>
      </c>
    </row>
    <row r="9">
      <c r="A9" s="32">
        <v>7.0</v>
      </c>
      <c r="B9" s="34">
        <f t="shared" si="3"/>
        <v>1378.8</v>
      </c>
      <c r="C9" s="151">
        <f>SUMIFS(CloudBed!O:O,CloudBed!T:T,"Money Box",CloudBed!Q:Q,A9,CloudBed!R:R,$B$1)</f>
        <v>32</v>
      </c>
      <c r="D9" s="151">
        <f>SUMIFS(CloudBed!U:U,CloudBed!Z:Z,"Money Box",CloudBed!W:W,A9,CloudBed!X:X,$B$1)</f>
        <v>498.95</v>
      </c>
      <c r="E9" s="151">
        <f>SUMIFS(FF!E:E,FF!B:B,A9,FF!C:C,$B$1,FF!F:F,"FF")</f>
        <v>114</v>
      </c>
      <c r="F9" s="151">
        <f>sumifs(Extra!H:H,Extra!B:B,A9,Extra!C:C,$B$1,Extra!I:I,"MoneyBox")</f>
        <v>0</v>
      </c>
      <c r="G9" s="151">
        <f>SUMIFS(Dados!N:N,Dados!F:F,A9,Dados!G:G,$B$1,Dados!D:D,"MoneyBox")</f>
        <v>0</v>
      </c>
      <c r="H9" s="34">
        <f t="shared" si="1"/>
        <v>2023.75</v>
      </c>
      <c r="J9" s="34">
        <f t="shared" si="2"/>
        <v>2023.75</v>
      </c>
    </row>
    <row r="10">
      <c r="A10" s="32">
        <v>8.0</v>
      </c>
      <c r="B10" s="34">
        <f t="shared" si="3"/>
        <v>2023.75</v>
      </c>
      <c r="C10" s="151">
        <f>SUMIFS(CloudBed!O:O,CloudBed!T:T,"Money Box",CloudBed!Q:Q,A10,CloudBed!R:R,$B$1)</f>
        <v>28</v>
      </c>
      <c r="D10" s="151">
        <f>SUMIFS(CloudBed!U:U,CloudBed!Z:Z,"Money Box",CloudBed!W:W,A10,CloudBed!X:X,$B$1)</f>
        <v>705.5</v>
      </c>
      <c r="E10" s="151">
        <f>SUMIFS(FF!E:E,FF!B:B,A10,FF!C:C,$B$1,FF!F:F,"FF")</f>
        <v>35</v>
      </c>
      <c r="F10" s="151">
        <f>sumifs(Extra!H:H,Extra!B:B,A10,Extra!C:C,$B$1,Extra!I:I,"MoneyBox")</f>
        <v>0</v>
      </c>
      <c r="G10" s="151">
        <f>SUMIFS(Dados!N:N,Dados!F:F,A10,Dados!G:G,$B$1,Dados!D:D,"MoneyBox")</f>
        <v>0</v>
      </c>
      <c r="H10" s="34">
        <f t="shared" si="1"/>
        <v>2792.25</v>
      </c>
      <c r="J10" s="34">
        <f t="shared" si="2"/>
        <v>2792.25</v>
      </c>
    </row>
    <row r="11">
      <c r="A11" s="32">
        <v>9.0</v>
      </c>
      <c r="B11" s="34">
        <f t="shared" si="3"/>
        <v>2792.25</v>
      </c>
      <c r="C11" s="151">
        <f>SUMIFS(CloudBed!O:O,CloudBed!T:T,"Money Box",CloudBed!Q:Q,A11,CloudBed!R:R,$B$1)</f>
        <v>4</v>
      </c>
      <c r="D11" s="151">
        <f>SUMIFS(CloudBed!U:U,CloudBed!Z:Z,"Money Box",CloudBed!W:W,A11,CloudBed!X:X,$B$1)</f>
        <v>76.5</v>
      </c>
      <c r="E11" s="151">
        <f>SUMIFS(FF!E:E,FF!B:B,A11,FF!C:C,$B$1,FF!F:F,"FF")</f>
        <v>0</v>
      </c>
      <c r="F11" s="151">
        <f>sumifs(Extra!H:H,Extra!B:B,A11,Extra!C:C,$B$1,Extra!I:I,"MoneyBox")</f>
        <v>0</v>
      </c>
      <c r="G11" s="151">
        <f>SUMIFS(Dados!N:N,Dados!F:F,A11,Dados!G:G,$B$1,Dados!D:D,"MoneyBox")</f>
        <v>0</v>
      </c>
      <c r="H11" s="34">
        <f t="shared" si="1"/>
        <v>2872.75</v>
      </c>
      <c r="J11" s="34">
        <f t="shared" si="2"/>
        <v>2872.75</v>
      </c>
    </row>
    <row r="12">
      <c r="A12" s="32">
        <v>10.0</v>
      </c>
      <c r="B12" s="34">
        <f t="shared" si="3"/>
        <v>2872.75</v>
      </c>
      <c r="C12" s="151">
        <f>SUMIFS(CloudBed!O:O,CloudBed!T:T,"Money Box",CloudBed!Q:Q,A12,CloudBed!R:R,$B$1)</f>
        <v>10</v>
      </c>
      <c r="D12" s="151">
        <f>SUMIFS(CloudBed!U:U,CloudBed!Z:Z,"Money Box",CloudBed!W:W,A12,CloudBed!X:X,$B$1)</f>
        <v>158.1</v>
      </c>
      <c r="E12" s="151">
        <f>SUMIFS(FF!E:E,FF!B:B,A12,FF!C:C,$B$1,FF!F:F,"FF")</f>
        <v>0</v>
      </c>
      <c r="F12" s="151">
        <f>sumifs(Extra!H:H,Extra!B:B,A12,Extra!C:C,$B$1,Extra!I:I,"MoneyBox")</f>
        <v>0</v>
      </c>
      <c r="G12" s="151">
        <f>SUMIFS(Dados!N:N,Dados!F:F,A12,Dados!G:G,$B$1,Dados!D:D,"MoneyBox")</f>
        <v>0</v>
      </c>
      <c r="H12" s="34">
        <f t="shared" si="1"/>
        <v>3040.85</v>
      </c>
      <c r="J12" s="34">
        <f t="shared" si="2"/>
        <v>3040.85</v>
      </c>
    </row>
    <row r="13">
      <c r="A13" s="32">
        <v>11.0</v>
      </c>
      <c r="B13" s="34">
        <f t="shared" si="3"/>
        <v>3040.85</v>
      </c>
      <c r="C13" s="151">
        <f>SUMIFS(CloudBed!O:O,CloudBed!T:T,"Money Box",CloudBed!Q:Q,A13,CloudBed!R:R,$B$1)</f>
        <v>0</v>
      </c>
      <c r="D13" s="151">
        <f>SUMIFS(CloudBed!U:U,CloudBed!Z:Z,"Money Box",CloudBed!W:W,A13,CloudBed!X:X,$B$1)</f>
        <v>0</v>
      </c>
      <c r="E13" s="151">
        <f>SUMIFS(FF!E:E,FF!B:B,A13,FF!C:C,$B$1,FF!F:F,"FF")</f>
        <v>30</v>
      </c>
      <c r="F13" s="151">
        <f>sumifs(Extra!H:H,Extra!B:B,A13,Extra!C:C,$B$1,Extra!I:I,"MoneyBox")</f>
        <v>0</v>
      </c>
      <c r="G13" s="151">
        <f>SUMIFS(Dados!N:N,Dados!F:F,A13,Dados!G:G,$B$1,Dados!D:D,"MoneyBox")</f>
        <v>0</v>
      </c>
      <c r="H13" s="34">
        <f t="shared" si="1"/>
        <v>3070.85</v>
      </c>
      <c r="J13" s="34">
        <f t="shared" si="2"/>
        <v>3070.85</v>
      </c>
    </row>
    <row r="14">
      <c r="A14" s="32">
        <v>12.0</v>
      </c>
      <c r="B14" s="34">
        <f t="shared" si="3"/>
        <v>3070.85</v>
      </c>
      <c r="C14" s="151">
        <f>SUMIFS(CloudBed!O:O,CloudBed!T:T,"Money Box",CloudBed!Q:Q,A14,CloudBed!R:R,$B$1)</f>
        <v>12</v>
      </c>
      <c r="D14" s="151">
        <f>SUMIFS(CloudBed!U:U,CloudBed!Z:Z,"Money Box",CloudBed!W:W,A14,CloudBed!X:X,$B$1)</f>
        <v>207.4</v>
      </c>
      <c r="E14" s="151">
        <f>SUMIFS(FF!E:E,FF!B:B,A14,FF!C:C,$B$1,FF!F:F,"FF")</f>
        <v>35</v>
      </c>
      <c r="F14" s="151">
        <f>sumifs(Extra!H:H,Extra!B:B,A14,Extra!C:C,$B$1,Extra!I:I,"MoneyBox")</f>
        <v>0</v>
      </c>
      <c r="G14" s="151">
        <f>SUMIFS(Dados!N:N,Dados!F:F,A14,Dados!G:G,$B$1,Dados!D:D,"MoneyBox")</f>
        <v>0</v>
      </c>
      <c r="H14" s="34">
        <f t="shared" si="1"/>
        <v>3325.25</v>
      </c>
      <c r="J14" s="34">
        <f t="shared" si="2"/>
        <v>3325.25</v>
      </c>
    </row>
    <row r="15">
      <c r="A15" s="32">
        <v>13.0</v>
      </c>
      <c r="B15" s="34">
        <f t="shared" si="3"/>
        <v>3325.25</v>
      </c>
      <c r="C15" s="151">
        <f>SUMIFS(CloudBed!O:O,CloudBed!T:T,"Money Box",CloudBed!Q:Q,A15,CloudBed!R:R,$B$1)</f>
        <v>2</v>
      </c>
      <c r="D15" s="151">
        <f>SUMIFS(CloudBed!U:U,CloudBed!Z:Z,"Money Box",CloudBed!W:W,A15,CloudBed!X:X,$B$1)</f>
        <v>29.75</v>
      </c>
      <c r="E15" s="151">
        <f>SUMIFS(FF!E:E,FF!B:B,A15,FF!C:C,$B$1,FF!F:F,"FF")</f>
        <v>35</v>
      </c>
      <c r="F15" s="151">
        <f>sumifs(Extra!H:H,Extra!B:B,A15,Extra!C:C,$B$1,Extra!I:I,"MoneyBox")</f>
        <v>0</v>
      </c>
      <c r="G15" s="151">
        <f>SUMIFS(Dados!N:N,Dados!F:F,A15,Dados!G:G,$B$1,Dados!D:D,"MoneyBox")</f>
        <v>0</v>
      </c>
      <c r="H15" s="34">
        <f t="shared" si="1"/>
        <v>3392</v>
      </c>
      <c r="J15" s="34">
        <f t="shared" si="2"/>
        <v>3392</v>
      </c>
    </row>
    <row r="16">
      <c r="A16" s="32">
        <v>14.0</v>
      </c>
      <c r="B16" s="34">
        <f t="shared" si="3"/>
        <v>3392</v>
      </c>
      <c r="C16" s="151">
        <f>SUMIFS(CloudBed!O:O,CloudBed!T:T,"Money Box",CloudBed!Q:Q,A16,CloudBed!R:R,$B$1)</f>
        <v>8</v>
      </c>
      <c r="D16" s="151">
        <f>SUMIFS(CloudBed!U:U,CloudBed!Z:Z,"Money Box",CloudBed!W:W,A16,CloudBed!X:X,$B$1)</f>
        <v>136</v>
      </c>
      <c r="E16" s="151">
        <f>SUMIFS(FF!E:E,FF!B:B,A16,FF!C:C,$B$1,FF!F:F,"FF")</f>
        <v>192</v>
      </c>
      <c r="F16" s="151">
        <f>sumifs(Extra!H:H,Extra!B:B,A16,Extra!C:C,$B$1,Extra!I:I,"MoneyBox")</f>
        <v>0</v>
      </c>
      <c r="G16" s="151">
        <f>SUMIFS(Dados!N:N,Dados!F:F,A16,Dados!G:G,$B$1,Dados!D:D,"MoneyBox")</f>
        <v>0</v>
      </c>
      <c r="H16" s="34">
        <f t="shared" si="1"/>
        <v>3728</v>
      </c>
      <c r="J16" s="34">
        <f t="shared" si="2"/>
        <v>3728</v>
      </c>
    </row>
    <row r="17">
      <c r="A17" s="32">
        <v>15.0</v>
      </c>
      <c r="B17" s="34">
        <f t="shared" si="3"/>
        <v>3728</v>
      </c>
      <c r="C17" s="151">
        <f>SUMIFS(CloudBed!O:O,CloudBed!T:T,"Money Box",CloudBed!Q:Q,A17,CloudBed!R:R,$B$1)</f>
        <v>12</v>
      </c>
      <c r="D17" s="151">
        <f>SUMIFS(CloudBed!U:U,CloudBed!Z:Z,"Money Box",CloudBed!W:W,A17,CloudBed!X:X,$B$1)</f>
        <v>178.5</v>
      </c>
      <c r="E17" s="151">
        <f>SUMIFS(FF!E:E,FF!B:B,A17,FF!C:C,$B$1,FF!F:F,"FF")</f>
        <v>35</v>
      </c>
      <c r="F17" s="151">
        <f>sumifs(Extra!H:H,Extra!B:B,A17,Extra!C:C,$B$1,Extra!I:I,"MoneyBox")</f>
        <v>0</v>
      </c>
      <c r="G17" s="151">
        <f>SUMIFS(Dados!N:N,Dados!F:F,A17,Dados!G:G,$B$1,Dados!D:D,"MoneyBox")</f>
        <v>0</v>
      </c>
      <c r="H17" s="34">
        <f t="shared" si="1"/>
        <v>3953.5</v>
      </c>
      <c r="J17" s="34">
        <f t="shared" si="2"/>
        <v>3953.5</v>
      </c>
    </row>
    <row r="18">
      <c r="A18" s="32">
        <v>16.0</v>
      </c>
      <c r="B18" s="34">
        <f t="shared" si="3"/>
        <v>3953.5</v>
      </c>
      <c r="C18" s="151">
        <f>SUMIFS(CloudBed!O:O,CloudBed!T:T,"Money Box",CloudBed!Q:Q,A18,CloudBed!R:R,$B$1)</f>
        <v>2</v>
      </c>
      <c r="D18" s="151">
        <f>SUMIFS(CloudBed!U:U,CloudBed!Z:Z,"Money Box",CloudBed!W:W,A18,CloudBed!X:X,$B$1)</f>
        <v>35.7</v>
      </c>
      <c r="E18" s="151">
        <f>SUMIFS(FF!E:E,FF!B:B,A18,FF!C:C,$B$1,FF!F:F,"FF")</f>
        <v>0</v>
      </c>
      <c r="F18" s="151">
        <f>sumifs(Extra!H:H,Extra!B:B,A18,Extra!C:C,$B$1,Extra!I:I,"MoneyBox")</f>
        <v>0</v>
      </c>
      <c r="G18" s="151">
        <f>SUMIFS(Dados!N:N,Dados!F:F,A18,Dados!G:G,$B$1,Dados!D:D,"MoneyBox")</f>
        <v>0</v>
      </c>
      <c r="H18" s="34">
        <f t="shared" si="1"/>
        <v>3991.2</v>
      </c>
      <c r="J18" s="34">
        <f t="shared" si="2"/>
        <v>3991.2</v>
      </c>
    </row>
    <row r="19">
      <c r="A19" s="32">
        <v>17.0</v>
      </c>
      <c r="B19" s="34">
        <f t="shared" si="3"/>
        <v>3991.2</v>
      </c>
      <c r="C19" s="151">
        <f>SUMIFS(CloudBed!O:O,CloudBed!T:T,"Money Box",CloudBed!Q:Q,A19,CloudBed!R:R,$B$1)</f>
        <v>10</v>
      </c>
      <c r="D19" s="151">
        <f>SUMIFS(CloudBed!U:U,CloudBed!Z:Z,"Money Box",CloudBed!W:W,A19,CloudBed!X:X,$B$1)</f>
        <v>197.2</v>
      </c>
      <c r="E19" s="151">
        <f>SUMIFS(FF!E:E,FF!B:B,A19,FF!C:C,$B$1,FF!F:F,"FF")</f>
        <v>72</v>
      </c>
      <c r="F19" s="151">
        <f>sumifs(Extra!H:H,Extra!B:B,A19,Extra!C:C,$B$1,Extra!I:I,"MoneyBox")</f>
        <v>0</v>
      </c>
      <c r="G19" s="151">
        <f>SUMIFS(Dados!N:N,Dados!F:F,A19,Dados!G:G,$B$1,Dados!D:D,"MoneyBox")</f>
        <v>0</v>
      </c>
      <c r="H19" s="34">
        <f t="shared" si="1"/>
        <v>4270.4</v>
      </c>
      <c r="J19" s="34">
        <f t="shared" si="2"/>
        <v>4270.4</v>
      </c>
    </row>
    <row r="20">
      <c r="A20" s="32">
        <v>18.0</v>
      </c>
      <c r="B20" s="34">
        <f t="shared" si="3"/>
        <v>4270.4</v>
      </c>
      <c r="C20" s="151">
        <f>SUMIFS(CloudBed!O:O,CloudBed!T:T,"Money Box",CloudBed!Q:Q,A20,CloudBed!R:R,$B$1)</f>
        <v>6</v>
      </c>
      <c r="D20" s="151">
        <f>SUMIFS(CloudBed!U:U,CloudBed!Z:Z,"Money Box",CloudBed!W:W,A20,CloudBed!X:X,$B$1)</f>
        <v>81.6</v>
      </c>
      <c r="E20" s="151">
        <f>SUMIFS(FF!E:E,FF!B:B,A20,FF!C:C,$B$1,FF!F:F,"FF")</f>
        <v>39.5</v>
      </c>
      <c r="F20" s="151">
        <f>sumifs(Extra!H:H,Extra!B:B,A20,Extra!C:C,$B$1,Extra!I:I,"MoneyBox")</f>
        <v>0</v>
      </c>
      <c r="G20" s="151">
        <f>SUMIFS(Dados!N:N,Dados!F:F,A20,Dados!G:G,$B$1,Dados!D:D,"MoneyBox")</f>
        <v>0</v>
      </c>
      <c r="H20" s="34">
        <f t="shared" si="1"/>
        <v>4397.5</v>
      </c>
      <c r="J20" s="34">
        <f t="shared" si="2"/>
        <v>4397.5</v>
      </c>
    </row>
    <row r="21">
      <c r="A21" s="32">
        <v>19.0</v>
      </c>
      <c r="B21" s="34">
        <f t="shared" si="3"/>
        <v>4397.5</v>
      </c>
      <c r="C21" s="151">
        <f>SUMIFS(CloudBed!O:O,CloudBed!T:T,"Money Box",CloudBed!Q:Q,A21,CloudBed!R:R,$B$1)</f>
        <v>0</v>
      </c>
      <c r="D21" s="151">
        <f>SUMIFS(CloudBed!U:U,CloudBed!Z:Z,"Money Box",CloudBed!W:W,A21,CloudBed!X:X,$B$1)</f>
        <v>0</v>
      </c>
      <c r="E21" s="151">
        <f>SUMIFS(FF!E:E,FF!B:B,A21,FF!C:C,$B$1,FF!F:F,"FF")</f>
        <v>68</v>
      </c>
      <c r="F21" s="151">
        <f>sumifs(Extra!H:H,Extra!B:B,A21,Extra!C:C,$B$1,Extra!I:I,"MoneyBox")</f>
        <v>0</v>
      </c>
      <c r="G21" s="151">
        <f>SUMIFS(Dados!N:N,Dados!F:F,A21,Dados!G:G,$B$1,Dados!D:D,"MoneyBox")</f>
        <v>0</v>
      </c>
      <c r="H21" s="34">
        <f t="shared" si="1"/>
        <v>4465.5</v>
      </c>
      <c r="J21" s="34">
        <f t="shared" si="2"/>
        <v>4465.5</v>
      </c>
    </row>
    <row r="22">
      <c r="A22" s="32">
        <v>20.0</v>
      </c>
      <c r="B22" s="34">
        <f t="shared" si="3"/>
        <v>4465.5</v>
      </c>
      <c r="C22" s="151">
        <f>SUMIFS(CloudBed!O:O,CloudBed!T:T,"Money Box",CloudBed!Q:Q,A22,CloudBed!R:R,$B$1)</f>
        <v>10</v>
      </c>
      <c r="D22" s="151">
        <f>SUMIFS(CloudBed!U:U,CloudBed!Z:Z,"Money Box",CloudBed!W:W,A22,CloudBed!X:X,$B$1)</f>
        <v>143.65</v>
      </c>
      <c r="E22" s="151">
        <f>SUMIFS(FF!E:E,FF!B:B,A22,FF!C:C,$B$1,FF!F:F,"FF")</f>
        <v>490</v>
      </c>
      <c r="F22" s="151">
        <f>sumifs(Extra!H:H,Extra!B:B,A22,Extra!C:C,$B$1,Extra!I:I,"MoneyBox")</f>
        <v>0</v>
      </c>
      <c r="G22" s="151">
        <f>SUMIFS(Dados!N:N,Dados!F:F,A22,Dados!G:G,$B$1,Dados!D:D,"MoneyBox")</f>
        <v>0</v>
      </c>
      <c r="H22" s="34">
        <f t="shared" si="1"/>
        <v>5109.15</v>
      </c>
      <c r="J22" s="34">
        <f t="shared" si="2"/>
        <v>5109.15</v>
      </c>
    </row>
    <row r="23">
      <c r="A23" s="32">
        <v>21.0</v>
      </c>
      <c r="B23" s="34">
        <f t="shared" si="3"/>
        <v>5109.15</v>
      </c>
      <c r="C23" s="151">
        <f>SUMIFS(CloudBed!O:O,CloudBed!T:T,"Money Box",CloudBed!Q:Q,A23,CloudBed!R:R,$B$1)</f>
        <v>32</v>
      </c>
      <c r="D23" s="151">
        <f>SUMIFS(CloudBed!U:U,CloudBed!Z:Z,"Money Box",CloudBed!W:W,A23,CloudBed!X:X,$B$1)</f>
        <v>497.25</v>
      </c>
      <c r="E23" s="151">
        <f>SUMIFS(FF!E:E,FF!B:B,A23,FF!C:C,$B$1,FF!F:F,"FF")</f>
        <v>0</v>
      </c>
      <c r="F23" s="151">
        <f>sumifs(Extra!H:H,Extra!B:B,A23,Extra!C:C,$B$1,Extra!I:I,"MoneyBox")</f>
        <v>0</v>
      </c>
      <c r="G23" s="151">
        <f>SUMIFS(Dados!N:N,Dados!F:F,A23,Dados!G:G,$B$1,Dados!D:D,"MoneyBox")</f>
        <v>0</v>
      </c>
      <c r="H23" s="34">
        <f t="shared" si="1"/>
        <v>5638.4</v>
      </c>
      <c r="J23" s="34">
        <f t="shared" si="2"/>
        <v>5638.4</v>
      </c>
    </row>
    <row r="24">
      <c r="A24" s="32">
        <v>22.0</v>
      </c>
      <c r="B24" s="34">
        <f t="shared" si="3"/>
        <v>5638.4</v>
      </c>
      <c r="C24" s="151">
        <f>SUMIFS(CloudBed!O:O,CloudBed!T:T,"Money Box",CloudBed!Q:Q,A24,CloudBed!R:R,$B$1)</f>
        <v>26</v>
      </c>
      <c r="D24" s="151">
        <f>SUMIFS(CloudBed!U:U,CloudBed!Z:Z,"Money Box",CloudBed!W:W,A24,CloudBed!X:X,$B$1)</f>
        <v>521.05</v>
      </c>
      <c r="E24" s="151">
        <f>SUMIFS(FF!E:E,FF!B:B,A24,FF!C:C,$B$1,FF!F:F,"FF")</f>
        <v>130</v>
      </c>
      <c r="F24" s="151">
        <f>sumifs(Extra!H:H,Extra!B:B,A24,Extra!C:C,$B$1,Extra!I:I,"MoneyBox")</f>
        <v>0</v>
      </c>
      <c r="G24" s="151">
        <f>SUMIFS(Dados!N:N,Dados!F:F,A24,Dados!G:G,$B$1,Dados!D:D,"MoneyBox")</f>
        <v>0</v>
      </c>
      <c r="H24" s="34">
        <f t="shared" si="1"/>
        <v>6315.45</v>
      </c>
      <c r="J24" s="34">
        <f t="shared" si="2"/>
        <v>6315.45</v>
      </c>
    </row>
    <row r="25">
      <c r="A25" s="32">
        <v>23.0</v>
      </c>
      <c r="B25" s="34">
        <f t="shared" si="3"/>
        <v>6315.45</v>
      </c>
      <c r="C25" s="151">
        <f>SUMIFS(CloudBed!O:O,CloudBed!T:T,"Money Box",CloudBed!Q:Q,A25,CloudBed!R:R,$B$1)</f>
        <v>28</v>
      </c>
      <c r="D25" s="151">
        <f>SUMIFS(CloudBed!U:U,CloudBed!Z:Z,"Money Box",CloudBed!W:W,A25,CloudBed!X:X,$B$1)</f>
        <v>697</v>
      </c>
      <c r="E25" s="151">
        <f>SUMIFS(FF!E:E,FF!B:B,A25,FF!C:C,$B$1,FF!F:F,"FF")</f>
        <v>10</v>
      </c>
      <c r="F25" s="151">
        <f>sumifs(Extra!H:H,Extra!B:B,A25,Extra!C:C,$B$1,Extra!I:I,"MoneyBox")</f>
        <v>0</v>
      </c>
      <c r="G25" s="151">
        <f>SUMIFS(Dados!N:N,Dados!F:F,A25,Dados!G:G,$B$1,Dados!D:D,"MoneyBox")</f>
        <v>0</v>
      </c>
      <c r="H25" s="34">
        <f t="shared" si="1"/>
        <v>7050.45</v>
      </c>
      <c r="J25" s="34">
        <f t="shared" si="2"/>
        <v>7050.45</v>
      </c>
    </row>
    <row r="26">
      <c r="A26" s="32">
        <v>24.0</v>
      </c>
      <c r="B26" s="34">
        <f t="shared" si="3"/>
        <v>7050.45</v>
      </c>
      <c r="C26" s="151">
        <f>SUMIFS(CloudBed!O:O,CloudBed!T:T,"Money Box",CloudBed!Q:Q,A26,CloudBed!R:R,$B$1)</f>
        <v>10</v>
      </c>
      <c r="D26" s="151">
        <f>SUMIFS(CloudBed!U:U,CloudBed!Z:Z,"Money Box",CloudBed!W:W,A26,CloudBed!X:X,$B$1)</f>
        <v>164.05</v>
      </c>
      <c r="E26" s="151">
        <f>SUMIFS(FF!E:E,FF!B:B,A26,FF!C:C,$B$1,FF!F:F,"FF")</f>
        <v>110</v>
      </c>
      <c r="F26" s="151">
        <f>sumifs(Extra!H:H,Extra!B:B,A26,Extra!C:C,$B$1,Extra!I:I,"MoneyBox")</f>
        <v>0</v>
      </c>
      <c r="G26" s="151">
        <f>SUMIFS(Dados!N:N,Dados!F:F,A26,Dados!G:G,$B$1,Dados!D:D,"MoneyBox")</f>
        <v>0</v>
      </c>
      <c r="H26" s="34">
        <f t="shared" si="1"/>
        <v>7334.5</v>
      </c>
      <c r="J26" s="34">
        <f t="shared" si="2"/>
        <v>7334.5</v>
      </c>
    </row>
    <row r="27">
      <c r="A27" s="32">
        <v>25.0</v>
      </c>
      <c r="B27" s="34">
        <f t="shared" si="3"/>
        <v>7334.5</v>
      </c>
      <c r="C27" s="151">
        <f>SUMIFS(CloudBed!O:O,CloudBed!T:T,"Money Box",CloudBed!Q:Q,A27,CloudBed!R:R,$B$1)</f>
        <v>12</v>
      </c>
      <c r="D27" s="151">
        <f>SUMIFS(CloudBed!U:U,CloudBed!Z:Z,"Money Box",CloudBed!W:W,A27,CloudBed!X:X,$B$1)</f>
        <v>212.5</v>
      </c>
      <c r="E27" s="151">
        <f>SUMIFS(FF!E:E,FF!B:B,A27,FF!C:C,$B$1,FF!F:F,"FF")</f>
        <v>70</v>
      </c>
      <c r="F27" s="151">
        <f>sumifs(Extra!H:H,Extra!B:B,A27,Extra!C:C,$B$1,Extra!I:I,"MoneyBox")</f>
        <v>0</v>
      </c>
      <c r="G27" s="151">
        <f>SUMIFS(Dados!N:N,Dados!F:F,A27,Dados!G:G,$B$1,Dados!D:D,"MoneyBox")</f>
        <v>0</v>
      </c>
      <c r="H27" s="34">
        <f t="shared" si="1"/>
        <v>7629</v>
      </c>
      <c r="J27" s="34">
        <f t="shared" si="2"/>
        <v>7629</v>
      </c>
    </row>
    <row r="28">
      <c r="A28" s="32">
        <v>26.0</v>
      </c>
      <c r="B28" s="34">
        <f t="shared" si="3"/>
        <v>7629</v>
      </c>
      <c r="C28" s="151">
        <f>SUMIFS(CloudBed!O:O,CloudBed!T:T,"Money Box",CloudBed!Q:Q,A28,CloudBed!R:R,$B$1)</f>
        <v>0</v>
      </c>
      <c r="D28" s="151">
        <f>SUMIFS(CloudBed!U:U,CloudBed!Z:Z,"Money Box",CloudBed!W:W,A28,CloudBed!X:X,$B$1)</f>
        <v>0</v>
      </c>
      <c r="E28" s="151">
        <f>SUMIFS(FF!E:E,FF!B:B,A28,FF!C:C,$B$1,FF!F:F,"FF")</f>
        <v>159</v>
      </c>
      <c r="F28" s="151">
        <f>sumifs(Extra!H:H,Extra!B:B,A28,Extra!C:C,$B$1,Extra!I:I,"MoneyBox")</f>
        <v>0</v>
      </c>
      <c r="G28" s="151">
        <f>SUMIFS(Dados!N:N,Dados!F:F,A28,Dados!G:G,$B$1,Dados!D:D,"MoneyBox")</f>
        <v>0</v>
      </c>
      <c r="H28" s="34">
        <f t="shared" si="1"/>
        <v>7788</v>
      </c>
      <c r="J28" s="34">
        <f t="shared" si="2"/>
        <v>7788</v>
      </c>
    </row>
    <row r="29">
      <c r="A29" s="32">
        <v>27.0</v>
      </c>
      <c r="B29" s="34">
        <f t="shared" si="3"/>
        <v>7788</v>
      </c>
      <c r="C29" s="151">
        <f>SUMIFS(CloudBed!O:O,CloudBed!T:T,"Money Box",CloudBed!Q:Q,A29,CloudBed!R:R,$B$1)</f>
        <v>14</v>
      </c>
      <c r="D29" s="151">
        <f>SUMIFS(CloudBed!U:U,CloudBed!Z:Z,"Money Box",CloudBed!W:W,A29,CloudBed!X:X,$B$1)</f>
        <v>240.55</v>
      </c>
      <c r="E29" s="151">
        <f>SUMIFS(FF!E:E,FF!B:B,A29,FF!C:C,$B$1,FF!F:F,"FF")</f>
        <v>74</v>
      </c>
      <c r="F29" s="151">
        <f>sumifs(Extra!H:H,Extra!B:B,A29,Extra!C:C,$B$1,Extra!I:I,"MoneyBox")</f>
        <v>0</v>
      </c>
      <c r="G29" s="151">
        <f>SUMIFS(Dados!N:N,Dados!F:F,A29,Dados!G:G,$B$1,Dados!D:D,"MoneyBox")</f>
        <v>0</v>
      </c>
      <c r="H29" s="34">
        <f t="shared" si="1"/>
        <v>8116.55</v>
      </c>
      <c r="J29" s="34">
        <f t="shared" si="2"/>
        <v>8116.55</v>
      </c>
    </row>
    <row r="30">
      <c r="A30" s="32">
        <v>28.0</v>
      </c>
      <c r="B30" s="34">
        <f t="shared" si="3"/>
        <v>8116.55</v>
      </c>
      <c r="C30" s="151">
        <f>SUMIFS(CloudBed!O:O,CloudBed!T:T,"Money Box",CloudBed!Q:Q,A30,CloudBed!R:R,$B$1)</f>
        <v>14</v>
      </c>
      <c r="D30" s="151">
        <f>SUMIFS(CloudBed!U:U,CloudBed!Z:Z,"Money Box",CloudBed!W:W,A30,CloudBed!X:X,$B$1)</f>
        <v>293.25</v>
      </c>
      <c r="E30" s="151">
        <f>SUMIFS(FF!E:E,FF!B:B,A30,FF!C:C,$B$1,FF!F:F,"FF")</f>
        <v>60</v>
      </c>
      <c r="F30" s="151">
        <f>sumifs(Extra!H:H,Extra!B:B,A30,Extra!C:C,$B$1,Extra!I:I,"MoneyBox")</f>
        <v>0</v>
      </c>
      <c r="G30" s="151">
        <f>SUMIFS(Dados!N:N,Dados!F:F,A30,Dados!G:G,$B$1,Dados!D:D,"MoneyBox")</f>
        <v>0</v>
      </c>
      <c r="H30" s="34">
        <f t="shared" si="1"/>
        <v>8483.8</v>
      </c>
      <c r="J30" s="34">
        <f t="shared" si="2"/>
        <v>8483.8</v>
      </c>
    </row>
    <row r="31">
      <c r="A31" s="32">
        <v>29.0</v>
      </c>
      <c r="B31" s="34">
        <f t="shared" si="3"/>
        <v>8483.8</v>
      </c>
      <c r="C31" s="151">
        <f>SUMIFS(CloudBed!O:O,CloudBed!T:T,"Money Box",CloudBed!Q:Q,A31,CloudBed!R:R,$B$1)</f>
        <v>12</v>
      </c>
      <c r="D31" s="151">
        <f>SUMIFS(CloudBed!U:U,CloudBed!Z:Z,"Money Box",CloudBed!W:W,A31,CloudBed!X:X,$B$1)</f>
        <v>178.5</v>
      </c>
      <c r="E31" s="151">
        <f>SUMIFS(FF!E:E,FF!B:B,A31,FF!C:C,$B$1,FF!F:F,"FF")</f>
        <v>0</v>
      </c>
      <c r="F31" s="151">
        <f>sumifs(Extra!H:H,Extra!B:B,A31,Extra!C:C,$B$1,Extra!I:I,"MoneyBox")</f>
        <v>0</v>
      </c>
      <c r="G31" s="151">
        <f>SUMIFS(Dados!N:N,Dados!F:F,A31,Dados!G:G,$B$1,Dados!D:D,"MoneyBox")</f>
        <v>0</v>
      </c>
      <c r="H31" s="34">
        <f t="shared" si="1"/>
        <v>8674.3</v>
      </c>
      <c r="I31" s="32">
        <v>359.44</v>
      </c>
      <c r="J31" s="34">
        <f t="shared" si="2"/>
        <v>8314.86</v>
      </c>
    </row>
    <row r="32">
      <c r="A32" s="32">
        <v>30.0</v>
      </c>
      <c r="B32" s="34">
        <f t="shared" si="3"/>
        <v>8674.3</v>
      </c>
      <c r="C32" s="151">
        <f>SUMIFS(CloudBed!O:O,CloudBed!T:T,"Money Box",CloudBed!Q:Q,A32,CloudBed!R:R,$B$1)</f>
        <v>8</v>
      </c>
      <c r="D32" s="151">
        <f>SUMIFS(CloudBed!U:U,CloudBed!Z:Z,"Money Box",CloudBed!W:W,A32,CloudBed!X:X,$B$1)</f>
        <v>119</v>
      </c>
      <c r="E32" s="151">
        <f>SUMIFS(FF!E:E,FF!B:B,A32,FF!C:C,$B$1,FF!F:F,"FF")</f>
        <v>75</v>
      </c>
      <c r="F32" s="151">
        <f>sumifs(Extra!H:H,Extra!B:B,A32,Extra!C:C,$B$1,Extra!I:I,"MoneyBox")</f>
        <v>0</v>
      </c>
      <c r="G32" s="151">
        <f>SUMIFS(Dados!N:N,Dados!F:F,A32,Dados!G:G,$B$1,Dados!D:D,"MoneyBox")</f>
        <v>0</v>
      </c>
      <c r="H32" s="34">
        <f t="shared" si="1"/>
        <v>8876.3</v>
      </c>
      <c r="I32" s="32">
        <v>315.69</v>
      </c>
      <c r="J32" s="34">
        <f t="shared" si="2"/>
        <v>8560.61</v>
      </c>
    </row>
    <row r="33">
      <c r="A33" s="32">
        <v>31.0</v>
      </c>
      <c r="B33" s="34">
        <f t="shared" si="3"/>
        <v>8876.3</v>
      </c>
      <c r="C33" s="151">
        <f>SUMIFS(CloudBed!O:O,CloudBed!T:T,"Money Box",CloudBed!Q:Q,A33,CloudBed!R:R,$B$1)</f>
        <v>26</v>
      </c>
      <c r="D33" s="151">
        <f>SUMIFS(CloudBed!U:U,CloudBed!Z:Z,"Money Box",CloudBed!W:W,A33,CloudBed!X:X,$B$1)</f>
        <v>476</v>
      </c>
      <c r="E33" s="151">
        <f>SUMIFS(FF!E:E,FF!B:B,A33,FF!C:C,$B$1,FF!F:F,"FF")</f>
        <v>75</v>
      </c>
      <c r="F33" s="151">
        <f>sumifs(Extra!H:H,Extra!B:B,A33,Extra!C:C,$B$1,Extra!I:I,"MoneyBox")</f>
        <v>0</v>
      </c>
      <c r="G33" s="151">
        <f>SUMIFS(Dados!N:N,Dados!F:F,A33,Dados!G:G,$B$1,Dados!D:D,"MoneyBox")</f>
        <v>0</v>
      </c>
      <c r="H33" s="34">
        <f t="shared" si="1"/>
        <v>9453.3</v>
      </c>
      <c r="I33" s="151">
        <f t="shared" ref="I33:I34" si="5">404+11.2</f>
        <v>415.2</v>
      </c>
      <c r="J33" s="34">
        <f t="shared" si="2"/>
        <v>9038.1</v>
      </c>
    </row>
    <row r="34">
      <c r="A34" s="32" t="s">
        <v>9</v>
      </c>
      <c r="B34" s="34">
        <f>B3</f>
        <v>340.6</v>
      </c>
      <c r="C34" s="151">
        <f t="shared" ref="C34:G34" si="4">SUM(C3:C33)</f>
        <v>364</v>
      </c>
      <c r="D34" s="151">
        <f t="shared" si="4"/>
        <v>6538.2</v>
      </c>
      <c r="E34" s="151">
        <f t="shared" si="4"/>
        <v>2210.5</v>
      </c>
      <c r="F34" s="151">
        <f t="shared" si="4"/>
        <v>0</v>
      </c>
      <c r="G34" s="151">
        <f t="shared" si="4"/>
        <v>0</v>
      </c>
      <c r="H34" s="34">
        <f t="shared" si="1"/>
        <v>9453.3</v>
      </c>
      <c r="I34" s="151">
        <f t="shared" si="5"/>
        <v>415.2</v>
      </c>
      <c r="J34" s="34">
        <f t="shared" si="2"/>
        <v>9038.1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0"/>
    <col customWidth="1" min="2" max="2" width="20.38"/>
    <col customWidth="1" hidden="1" min="3" max="3" width="12.63"/>
    <col customWidth="1" min="4" max="4" width="12.88"/>
    <col customWidth="1" min="5" max="5" width="10.88"/>
    <col customWidth="1" min="6" max="6" width="5.0"/>
    <col customWidth="1" min="7" max="7" width="3.75"/>
    <col customWidth="1" min="8" max="8" width="7.0"/>
    <col customWidth="1" min="9" max="9" width="7.25"/>
    <col customWidth="1" min="10" max="12" width="11.38"/>
    <col customWidth="1" min="13" max="13" width="3.75"/>
    <col customWidth="1" min="14" max="14" width="10.63"/>
    <col customWidth="1" min="15" max="15" width="4.63"/>
    <col customWidth="1" min="16" max="16" width="9.13"/>
    <col customWidth="1" min="17" max="17" width="23.5"/>
    <col customWidth="1" min="18" max="19" width="18.38"/>
  </cols>
  <sheetData>
    <row r="1" ht="15.75" customHeight="1">
      <c r="A1" s="199" t="s">
        <v>74</v>
      </c>
      <c r="B1" s="200" t="s">
        <v>75</v>
      </c>
      <c r="C1" s="201"/>
      <c r="D1" s="202" t="s">
        <v>364</v>
      </c>
      <c r="E1" s="201"/>
      <c r="F1" s="203" t="s">
        <v>365</v>
      </c>
      <c r="G1" s="203" t="s">
        <v>366</v>
      </c>
      <c r="H1" s="203" t="s">
        <v>367</v>
      </c>
      <c r="I1" s="204" t="s">
        <v>366</v>
      </c>
      <c r="J1" s="204" t="s">
        <v>367</v>
      </c>
      <c r="K1" s="205" t="s">
        <v>368</v>
      </c>
      <c r="L1" s="202"/>
      <c r="M1" s="206" t="s">
        <v>370</v>
      </c>
      <c r="N1" s="207" t="s">
        <v>27</v>
      </c>
      <c r="O1" s="208"/>
      <c r="P1" s="209"/>
      <c r="Q1" s="200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</row>
    <row r="2" ht="15.75" hidden="1" customHeight="1">
      <c r="A2" s="210" t="s">
        <v>100</v>
      </c>
      <c r="B2" s="210" t="s">
        <v>89</v>
      </c>
      <c r="C2" s="211"/>
      <c r="D2" s="210" t="s">
        <v>7</v>
      </c>
      <c r="E2" s="212">
        <v>46174.0</v>
      </c>
      <c r="F2" s="213">
        <f t="shared" ref="F2:F653" si="1">day(E2)</f>
        <v>1</v>
      </c>
      <c r="G2" s="213">
        <f t="shared" ref="G2:G653" si="2">MONTH(E2)</f>
        <v>6</v>
      </c>
      <c r="H2" s="213">
        <f t="shared" ref="H2:H653" si="3">YEAR(E2)</f>
        <v>2026</v>
      </c>
      <c r="I2" s="214">
        <v>6.0</v>
      </c>
      <c r="J2" s="215">
        <v>2026.0</v>
      </c>
      <c r="K2" s="216"/>
      <c r="L2" s="216">
        <v>435.86</v>
      </c>
      <c r="M2" s="32">
        <v>1.0</v>
      </c>
      <c r="N2" s="217">
        <f t="shared" ref="N2:N113" si="4">L2*M2</f>
        <v>435.86</v>
      </c>
      <c r="O2" s="218"/>
      <c r="P2" s="218"/>
      <c r="Q2" s="219" t="s">
        <v>371</v>
      </c>
    </row>
    <row r="3" ht="15.75" hidden="1" customHeight="1">
      <c r="A3" s="64" t="s">
        <v>100</v>
      </c>
      <c r="B3" s="64" t="s">
        <v>91</v>
      </c>
      <c r="C3" s="220"/>
      <c r="D3" s="64" t="s">
        <v>7</v>
      </c>
      <c r="E3" s="221">
        <v>46182.0</v>
      </c>
      <c r="F3" s="213">
        <f t="shared" si="1"/>
        <v>9</v>
      </c>
      <c r="G3" s="213">
        <f t="shared" si="2"/>
        <v>6</v>
      </c>
      <c r="H3" s="213">
        <f t="shared" si="3"/>
        <v>2026</v>
      </c>
      <c r="I3" s="214">
        <v>6.0</v>
      </c>
      <c r="J3" s="222">
        <v>2026.0</v>
      </c>
      <c r="K3" s="223"/>
      <c r="L3" s="223">
        <v>285.85</v>
      </c>
      <c r="M3" s="32">
        <v>1.0</v>
      </c>
      <c r="N3" s="217">
        <f t="shared" si="4"/>
        <v>285.85</v>
      </c>
      <c r="O3" s="87"/>
      <c r="P3" s="224"/>
      <c r="Q3" s="225"/>
    </row>
    <row r="4" ht="15.75" hidden="1" customHeight="1">
      <c r="A4" s="64" t="s">
        <v>251</v>
      </c>
      <c r="B4" s="64" t="s">
        <v>250</v>
      </c>
      <c r="C4" s="220"/>
      <c r="D4" s="64" t="s">
        <v>369</v>
      </c>
      <c r="E4" s="221">
        <v>46143.0</v>
      </c>
      <c r="F4" s="213">
        <f t="shared" si="1"/>
        <v>1</v>
      </c>
      <c r="G4" s="213">
        <f t="shared" si="2"/>
        <v>5</v>
      </c>
      <c r="H4" s="213">
        <f t="shared" si="3"/>
        <v>2026</v>
      </c>
      <c r="I4" s="214">
        <v>5.0</v>
      </c>
      <c r="J4" s="222">
        <v>2026.0</v>
      </c>
      <c r="K4" s="223"/>
      <c r="L4" s="223">
        <f>2.79/6</f>
        <v>0.465</v>
      </c>
      <c r="M4" s="32">
        <f>6*32</f>
        <v>192</v>
      </c>
      <c r="N4" s="217">
        <f t="shared" si="4"/>
        <v>89.28</v>
      </c>
      <c r="O4" s="87"/>
      <c r="P4" s="87"/>
      <c r="Q4" s="225"/>
      <c r="R4" s="64" t="s">
        <v>372</v>
      </c>
    </row>
    <row r="5" ht="15.75" hidden="1" customHeight="1">
      <c r="A5" s="64" t="s">
        <v>251</v>
      </c>
      <c r="B5" s="64" t="s">
        <v>250</v>
      </c>
      <c r="C5" s="220"/>
      <c r="D5" s="64" t="s">
        <v>319</v>
      </c>
      <c r="E5" s="221">
        <v>46209.0</v>
      </c>
      <c r="F5" s="213">
        <f t="shared" si="1"/>
        <v>6</v>
      </c>
      <c r="G5" s="213">
        <f t="shared" si="2"/>
        <v>7</v>
      </c>
      <c r="H5" s="213">
        <f t="shared" si="3"/>
        <v>2026</v>
      </c>
      <c r="I5" s="214">
        <f t="shared" ref="I5:J5" si="5">G5</f>
        <v>7</v>
      </c>
      <c r="J5" s="215">
        <f t="shared" si="5"/>
        <v>2026</v>
      </c>
      <c r="K5" s="223"/>
      <c r="L5" s="223">
        <f>2.79/6-0.03</f>
        <v>0.435</v>
      </c>
      <c r="M5" s="32">
        <f>6*37</f>
        <v>222</v>
      </c>
      <c r="N5" s="217">
        <f t="shared" si="4"/>
        <v>96.57</v>
      </c>
      <c r="O5" s="87"/>
      <c r="P5" s="87"/>
      <c r="Q5" s="226"/>
    </row>
    <row r="6" ht="15.75" hidden="1" customHeight="1">
      <c r="A6" s="64" t="s">
        <v>251</v>
      </c>
      <c r="B6" s="64" t="s">
        <v>250</v>
      </c>
      <c r="C6" s="220"/>
      <c r="D6" s="64" t="s">
        <v>319</v>
      </c>
      <c r="E6" s="221">
        <v>46232.0</v>
      </c>
      <c r="F6" s="213">
        <f t="shared" si="1"/>
        <v>29</v>
      </c>
      <c r="G6" s="213">
        <f t="shared" si="2"/>
        <v>7</v>
      </c>
      <c r="H6" s="213">
        <f t="shared" si="3"/>
        <v>2026</v>
      </c>
      <c r="I6" s="214">
        <f t="shared" ref="I6:J6" si="6">G6</f>
        <v>7</v>
      </c>
      <c r="J6" s="215">
        <f t="shared" si="6"/>
        <v>2026</v>
      </c>
      <c r="K6" s="223"/>
      <c r="L6" s="223">
        <f t="shared" ref="L6:L9" si="7">2.79/6</f>
        <v>0.465</v>
      </c>
      <c r="M6" s="32">
        <f>6*20</f>
        <v>120</v>
      </c>
      <c r="N6" s="217">
        <f t="shared" si="4"/>
        <v>55.8</v>
      </c>
      <c r="O6" s="77"/>
      <c r="P6" s="77"/>
      <c r="Q6" s="227"/>
    </row>
    <row r="7" ht="15.75" hidden="1" customHeight="1">
      <c r="A7" s="64" t="s">
        <v>251</v>
      </c>
      <c r="B7" s="64" t="s">
        <v>250</v>
      </c>
      <c r="C7" s="220"/>
      <c r="D7" s="64" t="s">
        <v>7</v>
      </c>
      <c r="E7" s="221">
        <v>46142.0</v>
      </c>
      <c r="F7" s="213">
        <f t="shared" si="1"/>
        <v>30</v>
      </c>
      <c r="G7" s="213">
        <f t="shared" si="2"/>
        <v>4</v>
      </c>
      <c r="H7" s="213">
        <f t="shared" si="3"/>
        <v>2026</v>
      </c>
      <c r="I7" s="214">
        <v>4.0</v>
      </c>
      <c r="J7" s="222">
        <v>2026.0</v>
      </c>
      <c r="K7" s="223"/>
      <c r="L7" s="223">
        <f t="shared" si="7"/>
        <v>0.465</v>
      </c>
      <c r="M7" s="151">
        <f>6*32</f>
        <v>192</v>
      </c>
      <c r="N7" s="217">
        <f t="shared" si="4"/>
        <v>89.28</v>
      </c>
      <c r="O7" s="87"/>
      <c r="P7" s="87"/>
      <c r="Q7" s="226"/>
    </row>
    <row r="8" ht="15.75" hidden="1" customHeight="1">
      <c r="A8" s="64" t="s">
        <v>251</v>
      </c>
      <c r="B8" s="64" t="s">
        <v>250</v>
      </c>
      <c r="C8" s="220"/>
      <c r="D8" s="64" t="s">
        <v>7</v>
      </c>
      <c r="E8" s="221">
        <v>46161.0</v>
      </c>
      <c r="F8" s="213">
        <f t="shared" si="1"/>
        <v>19</v>
      </c>
      <c r="G8" s="213">
        <f t="shared" si="2"/>
        <v>5</v>
      </c>
      <c r="H8" s="213">
        <f t="shared" si="3"/>
        <v>2026</v>
      </c>
      <c r="I8" s="214">
        <v>5.0</v>
      </c>
      <c r="J8" s="222">
        <v>2026.0</v>
      </c>
      <c r="K8" s="223"/>
      <c r="L8" s="223">
        <f t="shared" si="7"/>
        <v>0.465</v>
      </c>
      <c r="M8" s="32">
        <f>6*28</f>
        <v>168</v>
      </c>
      <c r="N8" s="217">
        <f t="shared" si="4"/>
        <v>78.12</v>
      </c>
      <c r="O8" s="87"/>
      <c r="P8" s="87"/>
      <c r="Q8" s="225"/>
    </row>
    <row r="9" ht="15.75" hidden="1" customHeight="1">
      <c r="A9" s="64" t="s">
        <v>251</v>
      </c>
      <c r="B9" s="64" t="s">
        <v>250</v>
      </c>
      <c r="C9" s="220"/>
      <c r="D9" s="64" t="s">
        <v>7</v>
      </c>
      <c r="E9" s="221">
        <v>46188.0</v>
      </c>
      <c r="F9" s="213">
        <f t="shared" si="1"/>
        <v>15</v>
      </c>
      <c r="G9" s="213">
        <f t="shared" si="2"/>
        <v>6</v>
      </c>
      <c r="H9" s="213">
        <f t="shared" si="3"/>
        <v>2026</v>
      </c>
      <c r="I9" s="214">
        <v>6.0</v>
      </c>
      <c r="J9" s="222">
        <v>2026.0</v>
      </c>
      <c r="K9" s="223"/>
      <c r="L9" s="223">
        <f t="shared" si="7"/>
        <v>0.465</v>
      </c>
      <c r="M9" s="32">
        <f>36*6</f>
        <v>216</v>
      </c>
      <c r="N9" s="217">
        <f t="shared" si="4"/>
        <v>100.44</v>
      </c>
      <c r="O9" s="87"/>
      <c r="P9" s="87"/>
      <c r="Q9" s="225"/>
      <c r="R9" s="228"/>
      <c r="S9" s="228"/>
      <c r="T9" s="228"/>
      <c r="U9" s="228"/>
      <c r="V9" s="228"/>
      <c r="W9" s="228"/>
      <c r="X9" s="228"/>
      <c r="Y9" s="228"/>
      <c r="Z9" s="228"/>
      <c r="AA9" s="228"/>
      <c r="AB9" s="228"/>
      <c r="AC9" s="228"/>
      <c r="AD9" s="228"/>
      <c r="AE9" s="228"/>
      <c r="AF9" s="228"/>
      <c r="AG9" s="228"/>
      <c r="AH9" s="228"/>
    </row>
    <row r="10" ht="15.75" hidden="1" customHeight="1">
      <c r="A10" s="82" t="s">
        <v>121</v>
      </c>
      <c r="B10" s="82" t="s">
        <v>35</v>
      </c>
      <c r="C10" s="230"/>
      <c r="D10" s="82" t="s">
        <v>7</v>
      </c>
      <c r="E10" s="231">
        <v>46059.0</v>
      </c>
      <c r="F10" s="213">
        <f t="shared" si="1"/>
        <v>6</v>
      </c>
      <c r="G10" s="213">
        <f t="shared" si="2"/>
        <v>2</v>
      </c>
      <c r="H10" s="213">
        <f t="shared" si="3"/>
        <v>2026</v>
      </c>
      <c r="I10" s="232">
        <v>2.0</v>
      </c>
      <c r="J10" s="213">
        <v>2026.0</v>
      </c>
      <c r="K10" s="217"/>
      <c r="L10" s="217">
        <f>7.99+0.32</f>
        <v>8.31</v>
      </c>
      <c r="M10" s="32">
        <v>1.0</v>
      </c>
      <c r="N10" s="217">
        <f t="shared" si="4"/>
        <v>8.31</v>
      </c>
      <c r="O10" s="233"/>
      <c r="P10" s="140"/>
      <c r="Q10" s="234"/>
    </row>
    <row r="11" ht="15.75" hidden="1" customHeight="1">
      <c r="A11" s="82" t="s">
        <v>121</v>
      </c>
      <c r="B11" s="82" t="s">
        <v>35</v>
      </c>
      <c r="C11" s="230"/>
      <c r="D11" s="82" t="s">
        <v>7</v>
      </c>
      <c r="E11" s="231">
        <v>46033.0</v>
      </c>
      <c r="F11" s="213">
        <f t="shared" si="1"/>
        <v>11</v>
      </c>
      <c r="G11" s="213">
        <f t="shared" si="2"/>
        <v>1</v>
      </c>
      <c r="H11" s="213">
        <f t="shared" si="3"/>
        <v>2026</v>
      </c>
      <c r="I11" s="232">
        <v>1.0</v>
      </c>
      <c r="J11" s="213">
        <v>2026.0</v>
      </c>
      <c r="K11" s="217"/>
      <c r="L11" s="217">
        <f t="shared" ref="L11:L16" si="8">4.99+0.2</f>
        <v>5.19</v>
      </c>
      <c r="M11" s="32">
        <v>1.0</v>
      </c>
      <c r="N11" s="217">
        <f t="shared" si="4"/>
        <v>5.19</v>
      </c>
      <c r="O11" s="233"/>
      <c r="P11" s="140"/>
      <c r="Q11" s="234"/>
    </row>
    <row r="12" ht="15.75" hidden="1" customHeight="1">
      <c r="A12" s="82" t="s">
        <v>121</v>
      </c>
      <c r="B12" s="82" t="s">
        <v>35</v>
      </c>
      <c r="C12" s="230"/>
      <c r="D12" s="82" t="s">
        <v>7</v>
      </c>
      <c r="E12" s="231">
        <v>46087.0</v>
      </c>
      <c r="F12" s="213">
        <f t="shared" si="1"/>
        <v>6</v>
      </c>
      <c r="G12" s="213">
        <f t="shared" si="2"/>
        <v>3</v>
      </c>
      <c r="H12" s="213">
        <f t="shared" si="3"/>
        <v>2026</v>
      </c>
      <c r="I12" s="232">
        <v>3.0</v>
      </c>
      <c r="J12" s="213">
        <v>2026.0</v>
      </c>
      <c r="K12" s="217"/>
      <c r="L12" s="217">
        <f t="shared" si="8"/>
        <v>5.19</v>
      </c>
      <c r="M12" s="32">
        <v>1.0</v>
      </c>
      <c r="N12" s="217">
        <f t="shared" si="4"/>
        <v>5.19</v>
      </c>
      <c r="O12" s="233"/>
      <c r="P12" s="140"/>
      <c r="Q12" s="234"/>
      <c r="R12" s="235"/>
      <c r="S12" s="235"/>
      <c r="T12" s="235"/>
      <c r="U12" s="235"/>
      <c r="V12" s="235"/>
      <c r="W12" s="235"/>
      <c r="X12" s="235"/>
      <c r="Y12" s="235"/>
      <c r="Z12" s="235"/>
      <c r="AA12" s="235"/>
      <c r="AB12" s="235"/>
      <c r="AC12" s="235"/>
      <c r="AD12" s="235"/>
      <c r="AE12" s="235"/>
      <c r="AF12" s="235"/>
      <c r="AG12" s="235"/>
      <c r="AH12" s="235"/>
    </row>
    <row r="13" ht="15.75" hidden="1" customHeight="1">
      <c r="A13" s="64" t="s">
        <v>121</v>
      </c>
      <c r="B13" s="64" t="s">
        <v>35</v>
      </c>
      <c r="C13" s="220"/>
      <c r="D13" s="64" t="s">
        <v>7</v>
      </c>
      <c r="E13" s="221">
        <v>46120.0</v>
      </c>
      <c r="F13" s="213">
        <f t="shared" si="1"/>
        <v>8</v>
      </c>
      <c r="G13" s="213">
        <f t="shared" si="2"/>
        <v>4</v>
      </c>
      <c r="H13" s="213">
        <f t="shared" si="3"/>
        <v>2026</v>
      </c>
      <c r="I13" s="214">
        <v>4.0</v>
      </c>
      <c r="J13" s="222">
        <v>2026.0</v>
      </c>
      <c r="K13" s="223"/>
      <c r="L13" s="223">
        <f t="shared" si="8"/>
        <v>5.19</v>
      </c>
      <c r="M13" s="32">
        <v>1.0</v>
      </c>
      <c r="N13" s="217">
        <f t="shared" si="4"/>
        <v>5.19</v>
      </c>
      <c r="O13" s="87"/>
      <c r="P13" s="87"/>
      <c r="Q13" s="227"/>
    </row>
    <row r="14" ht="15.75" hidden="1" customHeight="1">
      <c r="A14" s="64" t="s">
        <v>121</v>
      </c>
      <c r="B14" s="64" t="s">
        <v>35</v>
      </c>
      <c r="C14" s="220"/>
      <c r="D14" s="64" t="s">
        <v>7</v>
      </c>
      <c r="E14" s="221">
        <v>46150.0</v>
      </c>
      <c r="F14" s="213">
        <f t="shared" si="1"/>
        <v>8</v>
      </c>
      <c r="G14" s="213">
        <f t="shared" si="2"/>
        <v>5</v>
      </c>
      <c r="H14" s="213">
        <f t="shared" si="3"/>
        <v>2026</v>
      </c>
      <c r="I14" s="214">
        <v>5.0</v>
      </c>
      <c r="J14" s="222">
        <v>2026.0</v>
      </c>
      <c r="K14" s="223"/>
      <c r="L14" s="223">
        <f t="shared" si="8"/>
        <v>5.19</v>
      </c>
      <c r="M14" s="32">
        <v>1.0</v>
      </c>
      <c r="N14" s="217">
        <f t="shared" si="4"/>
        <v>5.19</v>
      </c>
      <c r="O14" s="77"/>
      <c r="P14" s="77"/>
    </row>
    <row r="15" ht="15.75" hidden="1" customHeight="1">
      <c r="A15" s="64" t="s">
        <v>121</v>
      </c>
      <c r="B15" s="64" t="s">
        <v>35</v>
      </c>
      <c r="C15" s="220"/>
      <c r="D15" s="64" t="s">
        <v>7</v>
      </c>
      <c r="E15" s="221">
        <v>46182.0</v>
      </c>
      <c r="F15" s="213">
        <f t="shared" si="1"/>
        <v>9</v>
      </c>
      <c r="G15" s="213">
        <f t="shared" si="2"/>
        <v>6</v>
      </c>
      <c r="H15" s="213">
        <f t="shared" si="3"/>
        <v>2026</v>
      </c>
      <c r="I15" s="214">
        <v>6.0</v>
      </c>
      <c r="J15" s="222">
        <v>2026.0</v>
      </c>
      <c r="K15" s="223"/>
      <c r="L15" s="223">
        <f t="shared" si="8"/>
        <v>5.19</v>
      </c>
      <c r="M15" s="32">
        <v>1.0</v>
      </c>
      <c r="N15" s="217">
        <f t="shared" si="4"/>
        <v>5.19</v>
      </c>
      <c r="O15" s="87"/>
      <c r="P15" s="224"/>
      <c r="Q15" s="226"/>
    </row>
    <row r="16" ht="15.75" hidden="1" customHeight="1">
      <c r="A16" s="64" t="s">
        <v>121</v>
      </c>
      <c r="B16" s="64" t="s">
        <v>35</v>
      </c>
      <c r="C16" s="220"/>
      <c r="D16" s="64" t="s">
        <v>7</v>
      </c>
      <c r="E16" s="221">
        <v>46210.0</v>
      </c>
      <c r="F16" s="213">
        <f t="shared" si="1"/>
        <v>7</v>
      </c>
      <c r="G16" s="213">
        <f t="shared" si="2"/>
        <v>7</v>
      </c>
      <c r="H16" s="213">
        <f t="shared" si="3"/>
        <v>2026</v>
      </c>
      <c r="I16" s="214">
        <f t="shared" ref="I16:J16" si="9">G16</f>
        <v>7</v>
      </c>
      <c r="J16" s="215">
        <f t="shared" si="9"/>
        <v>2026</v>
      </c>
      <c r="K16" s="223"/>
      <c r="L16" s="223">
        <f t="shared" si="8"/>
        <v>5.19</v>
      </c>
      <c r="M16" s="32">
        <v>1.0</v>
      </c>
      <c r="N16" s="236">
        <f t="shared" si="4"/>
        <v>5.19</v>
      </c>
      <c r="O16" s="87"/>
      <c r="P16" s="87"/>
      <c r="Q16" s="225"/>
    </row>
    <row r="17" ht="15.75" hidden="1" customHeight="1">
      <c r="A17" s="64" t="s">
        <v>121</v>
      </c>
      <c r="B17" s="64" t="s">
        <v>119</v>
      </c>
      <c r="C17" s="220"/>
      <c r="D17" s="64" t="s">
        <v>7</v>
      </c>
      <c r="E17" s="221">
        <v>46203.0</v>
      </c>
      <c r="F17" s="213">
        <f t="shared" si="1"/>
        <v>30</v>
      </c>
      <c r="G17" s="213">
        <f t="shared" si="2"/>
        <v>6</v>
      </c>
      <c r="H17" s="213">
        <f t="shared" si="3"/>
        <v>2026</v>
      </c>
      <c r="I17" s="214">
        <v>6.0</v>
      </c>
      <c r="J17" s="222">
        <v>2026.0</v>
      </c>
      <c r="K17" s="223"/>
      <c r="L17" s="223">
        <v>21.01</v>
      </c>
      <c r="M17" s="32">
        <v>1.0</v>
      </c>
      <c r="N17" s="217">
        <f t="shared" si="4"/>
        <v>21.01</v>
      </c>
      <c r="O17" s="77"/>
      <c r="P17" s="77"/>
      <c r="Q17" s="32"/>
      <c r="R17" s="32"/>
    </row>
    <row r="18" ht="15.75" hidden="1" customHeight="1">
      <c r="A18" s="64" t="s">
        <v>151</v>
      </c>
      <c r="B18" s="64" t="s">
        <v>122</v>
      </c>
      <c r="C18" s="220"/>
      <c r="D18" s="64" t="s">
        <v>319</v>
      </c>
      <c r="E18" s="221">
        <v>46185.0</v>
      </c>
      <c r="F18" s="213">
        <f t="shared" si="1"/>
        <v>12</v>
      </c>
      <c r="G18" s="213">
        <f t="shared" si="2"/>
        <v>6</v>
      </c>
      <c r="H18" s="213">
        <f t="shared" si="3"/>
        <v>2026</v>
      </c>
      <c r="I18" s="214">
        <v>6.0</v>
      </c>
      <c r="J18" s="222">
        <v>2026.0</v>
      </c>
      <c r="K18" s="223"/>
      <c r="L18" s="223">
        <v>2.63</v>
      </c>
      <c r="M18" s="32">
        <v>1.0</v>
      </c>
      <c r="N18" s="217">
        <f t="shared" si="4"/>
        <v>2.63</v>
      </c>
      <c r="O18" s="77"/>
      <c r="P18" s="77"/>
      <c r="Q18" s="226"/>
      <c r="V18" s="237"/>
      <c r="W18" s="237"/>
      <c r="X18" s="237"/>
      <c r="Y18" s="237"/>
      <c r="Z18" s="237"/>
      <c r="AA18" s="237"/>
      <c r="AB18" s="237"/>
      <c r="AC18" s="237"/>
      <c r="AD18" s="237"/>
      <c r="AE18" s="237"/>
      <c r="AF18" s="237"/>
      <c r="AG18" s="237"/>
      <c r="AH18" s="237"/>
    </row>
    <row r="19" ht="15.75" hidden="1" customHeight="1">
      <c r="A19" s="64" t="s">
        <v>151</v>
      </c>
      <c r="B19" s="64" t="s">
        <v>122</v>
      </c>
      <c r="C19" s="220"/>
      <c r="D19" s="64" t="s">
        <v>319</v>
      </c>
      <c r="E19" s="221">
        <v>46189.0</v>
      </c>
      <c r="F19" s="213">
        <f t="shared" si="1"/>
        <v>16</v>
      </c>
      <c r="G19" s="213">
        <f t="shared" si="2"/>
        <v>6</v>
      </c>
      <c r="H19" s="213">
        <f t="shared" si="3"/>
        <v>2026</v>
      </c>
      <c r="I19" s="214">
        <v>6.0</v>
      </c>
      <c r="J19" s="222">
        <v>2026.0</v>
      </c>
      <c r="K19" s="223"/>
      <c r="L19" s="223">
        <v>1.29</v>
      </c>
      <c r="M19" s="32">
        <v>1.0</v>
      </c>
      <c r="N19" s="217">
        <f t="shared" si="4"/>
        <v>1.29</v>
      </c>
      <c r="O19" s="87"/>
      <c r="P19" s="87"/>
      <c r="Q19" s="226"/>
    </row>
    <row r="20" ht="15.75" hidden="1" customHeight="1">
      <c r="A20" s="64" t="s">
        <v>151</v>
      </c>
      <c r="B20" s="64" t="s">
        <v>122</v>
      </c>
      <c r="C20" s="220"/>
      <c r="D20" s="64" t="s">
        <v>319</v>
      </c>
      <c r="E20" s="221">
        <v>46228.0</v>
      </c>
      <c r="F20" s="213">
        <f t="shared" si="1"/>
        <v>25</v>
      </c>
      <c r="G20" s="213">
        <f t="shared" si="2"/>
        <v>7</v>
      </c>
      <c r="H20" s="213">
        <f t="shared" si="3"/>
        <v>2026</v>
      </c>
      <c r="I20" s="214">
        <f t="shared" ref="I20:J20" si="10">G20</f>
        <v>7</v>
      </c>
      <c r="J20" s="215">
        <f t="shared" si="10"/>
        <v>2026</v>
      </c>
      <c r="K20" s="223"/>
      <c r="L20" s="223">
        <v>1.16</v>
      </c>
      <c r="M20" s="32">
        <v>1.0</v>
      </c>
      <c r="N20" s="217">
        <f t="shared" si="4"/>
        <v>1.16</v>
      </c>
      <c r="O20" s="87"/>
      <c r="P20" s="87"/>
      <c r="Q20" s="225"/>
    </row>
    <row r="21" ht="15.75" hidden="1" customHeight="1">
      <c r="A21" s="64" t="s">
        <v>151</v>
      </c>
      <c r="B21" s="64" t="s">
        <v>122</v>
      </c>
      <c r="C21" s="220"/>
      <c r="D21" s="64" t="s">
        <v>319</v>
      </c>
      <c r="E21" s="221">
        <v>46192.0</v>
      </c>
      <c r="F21" s="213">
        <f t="shared" si="1"/>
        <v>19</v>
      </c>
      <c r="G21" s="213">
        <f t="shared" si="2"/>
        <v>6</v>
      </c>
      <c r="H21" s="213">
        <f t="shared" si="3"/>
        <v>2026</v>
      </c>
      <c r="I21" s="214">
        <v>6.0</v>
      </c>
      <c r="J21" s="222">
        <v>2026.0</v>
      </c>
      <c r="K21" s="223"/>
      <c r="L21" s="223">
        <v>0.95</v>
      </c>
      <c r="M21" s="32">
        <v>1.0</v>
      </c>
      <c r="N21" s="217">
        <f t="shared" si="4"/>
        <v>0.95</v>
      </c>
      <c r="O21" s="87"/>
      <c r="P21" s="87"/>
      <c r="Q21" s="225"/>
    </row>
    <row r="22" ht="15.75" hidden="1" customHeight="1">
      <c r="A22" s="64" t="s">
        <v>151</v>
      </c>
      <c r="B22" s="64" t="s">
        <v>122</v>
      </c>
      <c r="C22" s="220"/>
      <c r="D22" s="64" t="s">
        <v>319</v>
      </c>
      <c r="E22" s="221">
        <v>46186.0</v>
      </c>
      <c r="F22" s="213">
        <f t="shared" si="1"/>
        <v>13</v>
      </c>
      <c r="G22" s="213">
        <f t="shared" si="2"/>
        <v>6</v>
      </c>
      <c r="H22" s="213">
        <f t="shared" si="3"/>
        <v>2026</v>
      </c>
      <c r="I22" s="214">
        <v>6.0</v>
      </c>
      <c r="J22" s="222">
        <v>2026.0</v>
      </c>
      <c r="K22" s="223"/>
      <c r="L22" s="223">
        <v>0.23</v>
      </c>
      <c r="M22" s="32">
        <v>1.0</v>
      </c>
      <c r="N22" s="217">
        <f t="shared" si="4"/>
        <v>0.23</v>
      </c>
      <c r="O22" s="77"/>
      <c r="P22" s="77"/>
      <c r="Q22" s="238"/>
      <c r="R22" s="228"/>
      <c r="S22" s="228"/>
      <c r="T22" s="228"/>
      <c r="U22" s="228"/>
      <c r="V22" s="228"/>
      <c r="W22" s="228"/>
      <c r="X22" s="228"/>
      <c r="Y22" s="228"/>
      <c r="Z22" s="228"/>
      <c r="AA22" s="228"/>
      <c r="AB22" s="228"/>
      <c r="AC22" s="228"/>
      <c r="AD22" s="228"/>
      <c r="AE22" s="228"/>
      <c r="AF22" s="228"/>
      <c r="AG22" s="228"/>
      <c r="AH22" s="228"/>
    </row>
    <row r="23" ht="15.75" hidden="1" customHeight="1">
      <c r="A23" s="64" t="s">
        <v>151</v>
      </c>
      <c r="B23" s="64" t="s">
        <v>124</v>
      </c>
      <c r="C23" s="220"/>
      <c r="D23" s="64" t="s">
        <v>7</v>
      </c>
      <c r="E23" s="221">
        <v>46183.0</v>
      </c>
      <c r="F23" s="213">
        <f t="shared" si="1"/>
        <v>10</v>
      </c>
      <c r="G23" s="213">
        <f t="shared" si="2"/>
        <v>6</v>
      </c>
      <c r="H23" s="213">
        <f t="shared" si="3"/>
        <v>2026</v>
      </c>
      <c r="I23" s="214">
        <v>6.0</v>
      </c>
      <c r="J23" s="222">
        <v>2026.0</v>
      </c>
      <c r="K23" s="223"/>
      <c r="L23" s="223">
        <v>2.45</v>
      </c>
      <c r="M23" s="32">
        <v>12.0</v>
      </c>
      <c r="N23" s="217">
        <f t="shared" si="4"/>
        <v>29.4</v>
      </c>
      <c r="O23" s="77"/>
      <c r="P23" s="87" t="s">
        <v>374</v>
      </c>
      <c r="Q23" s="226"/>
    </row>
    <row r="24" ht="15.75" hidden="1" customHeight="1">
      <c r="A24" s="64" t="s">
        <v>151</v>
      </c>
      <c r="B24" s="64" t="s">
        <v>124</v>
      </c>
      <c r="C24" s="220"/>
      <c r="D24" s="64" t="s">
        <v>7</v>
      </c>
      <c r="E24" s="221">
        <v>46142.0</v>
      </c>
      <c r="F24" s="213">
        <f t="shared" si="1"/>
        <v>30</v>
      </c>
      <c r="G24" s="213">
        <f t="shared" si="2"/>
        <v>4</v>
      </c>
      <c r="H24" s="213">
        <f t="shared" si="3"/>
        <v>2026</v>
      </c>
      <c r="I24" s="214">
        <v>4.0</v>
      </c>
      <c r="J24" s="222">
        <v>2026.0</v>
      </c>
      <c r="K24" s="223"/>
      <c r="L24" s="223">
        <v>2.09</v>
      </c>
      <c r="M24" s="32">
        <v>12.0</v>
      </c>
      <c r="N24" s="217">
        <f t="shared" si="4"/>
        <v>25.08</v>
      </c>
      <c r="O24" s="77"/>
      <c r="P24" s="87" t="s">
        <v>375</v>
      </c>
      <c r="Q24" s="225"/>
    </row>
    <row r="25" ht="15.75" hidden="1" customHeight="1">
      <c r="A25" s="64" t="s">
        <v>151</v>
      </c>
      <c r="B25" s="64" t="s">
        <v>124</v>
      </c>
      <c r="C25" s="220"/>
      <c r="D25" s="64" t="s">
        <v>7</v>
      </c>
      <c r="E25" s="221">
        <v>46161.0</v>
      </c>
      <c r="F25" s="213">
        <f t="shared" si="1"/>
        <v>19</v>
      </c>
      <c r="G25" s="213">
        <f t="shared" si="2"/>
        <v>5</v>
      </c>
      <c r="H25" s="213">
        <f t="shared" si="3"/>
        <v>2026</v>
      </c>
      <c r="I25" s="214">
        <v>5.0</v>
      </c>
      <c r="J25" s="222">
        <v>2026.0</v>
      </c>
      <c r="K25" s="223"/>
      <c r="L25" s="223">
        <v>2.09</v>
      </c>
      <c r="M25" s="32">
        <v>5.0</v>
      </c>
      <c r="N25" s="217">
        <f t="shared" si="4"/>
        <v>10.45</v>
      </c>
      <c r="O25" s="87"/>
      <c r="P25" s="87" t="s">
        <v>376</v>
      </c>
      <c r="Q25" s="225"/>
    </row>
    <row r="26" ht="15.75" hidden="1" customHeight="1">
      <c r="A26" s="64" t="s">
        <v>151</v>
      </c>
      <c r="B26" s="64" t="s">
        <v>124</v>
      </c>
      <c r="C26" s="220"/>
      <c r="D26" s="64" t="s">
        <v>319</v>
      </c>
      <c r="E26" s="221">
        <v>46218.0</v>
      </c>
      <c r="F26" s="213">
        <f t="shared" si="1"/>
        <v>15</v>
      </c>
      <c r="G26" s="213">
        <f t="shared" si="2"/>
        <v>7</v>
      </c>
      <c r="H26" s="213">
        <f t="shared" si="3"/>
        <v>2026</v>
      </c>
      <c r="I26" s="214">
        <f t="shared" ref="I26:J26" si="11">G26</f>
        <v>7</v>
      </c>
      <c r="J26" s="215">
        <f t="shared" si="11"/>
        <v>2026</v>
      </c>
      <c r="K26" s="223"/>
      <c r="L26" s="223">
        <v>2.45</v>
      </c>
      <c r="M26" s="32">
        <v>9.0</v>
      </c>
      <c r="N26" s="217">
        <f t="shared" si="4"/>
        <v>22.05</v>
      </c>
      <c r="O26" s="87"/>
      <c r="P26" s="87"/>
      <c r="Q26" s="226"/>
      <c r="T26" s="142"/>
    </row>
    <row r="27" ht="15.75" hidden="1" customHeight="1">
      <c r="A27" s="64" t="s">
        <v>151</v>
      </c>
      <c r="B27" s="64" t="s">
        <v>125</v>
      </c>
      <c r="C27" s="220"/>
      <c r="D27" s="64" t="s">
        <v>7</v>
      </c>
      <c r="E27" s="221">
        <v>46142.0</v>
      </c>
      <c r="F27" s="213">
        <f t="shared" si="1"/>
        <v>30</v>
      </c>
      <c r="G27" s="213">
        <f t="shared" si="2"/>
        <v>4</v>
      </c>
      <c r="H27" s="213">
        <f t="shared" si="3"/>
        <v>2026</v>
      </c>
      <c r="I27" s="239">
        <v>4.0</v>
      </c>
      <c r="J27" s="240">
        <v>2026.0</v>
      </c>
      <c r="K27" s="32"/>
      <c r="L27" s="32">
        <v>4.29</v>
      </c>
      <c r="M27" s="32">
        <v>1.0</v>
      </c>
      <c r="N27" s="217">
        <f t="shared" si="4"/>
        <v>4.29</v>
      </c>
      <c r="O27" s="87"/>
      <c r="P27" s="87" t="s">
        <v>377</v>
      </c>
      <c r="Q27" s="227"/>
    </row>
    <row r="28" ht="15.75" hidden="1" customHeight="1">
      <c r="A28" s="64" t="s">
        <v>151</v>
      </c>
      <c r="B28" s="64" t="s">
        <v>126</v>
      </c>
      <c r="C28" s="220"/>
      <c r="D28" s="64" t="s">
        <v>7</v>
      </c>
      <c r="E28" s="221">
        <v>46142.0</v>
      </c>
      <c r="F28" s="213">
        <f t="shared" si="1"/>
        <v>30</v>
      </c>
      <c r="G28" s="213">
        <f t="shared" si="2"/>
        <v>4</v>
      </c>
      <c r="H28" s="213">
        <f t="shared" si="3"/>
        <v>2026</v>
      </c>
      <c r="I28" s="239">
        <v>4.0</v>
      </c>
      <c r="J28" s="240">
        <v>2026.0</v>
      </c>
      <c r="K28" s="32"/>
      <c r="L28" s="32">
        <v>2.49</v>
      </c>
      <c r="M28" s="32">
        <v>1.0</v>
      </c>
      <c r="N28" s="217">
        <f t="shared" si="4"/>
        <v>2.49</v>
      </c>
      <c r="O28" s="87"/>
      <c r="P28" s="87" t="s">
        <v>377</v>
      </c>
      <c r="Q28" s="227"/>
    </row>
    <row r="29" ht="15.75" hidden="1" customHeight="1">
      <c r="A29" s="64" t="s">
        <v>151</v>
      </c>
      <c r="B29" s="64" t="s">
        <v>129</v>
      </c>
      <c r="C29" s="220"/>
      <c r="D29" s="64" t="s">
        <v>7</v>
      </c>
      <c r="E29" s="221">
        <v>46231.0</v>
      </c>
      <c r="F29" s="213">
        <f t="shared" si="1"/>
        <v>28</v>
      </c>
      <c r="G29" s="213">
        <f t="shared" si="2"/>
        <v>7</v>
      </c>
      <c r="H29" s="213">
        <f t="shared" si="3"/>
        <v>2026</v>
      </c>
      <c r="I29" s="222">
        <f t="shared" ref="I29:J29" si="12">G29</f>
        <v>7</v>
      </c>
      <c r="J29" s="222">
        <f t="shared" si="12"/>
        <v>2026</v>
      </c>
      <c r="K29" s="223"/>
      <c r="L29" s="223">
        <v>2.99</v>
      </c>
      <c r="M29" s="32">
        <v>4.0</v>
      </c>
      <c r="N29" s="236">
        <f t="shared" si="4"/>
        <v>11.96</v>
      </c>
      <c r="O29" s="87"/>
      <c r="P29" s="87"/>
      <c r="Q29" s="225"/>
    </row>
    <row r="30" ht="15.75" hidden="1" customHeight="1">
      <c r="A30" s="64" t="s">
        <v>151</v>
      </c>
      <c r="B30" s="64" t="s">
        <v>129</v>
      </c>
      <c r="C30" s="220"/>
      <c r="D30" s="64" t="s">
        <v>7</v>
      </c>
      <c r="E30" s="221">
        <v>46142.0</v>
      </c>
      <c r="F30" s="213">
        <f t="shared" si="1"/>
        <v>30</v>
      </c>
      <c r="G30" s="213">
        <f t="shared" si="2"/>
        <v>4</v>
      </c>
      <c r="H30" s="213">
        <f t="shared" si="3"/>
        <v>2026</v>
      </c>
      <c r="I30" s="214">
        <v>4.0</v>
      </c>
      <c r="J30" s="222">
        <v>2026.0</v>
      </c>
      <c r="K30" s="223"/>
      <c r="L30" s="223">
        <v>2.95</v>
      </c>
      <c r="M30" s="32">
        <v>20.0</v>
      </c>
      <c r="N30" s="217">
        <f t="shared" si="4"/>
        <v>59</v>
      </c>
      <c r="O30" s="77"/>
      <c r="P30" s="87" t="s">
        <v>377</v>
      </c>
      <c r="Q30" s="226"/>
    </row>
    <row r="31" ht="15.75" hidden="1" customHeight="1">
      <c r="A31" s="64" t="s">
        <v>151</v>
      </c>
      <c r="B31" s="64" t="s">
        <v>129</v>
      </c>
      <c r="C31" s="220"/>
      <c r="D31" s="64" t="s">
        <v>7</v>
      </c>
      <c r="E31" s="221">
        <v>46183.0</v>
      </c>
      <c r="F31" s="213">
        <f t="shared" si="1"/>
        <v>10</v>
      </c>
      <c r="G31" s="213">
        <f t="shared" si="2"/>
        <v>6</v>
      </c>
      <c r="H31" s="213">
        <f t="shared" si="3"/>
        <v>2026</v>
      </c>
      <c r="I31" s="214">
        <v>6.0</v>
      </c>
      <c r="J31" s="222">
        <v>2026.0</v>
      </c>
      <c r="K31" s="223"/>
      <c r="L31" s="223">
        <v>2.95</v>
      </c>
      <c r="M31" s="32">
        <v>27.0</v>
      </c>
      <c r="N31" s="217">
        <f t="shared" si="4"/>
        <v>79.65</v>
      </c>
      <c r="O31" s="87"/>
      <c r="P31" s="87" t="s">
        <v>374</v>
      </c>
      <c r="Q31" s="227"/>
    </row>
    <row r="32" ht="15.75" hidden="1" customHeight="1">
      <c r="A32" s="64" t="s">
        <v>151</v>
      </c>
      <c r="B32" s="64" t="s">
        <v>129</v>
      </c>
      <c r="C32" s="220"/>
      <c r="D32" s="64" t="s">
        <v>319</v>
      </c>
      <c r="E32" s="221">
        <v>46163.0</v>
      </c>
      <c r="F32" s="213">
        <f t="shared" si="1"/>
        <v>21</v>
      </c>
      <c r="G32" s="213">
        <f t="shared" si="2"/>
        <v>5</v>
      </c>
      <c r="H32" s="213">
        <f t="shared" si="3"/>
        <v>2026</v>
      </c>
      <c r="I32" s="214">
        <v>5.0</v>
      </c>
      <c r="J32" s="222">
        <v>2026.0</v>
      </c>
      <c r="K32" s="223"/>
      <c r="L32" s="223">
        <v>2.955</v>
      </c>
      <c r="M32" s="32">
        <v>20.0</v>
      </c>
      <c r="N32" s="217">
        <f t="shared" si="4"/>
        <v>59.1</v>
      </c>
      <c r="O32" s="87"/>
      <c r="P32" s="224"/>
      <c r="Q32" s="225"/>
    </row>
    <row r="33" ht="15.75" hidden="1" customHeight="1">
      <c r="A33" s="64" t="s">
        <v>151</v>
      </c>
      <c r="B33" s="64" t="s">
        <v>129</v>
      </c>
      <c r="C33" s="220"/>
      <c r="D33" s="64" t="s">
        <v>319</v>
      </c>
      <c r="E33" s="221">
        <v>46211.0</v>
      </c>
      <c r="F33" s="213">
        <f t="shared" si="1"/>
        <v>8</v>
      </c>
      <c r="G33" s="213">
        <f t="shared" si="2"/>
        <v>7</v>
      </c>
      <c r="H33" s="213">
        <f t="shared" si="3"/>
        <v>2026</v>
      </c>
      <c r="I33" s="222">
        <f t="shared" ref="I33:J33" si="13">G33</f>
        <v>7</v>
      </c>
      <c r="J33" s="222">
        <f t="shared" si="13"/>
        <v>2026</v>
      </c>
      <c r="K33" s="223"/>
      <c r="L33" s="223">
        <v>2.95</v>
      </c>
      <c r="M33" s="32">
        <v>20.0</v>
      </c>
      <c r="N33" s="236">
        <f t="shared" si="4"/>
        <v>59</v>
      </c>
      <c r="O33" s="87"/>
      <c r="P33" s="87"/>
      <c r="Q33" s="225"/>
    </row>
    <row r="34" ht="15.75" hidden="1" customHeight="1">
      <c r="A34" s="64" t="s">
        <v>151</v>
      </c>
      <c r="B34" s="64" t="s">
        <v>129</v>
      </c>
      <c r="C34" s="220"/>
      <c r="D34" s="64" t="s">
        <v>319</v>
      </c>
      <c r="E34" s="221">
        <v>46232.0</v>
      </c>
      <c r="F34" s="213">
        <f t="shared" si="1"/>
        <v>29</v>
      </c>
      <c r="G34" s="213">
        <f t="shared" si="2"/>
        <v>7</v>
      </c>
      <c r="H34" s="213">
        <f t="shared" si="3"/>
        <v>2026</v>
      </c>
      <c r="I34" s="214">
        <f t="shared" ref="I34:J34" si="14">G34</f>
        <v>7</v>
      </c>
      <c r="J34" s="215">
        <f t="shared" si="14"/>
        <v>2026</v>
      </c>
      <c r="K34" s="223"/>
      <c r="L34" s="223">
        <v>2.95</v>
      </c>
      <c r="M34" s="32">
        <v>9.0</v>
      </c>
      <c r="N34" s="217">
        <f t="shared" si="4"/>
        <v>26.55</v>
      </c>
      <c r="O34" s="77"/>
      <c r="P34" s="77"/>
      <c r="Q34" s="226"/>
    </row>
    <row r="35" ht="15.75" hidden="1" customHeight="1">
      <c r="A35" s="64" t="s">
        <v>151</v>
      </c>
      <c r="B35" s="104" t="s">
        <v>129</v>
      </c>
      <c r="C35" s="220"/>
      <c r="D35" s="64" t="s">
        <v>319</v>
      </c>
      <c r="E35" s="221">
        <v>46232.0</v>
      </c>
      <c r="F35" s="213">
        <f t="shared" si="1"/>
        <v>29</v>
      </c>
      <c r="G35" s="213">
        <f t="shared" si="2"/>
        <v>7</v>
      </c>
      <c r="H35" s="213">
        <f t="shared" si="3"/>
        <v>2026</v>
      </c>
      <c r="I35" s="214">
        <f t="shared" ref="I35:J35" si="15">G35</f>
        <v>7</v>
      </c>
      <c r="J35" s="215">
        <f t="shared" si="15"/>
        <v>2026</v>
      </c>
      <c r="K35" s="65"/>
      <c r="L35" s="223">
        <v>2.95</v>
      </c>
      <c r="M35" s="32">
        <v>8.0</v>
      </c>
      <c r="N35" s="217">
        <f t="shared" si="4"/>
        <v>23.6</v>
      </c>
      <c r="O35" s="87"/>
      <c r="P35" s="87"/>
      <c r="Q35" s="227"/>
      <c r="R35" s="140"/>
      <c r="S35" s="140"/>
    </row>
    <row r="36" ht="15.75" hidden="1" customHeight="1">
      <c r="A36" s="64" t="s">
        <v>151</v>
      </c>
      <c r="B36" s="64" t="s">
        <v>129</v>
      </c>
      <c r="C36" s="220"/>
      <c r="D36" s="64" t="s">
        <v>319</v>
      </c>
      <c r="E36" s="221">
        <v>46198.0</v>
      </c>
      <c r="F36" s="213">
        <f t="shared" si="1"/>
        <v>25</v>
      </c>
      <c r="G36" s="213">
        <f t="shared" si="2"/>
        <v>6</v>
      </c>
      <c r="H36" s="213">
        <f t="shared" si="3"/>
        <v>2026</v>
      </c>
      <c r="I36" s="214">
        <v>6.0</v>
      </c>
      <c r="J36" s="222">
        <v>2026.0</v>
      </c>
      <c r="K36" s="223"/>
      <c r="L36" s="223">
        <v>2.99</v>
      </c>
      <c r="M36" s="32">
        <v>5.0</v>
      </c>
      <c r="N36" s="217">
        <f t="shared" si="4"/>
        <v>14.95</v>
      </c>
      <c r="O36" s="77"/>
      <c r="P36" s="87" t="s">
        <v>405</v>
      </c>
      <c r="Q36" s="227"/>
      <c r="T36" s="142"/>
      <c r="U36" s="142"/>
    </row>
    <row r="37" ht="15.75" hidden="1" customHeight="1">
      <c r="A37" s="64" t="s">
        <v>151</v>
      </c>
      <c r="B37" s="64" t="s">
        <v>132</v>
      </c>
      <c r="C37" s="220"/>
      <c r="D37" s="64" t="s">
        <v>7</v>
      </c>
      <c r="E37" s="221">
        <v>46142.0</v>
      </c>
      <c r="F37" s="213">
        <f t="shared" si="1"/>
        <v>30</v>
      </c>
      <c r="G37" s="213">
        <f t="shared" si="2"/>
        <v>4</v>
      </c>
      <c r="H37" s="213">
        <f t="shared" si="3"/>
        <v>2026</v>
      </c>
      <c r="I37" s="214">
        <v>4.0</v>
      </c>
      <c r="J37" s="222">
        <v>2026.0</v>
      </c>
      <c r="K37" s="223"/>
      <c r="L37" s="223">
        <v>2.99</v>
      </c>
      <c r="M37" s="32">
        <v>3.0</v>
      </c>
      <c r="N37" s="217">
        <f t="shared" si="4"/>
        <v>8.97</v>
      </c>
      <c r="O37" s="87"/>
      <c r="P37" s="87" t="s">
        <v>377</v>
      </c>
      <c r="Q37" s="227"/>
    </row>
    <row r="38" ht="15.75" hidden="1" customHeight="1">
      <c r="A38" s="64" t="s">
        <v>151</v>
      </c>
      <c r="B38" s="64" t="s">
        <v>132</v>
      </c>
      <c r="C38" s="220"/>
      <c r="D38" s="64" t="s">
        <v>319</v>
      </c>
      <c r="E38" s="221">
        <v>46180.0</v>
      </c>
      <c r="F38" s="213">
        <f t="shared" si="1"/>
        <v>7</v>
      </c>
      <c r="G38" s="213">
        <f t="shared" si="2"/>
        <v>6</v>
      </c>
      <c r="H38" s="213">
        <f t="shared" si="3"/>
        <v>2026</v>
      </c>
      <c r="I38" s="214">
        <v>6.0</v>
      </c>
      <c r="J38" s="222">
        <v>2026.0</v>
      </c>
      <c r="K38" s="223"/>
      <c r="L38" s="223">
        <v>2.99</v>
      </c>
      <c r="M38" s="32">
        <v>3.0</v>
      </c>
      <c r="N38" s="217">
        <f t="shared" si="4"/>
        <v>8.97</v>
      </c>
      <c r="O38" s="77"/>
      <c r="P38" s="87" t="s">
        <v>413</v>
      </c>
      <c r="Q38" s="226"/>
    </row>
    <row r="39" ht="15.75" hidden="1" customHeight="1">
      <c r="A39" s="64" t="s">
        <v>151</v>
      </c>
      <c r="B39" s="64" t="s">
        <v>134</v>
      </c>
      <c r="C39" s="220"/>
      <c r="D39" s="64" t="s">
        <v>7</v>
      </c>
      <c r="E39" s="221">
        <v>46142.0</v>
      </c>
      <c r="F39" s="213">
        <f t="shared" si="1"/>
        <v>30</v>
      </c>
      <c r="G39" s="213">
        <f t="shared" si="2"/>
        <v>4</v>
      </c>
      <c r="H39" s="213">
        <f t="shared" si="3"/>
        <v>2026</v>
      </c>
      <c r="I39" s="214">
        <v>4.0</v>
      </c>
      <c r="J39" s="222">
        <v>2026.0</v>
      </c>
      <c r="K39" s="223"/>
      <c r="L39" s="223">
        <v>1.99</v>
      </c>
      <c r="M39" s="32">
        <v>20.0</v>
      </c>
      <c r="N39" s="217">
        <f t="shared" si="4"/>
        <v>39.8</v>
      </c>
      <c r="O39" s="87"/>
      <c r="P39" s="87" t="s">
        <v>417</v>
      </c>
      <c r="Q39" s="225"/>
    </row>
    <row r="40" ht="15.75" hidden="1" customHeight="1">
      <c r="A40" s="64" t="s">
        <v>151</v>
      </c>
      <c r="B40" s="64" t="s">
        <v>134</v>
      </c>
      <c r="C40" s="220"/>
      <c r="D40" s="64" t="s">
        <v>7</v>
      </c>
      <c r="E40" s="221">
        <v>46161.0</v>
      </c>
      <c r="F40" s="213">
        <f t="shared" si="1"/>
        <v>19</v>
      </c>
      <c r="G40" s="213">
        <f t="shared" si="2"/>
        <v>5</v>
      </c>
      <c r="H40" s="213">
        <f t="shared" si="3"/>
        <v>2026</v>
      </c>
      <c r="I40" s="214">
        <v>5.0</v>
      </c>
      <c r="J40" s="222">
        <v>2026.0</v>
      </c>
      <c r="K40" s="223"/>
      <c r="L40" s="223">
        <v>1.99</v>
      </c>
      <c r="M40" s="32">
        <v>30.0</v>
      </c>
      <c r="N40" s="217">
        <f t="shared" si="4"/>
        <v>59.7</v>
      </c>
      <c r="O40" s="87"/>
      <c r="P40" s="87" t="s">
        <v>376</v>
      </c>
      <c r="Q40" s="225"/>
    </row>
    <row r="41" ht="15.75" hidden="1" customHeight="1">
      <c r="A41" s="64" t="s">
        <v>151</v>
      </c>
      <c r="B41" s="64" t="s">
        <v>134</v>
      </c>
      <c r="C41" s="220"/>
      <c r="D41" s="64" t="s">
        <v>7</v>
      </c>
      <c r="E41" s="221">
        <v>46183.0</v>
      </c>
      <c r="F41" s="213">
        <f t="shared" si="1"/>
        <v>10</v>
      </c>
      <c r="G41" s="213">
        <f t="shared" si="2"/>
        <v>6</v>
      </c>
      <c r="H41" s="213">
        <f t="shared" si="3"/>
        <v>2026</v>
      </c>
      <c r="I41" s="214">
        <v>6.0</v>
      </c>
      <c r="J41" s="222">
        <v>2026.0</v>
      </c>
      <c r="K41" s="223"/>
      <c r="L41" s="223">
        <v>1.79</v>
      </c>
      <c r="M41" s="32">
        <v>20.0</v>
      </c>
      <c r="N41" s="217">
        <f t="shared" si="4"/>
        <v>35.8</v>
      </c>
      <c r="O41" s="77"/>
      <c r="P41" s="87" t="s">
        <v>374</v>
      </c>
      <c r="Q41" s="225"/>
      <c r="T41" s="142"/>
    </row>
    <row r="42" ht="15.75" hidden="1" customHeight="1">
      <c r="A42" s="64" t="s">
        <v>151</v>
      </c>
      <c r="B42" s="64" t="s">
        <v>134</v>
      </c>
      <c r="C42" s="220"/>
      <c r="D42" s="64" t="s">
        <v>319</v>
      </c>
      <c r="E42" s="221">
        <v>46209.0</v>
      </c>
      <c r="F42" s="213">
        <f t="shared" si="1"/>
        <v>6</v>
      </c>
      <c r="G42" s="213">
        <f t="shared" si="2"/>
        <v>7</v>
      </c>
      <c r="H42" s="213">
        <f t="shared" si="3"/>
        <v>2026</v>
      </c>
      <c r="I42" s="214">
        <f t="shared" ref="I42:J42" si="16">G42</f>
        <v>7</v>
      </c>
      <c r="J42" s="215">
        <f t="shared" si="16"/>
        <v>2026</v>
      </c>
      <c r="K42" s="223"/>
      <c r="L42" s="223">
        <v>1.99</v>
      </c>
      <c r="M42" s="32">
        <v>30.0</v>
      </c>
      <c r="N42" s="217">
        <f t="shared" si="4"/>
        <v>59.7</v>
      </c>
      <c r="O42" s="87"/>
      <c r="P42" s="87"/>
      <c r="Q42" s="225"/>
    </row>
    <row r="43" ht="15.75" hidden="1" customHeight="1">
      <c r="A43" s="64" t="s">
        <v>151</v>
      </c>
      <c r="B43" s="64" t="s">
        <v>134</v>
      </c>
      <c r="C43" s="220"/>
      <c r="D43" s="64" t="s">
        <v>319</v>
      </c>
      <c r="E43" s="221">
        <v>46232.0</v>
      </c>
      <c r="F43" s="213">
        <f t="shared" si="1"/>
        <v>29</v>
      </c>
      <c r="G43" s="213">
        <f t="shared" si="2"/>
        <v>7</v>
      </c>
      <c r="H43" s="213">
        <f t="shared" si="3"/>
        <v>2026</v>
      </c>
      <c r="I43" s="214">
        <f t="shared" ref="I43:J43" si="17">G43</f>
        <v>7</v>
      </c>
      <c r="J43" s="215">
        <f t="shared" si="17"/>
        <v>2026</v>
      </c>
      <c r="K43" s="223"/>
      <c r="L43" s="223">
        <v>1.99</v>
      </c>
      <c r="M43" s="32">
        <v>20.0</v>
      </c>
      <c r="N43" s="217">
        <f t="shared" si="4"/>
        <v>39.8</v>
      </c>
      <c r="O43" s="77"/>
      <c r="P43" s="77"/>
      <c r="Q43" s="226"/>
    </row>
    <row r="44" ht="15.75" hidden="1" customHeight="1">
      <c r="A44" s="64" t="s">
        <v>151</v>
      </c>
      <c r="B44" s="64" t="s">
        <v>134</v>
      </c>
      <c r="C44" s="220"/>
      <c r="D44" s="64" t="s">
        <v>319</v>
      </c>
      <c r="E44" s="221">
        <v>46192.0</v>
      </c>
      <c r="F44" s="213">
        <f t="shared" si="1"/>
        <v>19</v>
      </c>
      <c r="G44" s="213">
        <f t="shared" si="2"/>
        <v>6</v>
      </c>
      <c r="H44" s="213">
        <f t="shared" si="3"/>
        <v>2026</v>
      </c>
      <c r="I44" s="214">
        <v>6.0</v>
      </c>
      <c r="J44" s="222">
        <v>2026.0</v>
      </c>
      <c r="K44" s="223"/>
      <c r="L44" s="223">
        <v>1.49</v>
      </c>
      <c r="M44" s="32">
        <v>3.0</v>
      </c>
      <c r="N44" s="217">
        <f t="shared" si="4"/>
        <v>4.47</v>
      </c>
      <c r="O44" s="77"/>
      <c r="P44" s="77"/>
      <c r="Q44" s="225"/>
    </row>
    <row r="45" ht="15.75" hidden="1" customHeight="1">
      <c r="A45" s="64" t="s">
        <v>151</v>
      </c>
      <c r="B45" s="64" t="s">
        <v>136</v>
      </c>
      <c r="C45" s="220"/>
      <c r="D45" s="64" t="s">
        <v>319</v>
      </c>
      <c r="E45" s="221">
        <v>46161.0</v>
      </c>
      <c r="F45" s="213">
        <f t="shared" si="1"/>
        <v>19</v>
      </c>
      <c r="G45" s="213">
        <f t="shared" si="2"/>
        <v>5</v>
      </c>
      <c r="H45" s="213">
        <f t="shared" si="3"/>
        <v>2026</v>
      </c>
      <c r="I45" s="214">
        <v>5.0</v>
      </c>
      <c r="J45" s="222">
        <v>2026.0</v>
      </c>
      <c r="K45" s="223"/>
      <c r="L45" s="223">
        <v>5.45</v>
      </c>
      <c r="M45" s="32">
        <v>1.0</v>
      </c>
      <c r="N45" s="217">
        <f t="shared" si="4"/>
        <v>5.45</v>
      </c>
      <c r="O45" s="87"/>
      <c r="P45" s="87"/>
      <c r="Q45" s="227"/>
    </row>
    <row r="46" ht="15.75" hidden="1" customHeight="1">
      <c r="A46" s="64" t="s">
        <v>151</v>
      </c>
      <c r="B46" s="64" t="s">
        <v>138</v>
      </c>
      <c r="C46" s="220"/>
      <c r="D46" s="64" t="s">
        <v>319</v>
      </c>
      <c r="E46" s="221">
        <v>46152.0</v>
      </c>
      <c r="F46" s="213">
        <f t="shared" si="1"/>
        <v>10</v>
      </c>
      <c r="G46" s="213">
        <f t="shared" si="2"/>
        <v>5</v>
      </c>
      <c r="H46" s="213">
        <f t="shared" si="3"/>
        <v>2026</v>
      </c>
      <c r="I46" s="214">
        <v>5.0</v>
      </c>
      <c r="J46" s="222">
        <v>2026.0</v>
      </c>
      <c r="K46" s="223"/>
      <c r="L46" s="223">
        <v>42.0</v>
      </c>
      <c r="M46" s="32">
        <v>1.0</v>
      </c>
      <c r="N46" s="217">
        <f t="shared" si="4"/>
        <v>42</v>
      </c>
      <c r="O46" s="87"/>
      <c r="P46" s="87"/>
      <c r="Q46" s="225"/>
    </row>
    <row r="47" ht="15.75" hidden="1" customHeight="1">
      <c r="A47" s="64" t="s">
        <v>151</v>
      </c>
      <c r="B47" s="64" t="s">
        <v>138</v>
      </c>
      <c r="C47" s="220"/>
      <c r="D47" s="64" t="s">
        <v>319</v>
      </c>
      <c r="E47" s="221">
        <v>46169.0</v>
      </c>
      <c r="F47" s="213">
        <f t="shared" si="1"/>
        <v>27</v>
      </c>
      <c r="G47" s="213">
        <f t="shared" si="2"/>
        <v>5</v>
      </c>
      <c r="H47" s="213">
        <f t="shared" si="3"/>
        <v>2026</v>
      </c>
      <c r="I47" s="214">
        <v>5.0</v>
      </c>
      <c r="J47" s="222">
        <v>2026.0</v>
      </c>
      <c r="K47" s="223"/>
      <c r="L47" s="223">
        <v>42.0</v>
      </c>
      <c r="M47" s="32">
        <v>1.0</v>
      </c>
      <c r="N47" s="217">
        <f t="shared" si="4"/>
        <v>42</v>
      </c>
      <c r="O47" s="87"/>
      <c r="P47" s="224"/>
      <c r="Q47" s="226"/>
    </row>
    <row r="48" ht="15.75" hidden="1" customHeight="1">
      <c r="A48" s="64" t="s">
        <v>151</v>
      </c>
      <c r="B48" s="64" t="s">
        <v>138</v>
      </c>
      <c r="C48" s="220"/>
      <c r="D48" s="64" t="s">
        <v>319</v>
      </c>
      <c r="E48" s="221">
        <v>46197.0</v>
      </c>
      <c r="F48" s="213">
        <f t="shared" si="1"/>
        <v>24</v>
      </c>
      <c r="G48" s="213">
        <f t="shared" si="2"/>
        <v>6</v>
      </c>
      <c r="H48" s="213">
        <f t="shared" si="3"/>
        <v>2026</v>
      </c>
      <c r="I48" s="214">
        <v>6.0</v>
      </c>
      <c r="J48" s="222">
        <v>2026.0</v>
      </c>
      <c r="K48" s="223"/>
      <c r="L48" s="223">
        <v>40.0</v>
      </c>
      <c r="M48" s="32">
        <v>1.0</v>
      </c>
      <c r="N48" s="217">
        <f t="shared" si="4"/>
        <v>40</v>
      </c>
      <c r="O48" s="77"/>
      <c r="P48" s="77"/>
      <c r="Q48" s="254"/>
    </row>
    <row r="49" ht="15.75" hidden="1" customHeight="1">
      <c r="A49" s="64" t="s">
        <v>151</v>
      </c>
      <c r="B49" s="64" t="s">
        <v>138</v>
      </c>
      <c r="C49" s="220"/>
      <c r="D49" s="64" t="s">
        <v>319</v>
      </c>
      <c r="E49" s="221">
        <v>46233.0</v>
      </c>
      <c r="F49" s="213">
        <f t="shared" si="1"/>
        <v>30</v>
      </c>
      <c r="G49" s="213">
        <f t="shared" si="2"/>
        <v>7</v>
      </c>
      <c r="H49" s="213">
        <f t="shared" si="3"/>
        <v>2026</v>
      </c>
      <c r="I49" s="214">
        <f t="shared" ref="I49:J49" si="18">G49</f>
        <v>7</v>
      </c>
      <c r="J49" s="215">
        <f t="shared" si="18"/>
        <v>2026</v>
      </c>
      <c r="K49" s="223"/>
      <c r="L49" s="223">
        <v>40.0</v>
      </c>
      <c r="M49" s="32">
        <v>1.0</v>
      </c>
      <c r="N49" s="217">
        <f t="shared" si="4"/>
        <v>40</v>
      </c>
      <c r="O49" s="77"/>
      <c r="P49" s="77"/>
      <c r="Q49" s="226"/>
    </row>
    <row r="50" ht="15.75" hidden="1" customHeight="1">
      <c r="A50" s="64" t="s">
        <v>151</v>
      </c>
      <c r="B50" s="64" t="s">
        <v>140</v>
      </c>
      <c r="C50" s="220"/>
      <c r="D50" s="64" t="s">
        <v>7</v>
      </c>
      <c r="E50" s="221">
        <v>46142.0</v>
      </c>
      <c r="F50" s="213">
        <f t="shared" si="1"/>
        <v>30</v>
      </c>
      <c r="G50" s="213">
        <f t="shared" si="2"/>
        <v>4</v>
      </c>
      <c r="H50" s="213">
        <f t="shared" si="3"/>
        <v>2026</v>
      </c>
      <c r="I50" s="214">
        <v>4.0</v>
      </c>
      <c r="J50" s="222">
        <v>2026.0</v>
      </c>
      <c r="K50" s="223"/>
      <c r="L50" s="223">
        <v>1.99</v>
      </c>
      <c r="M50" s="32">
        <v>24.0</v>
      </c>
      <c r="N50" s="217">
        <f t="shared" si="4"/>
        <v>47.76</v>
      </c>
      <c r="O50" s="77"/>
      <c r="P50" s="87" t="s">
        <v>377</v>
      </c>
      <c r="Q50" s="226"/>
    </row>
    <row r="51" ht="15.75" hidden="1" customHeight="1">
      <c r="A51" s="64" t="s">
        <v>151</v>
      </c>
      <c r="B51" s="64" t="s">
        <v>140</v>
      </c>
      <c r="C51" s="220"/>
      <c r="D51" s="64" t="s">
        <v>7</v>
      </c>
      <c r="E51" s="221">
        <v>46183.0</v>
      </c>
      <c r="F51" s="213">
        <f t="shared" si="1"/>
        <v>10</v>
      </c>
      <c r="G51" s="213">
        <f t="shared" si="2"/>
        <v>6</v>
      </c>
      <c r="H51" s="213">
        <f t="shared" si="3"/>
        <v>2026</v>
      </c>
      <c r="I51" s="214">
        <v>6.0</v>
      </c>
      <c r="J51" s="222">
        <v>2026.0</v>
      </c>
      <c r="K51" s="223"/>
      <c r="L51" s="223">
        <v>1.99</v>
      </c>
      <c r="M51" s="32">
        <v>19.0</v>
      </c>
      <c r="N51" s="217">
        <f t="shared" si="4"/>
        <v>37.81</v>
      </c>
      <c r="O51" s="87"/>
      <c r="P51" s="87" t="s">
        <v>374</v>
      </c>
      <c r="Q51" s="226"/>
    </row>
    <row r="52" ht="15.75" hidden="1" customHeight="1">
      <c r="A52" s="64" t="s">
        <v>151</v>
      </c>
      <c r="B52" s="64" t="s">
        <v>140</v>
      </c>
      <c r="C52" s="220"/>
      <c r="D52" s="64" t="s">
        <v>7</v>
      </c>
      <c r="E52" s="221">
        <v>46231.0</v>
      </c>
      <c r="F52" s="213">
        <f t="shared" si="1"/>
        <v>28</v>
      </c>
      <c r="G52" s="213">
        <f t="shared" si="2"/>
        <v>7</v>
      </c>
      <c r="H52" s="213">
        <f t="shared" si="3"/>
        <v>2026</v>
      </c>
      <c r="I52" s="222">
        <f t="shared" ref="I52:J52" si="19">G52</f>
        <v>7</v>
      </c>
      <c r="J52" s="222">
        <f t="shared" si="19"/>
        <v>2026</v>
      </c>
      <c r="K52" s="223"/>
      <c r="L52" s="223">
        <v>1.99</v>
      </c>
      <c r="M52" s="32">
        <v>20.0</v>
      </c>
      <c r="N52" s="236">
        <f t="shared" si="4"/>
        <v>39.8</v>
      </c>
      <c r="O52" s="87"/>
      <c r="P52" s="87"/>
      <c r="Q52" s="234"/>
    </row>
    <row r="53" ht="15.75" hidden="1" customHeight="1">
      <c r="A53" s="64" t="s">
        <v>151</v>
      </c>
      <c r="B53" s="64" t="s">
        <v>140</v>
      </c>
      <c r="C53" s="220"/>
      <c r="D53" s="64" t="s">
        <v>7</v>
      </c>
      <c r="E53" s="221">
        <v>46142.0</v>
      </c>
      <c r="F53" s="213">
        <f t="shared" si="1"/>
        <v>30</v>
      </c>
      <c r="G53" s="213">
        <f t="shared" si="2"/>
        <v>4</v>
      </c>
      <c r="H53" s="213">
        <f t="shared" si="3"/>
        <v>2026</v>
      </c>
      <c r="I53" s="214">
        <v>4.0</v>
      </c>
      <c r="J53" s="222">
        <v>2026.0</v>
      </c>
      <c r="K53" s="223"/>
      <c r="L53" s="223">
        <v>1.65</v>
      </c>
      <c r="M53" s="32">
        <v>24.0</v>
      </c>
      <c r="N53" s="217">
        <f t="shared" si="4"/>
        <v>39.6</v>
      </c>
      <c r="O53" s="77"/>
      <c r="P53" s="87" t="s">
        <v>377</v>
      </c>
      <c r="Q53" s="227"/>
    </row>
    <row r="54" ht="15.75" hidden="1" customHeight="1">
      <c r="A54" s="64" t="s">
        <v>151</v>
      </c>
      <c r="B54" s="64" t="s">
        <v>140</v>
      </c>
      <c r="C54" s="220"/>
      <c r="D54" s="64" t="s">
        <v>7</v>
      </c>
      <c r="E54" s="221">
        <v>46183.0</v>
      </c>
      <c r="F54" s="213">
        <f t="shared" si="1"/>
        <v>10</v>
      </c>
      <c r="G54" s="213">
        <f t="shared" si="2"/>
        <v>6</v>
      </c>
      <c r="H54" s="213">
        <f t="shared" si="3"/>
        <v>2026</v>
      </c>
      <c r="I54" s="214">
        <v>6.0</v>
      </c>
      <c r="J54" s="222">
        <v>2026.0</v>
      </c>
      <c r="K54" s="223"/>
      <c r="L54" s="223">
        <v>1.65</v>
      </c>
      <c r="M54" s="32">
        <v>24.0</v>
      </c>
      <c r="N54" s="217">
        <f t="shared" si="4"/>
        <v>39.6</v>
      </c>
      <c r="O54" s="87"/>
      <c r="P54" s="87" t="s">
        <v>374</v>
      </c>
      <c r="Q54" s="254"/>
    </row>
    <row r="55" ht="15.75" hidden="1" customHeight="1">
      <c r="A55" s="64" t="s">
        <v>151</v>
      </c>
      <c r="B55" s="64" t="s">
        <v>140</v>
      </c>
      <c r="C55" s="220"/>
      <c r="D55" s="64" t="s">
        <v>7</v>
      </c>
      <c r="E55" s="221">
        <v>46231.0</v>
      </c>
      <c r="F55" s="213">
        <f t="shared" si="1"/>
        <v>28</v>
      </c>
      <c r="G55" s="213">
        <f t="shared" si="2"/>
        <v>7</v>
      </c>
      <c r="H55" s="213">
        <f t="shared" si="3"/>
        <v>2026</v>
      </c>
      <c r="I55" s="222">
        <f t="shared" ref="I55:J55" si="20">G55</f>
        <v>7</v>
      </c>
      <c r="J55" s="222">
        <f t="shared" si="20"/>
        <v>2026</v>
      </c>
      <c r="K55" s="223"/>
      <c r="L55" s="223">
        <v>1.65</v>
      </c>
      <c r="M55" s="32">
        <v>12.0</v>
      </c>
      <c r="N55" s="236">
        <f t="shared" si="4"/>
        <v>19.8</v>
      </c>
      <c r="O55" s="87"/>
      <c r="P55" s="87"/>
      <c r="Q55" s="225"/>
    </row>
    <row r="56" ht="15.75" hidden="1" customHeight="1">
      <c r="A56" s="64" t="s">
        <v>151</v>
      </c>
      <c r="B56" s="64" t="s">
        <v>141</v>
      </c>
      <c r="C56" s="220"/>
      <c r="D56" s="64" t="s">
        <v>7</v>
      </c>
      <c r="E56" s="221">
        <v>46142.0</v>
      </c>
      <c r="F56" s="213">
        <f t="shared" si="1"/>
        <v>30</v>
      </c>
      <c r="G56" s="213">
        <f t="shared" si="2"/>
        <v>4</v>
      </c>
      <c r="H56" s="213">
        <f t="shared" si="3"/>
        <v>2026</v>
      </c>
      <c r="I56" s="214">
        <v>4.0</v>
      </c>
      <c r="J56" s="222">
        <v>2026.0</v>
      </c>
      <c r="K56" s="223"/>
      <c r="L56" s="223">
        <v>0.86</v>
      </c>
      <c r="M56" s="32">
        <v>60.0</v>
      </c>
      <c r="N56" s="217">
        <f t="shared" si="4"/>
        <v>51.6</v>
      </c>
      <c r="O56" s="77"/>
      <c r="P56" s="87" t="s">
        <v>464</v>
      </c>
      <c r="Q56" s="226"/>
    </row>
    <row r="57" ht="15.75" hidden="1" customHeight="1">
      <c r="A57" s="64" t="s">
        <v>151</v>
      </c>
      <c r="B57" s="64" t="s">
        <v>141</v>
      </c>
      <c r="C57" s="220"/>
      <c r="D57" s="64" t="s">
        <v>7</v>
      </c>
      <c r="E57" s="221">
        <v>46161.0</v>
      </c>
      <c r="F57" s="213">
        <f t="shared" si="1"/>
        <v>19</v>
      </c>
      <c r="G57" s="213">
        <f t="shared" si="2"/>
        <v>5</v>
      </c>
      <c r="H57" s="213">
        <f t="shared" si="3"/>
        <v>2026</v>
      </c>
      <c r="I57" s="214">
        <v>5.0</v>
      </c>
      <c r="J57" s="222">
        <v>2026.0</v>
      </c>
      <c r="K57" s="223"/>
      <c r="L57" s="223">
        <v>0.86</v>
      </c>
      <c r="M57" s="32">
        <v>60.0</v>
      </c>
      <c r="N57" s="217">
        <f t="shared" si="4"/>
        <v>51.6</v>
      </c>
      <c r="O57" s="87"/>
      <c r="P57" s="87" t="s">
        <v>376</v>
      </c>
      <c r="Q57" s="226"/>
    </row>
    <row r="58" ht="15.75" hidden="1" customHeight="1">
      <c r="A58" s="64" t="s">
        <v>151</v>
      </c>
      <c r="B58" s="64" t="s">
        <v>141</v>
      </c>
      <c r="C58" s="220"/>
      <c r="D58" s="64" t="s">
        <v>7</v>
      </c>
      <c r="E58" s="221">
        <v>46183.0</v>
      </c>
      <c r="F58" s="213">
        <f t="shared" si="1"/>
        <v>10</v>
      </c>
      <c r="G58" s="213">
        <f t="shared" si="2"/>
        <v>6</v>
      </c>
      <c r="H58" s="213">
        <f t="shared" si="3"/>
        <v>2026</v>
      </c>
      <c r="I58" s="214">
        <v>6.0</v>
      </c>
      <c r="J58" s="222">
        <v>2026.0</v>
      </c>
      <c r="K58" s="223"/>
      <c r="L58" s="223">
        <v>0.86</v>
      </c>
      <c r="M58" s="32">
        <v>90.0</v>
      </c>
      <c r="N58" s="217">
        <f t="shared" si="4"/>
        <v>77.4</v>
      </c>
      <c r="O58" s="87"/>
      <c r="P58" s="87" t="s">
        <v>374</v>
      </c>
      <c r="Q58" s="225"/>
    </row>
    <row r="59" ht="15.75" hidden="1" customHeight="1">
      <c r="A59" s="64" t="s">
        <v>151</v>
      </c>
      <c r="B59" s="64" t="s">
        <v>141</v>
      </c>
      <c r="C59" s="220"/>
      <c r="D59" s="64" t="s">
        <v>7</v>
      </c>
      <c r="E59" s="221">
        <v>46142.0</v>
      </c>
      <c r="F59" s="213">
        <f t="shared" si="1"/>
        <v>30</v>
      </c>
      <c r="G59" s="213">
        <f t="shared" si="2"/>
        <v>4</v>
      </c>
      <c r="H59" s="213">
        <f t="shared" si="3"/>
        <v>2026</v>
      </c>
      <c r="I59" s="214">
        <v>4.0</v>
      </c>
      <c r="J59" s="222">
        <v>2026.0</v>
      </c>
      <c r="K59" s="223"/>
      <c r="L59" s="223">
        <v>0.79</v>
      </c>
      <c r="M59" s="32">
        <v>24.0</v>
      </c>
      <c r="N59" s="217">
        <f t="shared" si="4"/>
        <v>18.96</v>
      </c>
      <c r="O59" s="77"/>
      <c r="P59" s="87" t="s">
        <v>467</v>
      </c>
      <c r="Q59" s="226"/>
      <c r="V59" s="257"/>
      <c r="W59" s="257"/>
      <c r="X59" s="257"/>
      <c r="Y59" s="257"/>
      <c r="Z59" s="257"/>
      <c r="AA59" s="257"/>
      <c r="AB59" s="257"/>
      <c r="AC59" s="257"/>
      <c r="AD59" s="257"/>
      <c r="AE59" s="257"/>
      <c r="AF59" s="257"/>
      <c r="AG59" s="257"/>
      <c r="AH59" s="257"/>
    </row>
    <row r="60" ht="15.75" hidden="1" customHeight="1">
      <c r="A60" s="64" t="s">
        <v>151</v>
      </c>
      <c r="B60" s="64" t="s">
        <v>141</v>
      </c>
      <c r="C60" s="220"/>
      <c r="D60" s="64" t="s">
        <v>319</v>
      </c>
      <c r="E60" s="221">
        <v>46218.0</v>
      </c>
      <c r="F60" s="213">
        <f t="shared" si="1"/>
        <v>15</v>
      </c>
      <c r="G60" s="213">
        <f t="shared" si="2"/>
        <v>7</v>
      </c>
      <c r="H60" s="213">
        <f t="shared" si="3"/>
        <v>2026</v>
      </c>
      <c r="I60" s="214">
        <f t="shared" ref="I60:J60" si="21">G60</f>
        <v>7</v>
      </c>
      <c r="J60" s="215">
        <f t="shared" si="21"/>
        <v>2026</v>
      </c>
      <c r="K60" s="223"/>
      <c r="L60" s="223">
        <v>0.86</v>
      </c>
      <c r="M60" s="32">
        <v>48.0</v>
      </c>
      <c r="N60" s="217">
        <f t="shared" si="4"/>
        <v>41.28</v>
      </c>
      <c r="O60" s="87"/>
      <c r="P60" s="87"/>
      <c r="Q60" s="227"/>
    </row>
    <row r="61" ht="15.75" hidden="1" customHeight="1">
      <c r="A61" s="64" t="s">
        <v>151</v>
      </c>
      <c r="B61" s="64" t="s">
        <v>141</v>
      </c>
      <c r="C61" s="220"/>
      <c r="D61" s="64" t="s">
        <v>319</v>
      </c>
      <c r="E61" s="221">
        <v>46209.0</v>
      </c>
      <c r="F61" s="213">
        <f t="shared" si="1"/>
        <v>6</v>
      </c>
      <c r="G61" s="213">
        <f t="shared" si="2"/>
        <v>7</v>
      </c>
      <c r="H61" s="213">
        <f t="shared" si="3"/>
        <v>2026</v>
      </c>
      <c r="I61" s="214">
        <f t="shared" ref="I61:J61" si="22">G61</f>
        <v>7</v>
      </c>
      <c r="J61" s="215">
        <f t="shared" si="22"/>
        <v>2026</v>
      </c>
      <c r="K61" s="223"/>
      <c r="L61" s="223">
        <v>0.86</v>
      </c>
      <c r="M61" s="32">
        <v>36.0</v>
      </c>
      <c r="N61" s="217">
        <f t="shared" si="4"/>
        <v>30.96</v>
      </c>
      <c r="O61" s="87"/>
      <c r="P61" s="87"/>
      <c r="Q61" s="225"/>
      <c r="R61" s="25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</row>
    <row r="62" ht="15.75" hidden="1" customHeight="1">
      <c r="A62" s="64" t="s">
        <v>151</v>
      </c>
      <c r="B62" s="64" t="s">
        <v>143</v>
      </c>
      <c r="C62" s="220"/>
      <c r="D62" s="64" t="s">
        <v>7</v>
      </c>
      <c r="E62" s="221">
        <v>46142.0</v>
      </c>
      <c r="F62" s="213">
        <f t="shared" si="1"/>
        <v>30</v>
      </c>
      <c r="G62" s="213">
        <f t="shared" si="2"/>
        <v>4</v>
      </c>
      <c r="H62" s="213">
        <f t="shared" si="3"/>
        <v>2026</v>
      </c>
      <c r="I62" s="214">
        <v>4.0</v>
      </c>
      <c r="J62" s="222">
        <v>2026.0</v>
      </c>
      <c r="K62" s="223"/>
      <c r="L62" s="223">
        <v>3.49</v>
      </c>
      <c r="M62" s="32">
        <v>10.0</v>
      </c>
      <c r="N62" s="217">
        <f t="shared" si="4"/>
        <v>34.9</v>
      </c>
      <c r="O62" s="77"/>
      <c r="P62" s="87" t="s">
        <v>471</v>
      </c>
      <c r="Q62" s="226"/>
    </row>
    <row r="63" ht="15.75" hidden="1" customHeight="1">
      <c r="A63" s="64" t="s">
        <v>151</v>
      </c>
      <c r="B63" s="64" t="s">
        <v>143</v>
      </c>
      <c r="C63" s="220"/>
      <c r="D63" s="64" t="s">
        <v>7</v>
      </c>
      <c r="E63" s="221">
        <v>46161.0</v>
      </c>
      <c r="F63" s="213">
        <f t="shared" si="1"/>
        <v>19</v>
      </c>
      <c r="G63" s="213">
        <f t="shared" si="2"/>
        <v>5</v>
      </c>
      <c r="H63" s="213">
        <f t="shared" si="3"/>
        <v>2026</v>
      </c>
      <c r="I63" s="214">
        <v>5.0</v>
      </c>
      <c r="J63" s="222">
        <v>2026.0</v>
      </c>
      <c r="K63" s="223"/>
      <c r="L63" s="223">
        <v>3.49</v>
      </c>
      <c r="M63" s="32">
        <v>20.0</v>
      </c>
      <c r="N63" s="217">
        <f t="shared" si="4"/>
        <v>69.8</v>
      </c>
      <c r="O63" s="87"/>
      <c r="P63" s="87" t="s">
        <v>376</v>
      </c>
      <c r="Q63" s="226"/>
    </row>
    <row r="64" ht="15.75" hidden="1" customHeight="1">
      <c r="A64" s="64" t="s">
        <v>151</v>
      </c>
      <c r="B64" s="64" t="s">
        <v>143</v>
      </c>
      <c r="C64" s="220"/>
      <c r="D64" s="64" t="s">
        <v>319</v>
      </c>
      <c r="E64" s="221">
        <v>46209.0</v>
      </c>
      <c r="F64" s="213">
        <f t="shared" si="1"/>
        <v>6</v>
      </c>
      <c r="G64" s="213">
        <f t="shared" si="2"/>
        <v>7</v>
      </c>
      <c r="H64" s="213">
        <f t="shared" si="3"/>
        <v>2026</v>
      </c>
      <c r="I64" s="214">
        <f t="shared" ref="I64:J64" si="23">G64</f>
        <v>7</v>
      </c>
      <c r="J64" s="215">
        <f t="shared" si="23"/>
        <v>2026</v>
      </c>
      <c r="K64" s="223"/>
      <c r="L64" s="223">
        <v>3.49</v>
      </c>
      <c r="M64" s="32">
        <v>10.0</v>
      </c>
      <c r="N64" s="217">
        <f t="shared" si="4"/>
        <v>34.9</v>
      </c>
      <c r="O64" s="77"/>
      <c r="P64" s="77"/>
      <c r="Q64" s="225"/>
    </row>
    <row r="65" ht="15.75" hidden="1" customHeight="1">
      <c r="A65" s="64" t="s">
        <v>151</v>
      </c>
      <c r="B65" s="64" t="s">
        <v>144</v>
      </c>
      <c r="C65" s="220"/>
      <c r="D65" s="64" t="s">
        <v>7</v>
      </c>
      <c r="E65" s="221">
        <v>46142.0</v>
      </c>
      <c r="F65" s="213">
        <f t="shared" si="1"/>
        <v>30</v>
      </c>
      <c r="G65" s="213">
        <f t="shared" si="2"/>
        <v>4</v>
      </c>
      <c r="H65" s="213">
        <f t="shared" si="3"/>
        <v>2026</v>
      </c>
      <c r="I65" s="214">
        <v>4.0</v>
      </c>
      <c r="J65" s="222">
        <v>2026.0</v>
      </c>
      <c r="K65" s="223"/>
      <c r="L65" s="223">
        <v>4.99</v>
      </c>
      <c r="M65" s="32">
        <v>3.0</v>
      </c>
      <c r="N65" s="217">
        <f t="shared" si="4"/>
        <v>14.97</v>
      </c>
      <c r="O65" s="77"/>
      <c r="P65" s="87" t="s">
        <v>377</v>
      </c>
      <c r="Q65" s="226"/>
      <c r="T65" s="140"/>
      <c r="U65" s="140"/>
    </row>
    <row r="66" ht="15.75" hidden="1" customHeight="1">
      <c r="A66" s="64" t="s">
        <v>151</v>
      </c>
      <c r="B66" s="64" t="s">
        <v>144</v>
      </c>
      <c r="C66" s="220"/>
      <c r="D66" s="64" t="s">
        <v>319</v>
      </c>
      <c r="E66" s="221">
        <v>46218.0</v>
      </c>
      <c r="F66" s="213">
        <f t="shared" si="1"/>
        <v>15</v>
      </c>
      <c r="G66" s="213">
        <f t="shared" si="2"/>
        <v>7</v>
      </c>
      <c r="H66" s="213">
        <f t="shared" si="3"/>
        <v>2026</v>
      </c>
      <c r="I66" s="214">
        <f t="shared" ref="I66:J66" si="24">G66</f>
        <v>7</v>
      </c>
      <c r="J66" s="215">
        <f t="shared" si="24"/>
        <v>2026</v>
      </c>
      <c r="K66" s="223"/>
      <c r="L66" s="223">
        <v>5.29</v>
      </c>
      <c r="M66" s="32">
        <v>3.0</v>
      </c>
      <c r="N66" s="217">
        <f t="shared" si="4"/>
        <v>15.87</v>
      </c>
      <c r="O66" s="87"/>
      <c r="P66" s="87"/>
      <c r="Q66" s="225"/>
      <c r="W66" s="142"/>
      <c r="X66" s="142"/>
      <c r="Y66" s="142"/>
      <c r="Z66" s="142"/>
      <c r="AA66" s="142"/>
      <c r="AB66" s="142"/>
      <c r="AC66" s="142"/>
      <c r="AD66" s="142"/>
      <c r="AE66" s="142"/>
    </row>
    <row r="67" ht="15.75" hidden="1" customHeight="1">
      <c r="A67" s="64" t="s">
        <v>151</v>
      </c>
      <c r="B67" s="64" t="s">
        <v>145</v>
      </c>
      <c r="C67" s="220"/>
      <c r="D67" s="64" t="s">
        <v>7</v>
      </c>
      <c r="E67" s="221">
        <v>46143.0</v>
      </c>
      <c r="F67" s="213">
        <f t="shared" si="1"/>
        <v>1</v>
      </c>
      <c r="G67" s="213">
        <f t="shared" si="2"/>
        <v>5</v>
      </c>
      <c r="H67" s="213">
        <f t="shared" si="3"/>
        <v>2026</v>
      </c>
      <c r="I67" s="214">
        <v>5.0</v>
      </c>
      <c r="J67" s="222">
        <v>2026.0</v>
      </c>
      <c r="K67" s="223"/>
      <c r="L67" s="223">
        <v>4.99</v>
      </c>
      <c r="M67" s="269">
        <v>1.0</v>
      </c>
      <c r="N67" s="217">
        <f t="shared" si="4"/>
        <v>4.99</v>
      </c>
      <c r="O67" s="87"/>
      <c r="P67" s="224"/>
      <c r="Q67" s="225"/>
    </row>
    <row r="68" ht="15.75" hidden="1" customHeight="1">
      <c r="A68" s="64" t="s">
        <v>151</v>
      </c>
      <c r="B68" s="64" t="s">
        <v>145</v>
      </c>
      <c r="C68" s="220"/>
      <c r="D68" s="64" t="s">
        <v>7</v>
      </c>
      <c r="E68" s="221">
        <v>46143.0</v>
      </c>
      <c r="F68" s="213">
        <f t="shared" si="1"/>
        <v>1</v>
      </c>
      <c r="G68" s="213">
        <f t="shared" si="2"/>
        <v>5</v>
      </c>
      <c r="H68" s="213">
        <f t="shared" si="3"/>
        <v>2026</v>
      </c>
      <c r="I68" s="214">
        <v>5.0</v>
      </c>
      <c r="J68" s="222">
        <v>2026.0</v>
      </c>
      <c r="K68" s="223"/>
      <c r="L68" s="223">
        <v>4.99</v>
      </c>
      <c r="M68" s="32">
        <v>1.0</v>
      </c>
      <c r="N68" s="217">
        <f t="shared" si="4"/>
        <v>4.99</v>
      </c>
      <c r="O68" s="87"/>
      <c r="P68" s="87"/>
      <c r="Q68" s="226"/>
    </row>
    <row r="69" ht="15.75" hidden="1" customHeight="1">
      <c r="A69" s="64" t="s">
        <v>151</v>
      </c>
      <c r="B69" s="64" t="s">
        <v>145</v>
      </c>
      <c r="C69" s="220"/>
      <c r="D69" s="64" t="s">
        <v>319</v>
      </c>
      <c r="E69" s="221">
        <v>46153.0</v>
      </c>
      <c r="F69" s="213">
        <f t="shared" si="1"/>
        <v>11</v>
      </c>
      <c r="G69" s="213">
        <f t="shared" si="2"/>
        <v>5</v>
      </c>
      <c r="H69" s="213">
        <f t="shared" si="3"/>
        <v>2026</v>
      </c>
      <c r="I69" s="214">
        <v>5.0</v>
      </c>
      <c r="J69" s="222">
        <v>2026.0</v>
      </c>
      <c r="K69" s="223"/>
      <c r="L69" s="223">
        <v>2.9</v>
      </c>
      <c r="M69" s="32">
        <v>5.0</v>
      </c>
      <c r="N69" s="217">
        <f t="shared" si="4"/>
        <v>14.5</v>
      </c>
      <c r="O69" s="87"/>
      <c r="P69" s="87"/>
      <c r="Q69" s="225"/>
    </row>
    <row r="70" ht="15.75" hidden="1" customHeight="1">
      <c r="A70" s="64" t="s">
        <v>151</v>
      </c>
      <c r="B70" s="64" t="s">
        <v>145</v>
      </c>
      <c r="C70" s="220"/>
      <c r="D70" s="64" t="s">
        <v>319</v>
      </c>
      <c r="E70" s="221">
        <v>46195.0</v>
      </c>
      <c r="F70" s="213">
        <f t="shared" si="1"/>
        <v>22</v>
      </c>
      <c r="G70" s="213">
        <f t="shared" si="2"/>
        <v>6</v>
      </c>
      <c r="H70" s="213">
        <f t="shared" si="3"/>
        <v>2026</v>
      </c>
      <c r="I70" s="214">
        <v>6.0</v>
      </c>
      <c r="J70" s="222">
        <v>2026.0</v>
      </c>
      <c r="K70" s="223"/>
      <c r="L70" s="223">
        <v>11.96</v>
      </c>
      <c r="M70" s="32">
        <v>1.0</v>
      </c>
      <c r="N70" s="217">
        <f t="shared" si="4"/>
        <v>11.96</v>
      </c>
      <c r="O70" s="77"/>
      <c r="P70" s="77"/>
      <c r="Q70" s="225"/>
    </row>
    <row r="71" ht="15.75" hidden="1" customHeight="1">
      <c r="A71" s="64" t="s">
        <v>151</v>
      </c>
      <c r="B71" s="64" t="s">
        <v>145</v>
      </c>
      <c r="C71" s="220"/>
      <c r="D71" s="64" t="s">
        <v>319</v>
      </c>
      <c r="E71" s="221">
        <v>46219.0</v>
      </c>
      <c r="F71" s="213">
        <f t="shared" si="1"/>
        <v>16</v>
      </c>
      <c r="G71" s="213">
        <f t="shared" si="2"/>
        <v>7</v>
      </c>
      <c r="H71" s="213">
        <f t="shared" si="3"/>
        <v>2026</v>
      </c>
      <c r="I71" s="214">
        <f t="shared" ref="I71:J71" si="25">G71</f>
        <v>7</v>
      </c>
      <c r="J71" s="215">
        <f t="shared" si="25"/>
        <v>2026</v>
      </c>
      <c r="K71" s="223"/>
      <c r="L71" s="223">
        <v>2.99</v>
      </c>
      <c r="M71" s="32">
        <v>4.0</v>
      </c>
      <c r="N71" s="217">
        <f t="shared" si="4"/>
        <v>11.96</v>
      </c>
      <c r="O71" s="87"/>
      <c r="P71" s="87"/>
      <c r="Q71" s="225"/>
      <c r="V71" s="142"/>
      <c r="W71" s="142"/>
      <c r="X71" s="142"/>
      <c r="Y71" s="142"/>
      <c r="Z71" s="142"/>
      <c r="AA71" s="142"/>
      <c r="AB71" s="142"/>
      <c r="AC71" s="142"/>
      <c r="AD71" s="142"/>
      <c r="AE71" s="142"/>
    </row>
    <row r="72" ht="15.75" hidden="1" customHeight="1">
      <c r="A72" s="64" t="s">
        <v>151</v>
      </c>
      <c r="B72" s="64" t="s">
        <v>148</v>
      </c>
      <c r="C72" s="220"/>
      <c r="D72" s="64" t="s">
        <v>7</v>
      </c>
      <c r="E72" s="221">
        <v>46183.0</v>
      </c>
      <c r="F72" s="213">
        <f t="shared" si="1"/>
        <v>10</v>
      </c>
      <c r="G72" s="213">
        <f t="shared" si="2"/>
        <v>6</v>
      </c>
      <c r="H72" s="213">
        <f t="shared" si="3"/>
        <v>2026</v>
      </c>
      <c r="I72" s="214">
        <v>6.0</v>
      </c>
      <c r="J72" s="222">
        <v>2026.0</v>
      </c>
      <c r="K72" s="223"/>
      <c r="L72" s="223">
        <v>1.49</v>
      </c>
      <c r="M72" s="32">
        <v>10.0</v>
      </c>
      <c r="N72" s="217">
        <f t="shared" si="4"/>
        <v>14.9</v>
      </c>
      <c r="O72" s="87"/>
      <c r="P72" s="87" t="s">
        <v>374</v>
      </c>
      <c r="Q72" s="225"/>
    </row>
    <row r="73" ht="15.75" hidden="1" customHeight="1">
      <c r="A73" s="64" t="s">
        <v>151</v>
      </c>
      <c r="B73" s="64" t="s">
        <v>149</v>
      </c>
      <c r="C73" s="220"/>
      <c r="D73" s="64" t="s">
        <v>7</v>
      </c>
      <c r="E73" s="221">
        <v>46142.0</v>
      </c>
      <c r="F73" s="213">
        <f t="shared" si="1"/>
        <v>30</v>
      </c>
      <c r="G73" s="213">
        <f t="shared" si="2"/>
        <v>4</v>
      </c>
      <c r="H73" s="213">
        <f t="shared" si="3"/>
        <v>2026</v>
      </c>
      <c r="I73" s="214">
        <v>4.0</v>
      </c>
      <c r="J73" s="222">
        <v>2026.0</v>
      </c>
      <c r="K73" s="223"/>
      <c r="L73" s="223">
        <v>0.79</v>
      </c>
      <c r="M73" s="32">
        <v>5.0</v>
      </c>
      <c r="N73" s="217">
        <f t="shared" si="4"/>
        <v>3.95</v>
      </c>
      <c r="O73" s="77"/>
      <c r="P73" s="87" t="s">
        <v>377</v>
      </c>
      <c r="Q73" s="226"/>
    </row>
    <row r="74" ht="15.75" hidden="1" customHeight="1">
      <c r="A74" s="64" t="s">
        <v>151</v>
      </c>
      <c r="B74" s="64" t="s">
        <v>149</v>
      </c>
      <c r="C74" s="220"/>
      <c r="D74" s="64" t="s">
        <v>7</v>
      </c>
      <c r="E74" s="221">
        <v>46142.0</v>
      </c>
      <c r="F74" s="213">
        <f t="shared" si="1"/>
        <v>30</v>
      </c>
      <c r="G74" s="213">
        <f t="shared" si="2"/>
        <v>4</v>
      </c>
      <c r="H74" s="213">
        <f t="shared" si="3"/>
        <v>2026</v>
      </c>
      <c r="I74" s="214">
        <v>4.0</v>
      </c>
      <c r="J74" s="222">
        <v>2026.0</v>
      </c>
      <c r="K74" s="223"/>
      <c r="L74" s="223">
        <v>0.79</v>
      </c>
      <c r="M74" s="32">
        <v>5.0</v>
      </c>
      <c r="N74" s="217">
        <f t="shared" si="4"/>
        <v>3.95</v>
      </c>
      <c r="O74" s="77"/>
      <c r="P74" s="87" t="s">
        <v>377</v>
      </c>
      <c r="Q74" s="226"/>
    </row>
    <row r="75" ht="15.75" hidden="1" customHeight="1">
      <c r="A75" s="64" t="s">
        <v>151</v>
      </c>
      <c r="B75" s="64" t="s">
        <v>149</v>
      </c>
      <c r="C75" s="220"/>
      <c r="D75" s="64" t="s">
        <v>7</v>
      </c>
      <c r="E75" s="221">
        <v>46142.0</v>
      </c>
      <c r="F75" s="213">
        <f t="shared" si="1"/>
        <v>30</v>
      </c>
      <c r="G75" s="213">
        <f t="shared" si="2"/>
        <v>4</v>
      </c>
      <c r="H75" s="213">
        <f t="shared" si="3"/>
        <v>2026</v>
      </c>
      <c r="I75" s="214">
        <v>4.0</v>
      </c>
      <c r="J75" s="222">
        <v>2026.0</v>
      </c>
      <c r="K75" s="223"/>
      <c r="L75" s="223">
        <v>0.79</v>
      </c>
      <c r="M75" s="32">
        <v>5.0</v>
      </c>
      <c r="N75" s="217">
        <f t="shared" si="4"/>
        <v>3.95</v>
      </c>
      <c r="O75" s="77"/>
      <c r="P75" s="87" t="s">
        <v>377</v>
      </c>
      <c r="Q75" s="226"/>
    </row>
    <row r="76" ht="15.75" hidden="1" customHeight="1">
      <c r="A76" s="64" t="s">
        <v>151</v>
      </c>
      <c r="B76" s="64" t="s">
        <v>150</v>
      </c>
      <c r="C76" s="220"/>
      <c r="D76" s="64" t="s">
        <v>7</v>
      </c>
      <c r="E76" s="221">
        <v>46183.0</v>
      </c>
      <c r="F76" s="213">
        <f t="shared" si="1"/>
        <v>10</v>
      </c>
      <c r="G76" s="213">
        <f t="shared" si="2"/>
        <v>6</v>
      </c>
      <c r="H76" s="213">
        <f t="shared" si="3"/>
        <v>2026</v>
      </c>
      <c r="I76" s="214">
        <v>6.0</v>
      </c>
      <c r="J76" s="222">
        <v>2026.0</v>
      </c>
      <c r="K76" s="223"/>
      <c r="L76" s="223">
        <v>0.79</v>
      </c>
      <c r="M76" s="32">
        <v>12.0</v>
      </c>
      <c r="N76" s="217">
        <f t="shared" si="4"/>
        <v>9.48</v>
      </c>
      <c r="O76" s="77"/>
      <c r="P76" s="87" t="s">
        <v>374</v>
      </c>
      <c r="Q76" s="225"/>
    </row>
    <row r="77" ht="15.75" hidden="1" customHeight="1">
      <c r="A77" s="64" t="s">
        <v>151</v>
      </c>
      <c r="B77" s="64" t="s">
        <v>150</v>
      </c>
      <c r="C77" s="220"/>
      <c r="D77" s="64" t="s">
        <v>319</v>
      </c>
      <c r="E77" s="221">
        <v>46198.0</v>
      </c>
      <c r="F77" s="213">
        <f t="shared" si="1"/>
        <v>25</v>
      </c>
      <c r="G77" s="213">
        <f t="shared" si="2"/>
        <v>6</v>
      </c>
      <c r="H77" s="213">
        <f t="shared" si="3"/>
        <v>2026</v>
      </c>
      <c r="I77" s="214">
        <v>6.0</v>
      </c>
      <c r="J77" s="222">
        <v>2026.0</v>
      </c>
      <c r="K77" s="223"/>
      <c r="L77" s="223">
        <v>0.79</v>
      </c>
      <c r="M77" s="32">
        <v>24.0</v>
      </c>
      <c r="N77" s="217">
        <f t="shared" si="4"/>
        <v>18.96</v>
      </c>
      <c r="O77" s="77"/>
      <c r="P77" s="87" t="s">
        <v>405</v>
      </c>
      <c r="Q77" s="226"/>
    </row>
    <row r="78" ht="15.75" hidden="1" customHeight="1">
      <c r="A78" s="64" t="s">
        <v>151</v>
      </c>
      <c r="B78" s="64" t="s">
        <v>150</v>
      </c>
      <c r="C78" s="220"/>
      <c r="D78" s="64" t="s">
        <v>319</v>
      </c>
      <c r="E78" s="221">
        <v>46182.0</v>
      </c>
      <c r="F78" s="213">
        <f t="shared" si="1"/>
        <v>9</v>
      </c>
      <c r="G78" s="213">
        <f t="shared" si="2"/>
        <v>6</v>
      </c>
      <c r="H78" s="213">
        <f t="shared" si="3"/>
        <v>2026</v>
      </c>
      <c r="I78" s="214">
        <v>6.0</v>
      </c>
      <c r="J78" s="222">
        <v>2026.0</v>
      </c>
      <c r="K78" s="223"/>
      <c r="L78" s="223">
        <v>0.94</v>
      </c>
      <c r="M78" s="32">
        <v>4.0</v>
      </c>
      <c r="N78" s="217">
        <f t="shared" si="4"/>
        <v>3.76</v>
      </c>
      <c r="O78" s="77"/>
      <c r="P78" s="77"/>
      <c r="Q78" s="227"/>
    </row>
    <row r="79" ht="15.75" hidden="1" customHeight="1">
      <c r="A79" s="64" t="s">
        <v>151</v>
      </c>
      <c r="B79" s="64" t="s">
        <v>150</v>
      </c>
      <c r="C79" s="220"/>
      <c r="D79" s="64" t="s">
        <v>319</v>
      </c>
      <c r="E79" s="221">
        <v>46231.0</v>
      </c>
      <c r="F79" s="213">
        <f t="shared" si="1"/>
        <v>28</v>
      </c>
      <c r="G79" s="213">
        <f t="shared" si="2"/>
        <v>7</v>
      </c>
      <c r="H79" s="213">
        <f t="shared" si="3"/>
        <v>2026</v>
      </c>
      <c r="I79" s="214">
        <f t="shared" ref="I79:J79" si="26">G79</f>
        <v>7</v>
      </c>
      <c r="J79" s="215">
        <f t="shared" si="26"/>
        <v>2026</v>
      </c>
      <c r="K79" s="223"/>
      <c r="L79" s="223">
        <v>0.94</v>
      </c>
      <c r="M79" s="32">
        <v>2.0</v>
      </c>
      <c r="N79" s="217">
        <f t="shared" si="4"/>
        <v>1.88</v>
      </c>
      <c r="O79" s="87"/>
      <c r="P79" s="87"/>
      <c r="Q79" s="226"/>
    </row>
    <row r="80" ht="15.75" hidden="1" customHeight="1">
      <c r="A80" s="64" t="s">
        <v>151</v>
      </c>
      <c r="B80" s="64" t="s">
        <v>150</v>
      </c>
      <c r="C80" s="220"/>
      <c r="D80" s="64" t="s">
        <v>7</v>
      </c>
      <c r="E80" s="221">
        <v>46231.0</v>
      </c>
      <c r="F80" s="213">
        <f t="shared" si="1"/>
        <v>28</v>
      </c>
      <c r="G80" s="213">
        <f t="shared" si="2"/>
        <v>7</v>
      </c>
      <c r="H80" s="213">
        <f t="shared" si="3"/>
        <v>2026</v>
      </c>
      <c r="I80" s="222">
        <f t="shared" ref="I80:J80" si="27">G80</f>
        <v>7</v>
      </c>
      <c r="J80" s="222">
        <f t="shared" si="27"/>
        <v>2026</v>
      </c>
      <c r="K80" s="223"/>
      <c r="L80" s="223">
        <v>0.79</v>
      </c>
      <c r="M80" s="32">
        <v>24.0</v>
      </c>
      <c r="N80" s="236">
        <f t="shared" si="4"/>
        <v>18.96</v>
      </c>
      <c r="O80" s="87"/>
      <c r="P80" s="87"/>
      <c r="Q80" s="225"/>
      <c r="AF80" s="142"/>
      <c r="AG80" s="142"/>
      <c r="AH80" s="142"/>
    </row>
    <row r="81" ht="15.75" hidden="1" customHeight="1">
      <c r="A81" s="64" t="s">
        <v>165</v>
      </c>
      <c r="B81" s="64" t="s">
        <v>152</v>
      </c>
      <c r="C81" s="220"/>
      <c r="D81" s="64" t="s">
        <v>319</v>
      </c>
      <c r="E81" s="221">
        <v>46198.0</v>
      </c>
      <c r="F81" s="213">
        <f t="shared" si="1"/>
        <v>25</v>
      </c>
      <c r="G81" s="213">
        <f t="shared" si="2"/>
        <v>6</v>
      </c>
      <c r="H81" s="213">
        <f t="shared" si="3"/>
        <v>2026</v>
      </c>
      <c r="I81" s="214">
        <v>6.0</v>
      </c>
      <c r="J81" s="222">
        <v>2026.0</v>
      </c>
      <c r="K81" s="223"/>
      <c r="L81" s="223">
        <v>0.99</v>
      </c>
      <c r="M81" s="32">
        <v>2.0</v>
      </c>
      <c r="N81" s="217">
        <f t="shared" si="4"/>
        <v>1.98</v>
      </c>
      <c r="O81" s="87"/>
      <c r="P81" s="87" t="s">
        <v>405</v>
      </c>
      <c r="Q81" s="227"/>
    </row>
    <row r="82" ht="15.75" hidden="1" customHeight="1">
      <c r="A82" s="64" t="s">
        <v>165</v>
      </c>
      <c r="B82" s="64" t="s">
        <v>152</v>
      </c>
      <c r="C82" s="220"/>
      <c r="D82" s="64" t="s">
        <v>319</v>
      </c>
      <c r="E82" s="221">
        <v>46198.0</v>
      </c>
      <c r="F82" s="213">
        <f t="shared" si="1"/>
        <v>25</v>
      </c>
      <c r="G82" s="213">
        <f t="shared" si="2"/>
        <v>6</v>
      </c>
      <c r="H82" s="213">
        <f t="shared" si="3"/>
        <v>2026</v>
      </c>
      <c r="I82" s="214">
        <v>6.0</v>
      </c>
      <c r="J82" s="222">
        <v>2026.0</v>
      </c>
      <c r="K82" s="223"/>
      <c r="L82" s="223">
        <v>0.99</v>
      </c>
      <c r="M82" s="32">
        <v>2.0</v>
      </c>
      <c r="N82" s="217">
        <f t="shared" si="4"/>
        <v>1.98</v>
      </c>
      <c r="O82" s="77"/>
      <c r="P82" s="87" t="s">
        <v>405</v>
      </c>
      <c r="Q82" s="227"/>
    </row>
    <row r="83" ht="15.75" hidden="1" customHeight="1">
      <c r="A83" s="64" t="s">
        <v>165</v>
      </c>
      <c r="B83" s="64" t="s">
        <v>155</v>
      </c>
      <c r="C83" s="220"/>
      <c r="D83" s="64" t="s">
        <v>7</v>
      </c>
      <c r="E83" s="221">
        <v>46142.0</v>
      </c>
      <c r="F83" s="213">
        <f t="shared" si="1"/>
        <v>30</v>
      </c>
      <c r="G83" s="213">
        <f t="shared" si="2"/>
        <v>4</v>
      </c>
      <c r="H83" s="213">
        <f t="shared" si="3"/>
        <v>2026</v>
      </c>
      <c r="I83" s="214">
        <v>4.0</v>
      </c>
      <c r="J83" s="222">
        <v>2026.0</v>
      </c>
      <c r="K83" s="223"/>
      <c r="L83" s="223">
        <v>10.99</v>
      </c>
      <c r="M83" s="32">
        <v>3.0</v>
      </c>
      <c r="N83" s="217">
        <f t="shared" si="4"/>
        <v>32.97</v>
      </c>
      <c r="O83" s="77"/>
      <c r="P83" s="87" t="s">
        <v>377</v>
      </c>
      <c r="Q83" s="226"/>
    </row>
    <row r="84" ht="15.75" hidden="1" customHeight="1">
      <c r="A84" s="64" t="s">
        <v>165</v>
      </c>
      <c r="B84" s="64" t="s">
        <v>155</v>
      </c>
      <c r="C84" s="220"/>
      <c r="D84" s="64" t="s">
        <v>7</v>
      </c>
      <c r="E84" s="221">
        <v>46142.0</v>
      </c>
      <c r="F84" s="213">
        <f t="shared" si="1"/>
        <v>30</v>
      </c>
      <c r="G84" s="213">
        <f t="shared" si="2"/>
        <v>4</v>
      </c>
      <c r="H84" s="213">
        <f t="shared" si="3"/>
        <v>2026</v>
      </c>
      <c r="I84" s="214">
        <v>4.0</v>
      </c>
      <c r="J84" s="222">
        <v>2026.0</v>
      </c>
      <c r="K84" s="223"/>
      <c r="L84" s="223">
        <v>0.89</v>
      </c>
      <c r="M84" s="32">
        <v>10.0</v>
      </c>
      <c r="N84" s="217">
        <f t="shared" si="4"/>
        <v>8.9</v>
      </c>
      <c r="O84" s="87"/>
      <c r="P84" s="87" t="s">
        <v>377</v>
      </c>
      <c r="Q84" s="226"/>
    </row>
    <row r="85" ht="15.75" hidden="1" customHeight="1">
      <c r="A85" s="64" t="s">
        <v>165</v>
      </c>
      <c r="B85" s="64" t="s">
        <v>155</v>
      </c>
      <c r="C85" s="220"/>
      <c r="D85" s="64" t="s">
        <v>319</v>
      </c>
      <c r="E85" s="221">
        <v>46218.0</v>
      </c>
      <c r="F85" s="213">
        <f t="shared" si="1"/>
        <v>15</v>
      </c>
      <c r="G85" s="213">
        <f t="shared" si="2"/>
        <v>7</v>
      </c>
      <c r="H85" s="213">
        <f t="shared" si="3"/>
        <v>2026</v>
      </c>
      <c r="I85" s="214">
        <f t="shared" ref="I85:J85" si="28">G85</f>
        <v>7</v>
      </c>
      <c r="J85" s="215">
        <f t="shared" si="28"/>
        <v>2026</v>
      </c>
      <c r="K85" s="223"/>
      <c r="L85" s="223">
        <f>10.99-1.5</f>
        <v>9.49</v>
      </c>
      <c r="M85" s="32">
        <v>3.0</v>
      </c>
      <c r="N85" s="217">
        <f t="shared" si="4"/>
        <v>28.47</v>
      </c>
      <c r="O85" s="87"/>
      <c r="P85" s="87"/>
      <c r="Q85" s="225"/>
    </row>
    <row r="86" ht="15.75" hidden="1" customHeight="1">
      <c r="A86" s="64" t="s">
        <v>165</v>
      </c>
      <c r="B86" s="64" t="s">
        <v>156</v>
      </c>
      <c r="C86" s="220"/>
      <c r="D86" s="64" t="s">
        <v>369</v>
      </c>
      <c r="E86" s="221">
        <v>46141.0</v>
      </c>
      <c r="F86" s="213">
        <f t="shared" si="1"/>
        <v>29</v>
      </c>
      <c r="G86" s="213">
        <f t="shared" si="2"/>
        <v>4</v>
      </c>
      <c r="H86" s="213">
        <f t="shared" si="3"/>
        <v>2026</v>
      </c>
      <c r="I86" s="214">
        <v>4.0</v>
      </c>
      <c r="J86" s="222">
        <v>2026.0</v>
      </c>
      <c r="K86" s="223"/>
      <c r="L86" s="223">
        <v>59.92</v>
      </c>
      <c r="M86" s="32">
        <v>1.0</v>
      </c>
      <c r="N86" s="217">
        <f t="shared" si="4"/>
        <v>59.92</v>
      </c>
      <c r="O86" s="77"/>
      <c r="P86" s="77"/>
      <c r="Q86" s="225" t="s">
        <v>478</v>
      </c>
      <c r="R86" s="32" t="s">
        <v>479</v>
      </c>
    </row>
    <row r="87" ht="15.75" hidden="1" customHeight="1">
      <c r="A87" s="64" t="s">
        <v>165</v>
      </c>
      <c r="B87" s="64" t="s">
        <v>156</v>
      </c>
      <c r="C87" s="220"/>
      <c r="D87" s="64" t="s">
        <v>369</v>
      </c>
      <c r="E87" s="221">
        <v>46141.0</v>
      </c>
      <c r="F87" s="213">
        <f t="shared" si="1"/>
        <v>29</v>
      </c>
      <c r="G87" s="213">
        <f t="shared" si="2"/>
        <v>4</v>
      </c>
      <c r="H87" s="213">
        <f t="shared" si="3"/>
        <v>2026</v>
      </c>
      <c r="I87" s="214">
        <v>4.0</v>
      </c>
      <c r="J87" s="222">
        <v>2026.0</v>
      </c>
      <c r="K87" s="223"/>
      <c r="L87" s="223">
        <v>59.92</v>
      </c>
      <c r="M87" s="269">
        <v>1.0</v>
      </c>
      <c r="N87" s="217">
        <f t="shared" si="4"/>
        <v>59.92</v>
      </c>
      <c r="O87" s="87"/>
      <c r="P87" s="87"/>
      <c r="Q87" s="225" t="s">
        <v>480</v>
      </c>
      <c r="R87" s="32" t="s">
        <v>479</v>
      </c>
    </row>
    <row r="88" ht="15.75" hidden="1" customHeight="1">
      <c r="A88" s="64" t="s">
        <v>165</v>
      </c>
      <c r="B88" s="64" t="s">
        <v>156</v>
      </c>
      <c r="C88" s="220"/>
      <c r="D88" s="64" t="s">
        <v>7</v>
      </c>
      <c r="E88" s="221">
        <v>46188.0</v>
      </c>
      <c r="F88" s="213">
        <f t="shared" si="1"/>
        <v>15</v>
      </c>
      <c r="G88" s="213">
        <f t="shared" si="2"/>
        <v>6</v>
      </c>
      <c r="H88" s="213">
        <f t="shared" si="3"/>
        <v>2026</v>
      </c>
      <c r="I88" s="214">
        <v>6.0</v>
      </c>
      <c r="J88" s="222">
        <v>2026.0</v>
      </c>
      <c r="K88" s="223"/>
      <c r="L88" s="223">
        <v>3.96</v>
      </c>
      <c r="M88" s="32">
        <v>1.0</v>
      </c>
      <c r="N88" s="217">
        <f t="shared" si="4"/>
        <v>3.96</v>
      </c>
      <c r="O88" s="87"/>
      <c r="P88" s="224"/>
      <c r="Q88" s="225" t="s">
        <v>482</v>
      </c>
      <c r="W88" s="274"/>
    </row>
    <row r="89" ht="15.75" hidden="1" customHeight="1">
      <c r="A89" s="64" t="s">
        <v>165</v>
      </c>
      <c r="B89" s="64" t="s">
        <v>156</v>
      </c>
      <c r="C89" s="220"/>
      <c r="D89" s="64" t="s">
        <v>7</v>
      </c>
      <c r="E89" s="221">
        <v>46142.0</v>
      </c>
      <c r="F89" s="213">
        <f t="shared" si="1"/>
        <v>30</v>
      </c>
      <c r="G89" s="213">
        <f t="shared" si="2"/>
        <v>4</v>
      </c>
      <c r="H89" s="213">
        <f t="shared" si="3"/>
        <v>2026</v>
      </c>
      <c r="I89" s="239">
        <v>4.0</v>
      </c>
      <c r="J89" s="240">
        <v>2026.0</v>
      </c>
      <c r="K89" s="32"/>
      <c r="L89" s="32">
        <v>3.49</v>
      </c>
      <c r="M89" s="32">
        <v>1.0</v>
      </c>
      <c r="N89" s="217">
        <f t="shared" si="4"/>
        <v>3.49</v>
      </c>
      <c r="O89" s="77"/>
      <c r="P89" s="87" t="s">
        <v>377</v>
      </c>
      <c r="Q89" s="226"/>
      <c r="W89" s="274"/>
    </row>
    <row r="90" ht="15.75" hidden="1" customHeight="1">
      <c r="A90" s="64" t="s">
        <v>165</v>
      </c>
      <c r="B90" s="64" t="s">
        <v>156</v>
      </c>
      <c r="C90" s="220"/>
      <c r="D90" s="64" t="s">
        <v>7</v>
      </c>
      <c r="E90" s="221">
        <v>46142.0</v>
      </c>
      <c r="F90" s="213">
        <f t="shared" si="1"/>
        <v>30</v>
      </c>
      <c r="G90" s="213">
        <f t="shared" si="2"/>
        <v>4</v>
      </c>
      <c r="H90" s="213">
        <f t="shared" si="3"/>
        <v>2026</v>
      </c>
      <c r="I90" s="214">
        <v>4.0</v>
      </c>
      <c r="J90" s="222">
        <v>2026.0</v>
      </c>
      <c r="K90" s="223"/>
      <c r="L90" s="223">
        <v>1.39</v>
      </c>
      <c r="M90" s="32">
        <v>2.0</v>
      </c>
      <c r="N90" s="217">
        <f t="shared" si="4"/>
        <v>2.78</v>
      </c>
      <c r="O90" s="77"/>
      <c r="P90" s="87" t="s">
        <v>377</v>
      </c>
      <c r="Q90" s="226"/>
      <c r="W90" s="274"/>
    </row>
    <row r="91" ht="15.75" hidden="1" customHeight="1">
      <c r="A91" s="64" t="s">
        <v>165</v>
      </c>
      <c r="B91" s="64" t="s">
        <v>156</v>
      </c>
      <c r="C91" s="220"/>
      <c r="D91" s="64" t="s">
        <v>7</v>
      </c>
      <c r="E91" s="221">
        <v>46142.0</v>
      </c>
      <c r="F91" s="213">
        <f t="shared" si="1"/>
        <v>30</v>
      </c>
      <c r="G91" s="213">
        <f t="shared" si="2"/>
        <v>4</v>
      </c>
      <c r="H91" s="213">
        <f t="shared" si="3"/>
        <v>2026</v>
      </c>
      <c r="I91" s="214">
        <v>4.0</v>
      </c>
      <c r="J91" s="222">
        <v>2026.0</v>
      </c>
      <c r="K91" s="223"/>
      <c r="L91" s="223">
        <v>0.99</v>
      </c>
      <c r="M91" s="32">
        <v>3.0</v>
      </c>
      <c r="N91" s="217">
        <f t="shared" si="4"/>
        <v>2.97</v>
      </c>
      <c r="O91" s="87"/>
      <c r="P91" s="87" t="s">
        <v>490</v>
      </c>
      <c r="Q91" s="225"/>
      <c r="W91" s="274"/>
    </row>
    <row r="92" ht="15.75" hidden="1" customHeight="1">
      <c r="A92" s="64" t="s">
        <v>165</v>
      </c>
      <c r="B92" s="64" t="s">
        <v>156</v>
      </c>
      <c r="C92" s="142"/>
      <c r="D92" s="64" t="s">
        <v>319</v>
      </c>
      <c r="E92" s="221">
        <v>46171.0</v>
      </c>
      <c r="F92" s="213">
        <f t="shared" si="1"/>
        <v>29</v>
      </c>
      <c r="G92" s="213">
        <f t="shared" si="2"/>
        <v>5</v>
      </c>
      <c r="H92" s="213">
        <f t="shared" si="3"/>
        <v>2026</v>
      </c>
      <c r="I92" s="214">
        <v>5.0</v>
      </c>
      <c r="J92" s="222">
        <v>2026.0</v>
      </c>
      <c r="K92" s="223"/>
      <c r="L92" s="223">
        <v>5.59</v>
      </c>
      <c r="M92" s="32">
        <v>3.0</v>
      </c>
      <c r="N92" s="217">
        <f t="shared" si="4"/>
        <v>16.77</v>
      </c>
      <c r="O92" s="77"/>
      <c r="P92" s="77"/>
      <c r="Q92" s="226"/>
      <c r="W92" s="274"/>
    </row>
    <row r="93" ht="15.75" hidden="1" customHeight="1">
      <c r="A93" s="64" t="s">
        <v>165</v>
      </c>
      <c r="B93" s="64" t="s">
        <v>156</v>
      </c>
      <c r="C93" s="220"/>
      <c r="D93" s="64" t="s">
        <v>319</v>
      </c>
      <c r="E93" s="221">
        <v>46231.0</v>
      </c>
      <c r="F93" s="213">
        <f t="shared" si="1"/>
        <v>28</v>
      </c>
      <c r="G93" s="213">
        <f t="shared" si="2"/>
        <v>7</v>
      </c>
      <c r="H93" s="213">
        <f t="shared" si="3"/>
        <v>2026</v>
      </c>
      <c r="I93" s="214">
        <f t="shared" ref="I93:J93" si="29">G93</f>
        <v>7</v>
      </c>
      <c r="J93" s="215">
        <f t="shared" si="29"/>
        <v>2026</v>
      </c>
      <c r="K93" s="223"/>
      <c r="L93" s="223">
        <v>2.69</v>
      </c>
      <c r="M93" s="32">
        <v>3.0</v>
      </c>
      <c r="N93" s="217">
        <f t="shared" si="4"/>
        <v>8.07</v>
      </c>
      <c r="O93" s="87"/>
      <c r="P93" s="87"/>
      <c r="Q93" s="227"/>
      <c r="T93" s="142"/>
      <c r="U93" s="142"/>
      <c r="W93" s="274"/>
    </row>
    <row r="94" ht="15.75" hidden="1" customHeight="1">
      <c r="A94" s="64" t="s">
        <v>165</v>
      </c>
      <c r="B94" s="64" t="s">
        <v>156</v>
      </c>
      <c r="C94" s="220"/>
      <c r="D94" s="64" t="s">
        <v>319</v>
      </c>
      <c r="E94" s="221">
        <v>46189.0</v>
      </c>
      <c r="F94" s="213">
        <f t="shared" si="1"/>
        <v>16</v>
      </c>
      <c r="G94" s="213">
        <f t="shared" si="2"/>
        <v>6</v>
      </c>
      <c r="H94" s="213">
        <f t="shared" si="3"/>
        <v>2026</v>
      </c>
      <c r="I94" s="214">
        <v>6.0</v>
      </c>
      <c r="J94" s="222">
        <v>2026.0</v>
      </c>
      <c r="K94" s="223"/>
      <c r="L94" s="223">
        <v>7.99</v>
      </c>
      <c r="M94" s="32">
        <v>1.0</v>
      </c>
      <c r="N94" s="217">
        <f t="shared" si="4"/>
        <v>7.99</v>
      </c>
      <c r="O94" s="77"/>
      <c r="P94" s="77"/>
      <c r="Q94" s="227"/>
      <c r="W94" s="274"/>
    </row>
    <row r="95" ht="15.75" hidden="1" customHeight="1">
      <c r="A95" s="64" t="s">
        <v>165</v>
      </c>
      <c r="B95" s="64" t="s">
        <v>156</v>
      </c>
      <c r="C95" s="220"/>
      <c r="D95" s="64" t="s">
        <v>7</v>
      </c>
      <c r="E95" s="221">
        <v>46142.0</v>
      </c>
      <c r="F95" s="213">
        <f t="shared" si="1"/>
        <v>30</v>
      </c>
      <c r="G95" s="213">
        <f t="shared" si="2"/>
        <v>4</v>
      </c>
      <c r="H95" s="213">
        <f t="shared" si="3"/>
        <v>2026</v>
      </c>
      <c r="I95" s="214">
        <v>4.0</v>
      </c>
      <c r="J95" s="222">
        <v>2026.0</v>
      </c>
      <c r="K95" s="223"/>
      <c r="L95" s="223">
        <v>0.59</v>
      </c>
      <c r="M95" s="32">
        <v>4.0</v>
      </c>
      <c r="N95" s="217">
        <f t="shared" si="4"/>
        <v>2.36</v>
      </c>
      <c r="O95" s="77"/>
      <c r="P95" s="87" t="s">
        <v>492</v>
      </c>
      <c r="Q95" s="227"/>
      <c r="W95" s="274"/>
    </row>
    <row r="96" ht="15.75" hidden="1" customHeight="1">
      <c r="A96" s="64" t="s">
        <v>165</v>
      </c>
      <c r="B96" s="64" t="s">
        <v>157</v>
      </c>
      <c r="C96" s="220"/>
      <c r="D96" s="64" t="s">
        <v>7</v>
      </c>
      <c r="E96" s="221">
        <v>46142.0</v>
      </c>
      <c r="F96" s="213">
        <f t="shared" si="1"/>
        <v>30</v>
      </c>
      <c r="G96" s="213">
        <f t="shared" si="2"/>
        <v>4</v>
      </c>
      <c r="H96" s="213">
        <f t="shared" si="3"/>
        <v>2026</v>
      </c>
      <c r="I96" s="214">
        <v>4.0</v>
      </c>
      <c r="J96" s="222">
        <v>2026.0</v>
      </c>
      <c r="K96" s="223"/>
      <c r="L96" s="223">
        <v>0.85</v>
      </c>
      <c r="M96" s="32">
        <v>12.0</v>
      </c>
      <c r="N96" s="217">
        <f t="shared" si="4"/>
        <v>10.2</v>
      </c>
      <c r="O96" s="87"/>
      <c r="P96" s="87" t="s">
        <v>377</v>
      </c>
      <c r="Q96" s="227"/>
      <c r="W96" s="274"/>
    </row>
    <row r="97" ht="15.75" hidden="1" customHeight="1">
      <c r="A97" s="64" t="s">
        <v>165</v>
      </c>
      <c r="B97" s="64" t="s">
        <v>157</v>
      </c>
      <c r="C97" s="220"/>
      <c r="D97" s="64" t="s">
        <v>7</v>
      </c>
      <c r="E97" s="221">
        <v>46231.0</v>
      </c>
      <c r="F97" s="213">
        <f t="shared" si="1"/>
        <v>28</v>
      </c>
      <c r="G97" s="213">
        <f t="shared" si="2"/>
        <v>7</v>
      </c>
      <c r="H97" s="213">
        <f t="shared" si="3"/>
        <v>2026</v>
      </c>
      <c r="I97" s="222">
        <f t="shared" ref="I97:J97" si="30">G97</f>
        <v>7</v>
      </c>
      <c r="J97" s="222">
        <f t="shared" si="30"/>
        <v>2026</v>
      </c>
      <c r="K97" s="223"/>
      <c r="L97" s="223">
        <v>0.85</v>
      </c>
      <c r="M97" s="32">
        <v>12.0</v>
      </c>
      <c r="N97" s="236">
        <f t="shared" si="4"/>
        <v>10.2</v>
      </c>
      <c r="O97" s="87"/>
      <c r="P97" s="64"/>
      <c r="Q97" s="225"/>
      <c r="W97" s="274"/>
    </row>
    <row r="98" ht="15.75" hidden="1" customHeight="1">
      <c r="A98" s="64" t="s">
        <v>165</v>
      </c>
      <c r="B98" s="64" t="s">
        <v>158</v>
      </c>
      <c r="C98" s="220"/>
      <c r="D98" s="64" t="s">
        <v>7</v>
      </c>
      <c r="E98" s="221">
        <v>46142.0</v>
      </c>
      <c r="F98" s="213">
        <f t="shared" si="1"/>
        <v>30</v>
      </c>
      <c r="G98" s="213">
        <f t="shared" si="2"/>
        <v>4</v>
      </c>
      <c r="H98" s="213">
        <f t="shared" si="3"/>
        <v>2026</v>
      </c>
      <c r="I98" s="214">
        <v>4.0</v>
      </c>
      <c r="J98" s="222">
        <v>2026.0</v>
      </c>
      <c r="K98" s="223"/>
      <c r="L98" s="223">
        <v>3.25</v>
      </c>
      <c r="M98" s="32">
        <v>2.0</v>
      </c>
      <c r="N98" s="217">
        <f t="shared" si="4"/>
        <v>6.5</v>
      </c>
      <c r="O98" s="87"/>
      <c r="P98" s="87" t="s">
        <v>377</v>
      </c>
      <c r="Q98" s="226"/>
      <c r="W98" s="274"/>
    </row>
    <row r="99" ht="15.75" hidden="1" customHeight="1">
      <c r="A99" s="64" t="s">
        <v>165</v>
      </c>
      <c r="B99" s="64" t="s">
        <v>160</v>
      </c>
      <c r="C99" s="220"/>
      <c r="D99" s="64" t="s">
        <v>7</v>
      </c>
      <c r="E99" s="221">
        <v>46142.0</v>
      </c>
      <c r="F99" s="213">
        <f t="shared" si="1"/>
        <v>30</v>
      </c>
      <c r="G99" s="213">
        <f t="shared" si="2"/>
        <v>4</v>
      </c>
      <c r="H99" s="213">
        <f t="shared" si="3"/>
        <v>2026</v>
      </c>
      <c r="I99" s="214">
        <v>4.0</v>
      </c>
      <c r="J99" s="222">
        <v>2026.0</v>
      </c>
      <c r="K99" s="223"/>
      <c r="L99" s="223">
        <v>1.49</v>
      </c>
      <c r="M99" s="32">
        <v>3.0</v>
      </c>
      <c r="N99" s="217">
        <f t="shared" si="4"/>
        <v>4.47</v>
      </c>
      <c r="O99" s="77"/>
      <c r="P99" s="87" t="s">
        <v>377</v>
      </c>
      <c r="Q99" s="227"/>
      <c r="W99" s="274"/>
    </row>
    <row r="100" ht="15.75" hidden="1" customHeight="1">
      <c r="A100" s="64" t="s">
        <v>165</v>
      </c>
      <c r="B100" s="64" t="s">
        <v>160</v>
      </c>
      <c r="C100" s="220"/>
      <c r="D100" s="64" t="s">
        <v>7</v>
      </c>
      <c r="E100" s="221">
        <v>46142.0</v>
      </c>
      <c r="F100" s="213">
        <f t="shared" si="1"/>
        <v>30</v>
      </c>
      <c r="G100" s="213">
        <f t="shared" si="2"/>
        <v>4</v>
      </c>
      <c r="H100" s="213">
        <f t="shared" si="3"/>
        <v>2026</v>
      </c>
      <c r="I100" s="214">
        <v>4.0</v>
      </c>
      <c r="J100" s="222">
        <v>2026.0</v>
      </c>
      <c r="K100" s="223"/>
      <c r="L100" s="223">
        <v>1.15</v>
      </c>
      <c r="M100" s="32">
        <v>8.0</v>
      </c>
      <c r="N100" s="217">
        <f t="shared" si="4"/>
        <v>9.2</v>
      </c>
      <c r="O100" s="87"/>
      <c r="P100" s="87" t="s">
        <v>377</v>
      </c>
      <c r="Q100" s="226"/>
      <c r="W100" s="291"/>
      <c r="X100" s="142"/>
      <c r="Y100" s="142"/>
      <c r="Z100" s="142"/>
      <c r="AA100" s="142"/>
      <c r="AB100" s="142"/>
      <c r="AC100" s="142"/>
      <c r="AD100" s="142"/>
      <c r="AE100" s="142"/>
    </row>
    <row r="101" ht="15.75" hidden="1" customHeight="1">
      <c r="A101" s="64" t="s">
        <v>165</v>
      </c>
      <c r="B101" s="64" t="s">
        <v>160</v>
      </c>
      <c r="C101" s="142"/>
      <c r="D101" s="64" t="s">
        <v>7</v>
      </c>
      <c r="E101" s="221">
        <v>46142.0</v>
      </c>
      <c r="F101" s="213">
        <f t="shared" si="1"/>
        <v>30</v>
      </c>
      <c r="G101" s="213">
        <f t="shared" si="2"/>
        <v>4</v>
      </c>
      <c r="H101" s="213">
        <f t="shared" si="3"/>
        <v>2026</v>
      </c>
      <c r="I101" s="214">
        <v>4.0</v>
      </c>
      <c r="J101" s="222">
        <v>2026.0</v>
      </c>
      <c r="K101" s="223"/>
      <c r="L101" s="223">
        <v>0.99</v>
      </c>
      <c r="M101" s="32">
        <v>6.0</v>
      </c>
      <c r="N101" s="217">
        <f t="shared" si="4"/>
        <v>5.94</v>
      </c>
      <c r="O101" s="77"/>
      <c r="P101" s="87" t="s">
        <v>377</v>
      </c>
      <c r="Q101" s="226"/>
      <c r="W101" s="274"/>
    </row>
    <row r="102" ht="15.75" hidden="1" customHeight="1">
      <c r="A102" s="64" t="s">
        <v>165</v>
      </c>
      <c r="B102" s="64" t="s">
        <v>160</v>
      </c>
      <c r="C102" s="220"/>
      <c r="D102" s="64" t="s">
        <v>319</v>
      </c>
      <c r="E102" s="221">
        <v>46231.0</v>
      </c>
      <c r="F102" s="213">
        <f t="shared" si="1"/>
        <v>28</v>
      </c>
      <c r="G102" s="213">
        <f t="shared" si="2"/>
        <v>7</v>
      </c>
      <c r="H102" s="213">
        <f t="shared" si="3"/>
        <v>2026</v>
      </c>
      <c r="I102" s="222">
        <f t="shared" ref="I102:J102" si="31">G102</f>
        <v>7</v>
      </c>
      <c r="J102" s="222">
        <f t="shared" si="31"/>
        <v>2026</v>
      </c>
      <c r="K102" s="223"/>
      <c r="L102" s="223">
        <v>1.15</v>
      </c>
      <c r="M102" s="32">
        <v>16.0</v>
      </c>
      <c r="N102" s="217">
        <f t="shared" si="4"/>
        <v>18.4</v>
      </c>
      <c r="O102" s="87"/>
      <c r="P102" s="87"/>
      <c r="Q102" s="225"/>
      <c r="W102" s="274"/>
    </row>
    <row r="103" ht="15.75" hidden="1" customHeight="1">
      <c r="A103" s="64" t="s">
        <v>165</v>
      </c>
      <c r="B103" s="64" t="s">
        <v>161</v>
      </c>
      <c r="C103" s="220"/>
      <c r="D103" s="64" t="s">
        <v>7</v>
      </c>
      <c r="E103" s="221">
        <v>46142.0</v>
      </c>
      <c r="F103" s="213">
        <f t="shared" si="1"/>
        <v>30</v>
      </c>
      <c r="G103" s="213">
        <f t="shared" si="2"/>
        <v>4</v>
      </c>
      <c r="H103" s="213">
        <f t="shared" si="3"/>
        <v>2026</v>
      </c>
      <c r="I103" s="214">
        <v>4.0</v>
      </c>
      <c r="J103" s="222">
        <v>2026.0</v>
      </c>
      <c r="K103" s="223"/>
      <c r="L103" s="223">
        <v>1.79</v>
      </c>
      <c r="M103" s="32">
        <v>4.0</v>
      </c>
      <c r="N103" s="217">
        <f t="shared" si="4"/>
        <v>7.16</v>
      </c>
      <c r="O103" s="87"/>
      <c r="P103" s="87" t="s">
        <v>377</v>
      </c>
      <c r="Q103" s="226"/>
      <c r="W103" s="274"/>
    </row>
    <row r="104" ht="15.75" hidden="1" customHeight="1">
      <c r="A104" s="64" t="s">
        <v>165</v>
      </c>
      <c r="B104" s="64" t="s">
        <v>161</v>
      </c>
      <c r="C104" s="220"/>
      <c r="D104" s="64" t="s">
        <v>7</v>
      </c>
      <c r="E104" s="221">
        <v>46142.0</v>
      </c>
      <c r="F104" s="213">
        <f t="shared" si="1"/>
        <v>30</v>
      </c>
      <c r="G104" s="213">
        <f t="shared" si="2"/>
        <v>4</v>
      </c>
      <c r="H104" s="213">
        <f t="shared" si="3"/>
        <v>2026</v>
      </c>
      <c r="I104" s="214">
        <v>4.0</v>
      </c>
      <c r="J104" s="222">
        <v>2026.0</v>
      </c>
      <c r="K104" s="223"/>
      <c r="L104" s="223">
        <v>1.79</v>
      </c>
      <c r="M104" s="32">
        <v>4.0</v>
      </c>
      <c r="N104" s="217">
        <f t="shared" si="4"/>
        <v>7.16</v>
      </c>
      <c r="O104" s="87"/>
      <c r="P104" s="87" t="s">
        <v>377</v>
      </c>
      <c r="Q104" s="226"/>
      <c r="R104" s="32"/>
    </row>
    <row r="105" ht="15.75" hidden="1" customHeight="1">
      <c r="A105" s="64" t="s">
        <v>165</v>
      </c>
      <c r="B105" s="64" t="s">
        <v>161</v>
      </c>
      <c r="C105" s="220"/>
      <c r="D105" s="64" t="s">
        <v>7</v>
      </c>
      <c r="E105" s="221">
        <v>46183.0</v>
      </c>
      <c r="F105" s="213">
        <f t="shared" si="1"/>
        <v>10</v>
      </c>
      <c r="G105" s="213">
        <f t="shared" si="2"/>
        <v>6</v>
      </c>
      <c r="H105" s="213">
        <f t="shared" si="3"/>
        <v>2026</v>
      </c>
      <c r="I105" s="214">
        <v>6.0</v>
      </c>
      <c r="J105" s="222">
        <v>2026.0</v>
      </c>
      <c r="K105" s="223"/>
      <c r="L105" s="223">
        <v>1.79</v>
      </c>
      <c r="M105" s="32">
        <v>3.0</v>
      </c>
      <c r="N105" s="217">
        <f t="shared" si="4"/>
        <v>5.37</v>
      </c>
      <c r="O105" s="87"/>
      <c r="P105" s="87" t="s">
        <v>374</v>
      </c>
      <c r="Q105" s="226"/>
    </row>
    <row r="106" ht="15.75" hidden="1" customHeight="1">
      <c r="A106" s="64" t="s">
        <v>165</v>
      </c>
      <c r="B106" s="64" t="s">
        <v>161</v>
      </c>
      <c r="C106" s="220"/>
      <c r="D106" s="64" t="s">
        <v>7</v>
      </c>
      <c r="E106" s="221">
        <v>46183.0</v>
      </c>
      <c r="F106" s="213">
        <f t="shared" si="1"/>
        <v>10</v>
      </c>
      <c r="G106" s="213">
        <f t="shared" si="2"/>
        <v>6</v>
      </c>
      <c r="H106" s="213">
        <f t="shared" si="3"/>
        <v>2026</v>
      </c>
      <c r="I106" s="214">
        <v>6.0</v>
      </c>
      <c r="J106" s="222">
        <v>2026.0</v>
      </c>
      <c r="K106" s="223"/>
      <c r="L106" s="223">
        <v>1.79</v>
      </c>
      <c r="M106" s="32">
        <v>2.0</v>
      </c>
      <c r="N106" s="217">
        <f t="shared" si="4"/>
        <v>3.58</v>
      </c>
      <c r="O106" s="87"/>
      <c r="P106" s="87" t="s">
        <v>374</v>
      </c>
      <c r="Q106" s="225"/>
    </row>
    <row r="107" ht="15.75" hidden="1" customHeight="1">
      <c r="A107" s="64" t="s">
        <v>165</v>
      </c>
      <c r="B107" s="64" t="s">
        <v>161</v>
      </c>
      <c r="C107" s="220"/>
      <c r="D107" s="64" t="s">
        <v>319</v>
      </c>
      <c r="E107" s="221">
        <v>46218.0</v>
      </c>
      <c r="F107" s="213">
        <f t="shared" si="1"/>
        <v>15</v>
      </c>
      <c r="G107" s="213">
        <f t="shared" si="2"/>
        <v>7</v>
      </c>
      <c r="H107" s="213">
        <f t="shared" si="3"/>
        <v>2026</v>
      </c>
      <c r="I107" s="214">
        <f t="shared" ref="I107:J107" si="32">G107</f>
        <v>7</v>
      </c>
      <c r="J107" s="215">
        <f t="shared" si="32"/>
        <v>2026</v>
      </c>
      <c r="K107" s="223"/>
      <c r="L107" s="223">
        <v>1.79</v>
      </c>
      <c r="M107" s="32">
        <v>8.0</v>
      </c>
      <c r="N107" s="217">
        <f t="shared" si="4"/>
        <v>14.32</v>
      </c>
      <c r="O107" s="87"/>
      <c r="P107" s="87"/>
      <c r="Q107" s="225"/>
    </row>
    <row r="108" ht="15.75" hidden="1" customHeight="1">
      <c r="A108" s="64" t="s">
        <v>165</v>
      </c>
      <c r="B108" s="64" t="s">
        <v>161</v>
      </c>
      <c r="C108" s="220"/>
      <c r="D108" s="64" t="s">
        <v>319</v>
      </c>
      <c r="E108" s="221">
        <v>46218.0</v>
      </c>
      <c r="F108" s="213">
        <f t="shared" si="1"/>
        <v>15</v>
      </c>
      <c r="G108" s="213">
        <f t="shared" si="2"/>
        <v>7</v>
      </c>
      <c r="H108" s="213">
        <f t="shared" si="3"/>
        <v>2026</v>
      </c>
      <c r="I108" s="214">
        <f t="shared" ref="I108:J108" si="33">G108</f>
        <v>7</v>
      </c>
      <c r="J108" s="215">
        <f t="shared" si="33"/>
        <v>2026</v>
      </c>
      <c r="K108" s="223"/>
      <c r="L108" s="223">
        <v>1.79</v>
      </c>
      <c r="M108" s="32">
        <v>2.0</v>
      </c>
      <c r="N108" s="217">
        <f t="shared" si="4"/>
        <v>3.58</v>
      </c>
      <c r="O108" s="87"/>
      <c r="P108" s="87"/>
      <c r="Q108" s="225"/>
    </row>
    <row r="109" ht="15.75" hidden="1" customHeight="1">
      <c r="A109" s="64" t="s">
        <v>165</v>
      </c>
      <c r="B109" s="64" t="s">
        <v>163</v>
      </c>
      <c r="C109" s="220"/>
      <c r="D109" s="64" t="s">
        <v>7</v>
      </c>
      <c r="E109" s="221">
        <v>46183.0</v>
      </c>
      <c r="F109" s="213">
        <f t="shared" si="1"/>
        <v>10</v>
      </c>
      <c r="G109" s="213">
        <f t="shared" si="2"/>
        <v>6</v>
      </c>
      <c r="H109" s="213">
        <f t="shared" si="3"/>
        <v>2026</v>
      </c>
      <c r="I109" s="214">
        <v>6.0</v>
      </c>
      <c r="J109" s="222">
        <v>2026.0</v>
      </c>
      <c r="K109" s="223"/>
      <c r="L109" s="223">
        <v>1.49</v>
      </c>
      <c r="M109" s="32">
        <v>8.0</v>
      </c>
      <c r="N109" s="217">
        <f t="shared" si="4"/>
        <v>11.92</v>
      </c>
      <c r="O109" s="302"/>
      <c r="P109" s="87" t="s">
        <v>374</v>
      </c>
      <c r="Q109" s="225"/>
      <c r="T109" s="142"/>
    </row>
    <row r="110" ht="15.75" hidden="1" customHeight="1">
      <c r="A110" s="64" t="s">
        <v>165</v>
      </c>
      <c r="B110" s="64" t="s">
        <v>163</v>
      </c>
      <c r="C110" s="220"/>
      <c r="D110" s="64" t="s">
        <v>7</v>
      </c>
      <c r="E110" s="221">
        <v>46183.0</v>
      </c>
      <c r="F110" s="213">
        <f t="shared" si="1"/>
        <v>10</v>
      </c>
      <c r="G110" s="213">
        <f t="shared" si="2"/>
        <v>6</v>
      </c>
      <c r="H110" s="213">
        <f t="shared" si="3"/>
        <v>2026</v>
      </c>
      <c r="I110" s="214">
        <v>6.0</v>
      </c>
      <c r="J110" s="222">
        <v>2026.0</v>
      </c>
      <c r="K110" s="223"/>
      <c r="L110" s="223">
        <v>1.15</v>
      </c>
      <c r="M110" s="32">
        <v>8.0</v>
      </c>
      <c r="N110" s="217">
        <f t="shared" si="4"/>
        <v>9.2</v>
      </c>
      <c r="O110" s="77"/>
      <c r="P110" s="87" t="s">
        <v>374</v>
      </c>
      <c r="Q110" s="227"/>
    </row>
    <row r="111" ht="15.75" hidden="1" customHeight="1">
      <c r="A111" s="64" t="s">
        <v>165</v>
      </c>
      <c r="B111" s="64" t="s">
        <v>163</v>
      </c>
      <c r="C111" s="220"/>
      <c r="D111" s="64" t="s">
        <v>7</v>
      </c>
      <c r="E111" s="221">
        <v>46183.0</v>
      </c>
      <c r="F111" s="213">
        <f t="shared" si="1"/>
        <v>10</v>
      </c>
      <c r="G111" s="213">
        <f t="shared" si="2"/>
        <v>6</v>
      </c>
      <c r="H111" s="213">
        <f t="shared" si="3"/>
        <v>2026</v>
      </c>
      <c r="I111" s="214">
        <v>6.0</v>
      </c>
      <c r="J111" s="222">
        <v>2026.0</v>
      </c>
      <c r="K111" s="223"/>
      <c r="L111" s="223">
        <v>0.99</v>
      </c>
      <c r="M111" s="32">
        <v>8.0</v>
      </c>
      <c r="N111" s="217">
        <f t="shared" si="4"/>
        <v>7.92</v>
      </c>
      <c r="O111" s="77"/>
      <c r="P111" s="87" t="s">
        <v>374</v>
      </c>
      <c r="Q111" s="234"/>
    </row>
    <row r="112" ht="15.75" customHeight="1">
      <c r="A112" s="64" t="s">
        <v>109</v>
      </c>
      <c r="B112" s="64" t="s">
        <v>109</v>
      </c>
      <c r="C112" s="220"/>
      <c r="D112" s="64" t="s">
        <v>7</v>
      </c>
      <c r="E112" s="221">
        <v>46174.0</v>
      </c>
      <c r="F112" s="213">
        <f t="shared" si="1"/>
        <v>1</v>
      </c>
      <c r="G112" s="213">
        <f t="shared" si="2"/>
        <v>6</v>
      </c>
      <c r="H112" s="213">
        <f t="shared" si="3"/>
        <v>2026</v>
      </c>
      <c r="I112" s="306">
        <v>5.0</v>
      </c>
      <c r="J112" s="222">
        <v>2026.0</v>
      </c>
      <c r="K112" s="223"/>
      <c r="L112" s="223">
        <f>67+24.66</f>
        <v>91.66</v>
      </c>
      <c r="M112" s="32">
        <v>1.0</v>
      </c>
      <c r="N112" s="217">
        <f t="shared" si="4"/>
        <v>91.66</v>
      </c>
      <c r="O112" s="87"/>
      <c r="P112" s="224"/>
      <c r="Q112" s="225"/>
      <c r="R112" s="228"/>
      <c r="S112" s="228"/>
      <c r="T112" s="228"/>
      <c r="U112" s="228"/>
      <c r="V112" s="228"/>
      <c r="W112" s="228"/>
      <c r="X112" s="228"/>
      <c r="Y112" s="228"/>
      <c r="Z112" s="228"/>
      <c r="AA112" s="228"/>
      <c r="AB112" s="228"/>
      <c r="AC112" s="228"/>
      <c r="AD112" s="228"/>
      <c r="AE112" s="228"/>
      <c r="AF112" s="228"/>
      <c r="AG112" s="228"/>
      <c r="AH112" s="228"/>
    </row>
    <row r="113" ht="15.75" customHeight="1">
      <c r="A113" s="64" t="s">
        <v>109</v>
      </c>
      <c r="B113" s="64" t="s">
        <v>109</v>
      </c>
      <c r="C113" s="220"/>
      <c r="D113" s="64" t="s">
        <v>7</v>
      </c>
      <c r="E113" s="221">
        <v>46174.0</v>
      </c>
      <c r="F113" s="213">
        <f t="shared" si="1"/>
        <v>1</v>
      </c>
      <c r="G113" s="213">
        <f t="shared" si="2"/>
        <v>6</v>
      </c>
      <c r="H113" s="213">
        <f t="shared" si="3"/>
        <v>2026</v>
      </c>
      <c r="I113" s="306">
        <v>5.0</v>
      </c>
      <c r="J113" s="222">
        <v>2026.0</v>
      </c>
      <c r="K113" s="223"/>
      <c r="L113" s="223">
        <v>55.0</v>
      </c>
      <c r="M113" s="32">
        <v>1.0</v>
      </c>
      <c r="N113" s="217">
        <f t="shared" si="4"/>
        <v>55</v>
      </c>
      <c r="O113" s="77"/>
      <c r="P113" s="77"/>
      <c r="Q113" s="32"/>
      <c r="R113" s="32"/>
    </row>
    <row r="114" ht="15.75" hidden="1" customHeight="1">
      <c r="A114" s="82" t="s">
        <v>336</v>
      </c>
      <c r="B114" s="82" t="s">
        <v>30</v>
      </c>
      <c r="C114" s="230"/>
      <c r="D114" s="82" t="s">
        <v>10</v>
      </c>
      <c r="E114" s="231">
        <v>46203.0</v>
      </c>
      <c r="F114" s="213">
        <f t="shared" si="1"/>
        <v>30</v>
      </c>
      <c r="G114" s="213">
        <f t="shared" si="2"/>
        <v>6</v>
      </c>
      <c r="H114" s="213">
        <f t="shared" si="3"/>
        <v>2026</v>
      </c>
      <c r="I114" s="232">
        <f t="shared" ref="I114:J114" si="34">G114</f>
        <v>6</v>
      </c>
      <c r="J114" s="213">
        <f t="shared" si="34"/>
        <v>2026</v>
      </c>
      <c r="K114" s="217"/>
      <c r="L114" s="307">
        <v>1288.1</v>
      </c>
      <c r="M114" s="245">
        <v>1.0</v>
      </c>
      <c r="N114" s="217">
        <f t="shared" ref="N114:N117" si="36">M114*L114</f>
        <v>1288.1</v>
      </c>
      <c r="O114" s="233"/>
      <c r="P114" s="140"/>
      <c r="Q114" s="234"/>
    </row>
    <row r="115" ht="15.75" hidden="1" customHeight="1">
      <c r="A115" s="82" t="s">
        <v>336</v>
      </c>
      <c r="B115" s="82" t="s">
        <v>30</v>
      </c>
      <c r="C115" s="230"/>
      <c r="D115" s="82" t="s">
        <v>10</v>
      </c>
      <c r="E115" s="231">
        <v>46234.0</v>
      </c>
      <c r="F115" s="213">
        <f t="shared" si="1"/>
        <v>31</v>
      </c>
      <c r="G115" s="213">
        <f t="shared" si="2"/>
        <v>7</v>
      </c>
      <c r="H115" s="213">
        <f t="shared" si="3"/>
        <v>2026</v>
      </c>
      <c r="I115" s="232">
        <f t="shared" ref="I115:J115" si="35">G115</f>
        <v>7</v>
      </c>
      <c r="J115" s="213">
        <f t="shared" si="35"/>
        <v>2026</v>
      </c>
      <c r="K115" s="217"/>
      <c r="L115" s="307">
        <v>1278.15</v>
      </c>
      <c r="M115" s="245">
        <v>1.0</v>
      </c>
      <c r="N115" s="217">
        <f t="shared" si="36"/>
        <v>1278.15</v>
      </c>
      <c r="O115" s="233"/>
      <c r="P115" s="140"/>
      <c r="Q115" s="234"/>
    </row>
    <row r="116" ht="15.75" hidden="1" customHeight="1">
      <c r="A116" s="82" t="s">
        <v>336</v>
      </c>
      <c r="B116" s="82" t="s">
        <v>30</v>
      </c>
      <c r="C116" s="230"/>
      <c r="D116" s="82" t="s">
        <v>10</v>
      </c>
      <c r="E116" s="231">
        <v>46081.0</v>
      </c>
      <c r="F116" s="213">
        <f t="shared" si="1"/>
        <v>28</v>
      </c>
      <c r="G116" s="213">
        <f t="shared" si="2"/>
        <v>2</v>
      </c>
      <c r="H116" s="213">
        <f t="shared" si="3"/>
        <v>2026</v>
      </c>
      <c r="I116" s="232">
        <f t="shared" ref="I116:J116" si="37">G116</f>
        <v>2</v>
      </c>
      <c r="J116" s="213">
        <f t="shared" si="37"/>
        <v>2026</v>
      </c>
      <c r="K116" s="217"/>
      <c r="L116" s="307">
        <v>1272.0</v>
      </c>
      <c r="M116" s="245">
        <v>1.0</v>
      </c>
      <c r="N116" s="217">
        <f t="shared" si="36"/>
        <v>1272</v>
      </c>
      <c r="O116" s="233"/>
      <c r="P116" s="140"/>
      <c r="Q116" s="234"/>
    </row>
    <row r="117" ht="15.75" hidden="1" customHeight="1">
      <c r="A117" s="82" t="s">
        <v>336</v>
      </c>
      <c r="B117" s="82" t="s">
        <v>30</v>
      </c>
      <c r="C117" s="230"/>
      <c r="D117" s="82" t="s">
        <v>10</v>
      </c>
      <c r="E117" s="231">
        <v>46053.0</v>
      </c>
      <c r="F117" s="213">
        <f t="shared" si="1"/>
        <v>31</v>
      </c>
      <c r="G117" s="213">
        <f t="shared" si="2"/>
        <v>1</v>
      </c>
      <c r="H117" s="213">
        <f t="shared" si="3"/>
        <v>2026</v>
      </c>
      <c r="I117" s="232">
        <f t="shared" ref="I117:J117" si="38">G117</f>
        <v>1</v>
      </c>
      <c r="J117" s="213">
        <f t="shared" si="38"/>
        <v>2026</v>
      </c>
      <c r="K117" s="217"/>
      <c r="L117" s="307">
        <v>1154.68</v>
      </c>
      <c r="M117" s="245">
        <v>1.0</v>
      </c>
      <c r="N117" s="217">
        <f t="shared" si="36"/>
        <v>1154.68</v>
      </c>
      <c r="O117" s="233"/>
      <c r="P117" s="140"/>
      <c r="Q117" s="234"/>
    </row>
    <row r="118" ht="15.75" hidden="1" customHeight="1">
      <c r="A118" s="82" t="s">
        <v>336</v>
      </c>
      <c r="B118" s="64" t="s">
        <v>30</v>
      </c>
      <c r="C118" s="220"/>
      <c r="D118" s="64" t="s">
        <v>7</v>
      </c>
      <c r="E118" s="221">
        <v>46107.0</v>
      </c>
      <c r="F118" s="213">
        <f t="shared" si="1"/>
        <v>26</v>
      </c>
      <c r="G118" s="213">
        <f t="shared" si="2"/>
        <v>3</v>
      </c>
      <c r="H118" s="213">
        <f t="shared" si="3"/>
        <v>2026</v>
      </c>
      <c r="I118" s="214">
        <v>3.0</v>
      </c>
      <c r="J118" s="222">
        <v>2026.0</v>
      </c>
      <c r="K118" s="223"/>
      <c r="L118" s="223">
        <v>1150.0</v>
      </c>
      <c r="M118" s="32">
        <v>1.0</v>
      </c>
      <c r="N118" s="217">
        <f t="shared" ref="N118:N123" si="39">L118*M118</f>
        <v>1150</v>
      </c>
      <c r="O118" s="87"/>
      <c r="P118" s="77"/>
      <c r="Q118" s="225" t="s">
        <v>552</v>
      </c>
    </row>
    <row r="119" ht="15.75" hidden="1" customHeight="1">
      <c r="A119" s="82" t="s">
        <v>336</v>
      </c>
      <c r="B119" s="64" t="s">
        <v>30</v>
      </c>
      <c r="C119" s="220"/>
      <c r="D119" s="64" t="s">
        <v>7</v>
      </c>
      <c r="E119" s="221">
        <v>46150.0</v>
      </c>
      <c r="F119" s="213">
        <f t="shared" si="1"/>
        <v>8</v>
      </c>
      <c r="G119" s="213">
        <f t="shared" si="2"/>
        <v>5</v>
      </c>
      <c r="H119" s="213">
        <f t="shared" si="3"/>
        <v>2026</v>
      </c>
      <c r="I119" s="306">
        <v>4.0</v>
      </c>
      <c r="J119" s="222">
        <v>2026.0</v>
      </c>
      <c r="K119" s="223"/>
      <c r="L119" s="223">
        <v>1150.0</v>
      </c>
      <c r="M119" s="32">
        <v>1.0</v>
      </c>
      <c r="N119" s="217">
        <f t="shared" si="39"/>
        <v>1150</v>
      </c>
      <c r="O119" s="77"/>
      <c r="P119" s="77"/>
      <c r="Q119" s="225" t="s">
        <v>552</v>
      </c>
    </row>
    <row r="120" ht="15.75" hidden="1" customHeight="1">
      <c r="A120" s="82" t="s">
        <v>336</v>
      </c>
      <c r="B120" s="64" t="s">
        <v>30</v>
      </c>
      <c r="C120" s="220"/>
      <c r="D120" s="64" t="s">
        <v>7</v>
      </c>
      <c r="E120" s="221">
        <v>46174.0</v>
      </c>
      <c r="F120" s="213">
        <f t="shared" si="1"/>
        <v>1</v>
      </c>
      <c r="G120" s="213">
        <f t="shared" si="2"/>
        <v>6</v>
      </c>
      <c r="H120" s="213">
        <f t="shared" si="3"/>
        <v>2026</v>
      </c>
      <c r="I120" s="306">
        <v>5.0</v>
      </c>
      <c r="J120" s="222">
        <v>2026.0</v>
      </c>
      <c r="K120" s="223"/>
      <c r="L120" s="223">
        <v>1150.0</v>
      </c>
      <c r="M120" s="32">
        <v>1.0</v>
      </c>
      <c r="N120" s="217">
        <f t="shared" si="39"/>
        <v>1150</v>
      </c>
      <c r="O120" s="77"/>
      <c r="P120" s="77"/>
      <c r="Q120" s="225" t="s">
        <v>552</v>
      </c>
    </row>
    <row r="121" ht="15.75" hidden="1" customHeight="1">
      <c r="A121" s="82" t="s">
        <v>336</v>
      </c>
      <c r="B121" s="64" t="s">
        <v>30</v>
      </c>
      <c r="C121" s="220"/>
      <c r="D121" s="64" t="s">
        <v>7</v>
      </c>
      <c r="E121" s="221">
        <v>46203.0</v>
      </c>
      <c r="F121" s="213">
        <f t="shared" si="1"/>
        <v>30</v>
      </c>
      <c r="G121" s="213">
        <f t="shared" si="2"/>
        <v>6</v>
      </c>
      <c r="H121" s="213">
        <f t="shared" si="3"/>
        <v>2026</v>
      </c>
      <c r="I121" s="214">
        <v>6.0</v>
      </c>
      <c r="J121" s="222">
        <v>2026.0</v>
      </c>
      <c r="K121" s="223"/>
      <c r="L121" s="223">
        <v>1150.0</v>
      </c>
      <c r="M121" s="32">
        <v>1.0</v>
      </c>
      <c r="N121" s="217">
        <f t="shared" si="39"/>
        <v>1150</v>
      </c>
      <c r="O121" s="77"/>
      <c r="P121" s="77"/>
      <c r="Q121" s="225" t="s">
        <v>552</v>
      </c>
    </row>
    <row r="122" ht="15.75" hidden="1" customHeight="1">
      <c r="A122" s="82" t="s">
        <v>336</v>
      </c>
      <c r="B122" s="64" t="s">
        <v>30</v>
      </c>
      <c r="C122" s="220"/>
      <c r="D122" s="64" t="s">
        <v>7</v>
      </c>
      <c r="E122" s="221">
        <v>46233.0</v>
      </c>
      <c r="F122" s="213">
        <f t="shared" si="1"/>
        <v>30</v>
      </c>
      <c r="G122" s="213">
        <f t="shared" si="2"/>
        <v>7</v>
      </c>
      <c r="H122" s="213">
        <f t="shared" si="3"/>
        <v>2026</v>
      </c>
      <c r="I122" s="306">
        <v>8.0</v>
      </c>
      <c r="J122" s="215">
        <f>H122</f>
        <v>2026</v>
      </c>
      <c r="K122" s="223"/>
      <c r="L122" s="223">
        <v>1150.0</v>
      </c>
      <c r="M122" s="32">
        <v>1.0</v>
      </c>
      <c r="N122" s="236">
        <f t="shared" si="39"/>
        <v>1150</v>
      </c>
      <c r="O122" s="77"/>
      <c r="P122" s="77"/>
      <c r="Q122" s="225" t="s">
        <v>552</v>
      </c>
      <c r="R122" s="32"/>
    </row>
    <row r="123" ht="15.75" hidden="1" customHeight="1">
      <c r="A123" s="82" t="s">
        <v>336</v>
      </c>
      <c r="B123" s="64" t="s">
        <v>30</v>
      </c>
      <c r="C123" s="220"/>
      <c r="D123" s="64" t="s">
        <v>7</v>
      </c>
      <c r="E123" s="221">
        <v>46107.0</v>
      </c>
      <c r="F123" s="213">
        <f t="shared" si="1"/>
        <v>26</v>
      </c>
      <c r="G123" s="213">
        <f t="shared" si="2"/>
        <v>3</v>
      </c>
      <c r="H123" s="213">
        <f t="shared" si="3"/>
        <v>2026</v>
      </c>
      <c r="I123" s="214">
        <v>3.0</v>
      </c>
      <c r="J123" s="222">
        <v>2026.0</v>
      </c>
      <c r="K123" s="223"/>
      <c r="L123" s="223">
        <v>1000.0</v>
      </c>
      <c r="M123" s="32">
        <v>1.0</v>
      </c>
      <c r="N123" s="217">
        <f t="shared" si="39"/>
        <v>1000</v>
      </c>
      <c r="O123" s="87"/>
      <c r="P123" s="77"/>
      <c r="Q123" s="32" t="s">
        <v>563</v>
      </c>
    </row>
    <row r="124" ht="15.75" hidden="1" customHeight="1">
      <c r="A124" s="82" t="s">
        <v>336</v>
      </c>
      <c r="B124" s="64" t="s">
        <v>30</v>
      </c>
      <c r="C124" s="220"/>
      <c r="D124" s="64" t="s">
        <v>10</v>
      </c>
      <c r="E124" s="221">
        <v>46173.0</v>
      </c>
      <c r="F124" s="213">
        <f t="shared" si="1"/>
        <v>31</v>
      </c>
      <c r="G124" s="213">
        <f t="shared" si="2"/>
        <v>5</v>
      </c>
      <c r="H124" s="213">
        <f t="shared" si="3"/>
        <v>2026</v>
      </c>
      <c r="I124" s="232">
        <f t="shared" ref="I124:J124" si="40">G124</f>
        <v>5</v>
      </c>
      <c r="J124" s="213">
        <f t="shared" si="40"/>
        <v>2026</v>
      </c>
      <c r="K124" s="223"/>
      <c r="L124" s="223">
        <v>959.09</v>
      </c>
      <c r="M124" s="245">
        <v>1.0</v>
      </c>
      <c r="N124" s="217">
        <f t="shared" ref="N124:N126" si="42">M124*L124</f>
        <v>959.09</v>
      </c>
      <c r="O124" s="87"/>
      <c r="Q124" s="225"/>
      <c r="R124" s="140"/>
      <c r="S124" s="140"/>
    </row>
    <row r="125" ht="15.75" hidden="1" customHeight="1">
      <c r="A125" s="82" t="s">
        <v>336</v>
      </c>
      <c r="B125" s="64" t="s">
        <v>30</v>
      </c>
      <c r="C125" s="220"/>
      <c r="D125" s="64" t="s">
        <v>10</v>
      </c>
      <c r="E125" s="221">
        <v>46142.0</v>
      </c>
      <c r="F125" s="213">
        <f t="shared" si="1"/>
        <v>30</v>
      </c>
      <c r="G125" s="213">
        <f t="shared" si="2"/>
        <v>4</v>
      </c>
      <c r="H125" s="213">
        <f t="shared" si="3"/>
        <v>2026</v>
      </c>
      <c r="I125" s="232">
        <f t="shared" ref="I125:J125" si="41">G125</f>
        <v>4</v>
      </c>
      <c r="J125" s="213">
        <f t="shared" si="41"/>
        <v>2026</v>
      </c>
      <c r="K125" s="223"/>
      <c r="L125" s="223">
        <v>622.62</v>
      </c>
      <c r="M125" s="245">
        <v>1.0</v>
      </c>
      <c r="N125" s="217">
        <f t="shared" si="42"/>
        <v>622.62</v>
      </c>
      <c r="O125" s="87"/>
      <c r="P125" s="87"/>
      <c r="Q125" s="225"/>
    </row>
    <row r="126" ht="15.75" hidden="1" customHeight="1">
      <c r="A126" s="82" t="s">
        <v>336</v>
      </c>
      <c r="B126" s="82" t="s">
        <v>30</v>
      </c>
      <c r="C126" s="230"/>
      <c r="D126" s="64" t="s">
        <v>10</v>
      </c>
      <c r="E126" s="231">
        <v>46112.0</v>
      </c>
      <c r="F126" s="213">
        <f t="shared" si="1"/>
        <v>31</v>
      </c>
      <c r="G126" s="213">
        <f t="shared" si="2"/>
        <v>3</v>
      </c>
      <c r="H126" s="213">
        <f t="shared" si="3"/>
        <v>2026</v>
      </c>
      <c r="I126" s="232">
        <f t="shared" ref="I126:J126" si="43">G126</f>
        <v>3</v>
      </c>
      <c r="J126" s="213">
        <f t="shared" si="43"/>
        <v>2026</v>
      </c>
      <c r="K126" s="217"/>
      <c r="L126" s="307">
        <v>552.45</v>
      </c>
      <c r="M126" s="245">
        <v>1.0</v>
      </c>
      <c r="N126" s="217">
        <f t="shared" si="42"/>
        <v>552.45</v>
      </c>
      <c r="O126" s="233"/>
      <c r="P126" s="140"/>
      <c r="Q126" s="234"/>
    </row>
    <row r="127" ht="15.75" hidden="1" customHeight="1">
      <c r="A127" s="82" t="s">
        <v>336</v>
      </c>
      <c r="B127" s="82" t="s">
        <v>30</v>
      </c>
      <c r="C127" s="230"/>
      <c r="D127" s="82" t="s">
        <v>7</v>
      </c>
      <c r="E127" s="231">
        <v>46086.0</v>
      </c>
      <c r="F127" s="213">
        <f t="shared" si="1"/>
        <v>5</v>
      </c>
      <c r="G127" s="213">
        <f t="shared" si="2"/>
        <v>3</v>
      </c>
      <c r="H127" s="213">
        <f t="shared" si="3"/>
        <v>2026</v>
      </c>
      <c r="I127" s="232">
        <v>3.0</v>
      </c>
      <c r="J127" s="213">
        <v>2026.0</v>
      </c>
      <c r="K127" s="307"/>
      <c r="L127" s="307">
        <v>334.95</v>
      </c>
      <c r="M127" s="32">
        <v>1.0</v>
      </c>
      <c r="N127" s="217">
        <f t="shared" ref="N127:N188" si="44">L127*M127</f>
        <v>334.95</v>
      </c>
      <c r="O127" s="233"/>
      <c r="P127" s="140"/>
      <c r="Q127" s="234" t="s">
        <v>572</v>
      </c>
      <c r="R127" s="235"/>
      <c r="S127" s="235"/>
      <c r="T127" s="235"/>
      <c r="U127" s="235"/>
      <c r="V127" s="235"/>
      <c r="W127" s="235"/>
      <c r="X127" s="235"/>
      <c r="Y127" s="235"/>
      <c r="Z127" s="235"/>
      <c r="AA127" s="235"/>
      <c r="AB127" s="235"/>
      <c r="AC127" s="235"/>
      <c r="AD127" s="235"/>
      <c r="AE127" s="235"/>
      <c r="AF127" s="140"/>
      <c r="AG127" s="140"/>
      <c r="AH127" s="140"/>
    </row>
    <row r="128" ht="15.75" hidden="1" customHeight="1">
      <c r="A128" s="82" t="s">
        <v>336</v>
      </c>
      <c r="B128" s="82" t="s">
        <v>30</v>
      </c>
      <c r="C128" s="230"/>
      <c r="D128" s="64" t="s">
        <v>7</v>
      </c>
      <c r="E128" s="231">
        <v>46024.0</v>
      </c>
      <c r="F128" s="213">
        <f t="shared" si="1"/>
        <v>2</v>
      </c>
      <c r="G128" s="213">
        <f t="shared" si="2"/>
        <v>1</v>
      </c>
      <c r="H128" s="213">
        <f t="shared" si="3"/>
        <v>2026</v>
      </c>
      <c r="I128" s="232">
        <v>1.0</v>
      </c>
      <c r="J128" s="213">
        <v>2026.0</v>
      </c>
      <c r="K128" s="307"/>
      <c r="L128" s="307">
        <v>268.99</v>
      </c>
      <c r="M128" s="32">
        <v>1.0</v>
      </c>
      <c r="N128" s="217">
        <f t="shared" si="44"/>
        <v>268.99</v>
      </c>
      <c r="O128" s="233"/>
      <c r="P128" s="140"/>
      <c r="Q128" s="234" t="s">
        <v>577</v>
      </c>
    </row>
    <row r="129" ht="15.75" hidden="1" customHeight="1">
      <c r="A129" s="82" t="s">
        <v>336</v>
      </c>
      <c r="B129" s="82" t="s">
        <v>30</v>
      </c>
      <c r="C129" s="230"/>
      <c r="D129" s="82" t="s">
        <v>7</v>
      </c>
      <c r="E129" s="231">
        <v>46086.0</v>
      </c>
      <c r="F129" s="213">
        <f t="shared" si="1"/>
        <v>5</v>
      </c>
      <c r="G129" s="213">
        <f t="shared" si="2"/>
        <v>3</v>
      </c>
      <c r="H129" s="213">
        <f t="shared" si="3"/>
        <v>2026</v>
      </c>
      <c r="I129" s="232">
        <v>3.0</v>
      </c>
      <c r="J129" s="213">
        <v>2026.0</v>
      </c>
      <c r="K129" s="307"/>
      <c r="L129" s="307">
        <v>175.0</v>
      </c>
      <c r="M129" s="32">
        <v>1.0</v>
      </c>
      <c r="N129" s="217">
        <f t="shared" si="44"/>
        <v>175</v>
      </c>
      <c r="O129" s="233"/>
      <c r="P129" s="140"/>
      <c r="Q129" s="234" t="s">
        <v>578</v>
      </c>
      <c r="R129" s="235"/>
      <c r="S129" s="235"/>
      <c r="T129" s="235"/>
      <c r="U129" s="235"/>
      <c r="V129" s="235"/>
      <c r="W129" s="235"/>
      <c r="X129" s="235"/>
      <c r="Y129" s="235"/>
      <c r="Z129" s="235"/>
      <c r="AA129" s="235"/>
      <c r="AB129" s="235"/>
      <c r="AC129" s="235"/>
      <c r="AD129" s="235"/>
      <c r="AE129" s="235"/>
      <c r="AF129" s="235"/>
      <c r="AG129" s="235"/>
      <c r="AH129" s="235"/>
    </row>
    <row r="130" ht="15.75" hidden="1" customHeight="1">
      <c r="A130" s="82" t="s">
        <v>336</v>
      </c>
      <c r="B130" s="64" t="s">
        <v>30</v>
      </c>
      <c r="C130" s="220"/>
      <c r="D130" s="64" t="s">
        <v>7</v>
      </c>
      <c r="E130" s="221">
        <v>46112.0</v>
      </c>
      <c r="F130" s="213">
        <f t="shared" si="1"/>
        <v>31</v>
      </c>
      <c r="G130" s="213">
        <f t="shared" si="2"/>
        <v>3</v>
      </c>
      <c r="H130" s="213">
        <f t="shared" si="3"/>
        <v>2026</v>
      </c>
      <c r="I130" s="214">
        <v>3.0</v>
      </c>
      <c r="J130" s="222">
        <v>2026.0</v>
      </c>
      <c r="K130" s="223"/>
      <c r="L130" s="223">
        <v>118.49</v>
      </c>
      <c r="M130" s="32">
        <v>1.0</v>
      </c>
      <c r="N130" s="217">
        <f t="shared" si="44"/>
        <v>118.49</v>
      </c>
      <c r="O130" s="87"/>
      <c r="P130" s="87"/>
      <c r="Q130" s="164" t="s">
        <v>583</v>
      </c>
    </row>
    <row r="131" ht="15.75" hidden="1" customHeight="1">
      <c r="A131" s="82" t="s">
        <v>336</v>
      </c>
      <c r="B131" s="64" t="s">
        <v>30</v>
      </c>
      <c r="C131" s="220"/>
      <c r="D131" s="64" t="s">
        <v>7</v>
      </c>
      <c r="E131" s="221">
        <v>46145.0</v>
      </c>
      <c r="F131" s="213">
        <f t="shared" si="1"/>
        <v>3</v>
      </c>
      <c r="G131" s="213">
        <f t="shared" si="2"/>
        <v>5</v>
      </c>
      <c r="H131" s="213">
        <f t="shared" si="3"/>
        <v>2026</v>
      </c>
      <c r="I131" s="214">
        <v>5.0</v>
      </c>
      <c r="J131" s="222">
        <v>2026.0</v>
      </c>
      <c r="K131" s="223"/>
      <c r="L131" s="223">
        <v>103.5</v>
      </c>
      <c r="M131" s="32">
        <v>1.0</v>
      </c>
      <c r="N131" s="217">
        <f t="shared" si="44"/>
        <v>103.5</v>
      </c>
      <c r="O131" s="87"/>
      <c r="P131" s="87"/>
      <c r="Q131" s="225" t="s">
        <v>584</v>
      </c>
    </row>
    <row r="132" ht="15.75" hidden="1" customHeight="1">
      <c r="A132" s="82" t="s">
        <v>336</v>
      </c>
      <c r="B132" s="164" t="s">
        <v>30</v>
      </c>
      <c r="C132" s="230"/>
      <c r="D132" s="140" t="s">
        <v>7</v>
      </c>
      <c r="E132" s="310">
        <v>46027.0</v>
      </c>
      <c r="F132" s="213">
        <f t="shared" si="1"/>
        <v>5</v>
      </c>
      <c r="G132" s="213">
        <f t="shared" si="2"/>
        <v>1</v>
      </c>
      <c r="H132" s="213">
        <f t="shared" si="3"/>
        <v>2026</v>
      </c>
      <c r="I132" s="232">
        <v>1.0</v>
      </c>
      <c r="J132" s="213">
        <v>2026.0</v>
      </c>
      <c r="K132" s="217"/>
      <c r="L132" s="217">
        <v>100.0</v>
      </c>
      <c r="M132" s="269">
        <v>1.0</v>
      </c>
      <c r="N132" s="217">
        <f t="shared" si="44"/>
        <v>100</v>
      </c>
      <c r="O132" s="140"/>
      <c r="Q132" s="140" t="s">
        <v>586</v>
      </c>
    </row>
    <row r="133" ht="15.75" hidden="1" customHeight="1">
      <c r="A133" s="82" t="s">
        <v>336</v>
      </c>
      <c r="B133" s="64" t="s">
        <v>30</v>
      </c>
      <c r="C133" s="220"/>
      <c r="D133" s="64" t="s">
        <v>7</v>
      </c>
      <c r="E133" s="221">
        <v>46132.0</v>
      </c>
      <c r="F133" s="213">
        <f t="shared" si="1"/>
        <v>20</v>
      </c>
      <c r="G133" s="213">
        <f t="shared" si="2"/>
        <v>4</v>
      </c>
      <c r="H133" s="213">
        <f t="shared" si="3"/>
        <v>2026</v>
      </c>
      <c r="I133" s="214">
        <v>4.0</v>
      </c>
      <c r="J133" s="222">
        <v>2026.0</v>
      </c>
      <c r="K133" s="223"/>
      <c r="L133" s="223">
        <v>93.1</v>
      </c>
      <c r="M133" s="32">
        <v>1.0</v>
      </c>
      <c r="N133" s="217">
        <f t="shared" si="44"/>
        <v>93.1</v>
      </c>
      <c r="O133" s="87"/>
      <c r="P133" s="87"/>
      <c r="Q133" s="32" t="s">
        <v>589</v>
      </c>
    </row>
    <row r="134" ht="15.75" hidden="1" customHeight="1">
      <c r="A134" s="82" t="s">
        <v>336</v>
      </c>
      <c r="B134" s="82" t="s">
        <v>30</v>
      </c>
      <c r="C134" s="230"/>
      <c r="D134" s="64" t="s">
        <v>7</v>
      </c>
      <c r="E134" s="231">
        <v>46024.0</v>
      </c>
      <c r="F134" s="213">
        <f t="shared" si="1"/>
        <v>2</v>
      </c>
      <c r="G134" s="213">
        <f t="shared" si="2"/>
        <v>1</v>
      </c>
      <c r="H134" s="213">
        <f t="shared" si="3"/>
        <v>2026</v>
      </c>
      <c r="I134" s="232">
        <v>1.0</v>
      </c>
      <c r="J134" s="213">
        <v>2026.0</v>
      </c>
      <c r="K134" s="307"/>
      <c r="L134" s="307">
        <v>90.0</v>
      </c>
      <c r="M134" s="32">
        <v>1.0</v>
      </c>
      <c r="N134" s="217">
        <f t="shared" si="44"/>
        <v>90</v>
      </c>
      <c r="O134" s="233"/>
      <c r="P134" s="140"/>
      <c r="Q134" s="234" t="s">
        <v>592</v>
      </c>
    </row>
    <row r="135" ht="15.75" hidden="1" customHeight="1">
      <c r="A135" s="82" t="s">
        <v>336</v>
      </c>
      <c r="B135" s="165" t="s">
        <v>30</v>
      </c>
      <c r="C135" s="230"/>
      <c r="D135" s="82" t="s">
        <v>7</v>
      </c>
      <c r="E135" s="231">
        <v>46069.0</v>
      </c>
      <c r="F135" s="213">
        <f t="shared" si="1"/>
        <v>16</v>
      </c>
      <c r="G135" s="213">
        <f t="shared" si="2"/>
        <v>2</v>
      </c>
      <c r="H135" s="213">
        <f t="shared" si="3"/>
        <v>2026</v>
      </c>
      <c r="I135" s="232">
        <v>2.0</v>
      </c>
      <c r="J135" s="213">
        <v>2026.0</v>
      </c>
      <c r="K135" s="307"/>
      <c r="L135" s="307">
        <v>90.0</v>
      </c>
      <c r="M135" s="32">
        <v>1.0</v>
      </c>
      <c r="N135" s="217">
        <f t="shared" si="44"/>
        <v>90</v>
      </c>
      <c r="O135" s="311"/>
      <c r="P135" s="245"/>
      <c r="Q135" s="234" t="s">
        <v>595</v>
      </c>
    </row>
    <row r="136" ht="15.75" hidden="1" customHeight="1">
      <c r="A136" s="82" t="s">
        <v>336</v>
      </c>
      <c r="B136" s="64" t="s">
        <v>30</v>
      </c>
      <c r="C136" s="220"/>
      <c r="D136" s="64" t="s">
        <v>7</v>
      </c>
      <c r="E136" s="221">
        <v>46136.0</v>
      </c>
      <c r="F136" s="213">
        <f t="shared" si="1"/>
        <v>24</v>
      </c>
      <c r="G136" s="213">
        <f t="shared" si="2"/>
        <v>4</v>
      </c>
      <c r="H136" s="213">
        <f t="shared" si="3"/>
        <v>2026</v>
      </c>
      <c r="I136" s="214">
        <v>4.0</v>
      </c>
      <c r="J136" s="222">
        <v>2026.0</v>
      </c>
      <c r="K136" s="223"/>
      <c r="L136" s="223">
        <v>88.7</v>
      </c>
      <c r="M136" s="269">
        <v>1.0</v>
      </c>
      <c r="N136" s="217">
        <f t="shared" si="44"/>
        <v>88.7</v>
      </c>
      <c r="O136" s="77"/>
      <c r="P136" s="77"/>
      <c r="Q136" s="32" t="s">
        <v>598</v>
      </c>
      <c r="V136" s="257"/>
      <c r="W136" s="257"/>
      <c r="X136" s="257"/>
      <c r="Y136" s="257"/>
      <c r="Z136" s="257"/>
      <c r="AA136" s="257"/>
      <c r="AB136" s="257"/>
      <c r="AC136" s="257"/>
      <c r="AD136" s="257"/>
      <c r="AE136" s="257"/>
      <c r="AF136" s="257"/>
      <c r="AG136" s="257"/>
      <c r="AH136" s="257"/>
    </row>
    <row r="137" ht="15.75" hidden="1" customHeight="1">
      <c r="A137" s="82" t="s">
        <v>336</v>
      </c>
      <c r="B137" s="82" t="s">
        <v>30</v>
      </c>
      <c r="C137" s="230"/>
      <c r="D137" s="82" t="s">
        <v>7</v>
      </c>
      <c r="E137" s="231">
        <v>46094.0</v>
      </c>
      <c r="F137" s="213">
        <f t="shared" si="1"/>
        <v>13</v>
      </c>
      <c r="G137" s="213">
        <f t="shared" si="2"/>
        <v>3</v>
      </c>
      <c r="H137" s="213">
        <f t="shared" si="3"/>
        <v>2026</v>
      </c>
      <c r="I137" s="232">
        <v>3.0</v>
      </c>
      <c r="J137" s="213">
        <v>2026.0</v>
      </c>
      <c r="K137" s="307"/>
      <c r="L137" s="307">
        <v>80.0</v>
      </c>
      <c r="M137" s="32">
        <v>1.0</v>
      </c>
      <c r="N137" s="217">
        <f t="shared" si="44"/>
        <v>80</v>
      </c>
      <c r="O137" s="233"/>
      <c r="P137" s="140"/>
      <c r="Q137" s="234" t="s">
        <v>602</v>
      </c>
    </row>
    <row r="138" ht="15.75" hidden="1" customHeight="1">
      <c r="A138" s="82" t="s">
        <v>336</v>
      </c>
      <c r="B138" s="64" t="s">
        <v>30</v>
      </c>
      <c r="C138" s="220"/>
      <c r="D138" s="64" t="s">
        <v>7</v>
      </c>
      <c r="E138" s="221">
        <v>46118.0</v>
      </c>
      <c r="F138" s="213">
        <f t="shared" si="1"/>
        <v>6</v>
      </c>
      <c r="G138" s="213">
        <f t="shared" si="2"/>
        <v>4</v>
      </c>
      <c r="H138" s="213">
        <f t="shared" si="3"/>
        <v>2026</v>
      </c>
      <c r="I138" s="214">
        <v>4.0</v>
      </c>
      <c r="J138" s="222">
        <v>2026.0</v>
      </c>
      <c r="K138" s="223"/>
      <c r="L138" s="223">
        <v>77.3</v>
      </c>
      <c r="M138" s="32">
        <v>1.0</v>
      </c>
      <c r="N138" s="217">
        <f t="shared" si="44"/>
        <v>77.3</v>
      </c>
      <c r="O138" s="77"/>
      <c r="P138" s="77"/>
      <c r="Q138" s="164" t="s">
        <v>583</v>
      </c>
    </row>
    <row r="139" ht="15.75" hidden="1" customHeight="1">
      <c r="A139" s="82" t="s">
        <v>336</v>
      </c>
      <c r="B139" s="140" t="s">
        <v>30</v>
      </c>
      <c r="C139" s="230"/>
      <c r="D139" s="140" t="s">
        <v>7</v>
      </c>
      <c r="E139" s="310">
        <v>46024.0</v>
      </c>
      <c r="F139" s="213">
        <f t="shared" si="1"/>
        <v>2</v>
      </c>
      <c r="G139" s="213">
        <f t="shared" si="2"/>
        <v>1</v>
      </c>
      <c r="H139" s="213">
        <f t="shared" si="3"/>
        <v>2026</v>
      </c>
      <c r="I139" s="232">
        <v>1.0</v>
      </c>
      <c r="J139" s="213">
        <v>2026.0</v>
      </c>
      <c r="K139" s="217"/>
      <c r="L139" s="217">
        <v>65.89</v>
      </c>
      <c r="M139" s="269">
        <v>1.0</v>
      </c>
      <c r="N139" s="217">
        <f t="shared" si="44"/>
        <v>65.89</v>
      </c>
      <c r="O139" s="140"/>
      <c r="Q139" s="140" t="s">
        <v>606</v>
      </c>
    </row>
    <row r="140" ht="15.75" hidden="1" customHeight="1">
      <c r="A140" s="82" t="s">
        <v>336</v>
      </c>
      <c r="B140" s="82" t="s">
        <v>30</v>
      </c>
      <c r="C140" s="230"/>
      <c r="D140" s="82" t="s">
        <v>7</v>
      </c>
      <c r="E140" s="231">
        <v>46093.0</v>
      </c>
      <c r="F140" s="213">
        <f t="shared" si="1"/>
        <v>12</v>
      </c>
      <c r="G140" s="213">
        <f t="shared" si="2"/>
        <v>3</v>
      </c>
      <c r="H140" s="213">
        <f t="shared" si="3"/>
        <v>2026</v>
      </c>
      <c r="I140" s="232">
        <v>3.0</v>
      </c>
      <c r="J140" s="213">
        <v>2026.0</v>
      </c>
      <c r="K140" s="307"/>
      <c r="L140" s="307">
        <v>65.0</v>
      </c>
      <c r="M140" s="32">
        <v>1.0</v>
      </c>
      <c r="N140" s="217">
        <f t="shared" si="44"/>
        <v>65</v>
      </c>
      <c r="O140" s="233"/>
      <c r="P140" s="140"/>
      <c r="Q140" s="234" t="s">
        <v>609</v>
      </c>
    </row>
    <row r="141" ht="15.75" hidden="1" customHeight="1">
      <c r="A141" s="82" t="s">
        <v>336</v>
      </c>
      <c r="B141" s="82" t="s">
        <v>30</v>
      </c>
      <c r="C141" s="230"/>
      <c r="D141" s="82" t="s">
        <v>7</v>
      </c>
      <c r="E141" s="231">
        <v>46033.0</v>
      </c>
      <c r="F141" s="213">
        <f t="shared" si="1"/>
        <v>11</v>
      </c>
      <c r="G141" s="213">
        <f t="shared" si="2"/>
        <v>1</v>
      </c>
      <c r="H141" s="213">
        <f t="shared" si="3"/>
        <v>2026</v>
      </c>
      <c r="I141" s="232">
        <v>1.0</v>
      </c>
      <c r="J141" s="213">
        <v>2026.0</v>
      </c>
      <c r="K141" s="307"/>
      <c r="L141" s="307">
        <v>62.35</v>
      </c>
      <c r="M141" s="32">
        <v>1.0</v>
      </c>
      <c r="N141" s="217">
        <f t="shared" si="44"/>
        <v>62.35</v>
      </c>
      <c r="O141" s="233"/>
      <c r="P141" s="140"/>
      <c r="Q141" s="234" t="s">
        <v>612</v>
      </c>
    </row>
    <row r="142" ht="15.75" hidden="1" customHeight="1">
      <c r="A142" s="82" t="s">
        <v>336</v>
      </c>
      <c r="B142" s="87" t="s">
        <v>30</v>
      </c>
      <c r="C142" s="220"/>
      <c r="D142" s="64" t="s">
        <v>7</v>
      </c>
      <c r="E142" s="221">
        <v>46104.0</v>
      </c>
      <c r="F142" s="213">
        <f t="shared" si="1"/>
        <v>23</v>
      </c>
      <c r="G142" s="213">
        <f t="shared" si="2"/>
        <v>3</v>
      </c>
      <c r="H142" s="213">
        <f t="shared" si="3"/>
        <v>2026</v>
      </c>
      <c r="I142" s="214">
        <v>3.0</v>
      </c>
      <c r="J142" s="222">
        <v>2026.0</v>
      </c>
      <c r="K142" s="223"/>
      <c r="L142" s="223">
        <v>61.9</v>
      </c>
      <c r="M142" s="32">
        <v>1.0</v>
      </c>
      <c r="N142" s="217">
        <f t="shared" si="44"/>
        <v>61.9</v>
      </c>
      <c r="O142" s="311"/>
      <c r="P142" s="77"/>
      <c r="Q142" s="32" t="s">
        <v>614</v>
      </c>
    </row>
    <row r="143" ht="15.75" hidden="1" customHeight="1">
      <c r="A143" s="82" t="s">
        <v>336</v>
      </c>
      <c r="B143" s="64" t="s">
        <v>30</v>
      </c>
      <c r="C143" s="220"/>
      <c r="D143" s="64" t="s">
        <v>7</v>
      </c>
      <c r="E143" s="221">
        <v>46118.0</v>
      </c>
      <c r="F143" s="213">
        <f t="shared" si="1"/>
        <v>6</v>
      </c>
      <c r="G143" s="213">
        <f t="shared" si="2"/>
        <v>4</v>
      </c>
      <c r="H143" s="213">
        <f t="shared" si="3"/>
        <v>2026</v>
      </c>
      <c r="I143" s="214">
        <v>4.0</v>
      </c>
      <c r="J143" s="222">
        <v>2026.0</v>
      </c>
      <c r="K143" s="223"/>
      <c r="L143" s="223">
        <v>50.0</v>
      </c>
      <c r="M143" s="32">
        <v>1.0</v>
      </c>
      <c r="N143" s="217">
        <f t="shared" si="44"/>
        <v>50</v>
      </c>
      <c r="O143" s="87"/>
      <c r="P143" s="87"/>
      <c r="Q143" s="164" t="s">
        <v>617</v>
      </c>
    </row>
    <row r="144" ht="15.75" hidden="1" customHeight="1">
      <c r="A144" s="82" t="s">
        <v>336</v>
      </c>
      <c r="B144" s="82" t="s">
        <v>30</v>
      </c>
      <c r="C144" s="230"/>
      <c r="D144" s="82" t="s">
        <v>7</v>
      </c>
      <c r="E144" s="231">
        <v>46085.0</v>
      </c>
      <c r="F144" s="213">
        <f t="shared" si="1"/>
        <v>4</v>
      </c>
      <c r="G144" s="213">
        <f t="shared" si="2"/>
        <v>3</v>
      </c>
      <c r="H144" s="213">
        <f t="shared" si="3"/>
        <v>2026</v>
      </c>
      <c r="I144" s="232">
        <v>3.0</v>
      </c>
      <c r="J144" s="213">
        <v>2026.0</v>
      </c>
      <c r="K144" s="307"/>
      <c r="L144" s="307">
        <v>42.3</v>
      </c>
      <c r="M144" s="32">
        <v>1.0</v>
      </c>
      <c r="N144" s="217">
        <f t="shared" si="44"/>
        <v>42.3</v>
      </c>
      <c r="O144" s="233"/>
      <c r="P144" s="140"/>
      <c r="Q144" s="234" t="s">
        <v>619</v>
      </c>
      <c r="R144" s="235"/>
      <c r="S144" s="235"/>
      <c r="T144" s="235"/>
      <c r="U144" s="235"/>
      <c r="V144" s="235"/>
      <c r="W144" s="235"/>
      <c r="X144" s="235"/>
      <c r="Y144" s="235"/>
      <c r="Z144" s="235"/>
      <c r="AA144" s="235"/>
      <c r="AB144" s="235"/>
      <c r="AC144" s="235"/>
      <c r="AD144" s="235"/>
      <c r="AE144" s="235"/>
      <c r="AF144" s="235"/>
      <c r="AG144" s="235"/>
      <c r="AH144" s="235"/>
    </row>
    <row r="145" ht="15.75" hidden="1" customHeight="1">
      <c r="A145" s="82" t="s">
        <v>336</v>
      </c>
      <c r="B145" s="164" t="s">
        <v>30</v>
      </c>
      <c r="C145" s="230"/>
      <c r="D145" s="164" t="s">
        <v>7</v>
      </c>
      <c r="E145" s="310">
        <v>46024.0</v>
      </c>
      <c r="F145" s="213">
        <f t="shared" si="1"/>
        <v>2</v>
      </c>
      <c r="G145" s="213">
        <f t="shared" si="2"/>
        <v>1</v>
      </c>
      <c r="H145" s="213">
        <f t="shared" si="3"/>
        <v>2026</v>
      </c>
      <c r="I145" s="232">
        <v>1.0</v>
      </c>
      <c r="J145" s="213">
        <v>2026.0</v>
      </c>
      <c r="K145" s="217"/>
      <c r="L145" s="217">
        <v>42.0</v>
      </c>
      <c r="M145" s="269">
        <v>1.0</v>
      </c>
      <c r="N145" s="217">
        <f t="shared" si="44"/>
        <v>42</v>
      </c>
      <c r="O145" s="140"/>
      <c r="Q145" s="140" t="s">
        <v>624</v>
      </c>
    </row>
    <row r="146" ht="15.75" hidden="1" customHeight="1">
      <c r="A146" s="82" t="s">
        <v>336</v>
      </c>
      <c r="B146" s="64" t="s">
        <v>30</v>
      </c>
      <c r="C146" s="220"/>
      <c r="D146" s="64" t="s">
        <v>7</v>
      </c>
      <c r="E146" s="221">
        <v>46097.0</v>
      </c>
      <c r="F146" s="213">
        <f t="shared" si="1"/>
        <v>16</v>
      </c>
      <c r="G146" s="213">
        <f t="shared" si="2"/>
        <v>3</v>
      </c>
      <c r="H146" s="213">
        <f t="shared" si="3"/>
        <v>2026</v>
      </c>
      <c r="I146" s="214">
        <v>3.0</v>
      </c>
      <c r="J146" s="222">
        <v>2026.0</v>
      </c>
      <c r="K146" s="223"/>
      <c r="L146" s="223">
        <v>31.71</v>
      </c>
      <c r="M146" s="32">
        <v>1.0</v>
      </c>
      <c r="N146" s="217">
        <f t="shared" si="44"/>
        <v>31.71</v>
      </c>
      <c r="O146" s="311"/>
      <c r="P146" s="77"/>
      <c r="Q146" s="32" t="s">
        <v>627</v>
      </c>
    </row>
    <row r="147" ht="15.75" hidden="1" customHeight="1">
      <c r="A147" s="82" t="s">
        <v>336</v>
      </c>
      <c r="B147" s="82" t="s">
        <v>30</v>
      </c>
      <c r="C147" s="230"/>
      <c r="D147" s="82" t="s">
        <v>7</v>
      </c>
      <c r="E147" s="231">
        <v>46095.0</v>
      </c>
      <c r="F147" s="213">
        <f t="shared" si="1"/>
        <v>14</v>
      </c>
      <c r="G147" s="213">
        <f t="shared" si="2"/>
        <v>3</v>
      </c>
      <c r="H147" s="213">
        <f t="shared" si="3"/>
        <v>2026</v>
      </c>
      <c r="I147" s="232">
        <v>3.0</v>
      </c>
      <c r="J147" s="213">
        <v>2026.0</v>
      </c>
      <c r="K147" s="307"/>
      <c r="L147" s="307">
        <v>31.24</v>
      </c>
      <c r="M147" s="32">
        <v>1.0</v>
      </c>
      <c r="N147" s="217">
        <f t="shared" si="44"/>
        <v>31.24</v>
      </c>
      <c r="O147" s="233"/>
      <c r="P147" s="140"/>
      <c r="Q147" s="234" t="s">
        <v>630</v>
      </c>
    </row>
    <row r="148" ht="15.75" hidden="1" customHeight="1">
      <c r="A148" s="82" t="s">
        <v>336</v>
      </c>
      <c r="B148" s="64" t="s">
        <v>30</v>
      </c>
      <c r="C148" s="220"/>
      <c r="D148" s="64" t="s">
        <v>7</v>
      </c>
      <c r="E148" s="221">
        <v>46100.0</v>
      </c>
      <c r="F148" s="213">
        <f t="shared" si="1"/>
        <v>19</v>
      </c>
      <c r="G148" s="213">
        <f t="shared" si="2"/>
        <v>3</v>
      </c>
      <c r="H148" s="213">
        <f t="shared" si="3"/>
        <v>2026</v>
      </c>
      <c r="I148" s="214">
        <v>3.0</v>
      </c>
      <c r="J148" s="222">
        <v>2026.0</v>
      </c>
      <c r="K148" s="223"/>
      <c r="L148" s="223">
        <v>29.9</v>
      </c>
      <c r="M148" s="32">
        <v>1.0</v>
      </c>
      <c r="N148" s="217">
        <f t="shared" si="44"/>
        <v>29.9</v>
      </c>
      <c r="O148" s="311"/>
      <c r="P148" s="77"/>
      <c r="Q148" s="32" t="s">
        <v>633</v>
      </c>
    </row>
    <row r="149" ht="15.75" hidden="1" customHeight="1">
      <c r="A149" s="82" t="s">
        <v>336</v>
      </c>
      <c r="B149" s="82" t="s">
        <v>30</v>
      </c>
      <c r="C149" s="230"/>
      <c r="D149" s="82" t="s">
        <v>7</v>
      </c>
      <c r="E149" s="231">
        <v>46062.0</v>
      </c>
      <c r="F149" s="213">
        <f t="shared" si="1"/>
        <v>9</v>
      </c>
      <c r="G149" s="213">
        <f t="shared" si="2"/>
        <v>2</v>
      </c>
      <c r="H149" s="213">
        <f t="shared" si="3"/>
        <v>2026</v>
      </c>
      <c r="I149" s="232">
        <v>2.0</v>
      </c>
      <c r="J149" s="213">
        <v>2026.0</v>
      </c>
      <c r="K149" s="307"/>
      <c r="L149" s="307">
        <v>29.4</v>
      </c>
      <c r="M149" s="32">
        <v>1.0</v>
      </c>
      <c r="N149" s="217">
        <f t="shared" si="44"/>
        <v>29.4</v>
      </c>
      <c r="O149" s="233"/>
      <c r="P149" s="140"/>
      <c r="Q149" s="234" t="s">
        <v>636</v>
      </c>
    </row>
    <row r="150" ht="15.75" hidden="1" customHeight="1">
      <c r="A150" s="82" t="s">
        <v>336</v>
      </c>
      <c r="B150" s="164" t="s">
        <v>30</v>
      </c>
      <c r="C150" s="230"/>
      <c r="D150" s="140" t="s">
        <v>7</v>
      </c>
      <c r="E150" s="310">
        <v>46033.0</v>
      </c>
      <c r="F150" s="213">
        <f t="shared" si="1"/>
        <v>11</v>
      </c>
      <c r="G150" s="213">
        <f t="shared" si="2"/>
        <v>1</v>
      </c>
      <c r="H150" s="213">
        <f t="shared" si="3"/>
        <v>2026</v>
      </c>
      <c r="I150" s="232">
        <v>1.0</v>
      </c>
      <c r="J150" s="213">
        <v>2026.0</v>
      </c>
      <c r="K150" s="307"/>
      <c r="L150" s="307">
        <v>28.24</v>
      </c>
      <c r="M150" s="269">
        <v>1.0</v>
      </c>
      <c r="N150" s="217">
        <f t="shared" si="44"/>
        <v>28.24</v>
      </c>
      <c r="O150" s="140"/>
      <c r="Q150" s="140" t="s">
        <v>640</v>
      </c>
    </row>
    <row r="151" ht="15.75" hidden="1" customHeight="1">
      <c r="A151" s="82" t="s">
        <v>336</v>
      </c>
      <c r="B151" s="82" t="s">
        <v>30</v>
      </c>
      <c r="C151" s="230"/>
      <c r="D151" s="82" t="s">
        <v>7</v>
      </c>
      <c r="E151" s="231">
        <v>46092.0</v>
      </c>
      <c r="F151" s="213">
        <f t="shared" si="1"/>
        <v>11</v>
      </c>
      <c r="G151" s="213">
        <f t="shared" si="2"/>
        <v>3</v>
      </c>
      <c r="H151" s="213">
        <f t="shared" si="3"/>
        <v>2026</v>
      </c>
      <c r="I151" s="232">
        <v>3.0</v>
      </c>
      <c r="J151" s="213">
        <v>2026.0</v>
      </c>
      <c r="K151" s="307"/>
      <c r="L151" s="307">
        <v>22.99</v>
      </c>
      <c r="M151" s="32">
        <v>1.0</v>
      </c>
      <c r="N151" s="217">
        <f t="shared" si="44"/>
        <v>22.99</v>
      </c>
      <c r="O151" s="233"/>
      <c r="P151" s="140"/>
      <c r="Q151" s="316" t="s">
        <v>643</v>
      </c>
    </row>
    <row r="152" ht="15.75" hidden="1" customHeight="1">
      <c r="A152" s="82" t="s">
        <v>336</v>
      </c>
      <c r="B152" s="64" t="s">
        <v>30</v>
      </c>
      <c r="C152" s="220"/>
      <c r="D152" s="64" t="s">
        <v>7</v>
      </c>
      <c r="E152" s="221">
        <v>46097.0</v>
      </c>
      <c r="F152" s="213">
        <f t="shared" si="1"/>
        <v>16</v>
      </c>
      <c r="G152" s="213">
        <f t="shared" si="2"/>
        <v>3</v>
      </c>
      <c r="H152" s="213">
        <f t="shared" si="3"/>
        <v>2026</v>
      </c>
      <c r="I152" s="214">
        <v>3.0</v>
      </c>
      <c r="J152" s="222">
        <v>2026.0</v>
      </c>
      <c r="K152" s="223"/>
      <c r="L152" s="223">
        <v>20.1</v>
      </c>
      <c r="M152" s="32">
        <v>1.0</v>
      </c>
      <c r="N152" s="217">
        <f t="shared" si="44"/>
        <v>20.1</v>
      </c>
      <c r="O152" s="87"/>
      <c r="P152" s="87"/>
      <c r="Q152" s="225" t="s">
        <v>646</v>
      </c>
    </row>
    <row r="153" ht="15.75" hidden="1" customHeight="1">
      <c r="A153" s="82" t="s">
        <v>336</v>
      </c>
      <c r="B153" s="82" t="s">
        <v>30</v>
      </c>
      <c r="C153" s="230"/>
      <c r="D153" s="82" t="s">
        <v>7</v>
      </c>
      <c r="E153" s="231">
        <v>46086.0</v>
      </c>
      <c r="F153" s="213">
        <f t="shared" si="1"/>
        <v>5</v>
      </c>
      <c r="G153" s="213">
        <f t="shared" si="2"/>
        <v>3</v>
      </c>
      <c r="H153" s="213">
        <f t="shared" si="3"/>
        <v>2026</v>
      </c>
      <c r="I153" s="232">
        <v>3.0</v>
      </c>
      <c r="J153" s="213">
        <v>2026.0</v>
      </c>
      <c r="K153" s="307"/>
      <c r="L153" s="307">
        <v>19.99</v>
      </c>
      <c r="M153" s="32">
        <v>1.0</v>
      </c>
      <c r="N153" s="217">
        <f t="shared" si="44"/>
        <v>19.99</v>
      </c>
      <c r="O153" s="311"/>
      <c r="P153" s="245"/>
      <c r="Q153" s="234" t="s">
        <v>649</v>
      </c>
      <c r="R153" s="235"/>
      <c r="S153" s="235"/>
      <c r="T153" s="235"/>
      <c r="U153" s="235"/>
      <c r="V153" s="235"/>
      <c r="W153" s="235"/>
      <c r="X153" s="235"/>
      <c r="Y153" s="235"/>
      <c r="Z153" s="235"/>
      <c r="AA153" s="235"/>
      <c r="AB153" s="235"/>
      <c r="AC153" s="235"/>
      <c r="AD153" s="235"/>
      <c r="AE153" s="235"/>
      <c r="AF153" s="235"/>
      <c r="AG153" s="235"/>
      <c r="AH153" s="235"/>
    </row>
    <row r="154" ht="15.75" hidden="1" customHeight="1">
      <c r="A154" s="82" t="s">
        <v>336</v>
      </c>
      <c r="B154" s="64" t="s">
        <v>30</v>
      </c>
      <c r="C154" s="220"/>
      <c r="D154" s="64" t="s">
        <v>7</v>
      </c>
      <c r="E154" s="221">
        <v>46097.0</v>
      </c>
      <c r="F154" s="213">
        <f t="shared" si="1"/>
        <v>16</v>
      </c>
      <c r="G154" s="213">
        <f t="shared" si="2"/>
        <v>3</v>
      </c>
      <c r="H154" s="213">
        <f t="shared" si="3"/>
        <v>2026</v>
      </c>
      <c r="I154" s="214">
        <v>3.0</v>
      </c>
      <c r="J154" s="222">
        <v>2026.0</v>
      </c>
      <c r="K154" s="223"/>
      <c r="L154" s="223">
        <v>17.0</v>
      </c>
      <c r="M154" s="32">
        <v>1.0</v>
      </c>
      <c r="N154" s="217">
        <f t="shared" si="44"/>
        <v>17</v>
      </c>
      <c r="O154" s="311"/>
      <c r="P154" s="77"/>
      <c r="Q154" s="32" t="s">
        <v>652</v>
      </c>
    </row>
    <row r="155" ht="15.75" hidden="1" customHeight="1">
      <c r="A155" s="82" t="s">
        <v>336</v>
      </c>
      <c r="B155" s="82" t="s">
        <v>30</v>
      </c>
      <c r="C155" s="230"/>
      <c r="D155" s="82" t="s">
        <v>7</v>
      </c>
      <c r="E155" s="231">
        <v>46095.0</v>
      </c>
      <c r="F155" s="213">
        <f t="shared" si="1"/>
        <v>14</v>
      </c>
      <c r="G155" s="213">
        <f t="shared" si="2"/>
        <v>3</v>
      </c>
      <c r="H155" s="213">
        <f t="shared" si="3"/>
        <v>2026</v>
      </c>
      <c r="I155" s="232">
        <v>3.0</v>
      </c>
      <c r="J155" s="213">
        <v>2026.0</v>
      </c>
      <c r="K155" s="307"/>
      <c r="L155" s="307">
        <v>15.8</v>
      </c>
      <c r="M155" s="32">
        <v>1.0</v>
      </c>
      <c r="N155" s="217">
        <f t="shared" si="44"/>
        <v>15.8</v>
      </c>
      <c r="O155" s="233"/>
      <c r="P155" s="140"/>
      <c r="Q155" s="234" t="s">
        <v>655</v>
      </c>
    </row>
    <row r="156" ht="15.75" hidden="1" customHeight="1">
      <c r="A156" s="82" t="s">
        <v>336</v>
      </c>
      <c r="B156" s="164" t="s">
        <v>30</v>
      </c>
      <c r="C156" s="230"/>
      <c r="D156" s="140" t="s">
        <v>7</v>
      </c>
      <c r="E156" s="310">
        <v>46024.0</v>
      </c>
      <c r="F156" s="213">
        <f t="shared" si="1"/>
        <v>2</v>
      </c>
      <c r="G156" s="213">
        <f t="shared" si="2"/>
        <v>1</v>
      </c>
      <c r="H156" s="213">
        <f t="shared" si="3"/>
        <v>2026</v>
      </c>
      <c r="I156" s="232">
        <v>1.0</v>
      </c>
      <c r="J156" s="213">
        <v>2026.0</v>
      </c>
      <c r="K156" s="217"/>
      <c r="L156" s="217">
        <v>15.0</v>
      </c>
      <c r="M156" s="269">
        <v>1.0</v>
      </c>
      <c r="N156" s="217">
        <f t="shared" si="44"/>
        <v>15</v>
      </c>
      <c r="O156" s="140"/>
      <c r="Q156" s="140" t="s">
        <v>658</v>
      </c>
    </row>
    <row r="157" ht="15.75" hidden="1" customHeight="1">
      <c r="A157" s="82" t="s">
        <v>336</v>
      </c>
      <c r="B157" s="82" t="s">
        <v>30</v>
      </c>
      <c r="C157" s="230"/>
      <c r="D157" s="64" t="s">
        <v>7</v>
      </c>
      <c r="E157" s="231">
        <v>46101.0</v>
      </c>
      <c r="F157" s="213">
        <f t="shared" si="1"/>
        <v>20</v>
      </c>
      <c r="G157" s="213">
        <f t="shared" si="2"/>
        <v>3</v>
      </c>
      <c r="H157" s="213">
        <f t="shared" si="3"/>
        <v>2026</v>
      </c>
      <c r="I157" s="214">
        <v>3.0</v>
      </c>
      <c r="J157" s="222">
        <v>2026.0</v>
      </c>
      <c r="K157" s="223"/>
      <c r="L157" s="223">
        <v>14.95</v>
      </c>
      <c r="M157" s="32">
        <v>1.0</v>
      </c>
      <c r="N157" s="217">
        <f t="shared" si="44"/>
        <v>14.95</v>
      </c>
      <c r="O157" s="311"/>
      <c r="P157" s="140"/>
      <c r="Q157" s="32" t="s">
        <v>659</v>
      </c>
    </row>
    <row r="158" ht="15.75" hidden="1" customHeight="1">
      <c r="A158" s="82" t="s">
        <v>336</v>
      </c>
      <c r="B158" s="64" t="s">
        <v>30</v>
      </c>
      <c r="C158" s="220"/>
      <c r="D158" s="64" t="s">
        <v>7</v>
      </c>
      <c r="E158" s="221">
        <v>46105.0</v>
      </c>
      <c r="F158" s="213">
        <f t="shared" si="1"/>
        <v>24</v>
      </c>
      <c r="G158" s="213">
        <f t="shared" si="2"/>
        <v>3</v>
      </c>
      <c r="H158" s="213">
        <f t="shared" si="3"/>
        <v>2026</v>
      </c>
      <c r="I158" s="214">
        <v>3.0</v>
      </c>
      <c r="J158" s="222">
        <v>2026.0</v>
      </c>
      <c r="K158" s="223"/>
      <c r="L158" s="223">
        <v>12.8</v>
      </c>
      <c r="M158" s="32">
        <v>1.0</v>
      </c>
      <c r="N158" s="217">
        <f t="shared" si="44"/>
        <v>12.8</v>
      </c>
      <c r="O158" s="77"/>
      <c r="P158" s="77"/>
      <c r="Q158" s="32" t="s">
        <v>662</v>
      </c>
    </row>
    <row r="159" ht="15.75" hidden="1" customHeight="1">
      <c r="A159" s="82" t="s">
        <v>336</v>
      </c>
      <c r="B159" s="64" t="s">
        <v>30</v>
      </c>
      <c r="C159" s="220"/>
      <c r="D159" s="64" t="s">
        <v>7</v>
      </c>
      <c r="E159" s="221">
        <v>46101.0</v>
      </c>
      <c r="F159" s="213">
        <f t="shared" si="1"/>
        <v>20</v>
      </c>
      <c r="G159" s="213">
        <f t="shared" si="2"/>
        <v>3</v>
      </c>
      <c r="H159" s="213">
        <f t="shared" si="3"/>
        <v>2026</v>
      </c>
      <c r="I159" s="214">
        <v>3.0</v>
      </c>
      <c r="J159" s="222">
        <v>2026.0</v>
      </c>
      <c r="K159" s="223"/>
      <c r="L159" s="223">
        <v>11.99</v>
      </c>
      <c r="M159" s="32">
        <v>1.0</v>
      </c>
      <c r="N159" s="217">
        <f t="shared" si="44"/>
        <v>11.99</v>
      </c>
      <c r="O159" s="311"/>
      <c r="P159" s="77"/>
      <c r="Q159" s="32" t="s">
        <v>659</v>
      </c>
    </row>
    <row r="160" ht="15.75" hidden="1" customHeight="1">
      <c r="A160" s="82" t="s">
        <v>336</v>
      </c>
      <c r="B160" s="64" t="s">
        <v>30</v>
      </c>
      <c r="C160" s="220"/>
      <c r="D160" s="64" t="s">
        <v>7</v>
      </c>
      <c r="E160" s="231">
        <v>46024.0</v>
      </c>
      <c r="F160" s="213">
        <f t="shared" si="1"/>
        <v>2</v>
      </c>
      <c r="G160" s="213">
        <f t="shared" si="2"/>
        <v>1</v>
      </c>
      <c r="H160" s="213">
        <f t="shared" si="3"/>
        <v>2026</v>
      </c>
      <c r="I160" s="214">
        <v>1.0</v>
      </c>
      <c r="J160" s="222">
        <v>2026.0</v>
      </c>
      <c r="K160" s="223"/>
      <c r="L160" s="223">
        <v>10.16</v>
      </c>
      <c r="M160" s="32">
        <v>1.0</v>
      </c>
      <c r="N160" s="217">
        <f t="shared" si="44"/>
        <v>10.16</v>
      </c>
      <c r="O160" s="87"/>
      <c r="P160" s="87"/>
      <c r="Q160" s="225" t="s">
        <v>665</v>
      </c>
    </row>
    <row r="161" ht="15.75" hidden="1" customHeight="1">
      <c r="A161" s="82" t="s">
        <v>336</v>
      </c>
      <c r="B161" s="82" t="s">
        <v>30</v>
      </c>
      <c r="C161" s="230"/>
      <c r="D161" s="82" t="s">
        <v>7</v>
      </c>
      <c r="E161" s="231">
        <v>46053.0</v>
      </c>
      <c r="F161" s="213">
        <f t="shared" si="1"/>
        <v>31</v>
      </c>
      <c r="G161" s="213">
        <f t="shared" si="2"/>
        <v>1</v>
      </c>
      <c r="H161" s="213">
        <f t="shared" si="3"/>
        <v>2026</v>
      </c>
      <c r="I161" s="232">
        <v>1.0</v>
      </c>
      <c r="J161" s="213">
        <v>2026.0</v>
      </c>
      <c r="K161" s="307"/>
      <c r="L161" s="307">
        <v>9.9</v>
      </c>
      <c r="M161" s="32">
        <v>1.0</v>
      </c>
      <c r="N161" s="217">
        <f t="shared" si="44"/>
        <v>9.9</v>
      </c>
      <c r="O161" s="233"/>
      <c r="P161" s="140"/>
      <c r="Q161" s="234" t="s">
        <v>668</v>
      </c>
      <c r="T161" s="142"/>
      <c r="U161" s="142"/>
    </row>
    <row r="162" ht="15.75" hidden="1" customHeight="1">
      <c r="A162" s="82" t="s">
        <v>336</v>
      </c>
      <c r="B162" s="64" t="s">
        <v>30</v>
      </c>
      <c r="C162" s="220"/>
      <c r="D162" s="64" t="s">
        <v>7</v>
      </c>
      <c r="E162" s="221">
        <v>46168.0</v>
      </c>
      <c r="F162" s="213">
        <f t="shared" si="1"/>
        <v>26</v>
      </c>
      <c r="G162" s="213">
        <f t="shared" si="2"/>
        <v>5</v>
      </c>
      <c r="H162" s="213">
        <f t="shared" si="3"/>
        <v>2026</v>
      </c>
      <c r="I162" s="214">
        <v>5.0</v>
      </c>
      <c r="J162" s="222">
        <v>2026.0</v>
      </c>
      <c r="K162" s="223"/>
      <c r="L162" s="223">
        <v>9.85</v>
      </c>
      <c r="M162" s="32">
        <v>1.0</v>
      </c>
      <c r="N162" s="217">
        <f t="shared" si="44"/>
        <v>9.85</v>
      </c>
      <c r="O162" s="302"/>
      <c r="Q162" s="225"/>
    </row>
    <row r="163" ht="15.75" hidden="1" customHeight="1">
      <c r="A163" s="82" t="s">
        <v>336</v>
      </c>
      <c r="B163" s="64" t="s">
        <v>30</v>
      </c>
      <c r="C163" s="220"/>
      <c r="D163" s="64" t="s">
        <v>7</v>
      </c>
      <c r="E163" s="221">
        <v>46170.0</v>
      </c>
      <c r="F163" s="213">
        <f t="shared" si="1"/>
        <v>28</v>
      </c>
      <c r="G163" s="213">
        <f t="shared" si="2"/>
        <v>5</v>
      </c>
      <c r="H163" s="213">
        <f t="shared" si="3"/>
        <v>2026</v>
      </c>
      <c r="I163" s="214">
        <v>5.0</v>
      </c>
      <c r="J163" s="222">
        <v>2026.0</v>
      </c>
      <c r="K163" s="223"/>
      <c r="L163" s="223">
        <v>8.9</v>
      </c>
      <c r="M163" s="32">
        <v>1.0</v>
      </c>
      <c r="N163" s="217">
        <f t="shared" si="44"/>
        <v>8.9</v>
      </c>
      <c r="O163" s="87"/>
      <c r="P163" s="87"/>
      <c r="Q163" s="318"/>
    </row>
    <row r="164" ht="15.75" hidden="1" customHeight="1">
      <c r="A164" s="82" t="s">
        <v>336</v>
      </c>
      <c r="B164" s="64" t="s">
        <v>30</v>
      </c>
      <c r="C164" s="220"/>
      <c r="D164" s="64" t="s">
        <v>7</v>
      </c>
      <c r="E164" s="221">
        <v>46099.0</v>
      </c>
      <c r="F164" s="213">
        <f t="shared" si="1"/>
        <v>18</v>
      </c>
      <c r="G164" s="213">
        <f t="shared" si="2"/>
        <v>3</v>
      </c>
      <c r="H164" s="213">
        <f t="shared" si="3"/>
        <v>2026</v>
      </c>
      <c r="I164" s="214">
        <v>3.0</v>
      </c>
      <c r="J164" s="222">
        <v>2026.0</v>
      </c>
      <c r="K164" s="223"/>
      <c r="L164" s="223">
        <v>8.74</v>
      </c>
      <c r="M164" s="32">
        <v>1.0</v>
      </c>
      <c r="N164" s="217">
        <f t="shared" si="44"/>
        <v>8.74</v>
      </c>
      <c r="O164" s="311"/>
      <c r="P164" s="77"/>
      <c r="Q164" s="32" t="s">
        <v>659</v>
      </c>
    </row>
    <row r="165" ht="15.75" hidden="1" customHeight="1">
      <c r="A165" s="82" t="s">
        <v>336</v>
      </c>
      <c r="B165" s="82" t="s">
        <v>30</v>
      </c>
      <c r="C165" s="230"/>
      <c r="D165" s="64" t="s">
        <v>7</v>
      </c>
      <c r="E165" s="231">
        <v>46101.0</v>
      </c>
      <c r="F165" s="213">
        <f t="shared" si="1"/>
        <v>20</v>
      </c>
      <c r="G165" s="213">
        <f t="shared" si="2"/>
        <v>3</v>
      </c>
      <c r="H165" s="213">
        <f t="shared" si="3"/>
        <v>2026</v>
      </c>
      <c r="I165" s="232">
        <v>3.0</v>
      </c>
      <c r="J165" s="213">
        <v>2026.0</v>
      </c>
      <c r="K165" s="307"/>
      <c r="L165" s="307">
        <v>8.51</v>
      </c>
      <c r="M165" s="32">
        <v>1.0</v>
      </c>
      <c r="N165" s="217">
        <f t="shared" si="44"/>
        <v>8.51</v>
      </c>
      <c r="O165" s="311"/>
      <c r="P165" s="140"/>
      <c r="Q165" s="32" t="s">
        <v>659</v>
      </c>
    </row>
    <row r="166" ht="15.75" hidden="1" customHeight="1">
      <c r="A166" s="82" t="s">
        <v>336</v>
      </c>
      <c r="B166" s="64" t="s">
        <v>30</v>
      </c>
      <c r="C166" s="220"/>
      <c r="D166" s="64" t="s">
        <v>7</v>
      </c>
      <c r="E166" s="221">
        <v>46142.0</v>
      </c>
      <c r="F166" s="213">
        <f t="shared" si="1"/>
        <v>30</v>
      </c>
      <c r="G166" s="213">
        <f t="shared" si="2"/>
        <v>4</v>
      </c>
      <c r="H166" s="213">
        <f t="shared" si="3"/>
        <v>2026</v>
      </c>
      <c r="I166" s="214">
        <v>4.0</v>
      </c>
      <c r="J166" s="222">
        <v>2026.0</v>
      </c>
      <c r="K166" s="223"/>
      <c r="L166" s="223">
        <v>7.98</v>
      </c>
      <c r="M166" s="269">
        <v>1.0</v>
      </c>
      <c r="N166" s="217">
        <f t="shared" si="44"/>
        <v>7.98</v>
      </c>
      <c r="O166" s="87"/>
      <c r="P166" s="87"/>
      <c r="Q166" s="32" t="s">
        <v>677</v>
      </c>
    </row>
    <row r="167" ht="15.75" hidden="1" customHeight="1">
      <c r="A167" s="82" t="s">
        <v>336</v>
      </c>
      <c r="B167" s="64" t="s">
        <v>30</v>
      </c>
      <c r="C167" s="220"/>
      <c r="D167" s="64" t="s">
        <v>7</v>
      </c>
      <c r="E167" s="221">
        <v>46100.0</v>
      </c>
      <c r="F167" s="213">
        <f t="shared" si="1"/>
        <v>19</v>
      </c>
      <c r="G167" s="213">
        <f t="shared" si="2"/>
        <v>3</v>
      </c>
      <c r="H167" s="213">
        <f t="shared" si="3"/>
        <v>2026</v>
      </c>
      <c r="I167" s="232">
        <v>3.0</v>
      </c>
      <c r="J167" s="213">
        <v>2026.0</v>
      </c>
      <c r="K167" s="307"/>
      <c r="L167" s="307">
        <v>5.25</v>
      </c>
      <c r="M167" s="32">
        <v>1.0</v>
      </c>
      <c r="N167" s="217">
        <f t="shared" si="44"/>
        <v>5.25</v>
      </c>
      <c r="O167" s="77"/>
      <c r="P167" s="77"/>
      <c r="Q167" s="32" t="s">
        <v>680</v>
      </c>
    </row>
    <row r="168" ht="15.75" hidden="1" customHeight="1">
      <c r="A168" s="82" t="s">
        <v>336</v>
      </c>
      <c r="B168" s="82" t="s">
        <v>30</v>
      </c>
      <c r="C168" s="230"/>
      <c r="D168" s="64" t="s">
        <v>7</v>
      </c>
      <c r="E168" s="231">
        <v>46098.0</v>
      </c>
      <c r="F168" s="213">
        <f t="shared" si="1"/>
        <v>17</v>
      </c>
      <c r="G168" s="213">
        <f t="shared" si="2"/>
        <v>3</v>
      </c>
      <c r="H168" s="213">
        <f t="shared" si="3"/>
        <v>2026</v>
      </c>
      <c r="I168" s="214">
        <v>3.0</v>
      </c>
      <c r="J168" s="222">
        <v>2026.0</v>
      </c>
      <c r="K168" s="223"/>
      <c r="L168" s="223">
        <v>5.0</v>
      </c>
      <c r="M168" s="32">
        <v>1.0</v>
      </c>
      <c r="N168" s="217">
        <f t="shared" si="44"/>
        <v>5</v>
      </c>
      <c r="O168" s="311"/>
      <c r="P168" s="140"/>
      <c r="Q168" s="32"/>
    </row>
    <row r="169" ht="15.75" hidden="1" customHeight="1">
      <c r="A169" s="82" t="s">
        <v>336</v>
      </c>
      <c r="B169" s="64" t="s">
        <v>30</v>
      </c>
      <c r="C169" s="220"/>
      <c r="D169" s="64" t="s">
        <v>7</v>
      </c>
      <c r="E169" s="221">
        <v>46099.0</v>
      </c>
      <c r="F169" s="213">
        <f t="shared" si="1"/>
        <v>18</v>
      </c>
      <c r="G169" s="213">
        <f t="shared" si="2"/>
        <v>3</v>
      </c>
      <c r="H169" s="213">
        <f t="shared" si="3"/>
        <v>2026</v>
      </c>
      <c r="I169" s="214">
        <v>3.0</v>
      </c>
      <c r="J169" s="222">
        <v>2026.0</v>
      </c>
      <c r="K169" s="223"/>
      <c r="L169" s="223">
        <v>4.5</v>
      </c>
      <c r="M169" s="32">
        <v>1.0</v>
      </c>
      <c r="N169" s="217">
        <f t="shared" si="44"/>
        <v>4.5</v>
      </c>
      <c r="O169" s="87"/>
      <c r="P169" s="224"/>
      <c r="Q169" s="32" t="s">
        <v>683</v>
      </c>
    </row>
    <row r="170" ht="15.75" hidden="1" customHeight="1">
      <c r="A170" s="82" t="s">
        <v>336</v>
      </c>
      <c r="B170" s="64" t="s">
        <v>30</v>
      </c>
      <c r="C170" s="220"/>
      <c r="D170" s="64" t="s">
        <v>7</v>
      </c>
      <c r="E170" s="221">
        <v>46091.0</v>
      </c>
      <c r="F170" s="213">
        <f t="shared" si="1"/>
        <v>10</v>
      </c>
      <c r="G170" s="213">
        <f t="shared" si="2"/>
        <v>3</v>
      </c>
      <c r="H170" s="213">
        <f t="shared" si="3"/>
        <v>2026</v>
      </c>
      <c r="I170" s="214">
        <v>3.0</v>
      </c>
      <c r="J170" s="222">
        <v>2026.0</v>
      </c>
      <c r="K170" s="223"/>
      <c r="L170" s="223">
        <v>3.79</v>
      </c>
      <c r="M170" s="32">
        <v>1.0</v>
      </c>
      <c r="N170" s="217">
        <f t="shared" si="44"/>
        <v>3.79</v>
      </c>
      <c r="O170" s="311"/>
      <c r="P170" s="77"/>
      <c r="Q170" s="32" t="s">
        <v>659</v>
      </c>
    </row>
    <row r="171" ht="15.75" hidden="1" customHeight="1">
      <c r="A171" s="82" t="s">
        <v>336</v>
      </c>
      <c r="B171" s="64" t="s">
        <v>30</v>
      </c>
      <c r="C171" s="220"/>
      <c r="D171" s="64" t="s">
        <v>7</v>
      </c>
      <c r="E171" s="221">
        <v>46099.0</v>
      </c>
      <c r="F171" s="213">
        <f t="shared" si="1"/>
        <v>18</v>
      </c>
      <c r="G171" s="213">
        <f t="shared" si="2"/>
        <v>3</v>
      </c>
      <c r="H171" s="213">
        <f t="shared" si="3"/>
        <v>2026</v>
      </c>
      <c r="I171" s="214">
        <v>3.0</v>
      </c>
      <c r="J171" s="222">
        <v>2026.0</v>
      </c>
      <c r="K171" s="223"/>
      <c r="L171" s="223">
        <v>3.0</v>
      </c>
      <c r="M171" s="32">
        <v>1.0</v>
      </c>
      <c r="N171" s="217">
        <f t="shared" si="44"/>
        <v>3</v>
      </c>
      <c r="O171" s="77"/>
      <c r="P171" s="77"/>
      <c r="Q171" s="32" t="s">
        <v>683</v>
      </c>
    </row>
    <row r="172" ht="15.75" hidden="1" customHeight="1">
      <c r="A172" s="82" t="s">
        <v>336</v>
      </c>
      <c r="B172" s="64" t="s">
        <v>30</v>
      </c>
      <c r="C172" s="220"/>
      <c r="D172" s="64" t="s">
        <v>7</v>
      </c>
      <c r="E172" s="221">
        <v>46099.0</v>
      </c>
      <c r="F172" s="213">
        <f t="shared" si="1"/>
        <v>18</v>
      </c>
      <c r="G172" s="213">
        <f t="shared" si="2"/>
        <v>3</v>
      </c>
      <c r="H172" s="213">
        <f t="shared" si="3"/>
        <v>2026</v>
      </c>
      <c r="I172" s="232">
        <v>3.0</v>
      </c>
      <c r="J172" s="213">
        <v>2026.0</v>
      </c>
      <c r="K172" s="307"/>
      <c r="L172" s="307">
        <v>3.0</v>
      </c>
      <c r="M172" s="32">
        <v>1.0</v>
      </c>
      <c r="N172" s="217">
        <f t="shared" si="44"/>
        <v>3</v>
      </c>
      <c r="O172" s="77"/>
      <c r="P172" s="77"/>
      <c r="Q172" s="234"/>
    </row>
    <row r="173" ht="15.75" hidden="1" customHeight="1">
      <c r="A173" s="82" t="s">
        <v>336</v>
      </c>
      <c r="B173" s="64" t="s">
        <v>30</v>
      </c>
      <c r="C173" s="220"/>
      <c r="D173" s="64" t="s">
        <v>7</v>
      </c>
      <c r="E173" s="221">
        <v>46104.0</v>
      </c>
      <c r="F173" s="213">
        <f t="shared" si="1"/>
        <v>23</v>
      </c>
      <c r="G173" s="213">
        <f t="shared" si="2"/>
        <v>3</v>
      </c>
      <c r="H173" s="213">
        <f t="shared" si="3"/>
        <v>2026</v>
      </c>
      <c r="I173" s="214">
        <v>3.0</v>
      </c>
      <c r="J173" s="222">
        <v>2026.0</v>
      </c>
      <c r="K173" s="223"/>
      <c r="L173" s="223">
        <v>2.25</v>
      </c>
      <c r="M173" s="32">
        <v>1.0</v>
      </c>
      <c r="N173" s="217">
        <f t="shared" si="44"/>
        <v>2.25</v>
      </c>
      <c r="O173" s="311"/>
      <c r="P173" s="77"/>
      <c r="Q173" s="32" t="s">
        <v>692</v>
      </c>
    </row>
    <row r="174" ht="15.75" hidden="1" customHeight="1">
      <c r="A174" s="82" t="s">
        <v>336</v>
      </c>
      <c r="B174" s="82" t="s">
        <v>30</v>
      </c>
      <c r="C174" s="230"/>
      <c r="D174" s="64" t="s">
        <v>7</v>
      </c>
      <c r="E174" s="231">
        <v>46100.0</v>
      </c>
      <c r="F174" s="213">
        <f t="shared" si="1"/>
        <v>19</v>
      </c>
      <c r="G174" s="213">
        <f t="shared" si="2"/>
        <v>3</v>
      </c>
      <c r="H174" s="213">
        <f t="shared" si="3"/>
        <v>2026</v>
      </c>
      <c r="I174" s="214">
        <v>3.0</v>
      </c>
      <c r="J174" s="222">
        <v>2026.0</v>
      </c>
      <c r="K174" s="223"/>
      <c r="L174" s="223">
        <v>2.2</v>
      </c>
      <c r="M174" s="32">
        <v>1.0</v>
      </c>
      <c r="N174" s="217">
        <f t="shared" si="44"/>
        <v>2.2</v>
      </c>
      <c r="O174" s="311"/>
      <c r="P174" s="140"/>
      <c r="Q174" s="32" t="s">
        <v>695</v>
      </c>
    </row>
    <row r="175" ht="15.75" hidden="1" customHeight="1">
      <c r="A175" s="82" t="s">
        <v>336</v>
      </c>
      <c r="B175" s="64" t="s">
        <v>30</v>
      </c>
      <c r="C175" s="220"/>
      <c r="D175" s="64" t="s">
        <v>7</v>
      </c>
      <c r="E175" s="221">
        <v>46099.0</v>
      </c>
      <c r="F175" s="213">
        <f t="shared" si="1"/>
        <v>18</v>
      </c>
      <c r="G175" s="213">
        <f t="shared" si="2"/>
        <v>3</v>
      </c>
      <c r="H175" s="213">
        <f t="shared" si="3"/>
        <v>2026</v>
      </c>
      <c r="I175" s="214">
        <v>3.0</v>
      </c>
      <c r="J175" s="222">
        <v>2026.0</v>
      </c>
      <c r="K175" s="223"/>
      <c r="L175" s="223">
        <v>1.14</v>
      </c>
      <c r="M175" s="32">
        <v>1.0</v>
      </c>
      <c r="N175" s="217">
        <f t="shared" si="44"/>
        <v>1.14</v>
      </c>
      <c r="O175" s="311"/>
      <c r="P175" s="77"/>
      <c r="Q175" s="32" t="s">
        <v>659</v>
      </c>
    </row>
    <row r="176" ht="15.75" hidden="1" customHeight="1">
      <c r="A176" s="82" t="s">
        <v>336</v>
      </c>
      <c r="B176" s="64" t="s">
        <v>30</v>
      </c>
      <c r="C176" s="220"/>
      <c r="D176" s="64" t="s">
        <v>319</v>
      </c>
      <c r="E176" s="221">
        <v>46217.0</v>
      </c>
      <c r="F176" s="213">
        <f t="shared" si="1"/>
        <v>14</v>
      </c>
      <c r="G176" s="213">
        <f t="shared" si="2"/>
        <v>7</v>
      </c>
      <c r="H176" s="213">
        <f t="shared" si="3"/>
        <v>2026</v>
      </c>
      <c r="I176" s="214">
        <f t="shared" ref="I176:J176" si="45">G176</f>
        <v>7</v>
      </c>
      <c r="J176" s="215">
        <f t="shared" si="45"/>
        <v>2026</v>
      </c>
      <c r="K176" s="223"/>
      <c r="L176" s="223">
        <v>12.3</v>
      </c>
      <c r="M176" s="32">
        <v>1.0</v>
      </c>
      <c r="N176" s="217">
        <f t="shared" si="44"/>
        <v>12.3</v>
      </c>
      <c r="O176" s="87"/>
      <c r="P176" s="224"/>
      <c r="Q176" s="225" t="s">
        <v>699</v>
      </c>
    </row>
    <row r="177" ht="15.75" hidden="1" customHeight="1">
      <c r="A177" s="82" t="s">
        <v>336</v>
      </c>
      <c r="B177" s="64" t="s">
        <v>30</v>
      </c>
      <c r="C177" s="220"/>
      <c r="D177" s="64" t="s">
        <v>319</v>
      </c>
      <c r="E177" s="221">
        <v>46186.0</v>
      </c>
      <c r="F177" s="213">
        <f t="shared" si="1"/>
        <v>13</v>
      </c>
      <c r="G177" s="213">
        <f t="shared" si="2"/>
        <v>6</v>
      </c>
      <c r="H177" s="213">
        <f t="shared" si="3"/>
        <v>2026</v>
      </c>
      <c r="I177" s="214">
        <v>6.0</v>
      </c>
      <c r="J177" s="222">
        <v>2026.0</v>
      </c>
      <c r="K177" s="223"/>
      <c r="L177" s="223">
        <v>20.0</v>
      </c>
      <c r="M177" s="32">
        <v>1.0</v>
      </c>
      <c r="N177" s="217">
        <f t="shared" si="44"/>
        <v>20</v>
      </c>
      <c r="O177" s="77"/>
      <c r="P177" s="77"/>
      <c r="Q177" s="225"/>
    </row>
    <row r="178" ht="15.75" hidden="1" customHeight="1">
      <c r="A178" s="82" t="s">
        <v>336</v>
      </c>
      <c r="B178" s="64" t="s">
        <v>30</v>
      </c>
      <c r="C178" s="220"/>
      <c r="D178" s="64" t="s">
        <v>319</v>
      </c>
      <c r="E178" s="221">
        <v>46171.0</v>
      </c>
      <c r="F178" s="213">
        <f t="shared" si="1"/>
        <v>29</v>
      </c>
      <c r="G178" s="213">
        <f t="shared" si="2"/>
        <v>5</v>
      </c>
      <c r="H178" s="213">
        <f t="shared" si="3"/>
        <v>2026</v>
      </c>
      <c r="I178" s="214">
        <v>5.0</v>
      </c>
      <c r="J178" s="222">
        <v>2026.0</v>
      </c>
      <c r="K178" s="223"/>
      <c r="L178" s="223">
        <v>12.0</v>
      </c>
      <c r="M178" s="32">
        <v>1.0</v>
      </c>
      <c r="N178" s="217">
        <f t="shared" si="44"/>
        <v>12</v>
      </c>
      <c r="O178" s="87"/>
      <c r="P178" s="224"/>
      <c r="Q178" s="225"/>
    </row>
    <row r="179" ht="15.75" hidden="1" customHeight="1">
      <c r="A179" s="82" t="s">
        <v>336</v>
      </c>
      <c r="B179" s="64" t="s">
        <v>30</v>
      </c>
      <c r="C179" s="220"/>
      <c r="D179" s="64" t="s">
        <v>319</v>
      </c>
      <c r="E179" s="221">
        <v>46221.0</v>
      </c>
      <c r="F179" s="213">
        <f t="shared" si="1"/>
        <v>18</v>
      </c>
      <c r="G179" s="213">
        <f t="shared" si="2"/>
        <v>7</v>
      </c>
      <c r="H179" s="213">
        <f t="shared" si="3"/>
        <v>2026</v>
      </c>
      <c r="I179" s="214">
        <f t="shared" ref="I179:J179" si="46">G179</f>
        <v>7</v>
      </c>
      <c r="J179" s="215">
        <f t="shared" si="46"/>
        <v>2026</v>
      </c>
      <c r="K179" s="223"/>
      <c r="L179" s="223">
        <v>10.0</v>
      </c>
      <c r="M179" s="32">
        <v>1.0</v>
      </c>
      <c r="N179" s="217">
        <f t="shared" si="44"/>
        <v>10</v>
      </c>
      <c r="O179" s="87"/>
      <c r="P179" s="87"/>
      <c r="Q179" s="225"/>
    </row>
    <row r="180" ht="15.75" hidden="1" customHeight="1">
      <c r="A180" s="82" t="s">
        <v>336</v>
      </c>
      <c r="B180" s="64" t="s">
        <v>30</v>
      </c>
      <c r="C180" s="220"/>
      <c r="D180" s="64" t="s">
        <v>7</v>
      </c>
      <c r="E180" s="221">
        <v>46040.0</v>
      </c>
      <c r="F180" s="213">
        <f t="shared" si="1"/>
        <v>18</v>
      </c>
      <c r="G180" s="213">
        <f t="shared" si="2"/>
        <v>1</v>
      </c>
      <c r="H180" s="213">
        <f t="shared" si="3"/>
        <v>2026</v>
      </c>
      <c r="I180" s="214">
        <v>1.0</v>
      </c>
      <c r="J180" s="222">
        <v>2026.0</v>
      </c>
      <c r="K180" s="223"/>
      <c r="L180" s="223">
        <v>-75.98</v>
      </c>
      <c r="M180" s="32">
        <v>1.0</v>
      </c>
      <c r="N180" s="217">
        <f t="shared" si="44"/>
        <v>-75.98</v>
      </c>
      <c r="O180" s="87"/>
      <c r="P180" s="77"/>
      <c r="Q180" s="225" t="s">
        <v>708</v>
      </c>
    </row>
    <row r="181" ht="15.75" hidden="1" customHeight="1">
      <c r="A181" s="82" t="s">
        <v>336</v>
      </c>
      <c r="B181" s="82" t="s">
        <v>42</v>
      </c>
      <c r="C181" s="230"/>
      <c r="D181" s="82" t="s">
        <v>7</v>
      </c>
      <c r="E181" s="231">
        <v>46062.0</v>
      </c>
      <c r="F181" s="213">
        <f t="shared" si="1"/>
        <v>9</v>
      </c>
      <c r="G181" s="213">
        <f t="shared" si="2"/>
        <v>2</v>
      </c>
      <c r="H181" s="213">
        <f t="shared" si="3"/>
        <v>2026</v>
      </c>
      <c r="I181" s="213">
        <v>2.0</v>
      </c>
      <c r="J181" s="213">
        <v>2026.0</v>
      </c>
      <c r="K181" s="307"/>
      <c r="L181" s="307">
        <v>5000.0</v>
      </c>
      <c r="M181" s="32">
        <v>1.0</v>
      </c>
      <c r="N181" s="217">
        <f t="shared" si="44"/>
        <v>5000</v>
      </c>
      <c r="O181" s="320"/>
      <c r="P181" s="321"/>
      <c r="Q181" s="32" t="s">
        <v>711</v>
      </c>
    </row>
    <row r="182" ht="15.75" hidden="1" customHeight="1">
      <c r="A182" s="82" t="s">
        <v>336</v>
      </c>
      <c r="B182" s="82" t="s">
        <v>42</v>
      </c>
      <c r="C182" s="230"/>
      <c r="D182" s="82" t="s">
        <v>7</v>
      </c>
      <c r="E182" s="231">
        <v>46063.0</v>
      </c>
      <c r="F182" s="213">
        <f t="shared" si="1"/>
        <v>10</v>
      </c>
      <c r="G182" s="213">
        <f t="shared" si="2"/>
        <v>2</v>
      </c>
      <c r="H182" s="213">
        <f t="shared" si="3"/>
        <v>2026</v>
      </c>
      <c r="I182" s="213">
        <v>2.0</v>
      </c>
      <c r="J182" s="213">
        <v>2026.0</v>
      </c>
      <c r="K182" s="307"/>
      <c r="L182" s="307">
        <v>5000.0</v>
      </c>
      <c r="M182" s="32">
        <v>1.0</v>
      </c>
      <c r="N182" s="217">
        <f t="shared" si="44"/>
        <v>5000</v>
      </c>
      <c r="O182" s="320"/>
      <c r="P182" s="321"/>
      <c r="Q182" s="234" t="s">
        <v>714</v>
      </c>
    </row>
    <row r="183" ht="15.75" hidden="1" customHeight="1">
      <c r="A183" s="82" t="s">
        <v>336</v>
      </c>
      <c r="B183" s="82" t="s">
        <v>42</v>
      </c>
      <c r="C183" s="230"/>
      <c r="D183" s="82" t="s">
        <v>7</v>
      </c>
      <c r="E183" s="231">
        <v>46064.0</v>
      </c>
      <c r="F183" s="213">
        <f t="shared" si="1"/>
        <v>11</v>
      </c>
      <c r="G183" s="213">
        <f t="shared" si="2"/>
        <v>2</v>
      </c>
      <c r="H183" s="213">
        <f t="shared" si="3"/>
        <v>2026</v>
      </c>
      <c r="I183" s="213">
        <v>2.0</v>
      </c>
      <c r="J183" s="213">
        <v>2026.0</v>
      </c>
      <c r="K183" s="307"/>
      <c r="L183" s="307">
        <v>5000.0</v>
      </c>
      <c r="M183" s="32">
        <v>1.0</v>
      </c>
      <c r="N183" s="217">
        <f t="shared" si="44"/>
        <v>5000</v>
      </c>
      <c r="O183" s="233"/>
      <c r="P183" s="140"/>
      <c r="Q183" s="234" t="s">
        <v>717</v>
      </c>
    </row>
    <row r="184" ht="15.75" hidden="1" customHeight="1">
      <c r="A184" s="82" t="s">
        <v>336</v>
      </c>
      <c r="B184" s="64" t="s">
        <v>42</v>
      </c>
      <c r="C184" s="220"/>
      <c r="D184" s="64" t="s">
        <v>7</v>
      </c>
      <c r="E184" s="221">
        <v>46182.0</v>
      </c>
      <c r="F184" s="213">
        <f t="shared" si="1"/>
        <v>9</v>
      </c>
      <c r="G184" s="213">
        <f t="shared" si="2"/>
        <v>6</v>
      </c>
      <c r="H184" s="213">
        <f t="shared" si="3"/>
        <v>2026</v>
      </c>
      <c r="I184" s="214">
        <v>6.0</v>
      </c>
      <c r="J184" s="222">
        <v>2026.0</v>
      </c>
      <c r="K184" s="223"/>
      <c r="L184" s="223">
        <v>2000.0</v>
      </c>
      <c r="M184" s="32">
        <v>1.0</v>
      </c>
      <c r="N184" s="217">
        <f t="shared" si="44"/>
        <v>2000</v>
      </c>
      <c r="P184" s="224"/>
      <c r="Q184" s="87" t="s">
        <v>720</v>
      </c>
    </row>
    <row r="185" ht="15.75" hidden="1" customHeight="1">
      <c r="A185" s="82" t="s">
        <v>336</v>
      </c>
      <c r="B185" s="64" t="s">
        <v>42</v>
      </c>
      <c r="C185" s="220"/>
      <c r="D185" s="64" t="s">
        <v>7</v>
      </c>
      <c r="E185" s="221">
        <v>46233.0</v>
      </c>
      <c r="F185" s="213">
        <f t="shared" si="1"/>
        <v>30</v>
      </c>
      <c r="G185" s="213">
        <f t="shared" si="2"/>
        <v>7</v>
      </c>
      <c r="H185" s="213">
        <f t="shared" si="3"/>
        <v>2026</v>
      </c>
      <c r="I185" s="214">
        <f t="shared" ref="I185:J185" si="47">G185</f>
        <v>7</v>
      </c>
      <c r="J185" s="215">
        <f t="shared" si="47"/>
        <v>2026</v>
      </c>
      <c r="K185" s="216"/>
      <c r="L185" s="223">
        <v>1500.0</v>
      </c>
      <c r="M185" s="32">
        <v>1.0</v>
      </c>
      <c r="N185" s="236">
        <f t="shared" si="44"/>
        <v>1500</v>
      </c>
      <c r="O185" s="87"/>
      <c r="P185" s="87"/>
      <c r="Q185" s="225" t="s">
        <v>723</v>
      </c>
    </row>
    <row r="186" ht="15.75" hidden="1" customHeight="1">
      <c r="A186" s="64" t="s">
        <v>334</v>
      </c>
      <c r="B186" s="64" t="s">
        <v>341</v>
      </c>
      <c r="C186" s="220"/>
      <c r="D186" s="82" t="s">
        <v>369</v>
      </c>
      <c r="E186" s="221">
        <v>46023.0</v>
      </c>
      <c r="F186" s="213">
        <f t="shared" si="1"/>
        <v>1</v>
      </c>
      <c r="G186" s="213">
        <f t="shared" si="2"/>
        <v>1</v>
      </c>
      <c r="H186" s="213">
        <f t="shared" si="3"/>
        <v>2026</v>
      </c>
      <c r="I186" s="214">
        <v>1.0</v>
      </c>
      <c r="J186" s="222">
        <v>2026.0</v>
      </c>
      <c r="K186" s="223"/>
      <c r="L186" s="223">
        <v>10000.0</v>
      </c>
      <c r="M186" s="32">
        <v>1.0</v>
      </c>
      <c r="N186" s="217">
        <f t="shared" si="44"/>
        <v>10000</v>
      </c>
      <c r="O186" s="87">
        <v>15.0</v>
      </c>
      <c r="P186" s="87" t="s">
        <v>15</v>
      </c>
      <c r="Q186" s="225" t="s">
        <v>726</v>
      </c>
    </row>
    <row r="187" ht="15.75" hidden="1" customHeight="1">
      <c r="A187" s="64" t="s">
        <v>334</v>
      </c>
      <c r="B187" s="64" t="s">
        <v>341</v>
      </c>
      <c r="C187" s="220"/>
      <c r="D187" s="82" t="s">
        <v>369</v>
      </c>
      <c r="E187" s="221">
        <v>46075.0</v>
      </c>
      <c r="F187" s="213">
        <f t="shared" si="1"/>
        <v>22</v>
      </c>
      <c r="G187" s="213">
        <f t="shared" si="2"/>
        <v>2</v>
      </c>
      <c r="H187" s="213">
        <f t="shared" si="3"/>
        <v>2026</v>
      </c>
      <c r="I187" s="214">
        <v>2.0</v>
      </c>
      <c r="J187" s="222">
        <v>2026.0</v>
      </c>
      <c r="K187" s="223"/>
      <c r="L187" s="223">
        <v>10000.0</v>
      </c>
      <c r="M187" s="32">
        <v>1.0</v>
      </c>
      <c r="N187" s="217">
        <f t="shared" si="44"/>
        <v>10000</v>
      </c>
      <c r="O187" s="77"/>
      <c r="P187" s="87" t="s">
        <v>16</v>
      </c>
      <c r="Q187" s="227"/>
    </row>
    <row r="188" ht="15.75" hidden="1" customHeight="1">
      <c r="A188" s="64" t="s">
        <v>334</v>
      </c>
      <c r="B188" s="64" t="s">
        <v>341</v>
      </c>
      <c r="C188" s="230"/>
      <c r="D188" s="82" t="s">
        <v>369</v>
      </c>
      <c r="E188" s="231">
        <v>46081.0</v>
      </c>
      <c r="F188" s="213">
        <f t="shared" si="1"/>
        <v>28</v>
      </c>
      <c r="G188" s="213">
        <f t="shared" si="2"/>
        <v>2</v>
      </c>
      <c r="H188" s="213">
        <f t="shared" si="3"/>
        <v>2026</v>
      </c>
      <c r="I188" s="232">
        <v>2.0</v>
      </c>
      <c r="J188" s="213">
        <v>2026.0</v>
      </c>
      <c r="K188" s="307"/>
      <c r="L188" s="307">
        <v>10000.0</v>
      </c>
      <c r="M188" s="32">
        <v>1.0</v>
      </c>
      <c r="N188" s="217">
        <f t="shared" si="44"/>
        <v>10000</v>
      </c>
      <c r="P188" s="87" t="s">
        <v>17</v>
      </c>
      <c r="Q188" s="234"/>
    </row>
    <row r="189" ht="15.75" hidden="1" customHeight="1">
      <c r="A189" s="64" t="s">
        <v>334</v>
      </c>
      <c r="B189" s="64" t="s">
        <v>341</v>
      </c>
      <c r="C189" s="230"/>
      <c r="D189" s="82" t="s">
        <v>369</v>
      </c>
      <c r="E189" s="231">
        <v>46174.0</v>
      </c>
      <c r="F189" s="213">
        <f t="shared" si="1"/>
        <v>1</v>
      </c>
      <c r="G189" s="213">
        <f t="shared" si="2"/>
        <v>6</v>
      </c>
      <c r="H189" s="213">
        <f t="shared" si="3"/>
        <v>2026</v>
      </c>
      <c r="I189" s="322">
        <f t="shared" ref="I189:J189" si="48">G189</f>
        <v>6</v>
      </c>
      <c r="J189" s="213">
        <f t="shared" si="48"/>
        <v>2026</v>
      </c>
      <c r="K189" s="217"/>
      <c r="L189" s="307">
        <v>5000.0</v>
      </c>
      <c r="M189" s="245">
        <v>1.0</v>
      </c>
      <c r="N189" s="217">
        <f>M189*L189</f>
        <v>5000</v>
      </c>
      <c r="O189" s="233"/>
      <c r="P189" s="87" t="s">
        <v>19</v>
      </c>
      <c r="Q189" s="234"/>
    </row>
    <row r="190" ht="15.75" hidden="1" customHeight="1">
      <c r="A190" s="64" t="s">
        <v>334</v>
      </c>
      <c r="B190" s="64" t="s">
        <v>341</v>
      </c>
      <c r="C190" s="220"/>
      <c r="D190" s="82" t="s">
        <v>369</v>
      </c>
      <c r="E190" s="221">
        <v>46143.0</v>
      </c>
      <c r="F190" s="213">
        <f t="shared" si="1"/>
        <v>1</v>
      </c>
      <c r="G190" s="213">
        <f t="shared" si="2"/>
        <v>5</v>
      </c>
      <c r="H190" s="213">
        <f t="shared" si="3"/>
        <v>2026</v>
      </c>
      <c r="I190" s="214">
        <v>5.0</v>
      </c>
      <c r="J190" s="222">
        <v>2026.0</v>
      </c>
      <c r="K190" s="223"/>
      <c r="L190" s="223">
        <v>5000.0</v>
      </c>
      <c r="M190" s="32">
        <v>1.0</v>
      </c>
      <c r="N190" s="217">
        <f t="shared" ref="N190:N237" si="49">L190*M190</f>
        <v>5000</v>
      </c>
      <c r="O190" s="77"/>
      <c r="P190" s="87" t="s">
        <v>18</v>
      </c>
      <c r="Q190" s="227"/>
    </row>
    <row r="191" ht="15.75" hidden="1" customHeight="1">
      <c r="A191" s="64" t="s">
        <v>334</v>
      </c>
      <c r="B191" s="64" t="s">
        <v>342</v>
      </c>
      <c r="C191" s="220"/>
      <c r="D191" s="64" t="s">
        <v>7</v>
      </c>
      <c r="E191" s="221">
        <v>46105.0</v>
      </c>
      <c r="F191" s="213">
        <f t="shared" si="1"/>
        <v>24</v>
      </c>
      <c r="G191" s="213">
        <f t="shared" si="2"/>
        <v>3</v>
      </c>
      <c r="H191" s="213">
        <f t="shared" si="3"/>
        <v>2026</v>
      </c>
      <c r="I191" s="222">
        <v>3.0</v>
      </c>
      <c r="J191" s="222">
        <v>2026.0</v>
      </c>
      <c r="K191" s="223"/>
      <c r="L191" s="223">
        <v>2000.0</v>
      </c>
      <c r="M191" s="32">
        <v>1.0</v>
      </c>
      <c r="N191" s="217">
        <f t="shared" si="49"/>
        <v>2000</v>
      </c>
      <c r="O191" s="77"/>
      <c r="P191" s="77"/>
      <c r="Q191" s="32" t="s">
        <v>737</v>
      </c>
    </row>
    <row r="192" ht="15.75" hidden="1" customHeight="1">
      <c r="A192" s="64" t="s">
        <v>334</v>
      </c>
      <c r="B192" s="64" t="s">
        <v>337</v>
      </c>
      <c r="C192" s="220"/>
      <c r="D192" s="64" t="s">
        <v>319</v>
      </c>
      <c r="E192" s="221">
        <v>46210.0</v>
      </c>
      <c r="F192" s="213">
        <f t="shared" si="1"/>
        <v>7</v>
      </c>
      <c r="G192" s="213">
        <f t="shared" si="2"/>
        <v>7</v>
      </c>
      <c r="H192" s="213">
        <f t="shared" si="3"/>
        <v>2026</v>
      </c>
      <c r="I192" s="214">
        <f t="shared" ref="I192:J192" si="50">G192</f>
        <v>7</v>
      </c>
      <c r="J192" s="215">
        <f t="shared" si="50"/>
        <v>2026</v>
      </c>
      <c r="K192" s="223"/>
      <c r="L192" s="223">
        <v>1000.0</v>
      </c>
      <c r="M192" s="32">
        <v>1.0</v>
      </c>
      <c r="N192" s="217">
        <f t="shared" si="49"/>
        <v>1000</v>
      </c>
      <c r="O192" s="77"/>
      <c r="P192" s="77"/>
      <c r="Q192" s="227"/>
    </row>
    <row r="193" ht="15.75" hidden="1" customHeight="1">
      <c r="A193" s="64" t="s">
        <v>334</v>
      </c>
      <c r="B193" s="64" t="s">
        <v>337</v>
      </c>
      <c r="C193" s="220"/>
      <c r="D193" s="64" t="s">
        <v>319</v>
      </c>
      <c r="E193" s="221">
        <v>46227.0</v>
      </c>
      <c r="F193" s="213">
        <f t="shared" si="1"/>
        <v>24</v>
      </c>
      <c r="G193" s="213">
        <f t="shared" si="2"/>
        <v>7</v>
      </c>
      <c r="H193" s="213">
        <f t="shared" si="3"/>
        <v>2026</v>
      </c>
      <c r="I193" s="214">
        <f t="shared" ref="I193:J193" si="51">G193</f>
        <v>7</v>
      </c>
      <c r="J193" s="215">
        <f t="shared" si="51"/>
        <v>2026</v>
      </c>
      <c r="K193" s="223"/>
      <c r="L193" s="223">
        <v>1000.0</v>
      </c>
      <c r="M193" s="32">
        <v>1.0</v>
      </c>
      <c r="N193" s="217">
        <f t="shared" si="49"/>
        <v>1000</v>
      </c>
      <c r="O193" s="87"/>
      <c r="P193" s="224"/>
      <c r="Q193" s="225"/>
    </row>
    <row r="194" ht="15.75" hidden="1" customHeight="1">
      <c r="A194" s="64" t="s">
        <v>334</v>
      </c>
      <c r="B194" s="64" t="s">
        <v>337</v>
      </c>
      <c r="C194" s="220"/>
      <c r="D194" s="64" t="s">
        <v>319</v>
      </c>
      <c r="E194" s="221">
        <v>46158.0</v>
      </c>
      <c r="F194" s="213">
        <f t="shared" si="1"/>
        <v>16</v>
      </c>
      <c r="G194" s="213">
        <f t="shared" si="2"/>
        <v>5</v>
      </c>
      <c r="H194" s="213">
        <f t="shared" si="3"/>
        <v>2026</v>
      </c>
      <c r="I194" s="214">
        <v>5.0</v>
      </c>
      <c r="J194" s="222">
        <v>2026.0</v>
      </c>
      <c r="K194" s="223"/>
      <c r="L194" s="223">
        <v>500.0</v>
      </c>
      <c r="M194" s="32">
        <v>1.0</v>
      </c>
      <c r="N194" s="217">
        <f t="shared" si="49"/>
        <v>500</v>
      </c>
      <c r="O194" s="87"/>
      <c r="P194" s="87"/>
      <c r="Q194" s="225"/>
    </row>
    <row r="195" ht="15.75" hidden="1" customHeight="1">
      <c r="A195" s="64" t="s">
        <v>334</v>
      </c>
      <c r="B195" s="64" t="s">
        <v>337</v>
      </c>
      <c r="C195" s="220"/>
      <c r="D195" s="64" t="s">
        <v>319</v>
      </c>
      <c r="E195" s="221">
        <v>46164.0</v>
      </c>
      <c r="F195" s="213">
        <f t="shared" si="1"/>
        <v>22</v>
      </c>
      <c r="G195" s="213">
        <f t="shared" si="2"/>
        <v>5</v>
      </c>
      <c r="H195" s="213">
        <f t="shared" si="3"/>
        <v>2026</v>
      </c>
      <c r="I195" s="214">
        <v>5.0</v>
      </c>
      <c r="J195" s="222">
        <v>2026.0</v>
      </c>
      <c r="K195" s="223"/>
      <c r="L195" s="223">
        <v>500.0</v>
      </c>
      <c r="M195" s="32">
        <v>1.0</v>
      </c>
      <c r="N195" s="217">
        <f t="shared" si="49"/>
        <v>500</v>
      </c>
      <c r="O195" s="87"/>
      <c r="P195" s="87"/>
      <c r="Q195" s="225"/>
    </row>
    <row r="196" ht="15.75" hidden="1" customHeight="1">
      <c r="A196" s="64" t="s">
        <v>334</v>
      </c>
      <c r="B196" s="64" t="s">
        <v>337</v>
      </c>
      <c r="C196" s="220"/>
      <c r="D196" s="64" t="s">
        <v>319</v>
      </c>
      <c r="E196" s="221">
        <v>46180.0</v>
      </c>
      <c r="F196" s="213">
        <f t="shared" si="1"/>
        <v>7</v>
      </c>
      <c r="G196" s="213">
        <f t="shared" si="2"/>
        <v>6</v>
      </c>
      <c r="H196" s="213">
        <f t="shared" si="3"/>
        <v>2026</v>
      </c>
      <c r="I196" s="214">
        <v>6.0</v>
      </c>
      <c r="J196" s="222">
        <v>2026.0</v>
      </c>
      <c r="K196" s="223"/>
      <c r="L196" s="223">
        <v>500.0</v>
      </c>
      <c r="M196" s="32">
        <v>1.0</v>
      </c>
      <c r="N196" s="217">
        <f t="shared" si="49"/>
        <v>500</v>
      </c>
      <c r="O196" s="77"/>
      <c r="P196" s="87" t="s">
        <v>746</v>
      </c>
      <c r="Q196" s="225"/>
    </row>
    <row r="197" ht="15.75" hidden="1" customHeight="1">
      <c r="A197" s="64" t="s">
        <v>334</v>
      </c>
      <c r="B197" s="64" t="s">
        <v>337</v>
      </c>
      <c r="C197" s="220"/>
      <c r="D197" s="64" t="s">
        <v>319</v>
      </c>
      <c r="E197" s="221">
        <v>46184.0</v>
      </c>
      <c r="F197" s="213">
        <f t="shared" si="1"/>
        <v>11</v>
      </c>
      <c r="G197" s="213">
        <f t="shared" si="2"/>
        <v>6</v>
      </c>
      <c r="H197" s="213">
        <f t="shared" si="3"/>
        <v>2026</v>
      </c>
      <c r="I197" s="214">
        <v>6.0</v>
      </c>
      <c r="J197" s="222">
        <v>2026.0</v>
      </c>
      <c r="K197" s="223"/>
      <c r="L197" s="223">
        <v>500.0</v>
      </c>
      <c r="M197" s="32">
        <v>1.0</v>
      </c>
      <c r="N197" s="217">
        <f t="shared" si="49"/>
        <v>500</v>
      </c>
      <c r="O197" s="77"/>
      <c r="P197" s="87" t="s">
        <v>749</v>
      </c>
      <c r="Q197" s="227"/>
    </row>
    <row r="198" ht="15.75" hidden="1" customHeight="1">
      <c r="A198" s="64" t="s">
        <v>334</v>
      </c>
      <c r="B198" s="64" t="s">
        <v>337</v>
      </c>
      <c r="C198" s="220"/>
      <c r="D198" s="64" t="s">
        <v>319</v>
      </c>
      <c r="E198" s="221">
        <v>46187.0</v>
      </c>
      <c r="F198" s="213">
        <f t="shared" si="1"/>
        <v>14</v>
      </c>
      <c r="G198" s="213">
        <f t="shared" si="2"/>
        <v>6</v>
      </c>
      <c r="H198" s="213">
        <f t="shared" si="3"/>
        <v>2026</v>
      </c>
      <c r="I198" s="214">
        <v>6.0</v>
      </c>
      <c r="J198" s="222">
        <v>2026.0</v>
      </c>
      <c r="K198" s="223"/>
      <c r="L198" s="223">
        <v>500.0</v>
      </c>
      <c r="M198" s="32">
        <v>1.0</v>
      </c>
      <c r="N198" s="217">
        <f t="shared" si="49"/>
        <v>500</v>
      </c>
      <c r="O198" s="87"/>
      <c r="P198" s="87" t="s">
        <v>752</v>
      </c>
      <c r="Q198" s="226"/>
    </row>
    <row r="199" ht="15.75" hidden="1" customHeight="1">
      <c r="A199" s="64" t="s">
        <v>334</v>
      </c>
      <c r="B199" s="64" t="s">
        <v>337</v>
      </c>
      <c r="C199" s="220"/>
      <c r="D199" s="64" t="s">
        <v>319</v>
      </c>
      <c r="E199" s="221">
        <v>46198.0</v>
      </c>
      <c r="F199" s="213">
        <f t="shared" si="1"/>
        <v>25</v>
      </c>
      <c r="G199" s="213">
        <f t="shared" si="2"/>
        <v>6</v>
      </c>
      <c r="H199" s="213">
        <f t="shared" si="3"/>
        <v>2026</v>
      </c>
      <c r="I199" s="214">
        <v>6.0</v>
      </c>
      <c r="J199" s="222">
        <v>2026.0</v>
      </c>
      <c r="K199" s="223"/>
      <c r="L199" s="223">
        <v>500.0</v>
      </c>
      <c r="M199" s="32">
        <v>1.0</v>
      </c>
      <c r="N199" s="217">
        <f t="shared" si="49"/>
        <v>500</v>
      </c>
      <c r="O199" s="77"/>
      <c r="P199" s="87" t="s">
        <v>755</v>
      </c>
      <c r="Q199" s="226"/>
    </row>
    <row r="200" ht="15.75" hidden="1" customHeight="1">
      <c r="A200" s="64" t="s">
        <v>334</v>
      </c>
      <c r="B200" s="64" t="s">
        <v>337</v>
      </c>
      <c r="C200" s="220"/>
      <c r="D200" s="64" t="s">
        <v>319</v>
      </c>
      <c r="E200" s="221">
        <v>46201.0</v>
      </c>
      <c r="F200" s="213">
        <f t="shared" si="1"/>
        <v>28</v>
      </c>
      <c r="G200" s="213">
        <f t="shared" si="2"/>
        <v>6</v>
      </c>
      <c r="H200" s="213">
        <f t="shared" si="3"/>
        <v>2026</v>
      </c>
      <c r="I200" s="214">
        <v>6.0</v>
      </c>
      <c r="J200" s="222">
        <v>2026.0</v>
      </c>
      <c r="K200" s="223"/>
      <c r="L200" s="223">
        <v>500.0</v>
      </c>
      <c r="M200" s="32">
        <v>1.0</v>
      </c>
      <c r="N200" s="217">
        <f t="shared" si="49"/>
        <v>500</v>
      </c>
      <c r="O200" s="87"/>
      <c r="P200" s="87" t="s">
        <v>756</v>
      </c>
      <c r="Q200" s="225"/>
    </row>
    <row r="201" ht="15.75" hidden="1" customHeight="1">
      <c r="A201" s="64" t="s">
        <v>334</v>
      </c>
      <c r="B201" s="64" t="s">
        <v>337</v>
      </c>
      <c r="C201" s="220"/>
      <c r="D201" s="64" t="s">
        <v>319</v>
      </c>
      <c r="E201" s="221">
        <v>46202.0</v>
      </c>
      <c r="F201" s="213">
        <f t="shared" si="1"/>
        <v>29</v>
      </c>
      <c r="G201" s="213">
        <f t="shared" si="2"/>
        <v>6</v>
      </c>
      <c r="H201" s="213">
        <f t="shared" si="3"/>
        <v>2026</v>
      </c>
      <c r="I201" s="214">
        <v>6.0</v>
      </c>
      <c r="J201" s="222">
        <v>2026.0</v>
      </c>
      <c r="K201" s="223"/>
      <c r="L201" s="223">
        <v>500.0</v>
      </c>
      <c r="M201" s="32">
        <v>1.0</v>
      </c>
      <c r="N201" s="217">
        <f t="shared" si="49"/>
        <v>500</v>
      </c>
      <c r="O201" s="87"/>
      <c r="P201" s="87" t="s">
        <v>759</v>
      </c>
      <c r="Q201" s="225"/>
    </row>
    <row r="202" ht="15.75" hidden="1" customHeight="1">
      <c r="A202" s="323" t="s">
        <v>334</v>
      </c>
      <c r="B202" s="64" t="s">
        <v>337</v>
      </c>
      <c r="C202" s="220"/>
      <c r="D202" s="64" t="s">
        <v>319</v>
      </c>
      <c r="E202" s="221">
        <v>46206.0</v>
      </c>
      <c r="F202" s="213">
        <f t="shared" si="1"/>
        <v>3</v>
      </c>
      <c r="G202" s="213">
        <f t="shared" si="2"/>
        <v>7</v>
      </c>
      <c r="H202" s="213">
        <f t="shared" si="3"/>
        <v>2026</v>
      </c>
      <c r="I202" s="214">
        <f t="shared" ref="I202:J202" si="52">G202</f>
        <v>7</v>
      </c>
      <c r="J202" s="215">
        <f t="shared" si="52"/>
        <v>2026</v>
      </c>
      <c r="K202" s="223"/>
      <c r="L202" s="223">
        <v>500.0</v>
      </c>
      <c r="M202" s="32">
        <v>1.0</v>
      </c>
      <c r="N202" s="217">
        <f t="shared" si="49"/>
        <v>500</v>
      </c>
      <c r="O202" s="77"/>
      <c r="P202" s="77"/>
      <c r="Q202" s="226"/>
    </row>
    <row r="203" ht="15.75" hidden="1" customHeight="1">
      <c r="A203" s="323" t="s">
        <v>334</v>
      </c>
      <c r="B203" s="64" t="s">
        <v>337</v>
      </c>
      <c r="C203" s="220"/>
      <c r="D203" s="64" t="s">
        <v>319</v>
      </c>
      <c r="E203" s="221">
        <v>46210.0</v>
      </c>
      <c r="F203" s="213">
        <f t="shared" si="1"/>
        <v>7</v>
      </c>
      <c r="G203" s="213">
        <f t="shared" si="2"/>
        <v>7</v>
      </c>
      <c r="H203" s="213">
        <f t="shared" si="3"/>
        <v>2026</v>
      </c>
      <c r="I203" s="214">
        <f t="shared" ref="I203:J203" si="53">G203</f>
        <v>7</v>
      </c>
      <c r="J203" s="215">
        <f t="shared" si="53"/>
        <v>2026</v>
      </c>
      <c r="K203" s="223"/>
      <c r="L203" s="223">
        <v>500.0</v>
      </c>
      <c r="M203" s="32">
        <v>1.0</v>
      </c>
      <c r="N203" s="217">
        <f t="shared" si="49"/>
        <v>500</v>
      </c>
      <c r="O203" s="77"/>
      <c r="P203" s="77"/>
      <c r="Q203" s="226"/>
    </row>
    <row r="204" ht="15.75" hidden="1" customHeight="1">
      <c r="A204" s="64" t="s">
        <v>334</v>
      </c>
      <c r="B204" s="64" t="s">
        <v>337</v>
      </c>
      <c r="C204" s="220"/>
      <c r="D204" s="64" t="s">
        <v>319</v>
      </c>
      <c r="E204" s="221">
        <v>46216.0</v>
      </c>
      <c r="F204" s="213">
        <f t="shared" si="1"/>
        <v>13</v>
      </c>
      <c r="G204" s="213">
        <f t="shared" si="2"/>
        <v>7</v>
      </c>
      <c r="H204" s="213">
        <f t="shared" si="3"/>
        <v>2026</v>
      </c>
      <c r="I204" s="214">
        <f t="shared" ref="I204:J204" si="54">G204</f>
        <v>7</v>
      </c>
      <c r="J204" s="215">
        <f t="shared" si="54"/>
        <v>2026</v>
      </c>
      <c r="K204" s="223"/>
      <c r="L204" s="223">
        <v>500.0</v>
      </c>
      <c r="M204" s="32">
        <v>1.0</v>
      </c>
      <c r="N204" s="217">
        <f t="shared" si="49"/>
        <v>500</v>
      </c>
      <c r="O204" s="87"/>
      <c r="P204" s="87"/>
      <c r="Q204" s="227"/>
    </row>
    <row r="205" ht="15.75" hidden="1" customHeight="1">
      <c r="A205" s="64" t="s">
        <v>334</v>
      </c>
      <c r="B205" s="64" t="s">
        <v>337</v>
      </c>
      <c r="C205" s="220"/>
      <c r="D205" s="64" t="s">
        <v>319</v>
      </c>
      <c r="E205" s="221">
        <v>46220.0</v>
      </c>
      <c r="F205" s="213">
        <f t="shared" si="1"/>
        <v>17</v>
      </c>
      <c r="G205" s="213">
        <f t="shared" si="2"/>
        <v>7</v>
      </c>
      <c r="H205" s="213">
        <f t="shared" si="3"/>
        <v>2026</v>
      </c>
      <c r="I205" s="214">
        <f t="shared" ref="I205:J205" si="55">G205</f>
        <v>7</v>
      </c>
      <c r="J205" s="215">
        <f t="shared" si="55"/>
        <v>2026</v>
      </c>
      <c r="K205" s="223"/>
      <c r="L205" s="223">
        <v>500.0</v>
      </c>
      <c r="M205" s="32">
        <v>1.0</v>
      </c>
      <c r="N205" s="217">
        <f t="shared" si="49"/>
        <v>500</v>
      </c>
      <c r="O205" s="87"/>
      <c r="P205" s="87"/>
      <c r="Q205" s="225"/>
    </row>
    <row r="206" ht="15.75" hidden="1" customHeight="1">
      <c r="A206" s="64" t="s">
        <v>334</v>
      </c>
      <c r="B206" s="64" t="s">
        <v>337</v>
      </c>
      <c r="C206" s="220"/>
      <c r="D206" s="64" t="s">
        <v>319</v>
      </c>
      <c r="E206" s="221">
        <v>46222.0</v>
      </c>
      <c r="F206" s="213">
        <f t="shared" si="1"/>
        <v>19</v>
      </c>
      <c r="G206" s="213">
        <f t="shared" si="2"/>
        <v>7</v>
      </c>
      <c r="H206" s="213">
        <f t="shared" si="3"/>
        <v>2026</v>
      </c>
      <c r="I206" s="214">
        <f t="shared" ref="I206:J206" si="56">G206</f>
        <v>7</v>
      </c>
      <c r="J206" s="215">
        <f t="shared" si="56"/>
        <v>2026</v>
      </c>
      <c r="K206" s="223"/>
      <c r="L206" s="223">
        <v>500.0</v>
      </c>
      <c r="M206" s="32">
        <v>1.0</v>
      </c>
      <c r="N206" s="217">
        <f t="shared" si="49"/>
        <v>500</v>
      </c>
      <c r="O206" s="87"/>
      <c r="P206" s="87"/>
      <c r="Q206" s="225"/>
    </row>
    <row r="207" ht="15.75" hidden="1" customHeight="1">
      <c r="A207" s="64" t="s">
        <v>334</v>
      </c>
      <c r="B207" s="64" t="s">
        <v>337</v>
      </c>
      <c r="C207" s="220"/>
      <c r="D207" s="64" t="s">
        <v>319</v>
      </c>
      <c r="E207" s="221">
        <v>46223.0</v>
      </c>
      <c r="F207" s="213">
        <f t="shared" si="1"/>
        <v>20</v>
      </c>
      <c r="G207" s="213">
        <f t="shared" si="2"/>
        <v>7</v>
      </c>
      <c r="H207" s="213">
        <f t="shared" si="3"/>
        <v>2026</v>
      </c>
      <c r="I207" s="214">
        <f t="shared" ref="I207:J207" si="57">G207</f>
        <v>7</v>
      </c>
      <c r="J207" s="215">
        <f t="shared" si="57"/>
        <v>2026</v>
      </c>
      <c r="K207" s="223"/>
      <c r="L207" s="223">
        <v>500.0</v>
      </c>
      <c r="M207" s="32">
        <v>1.0</v>
      </c>
      <c r="N207" s="217">
        <f t="shared" si="49"/>
        <v>500</v>
      </c>
      <c r="O207" s="87"/>
      <c r="P207" s="87"/>
      <c r="Q207" s="225"/>
    </row>
    <row r="208" ht="15.75" hidden="1" customHeight="1">
      <c r="A208" s="64" t="s">
        <v>334</v>
      </c>
      <c r="B208" s="64" t="s">
        <v>337</v>
      </c>
      <c r="C208" s="220"/>
      <c r="D208" s="64" t="s">
        <v>319</v>
      </c>
      <c r="E208" s="221">
        <v>46224.0</v>
      </c>
      <c r="F208" s="213">
        <f t="shared" si="1"/>
        <v>21</v>
      </c>
      <c r="G208" s="213">
        <f t="shared" si="2"/>
        <v>7</v>
      </c>
      <c r="H208" s="213">
        <f t="shared" si="3"/>
        <v>2026</v>
      </c>
      <c r="I208" s="214">
        <f t="shared" ref="I208:J208" si="58">G208</f>
        <v>7</v>
      </c>
      <c r="J208" s="215">
        <f t="shared" si="58"/>
        <v>2026</v>
      </c>
      <c r="K208" s="223"/>
      <c r="L208" s="223">
        <v>500.0</v>
      </c>
      <c r="M208" s="32">
        <v>1.0</v>
      </c>
      <c r="N208" s="217">
        <f t="shared" si="49"/>
        <v>500</v>
      </c>
      <c r="O208" s="87"/>
      <c r="P208" s="87"/>
      <c r="Q208" s="225"/>
    </row>
    <row r="209" ht="15.75" hidden="1" customHeight="1">
      <c r="A209" s="64" t="s">
        <v>334</v>
      </c>
      <c r="B209" s="64" t="s">
        <v>337</v>
      </c>
      <c r="C209" s="220"/>
      <c r="D209" s="64" t="s">
        <v>319</v>
      </c>
      <c r="E209" s="221">
        <v>46227.0</v>
      </c>
      <c r="F209" s="213">
        <f t="shared" si="1"/>
        <v>24</v>
      </c>
      <c r="G209" s="213">
        <f t="shared" si="2"/>
        <v>7</v>
      </c>
      <c r="H209" s="213">
        <f t="shared" si="3"/>
        <v>2026</v>
      </c>
      <c r="I209" s="214">
        <f t="shared" ref="I209:J209" si="59">G209</f>
        <v>7</v>
      </c>
      <c r="J209" s="215">
        <f t="shared" si="59"/>
        <v>2026</v>
      </c>
      <c r="K209" s="223"/>
      <c r="L209" s="223">
        <v>500.0</v>
      </c>
      <c r="M209" s="32">
        <v>1.0</v>
      </c>
      <c r="N209" s="217">
        <f t="shared" si="49"/>
        <v>500</v>
      </c>
      <c r="O209" s="77"/>
      <c r="P209" s="77"/>
      <c r="Q209" s="225"/>
    </row>
    <row r="210" ht="15.75" hidden="1" customHeight="1">
      <c r="A210" s="64" t="s">
        <v>334</v>
      </c>
      <c r="B210" s="64" t="s">
        <v>337</v>
      </c>
      <c r="C210" s="220"/>
      <c r="D210" s="64" t="s">
        <v>319</v>
      </c>
      <c r="E210" s="221">
        <v>46227.0</v>
      </c>
      <c r="F210" s="213">
        <f t="shared" si="1"/>
        <v>24</v>
      </c>
      <c r="G210" s="213">
        <f t="shared" si="2"/>
        <v>7</v>
      </c>
      <c r="H210" s="213">
        <f t="shared" si="3"/>
        <v>2026</v>
      </c>
      <c r="I210" s="214">
        <f t="shared" ref="I210:J210" si="60">G210</f>
        <v>7</v>
      </c>
      <c r="J210" s="215">
        <f t="shared" si="60"/>
        <v>2026</v>
      </c>
      <c r="K210" s="223"/>
      <c r="L210" s="223">
        <v>500.0</v>
      </c>
      <c r="M210" s="32">
        <v>1.0</v>
      </c>
      <c r="N210" s="217">
        <f t="shared" si="49"/>
        <v>500</v>
      </c>
      <c r="O210" s="87"/>
      <c r="P210" s="87"/>
      <c r="Q210" s="226"/>
    </row>
    <row r="211" ht="15.75" hidden="1" customHeight="1">
      <c r="A211" s="64" t="s">
        <v>334</v>
      </c>
      <c r="B211" s="64" t="s">
        <v>337</v>
      </c>
      <c r="C211" s="220"/>
      <c r="D211" s="64" t="s">
        <v>319</v>
      </c>
      <c r="E211" s="221">
        <v>46229.0</v>
      </c>
      <c r="F211" s="213">
        <f t="shared" si="1"/>
        <v>26</v>
      </c>
      <c r="G211" s="213">
        <f t="shared" si="2"/>
        <v>7</v>
      </c>
      <c r="H211" s="213">
        <f t="shared" si="3"/>
        <v>2026</v>
      </c>
      <c r="I211" s="214">
        <f t="shared" ref="I211:J211" si="61">G211</f>
        <v>7</v>
      </c>
      <c r="J211" s="215">
        <f t="shared" si="61"/>
        <v>2026</v>
      </c>
      <c r="K211" s="223"/>
      <c r="L211" s="223">
        <v>500.0</v>
      </c>
      <c r="M211" s="32">
        <v>1.0</v>
      </c>
      <c r="N211" s="217">
        <f t="shared" si="49"/>
        <v>500</v>
      </c>
      <c r="O211" s="87"/>
      <c r="P211" s="87"/>
      <c r="Q211" s="226"/>
      <c r="R211" s="140"/>
      <c r="S211" s="140"/>
    </row>
    <row r="212" ht="15.75" hidden="1" customHeight="1">
      <c r="A212" s="64" t="s">
        <v>334</v>
      </c>
      <c r="B212" s="64" t="s">
        <v>337</v>
      </c>
      <c r="C212" s="220"/>
      <c r="D212" s="64" t="s">
        <v>319</v>
      </c>
      <c r="E212" s="221">
        <v>46230.0</v>
      </c>
      <c r="F212" s="213">
        <f t="shared" si="1"/>
        <v>27</v>
      </c>
      <c r="G212" s="213">
        <f t="shared" si="2"/>
        <v>7</v>
      </c>
      <c r="H212" s="213">
        <f t="shared" si="3"/>
        <v>2026</v>
      </c>
      <c r="I212" s="214">
        <f t="shared" ref="I212:J212" si="62">G212</f>
        <v>7</v>
      </c>
      <c r="J212" s="215">
        <f t="shared" si="62"/>
        <v>2026</v>
      </c>
      <c r="K212" s="223"/>
      <c r="L212" s="223">
        <v>500.0</v>
      </c>
      <c r="M212" s="32">
        <v>1.0</v>
      </c>
      <c r="N212" s="217">
        <f t="shared" si="49"/>
        <v>500</v>
      </c>
      <c r="O212" s="87"/>
      <c r="P212" s="87"/>
      <c r="Q212" s="226"/>
      <c r="R212" s="140"/>
      <c r="S212" s="140"/>
    </row>
    <row r="213" ht="15.75" hidden="1" customHeight="1">
      <c r="A213" s="64" t="s">
        <v>334</v>
      </c>
      <c r="B213" s="64" t="s">
        <v>337</v>
      </c>
      <c r="C213" s="220"/>
      <c r="D213" s="64" t="s">
        <v>319</v>
      </c>
      <c r="E213" s="221">
        <v>46233.0</v>
      </c>
      <c r="F213" s="213">
        <f t="shared" si="1"/>
        <v>30</v>
      </c>
      <c r="G213" s="213">
        <f t="shared" si="2"/>
        <v>7</v>
      </c>
      <c r="H213" s="213">
        <f t="shared" si="3"/>
        <v>2026</v>
      </c>
      <c r="I213" s="214">
        <f t="shared" ref="I213:J213" si="63">G213</f>
        <v>7</v>
      </c>
      <c r="J213" s="215">
        <f t="shared" si="63"/>
        <v>2026</v>
      </c>
      <c r="K213" s="223"/>
      <c r="L213" s="223">
        <v>500.0</v>
      </c>
      <c r="M213" s="32">
        <v>1.0</v>
      </c>
      <c r="N213" s="217">
        <f t="shared" si="49"/>
        <v>500</v>
      </c>
      <c r="O213" s="87"/>
      <c r="P213" s="87"/>
      <c r="Q213" s="226"/>
      <c r="R213" s="140"/>
      <c r="S213" s="140"/>
    </row>
    <row r="214" ht="15.75" hidden="1" customHeight="1">
      <c r="A214" s="64" t="s">
        <v>334</v>
      </c>
      <c r="B214" s="64" t="s">
        <v>337</v>
      </c>
      <c r="C214" s="220"/>
      <c r="D214" s="64" t="s">
        <v>319</v>
      </c>
      <c r="E214" s="221">
        <v>46234.0</v>
      </c>
      <c r="F214" s="213">
        <f t="shared" si="1"/>
        <v>31</v>
      </c>
      <c r="G214" s="213">
        <f t="shared" si="2"/>
        <v>7</v>
      </c>
      <c r="H214" s="213">
        <f t="shared" si="3"/>
        <v>2026</v>
      </c>
      <c r="I214" s="214">
        <f t="shared" ref="I214:J214" si="64">G214</f>
        <v>7</v>
      </c>
      <c r="J214" s="215">
        <f t="shared" si="64"/>
        <v>2026</v>
      </c>
      <c r="K214" s="223"/>
      <c r="L214" s="223">
        <v>500.0</v>
      </c>
      <c r="M214" s="32">
        <v>1.0</v>
      </c>
      <c r="N214" s="217">
        <f t="shared" si="49"/>
        <v>500</v>
      </c>
      <c r="O214" s="87"/>
      <c r="P214" s="87"/>
      <c r="Q214" s="226"/>
      <c r="R214" s="140"/>
      <c r="S214" s="140"/>
    </row>
    <row r="215" ht="15.75" hidden="1" customHeight="1">
      <c r="A215" s="64" t="s">
        <v>334</v>
      </c>
      <c r="B215" s="64" t="s">
        <v>337</v>
      </c>
      <c r="C215" s="220"/>
      <c r="D215" s="64" t="s">
        <v>319</v>
      </c>
      <c r="E215" s="221">
        <v>46226.0</v>
      </c>
      <c r="F215" s="213">
        <f t="shared" si="1"/>
        <v>23</v>
      </c>
      <c r="G215" s="213">
        <f t="shared" si="2"/>
        <v>7</v>
      </c>
      <c r="H215" s="213">
        <f t="shared" si="3"/>
        <v>2026</v>
      </c>
      <c r="I215" s="214">
        <f t="shared" ref="I215:J215" si="65">G215</f>
        <v>7</v>
      </c>
      <c r="J215" s="215">
        <f t="shared" si="65"/>
        <v>2026</v>
      </c>
      <c r="K215" s="223"/>
      <c r="L215" s="223">
        <v>10.0</v>
      </c>
      <c r="M215" s="32">
        <v>1.0</v>
      </c>
      <c r="N215" s="217">
        <f t="shared" si="49"/>
        <v>10</v>
      </c>
      <c r="O215" s="87"/>
      <c r="P215" s="87"/>
      <c r="Q215" s="225"/>
    </row>
    <row r="216" ht="15.75" hidden="1" customHeight="1">
      <c r="A216" s="64" t="s">
        <v>301</v>
      </c>
      <c r="B216" s="64" t="s">
        <v>291</v>
      </c>
      <c r="C216" s="220"/>
      <c r="D216" s="64" t="s">
        <v>7</v>
      </c>
      <c r="E216" s="221">
        <v>46145.0</v>
      </c>
      <c r="F216" s="213">
        <f t="shared" si="1"/>
        <v>3</v>
      </c>
      <c r="G216" s="213">
        <f t="shared" si="2"/>
        <v>5</v>
      </c>
      <c r="H216" s="213">
        <f t="shared" si="3"/>
        <v>2026</v>
      </c>
      <c r="I216" s="214">
        <v>5.0</v>
      </c>
      <c r="J216" s="222">
        <v>2026.0</v>
      </c>
      <c r="K216" s="223"/>
      <c r="L216" s="223">
        <v>117.77</v>
      </c>
      <c r="M216" s="32">
        <v>1.0</v>
      </c>
      <c r="N216" s="217">
        <f t="shared" si="49"/>
        <v>117.77</v>
      </c>
      <c r="O216" s="87"/>
      <c r="P216" s="87"/>
      <c r="Q216" s="225" t="s">
        <v>792</v>
      </c>
    </row>
    <row r="217" ht="15.75" hidden="1" customHeight="1">
      <c r="A217" s="64" t="s">
        <v>301</v>
      </c>
      <c r="B217" s="64" t="s">
        <v>291</v>
      </c>
      <c r="C217" s="220"/>
      <c r="D217" s="64" t="s">
        <v>7</v>
      </c>
      <c r="E217" s="221">
        <v>46198.0</v>
      </c>
      <c r="F217" s="213">
        <f t="shared" si="1"/>
        <v>25</v>
      </c>
      <c r="G217" s="213">
        <f t="shared" si="2"/>
        <v>6</v>
      </c>
      <c r="H217" s="213">
        <f t="shared" si="3"/>
        <v>2026</v>
      </c>
      <c r="I217" s="214">
        <v>6.0</v>
      </c>
      <c r="J217" s="222">
        <v>2026.0</v>
      </c>
      <c r="K217" s="223"/>
      <c r="L217" s="223">
        <v>46.14</v>
      </c>
      <c r="M217" s="32">
        <v>1.0</v>
      </c>
      <c r="N217" s="217">
        <f t="shared" si="49"/>
        <v>46.14</v>
      </c>
      <c r="O217" s="87"/>
      <c r="P217" s="87"/>
      <c r="Q217" s="32" t="s">
        <v>643</v>
      </c>
    </row>
    <row r="218" ht="15.75" hidden="1" customHeight="1">
      <c r="A218" s="64" t="s">
        <v>301</v>
      </c>
      <c r="B218" s="64" t="s">
        <v>291</v>
      </c>
      <c r="C218" s="220"/>
      <c r="D218" s="64" t="s">
        <v>7</v>
      </c>
      <c r="E218" s="221">
        <v>46198.0</v>
      </c>
      <c r="F218" s="213">
        <f t="shared" si="1"/>
        <v>25</v>
      </c>
      <c r="G218" s="213">
        <f t="shared" si="2"/>
        <v>6</v>
      </c>
      <c r="H218" s="213">
        <f t="shared" si="3"/>
        <v>2026</v>
      </c>
      <c r="I218" s="214">
        <v>6.0</v>
      </c>
      <c r="J218" s="222">
        <v>2026.0</v>
      </c>
      <c r="K218" s="223"/>
      <c r="L218" s="223">
        <v>32.89</v>
      </c>
      <c r="M218" s="32">
        <v>1.0</v>
      </c>
      <c r="N218" s="217">
        <f t="shared" si="49"/>
        <v>32.89</v>
      </c>
      <c r="O218" s="87"/>
      <c r="P218" s="224"/>
      <c r="Q218" s="32" t="s">
        <v>795</v>
      </c>
    </row>
    <row r="219" ht="15.75" hidden="1" customHeight="1">
      <c r="A219" s="64" t="s">
        <v>301</v>
      </c>
      <c r="B219" s="64" t="s">
        <v>291</v>
      </c>
      <c r="C219" s="220"/>
      <c r="D219" s="64" t="s">
        <v>7</v>
      </c>
      <c r="E219" s="221">
        <v>46143.0</v>
      </c>
      <c r="F219" s="213">
        <f t="shared" si="1"/>
        <v>1</v>
      </c>
      <c r="G219" s="213">
        <f t="shared" si="2"/>
        <v>5</v>
      </c>
      <c r="H219" s="213">
        <f t="shared" si="3"/>
        <v>2026</v>
      </c>
      <c r="I219" s="214">
        <v>5.0</v>
      </c>
      <c r="J219" s="222">
        <v>2026.0</v>
      </c>
      <c r="K219" s="223"/>
      <c r="L219" s="223">
        <v>22.42</v>
      </c>
      <c r="M219" s="269">
        <v>1.0</v>
      </c>
      <c r="N219" s="217">
        <f t="shared" si="49"/>
        <v>22.42</v>
      </c>
      <c r="O219" s="87"/>
      <c r="P219" s="87"/>
      <c r="Q219" s="225" t="s">
        <v>798</v>
      </c>
      <c r="T219" s="142"/>
      <c r="U219" s="142"/>
    </row>
    <row r="220" ht="15.75" hidden="1" customHeight="1">
      <c r="A220" s="64" t="s">
        <v>301</v>
      </c>
      <c r="B220" s="64" t="s">
        <v>799</v>
      </c>
      <c r="C220" s="220"/>
      <c r="D220" s="82" t="s">
        <v>369</v>
      </c>
      <c r="E220" s="221">
        <v>46143.0</v>
      </c>
      <c r="F220" s="213">
        <f t="shared" si="1"/>
        <v>1</v>
      </c>
      <c r="G220" s="213">
        <f t="shared" si="2"/>
        <v>5</v>
      </c>
      <c r="H220" s="213">
        <f t="shared" si="3"/>
        <v>2026</v>
      </c>
      <c r="I220" s="214">
        <v>5.0</v>
      </c>
      <c r="J220" s="222">
        <v>2026.0</v>
      </c>
      <c r="K220" s="223"/>
      <c r="L220" s="223">
        <v>21.49</v>
      </c>
      <c r="M220" s="32">
        <v>1.0</v>
      </c>
      <c r="N220" s="217">
        <f t="shared" si="49"/>
        <v>21.49</v>
      </c>
      <c r="O220" s="87"/>
      <c r="P220" s="87"/>
      <c r="Q220" s="225" t="s">
        <v>802</v>
      </c>
      <c r="R220" s="64" t="s">
        <v>372</v>
      </c>
    </row>
    <row r="221" ht="15.75" hidden="1" customHeight="1">
      <c r="A221" s="64" t="s">
        <v>301</v>
      </c>
      <c r="B221" s="64" t="s">
        <v>799</v>
      </c>
      <c r="C221" s="220"/>
      <c r="D221" s="64" t="s">
        <v>7</v>
      </c>
      <c r="E221" s="221">
        <v>46142.0</v>
      </c>
      <c r="F221" s="213">
        <f t="shared" si="1"/>
        <v>30</v>
      </c>
      <c r="G221" s="213">
        <f t="shared" si="2"/>
        <v>4</v>
      </c>
      <c r="H221" s="213">
        <f t="shared" si="3"/>
        <v>2026</v>
      </c>
      <c r="I221" s="214">
        <v>4.0</v>
      </c>
      <c r="J221" s="222">
        <v>2026.0</v>
      </c>
      <c r="K221" s="223"/>
      <c r="L221" s="223">
        <v>21.49</v>
      </c>
      <c r="M221" s="269">
        <v>1.0</v>
      </c>
      <c r="N221" s="217">
        <f t="shared" si="49"/>
        <v>21.49</v>
      </c>
      <c r="O221" s="87"/>
      <c r="P221" s="224"/>
      <c r="Q221" s="225" t="s">
        <v>803</v>
      </c>
    </row>
    <row r="222" ht="15.75" hidden="1" customHeight="1">
      <c r="A222" s="64" t="s">
        <v>301</v>
      </c>
      <c r="B222" s="64" t="s">
        <v>298</v>
      </c>
      <c r="C222" s="220"/>
      <c r="D222" s="82" t="s">
        <v>369</v>
      </c>
      <c r="E222" s="221">
        <v>46143.0</v>
      </c>
      <c r="F222" s="213">
        <f t="shared" si="1"/>
        <v>1</v>
      </c>
      <c r="G222" s="213">
        <f t="shared" si="2"/>
        <v>5</v>
      </c>
      <c r="H222" s="213">
        <f t="shared" si="3"/>
        <v>2026</v>
      </c>
      <c r="I222" s="214">
        <v>5.0</v>
      </c>
      <c r="J222" s="222">
        <v>2026.0</v>
      </c>
      <c r="K222" s="223"/>
      <c r="L222" s="223">
        <v>96.16</v>
      </c>
      <c r="M222" s="32">
        <v>1.0</v>
      </c>
      <c r="N222" s="217">
        <f t="shared" si="49"/>
        <v>96.16</v>
      </c>
      <c r="O222" s="87"/>
      <c r="P222" s="87"/>
      <c r="Q222" s="225"/>
      <c r="R222" s="64" t="s">
        <v>372</v>
      </c>
    </row>
    <row r="223" ht="15.75" hidden="1" customHeight="1">
      <c r="A223" s="64" t="s">
        <v>301</v>
      </c>
      <c r="B223" s="64" t="s">
        <v>298</v>
      </c>
      <c r="C223" s="220"/>
      <c r="D223" s="82" t="s">
        <v>369</v>
      </c>
      <c r="E223" s="221">
        <v>46169.0</v>
      </c>
      <c r="F223" s="213">
        <f t="shared" si="1"/>
        <v>27</v>
      </c>
      <c r="G223" s="213">
        <f t="shared" si="2"/>
        <v>5</v>
      </c>
      <c r="H223" s="213">
        <f t="shared" si="3"/>
        <v>2026</v>
      </c>
      <c r="I223" s="214">
        <v>5.0</v>
      </c>
      <c r="J223" s="222">
        <v>2026.0</v>
      </c>
      <c r="K223" s="223"/>
      <c r="L223" s="223">
        <v>17.98</v>
      </c>
      <c r="M223" s="32">
        <v>1.0</v>
      </c>
      <c r="N223" s="217">
        <f t="shared" si="49"/>
        <v>17.98</v>
      </c>
      <c r="O223" s="87"/>
      <c r="P223" s="87"/>
      <c r="Q223" s="225" t="s">
        <v>806</v>
      </c>
      <c r="R223" s="64" t="s">
        <v>372</v>
      </c>
    </row>
    <row r="224" ht="15.75" hidden="1" customHeight="1">
      <c r="A224" s="64" t="s">
        <v>301</v>
      </c>
      <c r="B224" s="64" t="s">
        <v>298</v>
      </c>
      <c r="C224" s="220"/>
      <c r="D224" s="64" t="s">
        <v>7</v>
      </c>
      <c r="E224" s="221">
        <v>46142.0</v>
      </c>
      <c r="F224" s="213">
        <f t="shared" si="1"/>
        <v>30</v>
      </c>
      <c r="G224" s="213">
        <f t="shared" si="2"/>
        <v>4</v>
      </c>
      <c r="H224" s="213">
        <f t="shared" si="3"/>
        <v>2026</v>
      </c>
      <c r="I224" s="214">
        <v>4.0</v>
      </c>
      <c r="J224" s="222">
        <v>2026.0</v>
      </c>
      <c r="K224" s="223"/>
      <c r="L224" s="223">
        <v>96.12</v>
      </c>
      <c r="M224" s="269">
        <v>1.0</v>
      </c>
      <c r="N224" s="217">
        <f t="shared" si="49"/>
        <v>96.12</v>
      </c>
      <c r="O224" s="77"/>
      <c r="P224" s="77"/>
      <c r="Q224" s="225" t="s">
        <v>809</v>
      </c>
    </row>
    <row r="225" ht="15.75" hidden="1" customHeight="1">
      <c r="A225" s="64" t="s">
        <v>301</v>
      </c>
      <c r="B225" s="64" t="s">
        <v>298</v>
      </c>
      <c r="C225" s="220"/>
      <c r="D225" s="64" t="s">
        <v>7</v>
      </c>
      <c r="E225" s="221">
        <v>46156.0</v>
      </c>
      <c r="F225" s="213">
        <f t="shared" si="1"/>
        <v>14</v>
      </c>
      <c r="G225" s="213">
        <f t="shared" si="2"/>
        <v>5</v>
      </c>
      <c r="H225" s="213">
        <f t="shared" si="3"/>
        <v>2026</v>
      </c>
      <c r="I225" s="214">
        <v>5.0</v>
      </c>
      <c r="J225" s="222">
        <v>2026.0</v>
      </c>
      <c r="K225" s="223"/>
      <c r="L225" s="223">
        <v>70.72</v>
      </c>
      <c r="M225" s="32">
        <v>1.0</v>
      </c>
      <c r="N225" s="217">
        <f t="shared" si="49"/>
        <v>70.72</v>
      </c>
      <c r="O225" s="87"/>
      <c r="P225" s="87"/>
      <c r="Q225" s="225" t="s">
        <v>812</v>
      </c>
    </row>
    <row r="226" ht="15.75" hidden="1" customHeight="1">
      <c r="A226" s="64" t="s">
        <v>171</v>
      </c>
      <c r="B226" s="87" t="s">
        <v>166</v>
      </c>
      <c r="C226" s="220"/>
      <c r="D226" s="64" t="s">
        <v>7</v>
      </c>
      <c r="E226" s="221">
        <v>46146.0</v>
      </c>
      <c r="F226" s="213">
        <f t="shared" si="1"/>
        <v>4</v>
      </c>
      <c r="G226" s="213">
        <f t="shared" si="2"/>
        <v>5</v>
      </c>
      <c r="H226" s="213">
        <f t="shared" si="3"/>
        <v>2026</v>
      </c>
      <c r="I226" s="214">
        <v>5.0</v>
      </c>
      <c r="J226" s="222">
        <v>2026.0</v>
      </c>
      <c r="K226" s="223"/>
      <c r="L226" s="223">
        <v>334.45</v>
      </c>
      <c r="M226" s="32">
        <v>1.0</v>
      </c>
      <c r="N226" s="217">
        <f t="shared" si="49"/>
        <v>334.45</v>
      </c>
      <c r="O226" s="87"/>
      <c r="P226" s="87"/>
      <c r="Q226" s="226"/>
      <c r="R226" s="265"/>
      <c r="S226" s="265"/>
      <c r="T226" s="265"/>
      <c r="U226" s="265"/>
      <c r="V226" s="265"/>
      <c r="W226" s="265"/>
      <c r="X226" s="265"/>
      <c r="Y226" s="265"/>
      <c r="Z226" s="265"/>
      <c r="AA226" s="265"/>
      <c r="AB226" s="265"/>
      <c r="AC226" s="265"/>
      <c r="AD226" s="265"/>
      <c r="AE226" s="265"/>
      <c r="AF226" s="265"/>
      <c r="AG226" s="265"/>
      <c r="AH226" s="265"/>
    </row>
    <row r="227" ht="15.75" hidden="1" customHeight="1">
      <c r="A227" s="64" t="s">
        <v>171</v>
      </c>
      <c r="B227" s="64" t="s">
        <v>170</v>
      </c>
      <c r="C227" s="220"/>
      <c r="D227" s="64" t="s">
        <v>7</v>
      </c>
      <c r="E227" s="221">
        <v>46149.0</v>
      </c>
      <c r="F227" s="213">
        <f t="shared" si="1"/>
        <v>7</v>
      </c>
      <c r="G227" s="213">
        <f t="shared" si="2"/>
        <v>5</v>
      </c>
      <c r="H227" s="213">
        <f t="shared" si="3"/>
        <v>2026</v>
      </c>
      <c r="I227" s="214">
        <v>5.0</v>
      </c>
      <c r="J227" s="222">
        <v>2026.0</v>
      </c>
      <c r="K227" s="223"/>
      <c r="L227" s="223">
        <v>112.0</v>
      </c>
      <c r="M227" s="32">
        <v>1.0</v>
      </c>
      <c r="N227" s="217">
        <f t="shared" si="49"/>
        <v>112</v>
      </c>
      <c r="O227" s="87"/>
      <c r="P227" s="224"/>
      <c r="Q227" s="225"/>
    </row>
    <row r="228" ht="15.75" hidden="1" customHeight="1">
      <c r="A228" s="64" t="s">
        <v>171</v>
      </c>
      <c r="B228" s="64" t="s">
        <v>169</v>
      </c>
      <c r="C228" s="220"/>
      <c r="D228" s="64" t="s">
        <v>7</v>
      </c>
      <c r="E228" s="221">
        <v>46221.0</v>
      </c>
      <c r="F228" s="213">
        <f t="shared" si="1"/>
        <v>18</v>
      </c>
      <c r="G228" s="213">
        <f t="shared" si="2"/>
        <v>7</v>
      </c>
      <c r="H228" s="213">
        <f t="shared" si="3"/>
        <v>2026</v>
      </c>
      <c r="I228" s="306">
        <v>6.0</v>
      </c>
      <c r="J228" s="215">
        <f>H228</f>
        <v>2026</v>
      </c>
      <c r="K228" s="223"/>
      <c r="L228" s="223">
        <v>819.0</v>
      </c>
      <c r="M228" s="32">
        <v>1.0</v>
      </c>
      <c r="N228" s="236">
        <f t="shared" si="49"/>
        <v>819</v>
      </c>
      <c r="O228" s="77"/>
      <c r="P228" s="77"/>
      <c r="Q228" s="32"/>
      <c r="R228" s="32"/>
    </row>
    <row r="229" ht="15.75" hidden="1" customHeight="1">
      <c r="A229" s="64" t="s">
        <v>171</v>
      </c>
      <c r="B229" s="64" t="s">
        <v>169</v>
      </c>
      <c r="C229" s="220"/>
      <c r="D229" s="64" t="s">
        <v>7</v>
      </c>
      <c r="E229" s="221">
        <v>46198.0</v>
      </c>
      <c r="F229" s="213">
        <f t="shared" si="1"/>
        <v>25</v>
      </c>
      <c r="G229" s="213">
        <f t="shared" si="2"/>
        <v>6</v>
      </c>
      <c r="H229" s="213">
        <f t="shared" si="3"/>
        <v>2026</v>
      </c>
      <c r="I229" s="214">
        <v>6.0</v>
      </c>
      <c r="J229" s="222">
        <v>2026.0</v>
      </c>
      <c r="K229" s="223"/>
      <c r="L229" s="223">
        <v>648.98</v>
      </c>
      <c r="M229" s="32">
        <v>1.0</v>
      </c>
      <c r="N229" s="217">
        <f t="shared" si="49"/>
        <v>648.98</v>
      </c>
      <c r="O229" s="332"/>
      <c r="P229" s="333"/>
      <c r="Q229" s="225"/>
    </row>
    <row r="230" ht="15.75" hidden="1" customHeight="1">
      <c r="A230" s="82" t="s">
        <v>171</v>
      </c>
      <c r="B230" s="165" t="s">
        <v>45</v>
      </c>
      <c r="C230" s="230"/>
      <c r="D230" s="82" t="s">
        <v>7</v>
      </c>
      <c r="E230" s="231">
        <v>46075.0</v>
      </c>
      <c r="F230" s="213">
        <f t="shared" si="1"/>
        <v>22</v>
      </c>
      <c r="G230" s="213">
        <f t="shared" si="2"/>
        <v>2</v>
      </c>
      <c r="H230" s="213">
        <f t="shared" si="3"/>
        <v>2026</v>
      </c>
      <c r="I230" s="322">
        <v>1.0</v>
      </c>
      <c r="J230" s="213">
        <v>2026.0</v>
      </c>
      <c r="K230" s="307"/>
      <c r="L230" s="307">
        <v>224.05</v>
      </c>
      <c r="M230" s="32">
        <v>1.0</v>
      </c>
      <c r="N230" s="217">
        <f t="shared" si="49"/>
        <v>224.05</v>
      </c>
      <c r="O230" s="233"/>
      <c r="P230" s="140"/>
      <c r="Q230" s="234" t="s">
        <v>827</v>
      </c>
      <c r="R230" s="235"/>
      <c r="S230" s="235"/>
      <c r="T230" s="235"/>
      <c r="U230" s="235"/>
      <c r="V230" s="235"/>
      <c r="W230" s="235"/>
      <c r="X230" s="235"/>
      <c r="Y230" s="235"/>
      <c r="Z230" s="235"/>
      <c r="AA230" s="235"/>
      <c r="AB230" s="235"/>
      <c r="AC230" s="235"/>
      <c r="AD230" s="235"/>
      <c r="AE230" s="235"/>
      <c r="AF230" s="235"/>
      <c r="AG230" s="235"/>
      <c r="AH230" s="235"/>
    </row>
    <row r="231" ht="15.75" hidden="1" customHeight="1">
      <c r="A231" s="82" t="s">
        <v>171</v>
      </c>
      <c r="B231" s="82" t="s">
        <v>44</v>
      </c>
      <c r="C231" s="230"/>
      <c r="D231" s="82" t="s">
        <v>7</v>
      </c>
      <c r="E231" s="231">
        <v>46073.0</v>
      </c>
      <c r="F231" s="213">
        <f t="shared" si="1"/>
        <v>20</v>
      </c>
      <c r="G231" s="213">
        <f t="shared" si="2"/>
        <v>2</v>
      </c>
      <c r="H231" s="213">
        <f t="shared" si="3"/>
        <v>2026</v>
      </c>
      <c r="I231" s="322">
        <v>1.0</v>
      </c>
      <c r="J231" s="213">
        <v>2026.0</v>
      </c>
      <c r="K231" s="307"/>
      <c r="L231" s="307">
        <v>188.1</v>
      </c>
      <c r="M231" s="32">
        <v>1.0</v>
      </c>
      <c r="N231" s="217">
        <f t="shared" si="49"/>
        <v>188.1</v>
      </c>
      <c r="O231" s="233"/>
      <c r="P231" s="140"/>
      <c r="Q231" s="234"/>
    </row>
    <row r="232" ht="15.75" hidden="1" customHeight="1">
      <c r="A232" s="64" t="s">
        <v>171</v>
      </c>
      <c r="B232" s="64" t="s">
        <v>44</v>
      </c>
      <c r="C232" s="220"/>
      <c r="D232" s="64" t="s">
        <v>7</v>
      </c>
      <c r="E232" s="221">
        <v>46133.0</v>
      </c>
      <c r="F232" s="213">
        <f t="shared" si="1"/>
        <v>21</v>
      </c>
      <c r="G232" s="213">
        <f t="shared" si="2"/>
        <v>4</v>
      </c>
      <c r="H232" s="213">
        <f t="shared" si="3"/>
        <v>2026</v>
      </c>
      <c r="I232" s="306">
        <v>2.0</v>
      </c>
      <c r="J232" s="222">
        <v>2026.0</v>
      </c>
      <c r="K232" s="223"/>
      <c r="L232" s="223">
        <v>188.1</v>
      </c>
      <c r="M232" s="32">
        <v>1.0</v>
      </c>
      <c r="N232" s="217">
        <f t="shared" si="49"/>
        <v>188.1</v>
      </c>
      <c r="O232" s="77"/>
      <c r="P232" s="77"/>
      <c r="Q232" s="225"/>
    </row>
    <row r="233" ht="15.75" hidden="1" customHeight="1">
      <c r="A233" s="64" t="s">
        <v>171</v>
      </c>
      <c r="B233" s="64" t="s">
        <v>44</v>
      </c>
      <c r="C233" s="220"/>
      <c r="D233" s="64" t="s">
        <v>7</v>
      </c>
      <c r="E233" s="221">
        <v>46133.0</v>
      </c>
      <c r="F233" s="213">
        <f t="shared" si="1"/>
        <v>21</v>
      </c>
      <c r="G233" s="213">
        <f t="shared" si="2"/>
        <v>4</v>
      </c>
      <c r="H233" s="213">
        <f t="shared" si="3"/>
        <v>2026</v>
      </c>
      <c r="I233" s="306">
        <v>3.0</v>
      </c>
      <c r="J233" s="222">
        <v>2026.0</v>
      </c>
      <c r="K233" s="223"/>
      <c r="L233" s="223">
        <v>188.1</v>
      </c>
      <c r="M233" s="32">
        <v>1.0</v>
      </c>
      <c r="N233" s="217">
        <f t="shared" si="49"/>
        <v>188.1</v>
      </c>
      <c r="O233" s="77"/>
      <c r="P233" s="77"/>
      <c r="Q233" s="225"/>
    </row>
    <row r="234" ht="15.75" hidden="1" customHeight="1">
      <c r="A234" s="334" t="s">
        <v>171</v>
      </c>
      <c r="B234" s="334" t="s">
        <v>44</v>
      </c>
      <c r="C234" s="335"/>
      <c r="D234" s="334" t="s">
        <v>7</v>
      </c>
      <c r="E234" s="336">
        <v>46142.0</v>
      </c>
      <c r="F234" s="337">
        <f t="shared" si="1"/>
        <v>30</v>
      </c>
      <c r="G234" s="337">
        <f t="shared" si="2"/>
        <v>4</v>
      </c>
      <c r="H234" s="337">
        <f t="shared" si="3"/>
        <v>2026</v>
      </c>
      <c r="I234" s="214">
        <v>4.0</v>
      </c>
      <c r="J234" s="338">
        <v>2026.0</v>
      </c>
      <c r="K234" s="339"/>
      <c r="L234" s="339">
        <v>188.1</v>
      </c>
      <c r="M234" s="340">
        <v>1.0</v>
      </c>
      <c r="N234" s="341">
        <f t="shared" si="49"/>
        <v>188.1</v>
      </c>
      <c r="O234" s="342"/>
      <c r="P234" s="342"/>
      <c r="Q234" s="343" t="s">
        <v>836</v>
      </c>
    </row>
    <row r="235" ht="15.75" hidden="1" customHeight="1">
      <c r="A235" s="64" t="s">
        <v>171</v>
      </c>
      <c r="B235" s="64" t="s">
        <v>44</v>
      </c>
      <c r="C235" s="220"/>
      <c r="D235" s="64" t="s">
        <v>7</v>
      </c>
      <c r="E235" s="221">
        <v>46162.0</v>
      </c>
      <c r="F235" s="213">
        <f t="shared" si="1"/>
        <v>20</v>
      </c>
      <c r="G235" s="213">
        <f t="shared" si="2"/>
        <v>5</v>
      </c>
      <c r="H235" s="213">
        <f t="shared" si="3"/>
        <v>2026</v>
      </c>
      <c r="I235" s="214">
        <v>5.0</v>
      </c>
      <c r="J235" s="222">
        <v>2026.0</v>
      </c>
      <c r="K235" s="223"/>
      <c r="L235" s="223">
        <v>20.0</v>
      </c>
      <c r="M235" s="32">
        <v>1.0</v>
      </c>
      <c r="N235" s="217">
        <f t="shared" si="49"/>
        <v>20</v>
      </c>
      <c r="O235" s="87"/>
      <c r="P235" s="224"/>
      <c r="Q235" s="225"/>
    </row>
    <row r="236" ht="15.75" hidden="1" customHeight="1">
      <c r="A236" s="64" t="s">
        <v>171</v>
      </c>
      <c r="B236" s="64" t="s">
        <v>44</v>
      </c>
      <c r="C236" s="220"/>
      <c r="D236" s="64" t="s">
        <v>7</v>
      </c>
      <c r="E236" s="221">
        <v>46198.0</v>
      </c>
      <c r="F236" s="213">
        <f t="shared" si="1"/>
        <v>25</v>
      </c>
      <c r="G236" s="213">
        <f t="shared" si="2"/>
        <v>6</v>
      </c>
      <c r="H236" s="213">
        <f t="shared" si="3"/>
        <v>2026</v>
      </c>
      <c r="I236" s="214">
        <v>6.0</v>
      </c>
      <c r="J236" s="222">
        <v>2026.0</v>
      </c>
      <c r="K236" s="223"/>
      <c r="L236" s="223">
        <v>20.0</v>
      </c>
      <c r="M236" s="32">
        <v>1.0</v>
      </c>
      <c r="N236" s="217">
        <f t="shared" si="49"/>
        <v>20</v>
      </c>
      <c r="O236" s="87"/>
      <c r="P236" s="87"/>
      <c r="Q236" s="225"/>
    </row>
    <row r="237" ht="15.75" hidden="1" customHeight="1">
      <c r="A237" s="64" t="s">
        <v>171</v>
      </c>
      <c r="B237" s="64" t="s">
        <v>44</v>
      </c>
      <c r="C237" s="220"/>
      <c r="D237" s="64" t="s">
        <v>7</v>
      </c>
      <c r="E237" s="221">
        <v>46223.0</v>
      </c>
      <c r="F237" s="213">
        <f t="shared" si="1"/>
        <v>20</v>
      </c>
      <c r="G237" s="213">
        <f t="shared" si="2"/>
        <v>7</v>
      </c>
      <c r="H237" s="213">
        <f t="shared" si="3"/>
        <v>2026</v>
      </c>
      <c r="I237" s="306">
        <v>6.0</v>
      </c>
      <c r="J237" s="215">
        <f>H237</f>
        <v>2026</v>
      </c>
      <c r="K237" s="223"/>
      <c r="L237" s="223">
        <v>20.0</v>
      </c>
      <c r="M237" s="32">
        <v>1.0</v>
      </c>
      <c r="N237" s="236">
        <f t="shared" si="49"/>
        <v>20</v>
      </c>
      <c r="O237" s="87"/>
      <c r="P237" s="224"/>
      <c r="Q237" s="226"/>
    </row>
    <row r="238" ht="15.75" hidden="1" customHeight="1">
      <c r="A238" s="82" t="s">
        <v>176</v>
      </c>
      <c r="B238" s="82" t="s">
        <v>37</v>
      </c>
      <c r="C238" s="230"/>
      <c r="D238" s="64" t="s">
        <v>7</v>
      </c>
      <c r="E238" s="231">
        <v>46234.0</v>
      </c>
      <c r="F238" s="213">
        <f t="shared" si="1"/>
        <v>31</v>
      </c>
      <c r="G238" s="213">
        <f t="shared" si="2"/>
        <v>7</v>
      </c>
      <c r="H238" s="213">
        <f t="shared" si="3"/>
        <v>2026</v>
      </c>
      <c r="I238" s="213">
        <f t="shared" ref="I238:J238" si="66">G238</f>
        <v>7</v>
      </c>
      <c r="J238" s="213">
        <f t="shared" si="66"/>
        <v>2026</v>
      </c>
      <c r="K238" s="217"/>
      <c r="L238" s="307">
        <v>411.0</v>
      </c>
      <c r="M238" s="245">
        <v>1.0</v>
      </c>
      <c r="N238" s="217">
        <f>M238*L238</f>
        <v>411</v>
      </c>
      <c r="O238" s="233"/>
      <c r="P238" s="140"/>
      <c r="Q238" s="234"/>
    </row>
    <row r="239" ht="15.75" hidden="1" customHeight="1">
      <c r="A239" s="82" t="s">
        <v>176</v>
      </c>
      <c r="B239" s="82" t="s">
        <v>37</v>
      </c>
      <c r="C239" s="230"/>
      <c r="D239" s="82" t="s">
        <v>7</v>
      </c>
      <c r="E239" s="231">
        <v>46090.0</v>
      </c>
      <c r="F239" s="213">
        <f t="shared" si="1"/>
        <v>9</v>
      </c>
      <c r="G239" s="213">
        <f t="shared" si="2"/>
        <v>3</v>
      </c>
      <c r="H239" s="213">
        <f t="shared" si="3"/>
        <v>2026</v>
      </c>
      <c r="I239" s="232">
        <v>3.0</v>
      </c>
      <c r="J239" s="213">
        <v>2026.0</v>
      </c>
      <c r="K239" s="307"/>
      <c r="L239" s="307">
        <v>191.97</v>
      </c>
      <c r="M239" s="32">
        <v>1.0</v>
      </c>
      <c r="N239" s="217">
        <f t="shared" ref="N239:N319" si="67">L239*M239</f>
        <v>191.97</v>
      </c>
      <c r="O239" s="233"/>
      <c r="P239" s="140"/>
      <c r="Q239" s="344" t="s">
        <v>850</v>
      </c>
    </row>
    <row r="240" ht="15.75" hidden="1" customHeight="1">
      <c r="A240" s="164" t="s">
        <v>176</v>
      </c>
      <c r="B240" s="164" t="s">
        <v>37</v>
      </c>
      <c r="C240" s="230"/>
      <c r="D240" s="140" t="s">
        <v>7</v>
      </c>
      <c r="E240" s="310">
        <v>46033.0</v>
      </c>
      <c r="F240" s="213">
        <f t="shared" si="1"/>
        <v>11</v>
      </c>
      <c r="G240" s="213">
        <f t="shared" si="2"/>
        <v>1</v>
      </c>
      <c r="H240" s="213">
        <f t="shared" si="3"/>
        <v>2026</v>
      </c>
      <c r="I240" s="232">
        <v>1.0</v>
      </c>
      <c r="J240" s="213">
        <v>2026.0</v>
      </c>
      <c r="K240" s="217"/>
      <c r="L240" s="217">
        <v>88.59</v>
      </c>
      <c r="M240" s="269">
        <v>1.0</v>
      </c>
      <c r="N240" s="217">
        <f t="shared" si="67"/>
        <v>88.59</v>
      </c>
      <c r="O240" s="140"/>
      <c r="Q240" s="140" t="s">
        <v>853</v>
      </c>
    </row>
    <row r="241" ht="15.75" hidden="1" customHeight="1">
      <c r="A241" s="82" t="s">
        <v>176</v>
      </c>
      <c r="B241" s="165" t="s">
        <v>37</v>
      </c>
      <c r="C241" s="230"/>
      <c r="D241" s="82" t="s">
        <v>7</v>
      </c>
      <c r="E241" s="231">
        <v>46066.0</v>
      </c>
      <c r="F241" s="213">
        <f t="shared" si="1"/>
        <v>13</v>
      </c>
      <c r="G241" s="213">
        <f t="shared" si="2"/>
        <v>2</v>
      </c>
      <c r="H241" s="213">
        <f t="shared" si="3"/>
        <v>2026</v>
      </c>
      <c r="I241" s="232">
        <v>2.0</v>
      </c>
      <c r="J241" s="213">
        <v>2026.0</v>
      </c>
      <c r="K241" s="307"/>
      <c r="L241" s="307">
        <v>88.59</v>
      </c>
      <c r="M241" s="32">
        <v>1.0</v>
      </c>
      <c r="N241" s="217">
        <f t="shared" si="67"/>
        <v>88.59</v>
      </c>
      <c r="O241" s="320"/>
      <c r="P241" s="321"/>
      <c r="Q241" s="234"/>
    </row>
    <row r="242" ht="15.75" hidden="1" customHeight="1">
      <c r="A242" s="82" t="s">
        <v>176</v>
      </c>
      <c r="B242" s="82" t="s">
        <v>37</v>
      </c>
      <c r="C242" s="230"/>
      <c r="D242" s="82" t="s">
        <v>7</v>
      </c>
      <c r="E242" s="231">
        <v>46093.0</v>
      </c>
      <c r="F242" s="213">
        <f t="shared" si="1"/>
        <v>12</v>
      </c>
      <c r="G242" s="213">
        <f t="shared" si="2"/>
        <v>3</v>
      </c>
      <c r="H242" s="213">
        <f t="shared" si="3"/>
        <v>2026</v>
      </c>
      <c r="I242" s="232">
        <v>3.0</v>
      </c>
      <c r="J242" s="213">
        <v>2026.0</v>
      </c>
      <c r="K242" s="307"/>
      <c r="L242" s="307">
        <v>88.59</v>
      </c>
      <c r="M242" s="32">
        <v>1.0</v>
      </c>
      <c r="N242" s="217">
        <f t="shared" si="67"/>
        <v>88.59</v>
      </c>
      <c r="O242" s="233"/>
      <c r="P242" s="140"/>
    </row>
    <row r="243" ht="15.75" hidden="1" customHeight="1">
      <c r="A243" s="64" t="s">
        <v>176</v>
      </c>
      <c r="B243" s="64" t="s">
        <v>37</v>
      </c>
      <c r="C243" s="220"/>
      <c r="D243" s="64" t="s">
        <v>7</v>
      </c>
      <c r="E243" s="221">
        <v>46122.0</v>
      </c>
      <c r="F243" s="213">
        <f t="shared" si="1"/>
        <v>10</v>
      </c>
      <c r="G243" s="213">
        <f t="shared" si="2"/>
        <v>4</v>
      </c>
      <c r="H243" s="213">
        <f t="shared" si="3"/>
        <v>2026</v>
      </c>
      <c r="I243" s="214">
        <v>4.0</v>
      </c>
      <c r="J243" s="222">
        <v>2026.0</v>
      </c>
      <c r="K243" s="223"/>
      <c r="L243" s="223">
        <v>88.59</v>
      </c>
      <c r="M243" s="32">
        <v>1.0</v>
      </c>
      <c r="N243" s="217">
        <f t="shared" si="67"/>
        <v>88.59</v>
      </c>
      <c r="O243" s="87"/>
      <c r="P243" s="87"/>
      <c r="Q243" s="32" t="s">
        <v>853</v>
      </c>
    </row>
    <row r="244" ht="15.75" hidden="1" customHeight="1">
      <c r="A244" s="64" t="s">
        <v>176</v>
      </c>
      <c r="B244" s="64" t="s">
        <v>37</v>
      </c>
      <c r="C244" s="220"/>
      <c r="D244" s="64" t="s">
        <v>7</v>
      </c>
      <c r="E244" s="221">
        <v>46154.0</v>
      </c>
      <c r="F244" s="213">
        <f t="shared" si="1"/>
        <v>12</v>
      </c>
      <c r="G244" s="213">
        <f t="shared" si="2"/>
        <v>5</v>
      </c>
      <c r="H244" s="213">
        <f t="shared" si="3"/>
        <v>2026</v>
      </c>
      <c r="I244" s="214">
        <v>5.0</v>
      </c>
      <c r="J244" s="222">
        <v>2026.0</v>
      </c>
      <c r="K244" s="223"/>
      <c r="L244" s="223">
        <v>88.59</v>
      </c>
      <c r="M244" s="32">
        <v>1.0</v>
      </c>
      <c r="N244" s="217">
        <f t="shared" si="67"/>
        <v>88.59</v>
      </c>
      <c r="O244" s="87"/>
      <c r="P244" s="224"/>
      <c r="Q244" s="225"/>
    </row>
    <row r="245" ht="15.75" hidden="1" customHeight="1">
      <c r="A245" s="64" t="s">
        <v>176</v>
      </c>
      <c r="B245" s="64" t="s">
        <v>37</v>
      </c>
      <c r="C245" s="220"/>
      <c r="D245" s="64" t="s">
        <v>7</v>
      </c>
      <c r="E245" s="221">
        <v>46184.0</v>
      </c>
      <c r="F245" s="213">
        <f t="shared" si="1"/>
        <v>11</v>
      </c>
      <c r="G245" s="213">
        <f t="shared" si="2"/>
        <v>6</v>
      </c>
      <c r="H245" s="213">
        <f t="shared" si="3"/>
        <v>2026</v>
      </c>
      <c r="I245" s="214">
        <v>6.0</v>
      </c>
      <c r="J245" s="222">
        <v>2026.0</v>
      </c>
      <c r="K245" s="223"/>
      <c r="L245" s="223">
        <v>88.59</v>
      </c>
      <c r="M245" s="32">
        <v>1.0</v>
      </c>
      <c r="N245" s="217">
        <f t="shared" si="67"/>
        <v>88.59</v>
      </c>
      <c r="O245" s="302"/>
      <c r="Q245" s="225"/>
    </row>
    <row r="246" ht="15.75" hidden="1" customHeight="1">
      <c r="A246" s="64" t="s">
        <v>176</v>
      </c>
      <c r="B246" s="64" t="s">
        <v>37</v>
      </c>
      <c r="C246" s="220"/>
      <c r="D246" s="64" t="s">
        <v>7</v>
      </c>
      <c r="E246" s="221">
        <v>46213.0</v>
      </c>
      <c r="F246" s="213">
        <f t="shared" si="1"/>
        <v>10</v>
      </c>
      <c r="G246" s="213">
        <f t="shared" si="2"/>
        <v>7</v>
      </c>
      <c r="H246" s="213">
        <f t="shared" si="3"/>
        <v>2026</v>
      </c>
      <c r="I246" s="306">
        <v>6.0</v>
      </c>
      <c r="J246" s="215">
        <f>H246</f>
        <v>2026</v>
      </c>
      <c r="K246" s="223"/>
      <c r="L246" s="223">
        <v>88.59</v>
      </c>
      <c r="M246" s="32">
        <v>1.0</v>
      </c>
      <c r="N246" s="236">
        <f t="shared" si="67"/>
        <v>88.59</v>
      </c>
      <c r="O246" s="87"/>
      <c r="P246" s="224"/>
      <c r="Q246" s="226"/>
    </row>
    <row r="247" ht="15.75" hidden="1" customHeight="1">
      <c r="A247" s="82" t="s">
        <v>176</v>
      </c>
      <c r="B247" s="82" t="s">
        <v>37</v>
      </c>
      <c r="C247" s="230"/>
      <c r="D247" s="82" t="s">
        <v>7</v>
      </c>
      <c r="E247" s="231">
        <v>46090.0</v>
      </c>
      <c r="F247" s="213">
        <f t="shared" si="1"/>
        <v>9</v>
      </c>
      <c r="G247" s="213">
        <f t="shared" si="2"/>
        <v>3</v>
      </c>
      <c r="H247" s="213">
        <f t="shared" si="3"/>
        <v>2026</v>
      </c>
      <c r="I247" s="232">
        <v>3.0</v>
      </c>
      <c r="J247" s="213">
        <v>2026.0</v>
      </c>
      <c r="K247" s="307"/>
      <c r="L247" s="307">
        <v>65.0</v>
      </c>
      <c r="M247" s="32">
        <v>1.0</v>
      </c>
      <c r="N247" s="217">
        <f t="shared" si="67"/>
        <v>65</v>
      </c>
      <c r="O247" s="233"/>
      <c r="P247" s="140"/>
      <c r="Q247" s="234" t="s">
        <v>866</v>
      </c>
    </row>
    <row r="248" ht="15.75" hidden="1" customHeight="1">
      <c r="A248" s="64" t="s">
        <v>176</v>
      </c>
      <c r="B248" s="64" t="s">
        <v>37</v>
      </c>
      <c r="C248" s="220"/>
      <c r="D248" s="64" t="s">
        <v>7</v>
      </c>
      <c r="E248" s="221">
        <v>46174.0</v>
      </c>
      <c r="F248" s="213">
        <f t="shared" si="1"/>
        <v>1</v>
      </c>
      <c r="G248" s="213">
        <f t="shared" si="2"/>
        <v>6</v>
      </c>
      <c r="H248" s="213">
        <f t="shared" si="3"/>
        <v>2026</v>
      </c>
      <c r="I248" s="214">
        <v>6.0</v>
      </c>
      <c r="J248" s="222">
        <v>2026.0</v>
      </c>
      <c r="K248" s="223"/>
      <c r="L248" s="223">
        <v>-63.0</v>
      </c>
      <c r="M248" s="32">
        <v>1.0</v>
      </c>
      <c r="N248" s="217">
        <f t="shared" si="67"/>
        <v>-63</v>
      </c>
      <c r="O248" s="87"/>
      <c r="P248" s="87"/>
      <c r="Q248" s="225" t="s">
        <v>869</v>
      </c>
    </row>
    <row r="249" ht="15.75" hidden="1" customHeight="1">
      <c r="A249" s="64" t="s">
        <v>176</v>
      </c>
      <c r="B249" s="64" t="s">
        <v>37</v>
      </c>
      <c r="C249" s="220"/>
      <c r="D249" s="64" t="s">
        <v>7</v>
      </c>
      <c r="E249" s="221">
        <v>46174.0</v>
      </c>
      <c r="F249" s="213">
        <f t="shared" si="1"/>
        <v>1</v>
      </c>
      <c r="G249" s="213">
        <f t="shared" si="2"/>
        <v>6</v>
      </c>
      <c r="H249" s="213">
        <f t="shared" si="3"/>
        <v>2026</v>
      </c>
      <c r="I249" s="214">
        <v>6.0</v>
      </c>
      <c r="J249" s="222">
        <v>2026.0</v>
      </c>
      <c r="K249" s="223"/>
      <c r="L249" s="223">
        <v>-72.0</v>
      </c>
      <c r="M249" s="32">
        <v>1.0</v>
      </c>
      <c r="N249" s="217">
        <f t="shared" si="67"/>
        <v>-72</v>
      </c>
      <c r="O249" s="77"/>
      <c r="P249" s="77"/>
      <c r="Q249" s="225" t="s">
        <v>872</v>
      </c>
    </row>
    <row r="250" ht="15.75" hidden="1" customHeight="1">
      <c r="A250" s="64" t="s">
        <v>176</v>
      </c>
      <c r="B250" s="64" t="s">
        <v>41</v>
      </c>
      <c r="C250" s="220"/>
      <c r="D250" s="64" t="s">
        <v>7</v>
      </c>
      <c r="E250" s="221">
        <v>46142.0</v>
      </c>
      <c r="F250" s="213">
        <f t="shared" si="1"/>
        <v>30</v>
      </c>
      <c r="G250" s="213">
        <f t="shared" si="2"/>
        <v>4</v>
      </c>
      <c r="H250" s="213">
        <f t="shared" si="3"/>
        <v>2026</v>
      </c>
      <c r="I250" s="214">
        <v>4.0</v>
      </c>
      <c r="J250" s="222">
        <v>2026.0</v>
      </c>
      <c r="K250" s="223"/>
      <c r="L250" s="223">
        <v>411.0</v>
      </c>
      <c r="M250" s="269">
        <v>1.0</v>
      </c>
      <c r="N250" s="217">
        <f t="shared" si="67"/>
        <v>411</v>
      </c>
      <c r="O250" s="87"/>
      <c r="P250" s="87"/>
      <c r="Q250" s="227"/>
    </row>
    <row r="251" ht="15.75" hidden="1" customHeight="1">
      <c r="A251" s="82" t="s">
        <v>176</v>
      </c>
      <c r="B251" s="82" t="s">
        <v>41</v>
      </c>
      <c r="C251" s="230"/>
      <c r="D251" s="82" t="s">
        <v>7</v>
      </c>
      <c r="E251" s="231">
        <v>46052.0</v>
      </c>
      <c r="F251" s="213">
        <f t="shared" si="1"/>
        <v>30</v>
      </c>
      <c r="G251" s="213">
        <f t="shared" si="2"/>
        <v>1</v>
      </c>
      <c r="H251" s="213">
        <f t="shared" si="3"/>
        <v>2026</v>
      </c>
      <c r="I251" s="232">
        <v>1.0</v>
      </c>
      <c r="J251" s="213">
        <v>2026.0</v>
      </c>
      <c r="K251" s="307"/>
      <c r="L251" s="307">
        <v>369.0</v>
      </c>
      <c r="M251" s="32">
        <v>1.0</v>
      </c>
      <c r="N251" s="217">
        <f t="shared" si="67"/>
        <v>369</v>
      </c>
      <c r="O251" s="233"/>
      <c r="P251" s="140"/>
      <c r="Q251" s="234"/>
    </row>
    <row r="252" ht="15.75" hidden="1" customHeight="1">
      <c r="A252" s="64" t="s">
        <v>290</v>
      </c>
      <c r="B252" s="64" t="s">
        <v>263</v>
      </c>
      <c r="C252" s="220"/>
      <c r="D252" s="64" t="s">
        <v>319</v>
      </c>
      <c r="E252" s="221">
        <v>46210.0</v>
      </c>
      <c r="F252" s="213">
        <f t="shared" si="1"/>
        <v>7</v>
      </c>
      <c r="G252" s="213">
        <f t="shared" si="2"/>
        <v>7</v>
      </c>
      <c r="H252" s="213">
        <f t="shared" si="3"/>
        <v>2026</v>
      </c>
      <c r="I252" s="214">
        <f t="shared" ref="I252:J252" si="68">G252</f>
        <v>7</v>
      </c>
      <c r="J252" s="215">
        <f t="shared" si="68"/>
        <v>2026</v>
      </c>
      <c r="K252" s="223"/>
      <c r="L252" s="223">
        <f>1.35+5.89</f>
        <v>7.24</v>
      </c>
      <c r="M252" s="32">
        <v>15.0</v>
      </c>
      <c r="N252" s="217">
        <f t="shared" si="67"/>
        <v>108.6</v>
      </c>
      <c r="O252" s="77"/>
      <c r="P252" s="77"/>
      <c r="Q252" s="226"/>
    </row>
    <row r="253" ht="15.75" hidden="1" customHeight="1">
      <c r="A253" s="64" t="s">
        <v>182</v>
      </c>
      <c r="B253" s="64" t="s">
        <v>47</v>
      </c>
      <c r="C253" s="220"/>
      <c r="D253" s="64" t="s">
        <v>7</v>
      </c>
      <c r="E253" s="221">
        <v>46121.0</v>
      </c>
      <c r="F253" s="213">
        <f t="shared" si="1"/>
        <v>9</v>
      </c>
      <c r="G253" s="213">
        <f t="shared" si="2"/>
        <v>4</v>
      </c>
      <c r="H253" s="213">
        <f t="shared" si="3"/>
        <v>2026</v>
      </c>
      <c r="I253" s="214">
        <v>4.0</v>
      </c>
      <c r="J253" s="222">
        <v>2026.0</v>
      </c>
      <c r="K253" s="223"/>
      <c r="L253" s="223">
        <v>62.73</v>
      </c>
      <c r="M253" s="32">
        <v>1.0</v>
      </c>
      <c r="N253" s="217">
        <f t="shared" si="67"/>
        <v>62.73</v>
      </c>
      <c r="O253" s="77"/>
      <c r="P253" s="77"/>
      <c r="Q253" s="32" t="s">
        <v>882</v>
      </c>
    </row>
    <row r="254" ht="15.75" hidden="1" customHeight="1">
      <c r="A254" s="64" t="s">
        <v>182</v>
      </c>
      <c r="B254" s="64" t="s">
        <v>47</v>
      </c>
      <c r="C254" s="220"/>
      <c r="D254" s="64" t="s">
        <v>7</v>
      </c>
      <c r="E254" s="221">
        <v>46097.0</v>
      </c>
      <c r="F254" s="213">
        <f t="shared" si="1"/>
        <v>16</v>
      </c>
      <c r="G254" s="213">
        <f t="shared" si="2"/>
        <v>3</v>
      </c>
      <c r="H254" s="213">
        <f t="shared" si="3"/>
        <v>2026</v>
      </c>
      <c r="I254" s="214">
        <v>3.0</v>
      </c>
      <c r="J254" s="222">
        <v>2026.0</v>
      </c>
      <c r="K254" s="223"/>
      <c r="L254" s="223">
        <v>56.0</v>
      </c>
      <c r="M254" s="32">
        <v>1.0</v>
      </c>
      <c r="N254" s="217">
        <f t="shared" si="67"/>
        <v>56</v>
      </c>
      <c r="O254" s="77"/>
      <c r="P254" s="77"/>
      <c r="Q254" s="32" t="s">
        <v>883</v>
      </c>
    </row>
    <row r="255" ht="15.75" hidden="1" customHeight="1">
      <c r="A255" s="64" t="s">
        <v>185</v>
      </c>
      <c r="B255" s="64" t="s">
        <v>40</v>
      </c>
      <c r="C255" s="220"/>
      <c r="D255" s="64" t="s">
        <v>7</v>
      </c>
      <c r="E255" s="221">
        <v>46230.0</v>
      </c>
      <c r="F255" s="213">
        <f t="shared" si="1"/>
        <v>27</v>
      </c>
      <c r="G255" s="213">
        <f t="shared" si="2"/>
        <v>7</v>
      </c>
      <c r="H255" s="213">
        <f t="shared" si="3"/>
        <v>2026</v>
      </c>
      <c r="I255" s="306">
        <v>6.0</v>
      </c>
      <c r="J255" s="215">
        <f>H255</f>
        <v>2026</v>
      </c>
      <c r="K255" s="223"/>
      <c r="L255" s="223">
        <v>411.6</v>
      </c>
      <c r="M255" s="32">
        <v>1.0</v>
      </c>
      <c r="N255" s="236">
        <f t="shared" si="67"/>
        <v>411.6</v>
      </c>
      <c r="O255" s="87"/>
      <c r="P255" s="87"/>
      <c r="Q255" s="225"/>
    </row>
    <row r="256" ht="15.75" hidden="1" customHeight="1">
      <c r="A256" s="64" t="s">
        <v>185</v>
      </c>
      <c r="B256" s="64" t="s">
        <v>40</v>
      </c>
      <c r="C256" s="220"/>
      <c r="D256" s="64" t="s">
        <v>7</v>
      </c>
      <c r="E256" s="221">
        <v>46199.0</v>
      </c>
      <c r="F256" s="213">
        <f t="shared" si="1"/>
        <v>26</v>
      </c>
      <c r="G256" s="213">
        <f t="shared" si="2"/>
        <v>6</v>
      </c>
      <c r="H256" s="213">
        <f t="shared" si="3"/>
        <v>2026</v>
      </c>
      <c r="I256" s="214">
        <v>6.0</v>
      </c>
      <c r="J256" s="222">
        <v>2026.0</v>
      </c>
      <c r="K256" s="223"/>
      <c r="L256" s="223">
        <v>149.15</v>
      </c>
      <c r="M256" s="32">
        <v>1.0</v>
      </c>
      <c r="N256" s="217">
        <f t="shared" si="67"/>
        <v>149.15</v>
      </c>
      <c r="O256" s="87"/>
      <c r="P256" s="87"/>
      <c r="Q256" s="225"/>
      <c r="R256" s="228"/>
      <c r="S256" s="228"/>
      <c r="T256" s="228"/>
      <c r="U256" s="228"/>
      <c r="V256" s="228"/>
      <c r="W256" s="228"/>
      <c r="X256" s="228"/>
      <c r="Y256" s="228"/>
      <c r="Z256" s="228"/>
      <c r="AA256" s="228"/>
      <c r="AB256" s="228"/>
      <c r="AC256" s="228"/>
      <c r="AD256" s="228"/>
      <c r="AE256" s="228"/>
      <c r="AF256" s="228"/>
      <c r="AG256" s="228"/>
      <c r="AH256" s="228"/>
    </row>
    <row r="257" ht="15.75" hidden="1" customHeight="1">
      <c r="A257" s="64" t="s">
        <v>185</v>
      </c>
      <c r="B257" s="64" t="s">
        <v>40</v>
      </c>
      <c r="C257" s="220"/>
      <c r="D257" s="64" t="s">
        <v>7</v>
      </c>
      <c r="E257" s="221">
        <v>46139.0</v>
      </c>
      <c r="F257" s="213">
        <f t="shared" si="1"/>
        <v>27</v>
      </c>
      <c r="G257" s="213">
        <f t="shared" si="2"/>
        <v>4</v>
      </c>
      <c r="H257" s="213">
        <f t="shared" si="3"/>
        <v>2026</v>
      </c>
      <c r="I257" s="214">
        <v>4.0</v>
      </c>
      <c r="J257" s="222">
        <v>2026.0</v>
      </c>
      <c r="K257" s="223"/>
      <c r="L257" s="223">
        <v>125.08</v>
      </c>
      <c r="M257" s="269">
        <v>1.0</v>
      </c>
      <c r="N257" s="217">
        <f t="shared" si="67"/>
        <v>125.08</v>
      </c>
      <c r="O257" s="345"/>
      <c r="P257" s="345"/>
      <c r="Q257" s="225"/>
    </row>
    <row r="258" ht="15.75" hidden="1" customHeight="1">
      <c r="A258" s="64" t="s">
        <v>185</v>
      </c>
      <c r="B258" s="64" t="s">
        <v>40</v>
      </c>
      <c r="C258" s="220"/>
      <c r="D258" s="64" t="s">
        <v>7</v>
      </c>
      <c r="E258" s="221">
        <v>46107.0</v>
      </c>
      <c r="F258" s="213">
        <f t="shared" si="1"/>
        <v>26</v>
      </c>
      <c r="G258" s="213">
        <f t="shared" si="2"/>
        <v>3</v>
      </c>
      <c r="H258" s="213">
        <f t="shared" si="3"/>
        <v>2026</v>
      </c>
      <c r="I258" s="214">
        <v>3.0</v>
      </c>
      <c r="J258" s="222">
        <v>2026.0</v>
      </c>
      <c r="K258" s="223"/>
      <c r="L258" s="223">
        <v>97.04</v>
      </c>
      <c r="M258" s="32">
        <v>1.0</v>
      </c>
      <c r="N258" s="217">
        <f t="shared" si="67"/>
        <v>97.04</v>
      </c>
      <c r="O258" s="77"/>
      <c r="P258" s="77"/>
      <c r="Q258" s="225"/>
    </row>
    <row r="259" ht="15.75" hidden="1" customHeight="1">
      <c r="A259" s="64" t="s">
        <v>185</v>
      </c>
      <c r="B259" s="64" t="s">
        <v>40</v>
      </c>
      <c r="C259" s="230"/>
      <c r="D259" s="82" t="s">
        <v>7</v>
      </c>
      <c r="E259" s="231">
        <v>46078.0</v>
      </c>
      <c r="F259" s="213">
        <f t="shared" si="1"/>
        <v>25</v>
      </c>
      <c r="G259" s="213">
        <f t="shared" si="2"/>
        <v>2</v>
      </c>
      <c r="H259" s="213">
        <f t="shared" si="3"/>
        <v>2026</v>
      </c>
      <c r="I259" s="232">
        <v>2.0</v>
      </c>
      <c r="J259" s="213">
        <v>2026.0</v>
      </c>
      <c r="K259" s="307"/>
      <c r="L259" s="307">
        <v>93.33</v>
      </c>
      <c r="M259" s="32">
        <v>1.0</v>
      </c>
      <c r="N259" s="217">
        <f t="shared" si="67"/>
        <v>93.33</v>
      </c>
      <c r="O259" s="320"/>
      <c r="P259" s="321"/>
      <c r="Q259" s="234"/>
      <c r="R259" s="235"/>
      <c r="S259" s="235"/>
      <c r="T259" s="235"/>
      <c r="U259" s="235"/>
      <c r="V259" s="235"/>
      <c r="W259" s="235"/>
      <c r="X259" s="235"/>
      <c r="Y259" s="235"/>
      <c r="Z259" s="235"/>
      <c r="AA259" s="235"/>
      <c r="AB259" s="235"/>
      <c r="AC259" s="235"/>
      <c r="AD259" s="235"/>
      <c r="AE259" s="235"/>
      <c r="AF259" s="235"/>
      <c r="AG259" s="235"/>
      <c r="AH259" s="235"/>
    </row>
    <row r="260" ht="15.75" hidden="1" customHeight="1">
      <c r="A260" s="64" t="s">
        <v>185</v>
      </c>
      <c r="B260" s="64" t="s">
        <v>40</v>
      </c>
      <c r="C260" s="220"/>
      <c r="D260" s="64" t="s">
        <v>7</v>
      </c>
      <c r="E260" s="221">
        <v>46168.0</v>
      </c>
      <c r="F260" s="213">
        <f t="shared" si="1"/>
        <v>26</v>
      </c>
      <c r="G260" s="213">
        <f t="shared" si="2"/>
        <v>5</v>
      </c>
      <c r="H260" s="213">
        <f t="shared" si="3"/>
        <v>2026</v>
      </c>
      <c r="I260" s="214">
        <v>5.0</v>
      </c>
      <c r="J260" s="222">
        <v>2026.0</v>
      </c>
      <c r="K260" s="223"/>
      <c r="L260" s="223">
        <v>90.38</v>
      </c>
      <c r="M260" s="32">
        <v>1.0</v>
      </c>
      <c r="N260" s="217">
        <f t="shared" si="67"/>
        <v>90.38</v>
      </c>
      <c r="O260" s="77"/>
      <c r="P260" s="77"/>
      <c r="Q260" s="226"/>
    </row>
    <row r="261" ht="15.75" hidden="1" customHeight="1">
      <c r="A261" s="64" t="s">
        <v>185</v>
      </c>
      <c r="B261" s="64" t="s">
        <v>40</v>
      </c>
      <c r="C261" s="230"/>
      <c r="D261" s="82" t="s">
        <v>7</v>
      </c>
      <c r="E261" s="231">
        <v>46048.0</v>
      </c>
      <c r="F261" s="213">
        <f t="shared" si="1"/>
        <v>26</v>
      </c>
      <c r="G261" s="213">
        <f t="shared" si="2"/>
        <v>1</v>
      </c>
      <c r="H261" s="213">
        <f t="shared" si="3"/>
        <v>2026</v>
      </c>
      <c r="I261" s="232">
        <v>1.0</v>
      </c>
      <c r="J261" s="213">
        <v>2026.0</v>
      </c>
      <c r="K261" s="307"/>
      <c r="L261" s="307">
        <v>88.87</v>
      </c>
      <c r="M261" s="32">
        <v>1.0</v>
      </c>
      <c r="N261" s="217">
        <f t="shared" si="67"/>
        <v>88.87</v>
      </c>
      <c r="O261" s="233"/>
      <c r="P261" s="140"/>
      <c r="Q261" s="234"/>
    </row>
    <row r="262" ht="15.75" hidden="1" customHeight="1">
      <c r="A262" s="64" t="s">
        <v>185</v>
      </c>
      <c r="B262" s="64" t="s">
        <v>58</v>
      </c>
      <c r="C262" s="220"/>
      <c r="D262" s="64" t="s">
        <v>7</v>
      </c>
      <c r="E262" s="221">
        <v>46221.0</v>
      </c>
      <c r="F262" s="213">
        <f t="shared" si="1"/>
        <v>18</v>
      </c>
      <c r="G262" s="213">
        <f t="shared" si="2"/>
        <v>7</v>
      </c>
      <c r="H262" s="213">
        <f t="shared" si="3"/>
        <v>2026</v>
      </c>
      <c r="I262" s="306">
        <v>6.0</v>
      </c>
      <c r="J262" s="215">
        <f>H262</f>
        <v>2026</v>
      </c>
      <c r="K262" s="223"/>
      <c r="L262" s="223">
        <v>1332.0</v>
      </c>
      <c r="M262" s="32">
        <v>1.0</v>
      </c>
      <c r="N262" s="236">
        <f t="shared" si="67"/>
        <v>1332</v>
      </c>
      <c r="O262" s="77"/>
      <c r="P262" s="77"/>
      <c r="Q262" s="32"/>
      <c r="R262" s="32"/>
    </row>
    <row r="263" ht="15.75" hidden="1" customHeight="1">
      <c r="A263" s="64" t="s">
        <v>185</v>
      </c>
      <c r="B263" s="64" t="s">
        <v>58</v>
      </c>
      <c r="C263" s="220"/>
      <c r="D263" s="64" t="s">
        <v>7</v>
      </c>
      <c r="E263" s="221">
        <v>46198.0</v>
      </c>
      <c r="F263" s="213">
        <f t="shared" si="1"/>
        <v>25</v>
      </c>
      <c r="G263" s="213">
        <f t="shared" si="2"/>
        <v>6</v>
      </c>
      <c r="H263" s="213">
        <f t="shared" si="3"/>
        <v>2026</v>
      </c>
      <c r="I263" s="346">
        <v>5.0</v>
      </c>
      <c r="J263" s="240">
        <v>2026.0</v>
      </c>
      <c r="K263" s="32"/>
      <c r="L263" s="32">
        <v>578.0</v>
      </c>
      <c r="M263" s="32">
        <v>1.0</v>
      </c>
      <c r="N263" s="217">
        <f t="shared" si="67"/>
        <v>578</v>
      </c>
      <c r="O263" s="87"/>
      <c r="P263" s="87"/>
      <c r="Q263" s="32" t="s">
        <v>901</v>
      </c>
    </row>
    <row r="264" ht="15.75" hidden="1" customHeight="1">
      <c r="A264" s="64" t="s">
        <v>185</v>
      </c>
      <c r="B264" s="64" t="s">
        <v>48</v>
      </c>
      <c r="C264" s="220"/>
      <c r="D264" s="64" t="s">
        <v>7</v>
      </c>
      <c r="E264" s="221">
        <v>46114.0</v>
      </c>
      <c r="F264" s="213">
        <f t="shared" si="1"/>
        <v>2</v>
      </c>
      <c r="G264" s="213">
        <f t="shared" si="2"/>
        <v>4</v>
      </c>
      <c r="H264" s="213">
        <f t="shared" si="3"/>
        <v>2026</v>
      </c>
      <c r="I264" s="214">
        <v>4.0</v>
      </c>
      <c r="J264" s="222">
        <v>2026.0</v>
      </c>
      <c r="K264" s="223"/>
      <c r="L264" s="223">
        <v>87.3</v>
      </c>
      <c r="M264" s="32">
        <v>1.0</v>
      </c>
      <c r="N264" s="217">
        <f t="shared" si="67"/>
        <v>87.3</v>
      </c>
      <c r="O264" s="87"/>
      <c r="P264" s="87"/>
      <c r="Q264" s="226"/>
    </row>
    <row r="265" ht="15.75" hidden="1" customHeight="1">
      <c r="A265" s="64" t="s">
        <v>185</v>
      </c>
      <c r="B265" s="64" t="s">
        <v>48</v>
      </c>
      <c r="C265" s="220"/>
      <c r="D265" s="64" t="s">
        <v>7</v>
      </c>
      <c r="E265" s="221">
        <v>46143.0</v>
      </c>
      <c r="F265" s="213">
        <f t="shared" si="1"/>
        <v>1</v>
      </c>
      <c r="G265" s="213">
        <f t="shared" si="2"/>
        <v>5</v>
      </c>
      <c r="H265" s="213">
        <f t="shared" si="3"/>
        <v>2026</v>
      </c>
      <c r="I265" s="214">
        <v>5.0</v>
      </c>
      <c r="J265" s="222">
        <v>2026.0</v>
      </c>
      <c r="K265" s="223"/>
      <c r="L265" s="223">
        <v>87.3</v>
      </c>
      <c r="M265" s="32">
        <v>1.0</v>
      </c>
      <c r="N265" s="217">
        <f t="shared" si="67"/>
        <v>87.3</v>
      </c>
      <c r="O265" s="77"/>
      <c r="P265" s="77"/>
      <c r="Q265" s="225"/>
    </row>
    <row r="266" ht="15.75" hidden="1" customHeight="1">
      <c r="A266" s="64" t="s">
        <v>185</v>
      </c>
      <c r="B266" s="64" t="s">
        <v>48</v>
      </c>
      <c r="C266" s="220"/>
      <c r="D266" s="64" t="s">
        <v>7</v>
      </c>
      <c r="E266" s="221">
        <v>46174.0</v>
      </c>
      <c r="F266" s="213">
        <f t="shared" si="1"/>
        <v>1</v>
      </c>
      <c r="G266" s="213">
        <f t="shared" si="2"/>
        <v>6</v>
      </c>
      <c r="H266" s="213">
        <f t="shared" si="3"/>
        <v>2026</v>
      </c>
      <c r="I266" s="214">
        <v>6.0</v>
      </c>
      <c r="J266" s="222">
        <v>2026.0</v>
      </c>
      <c r="K266" s="223"/>
      <c r="L266" s="223">
        <v>87.3</v>
      </c>
      <c r="M266" s="32">
        <v>1.0</v>
      </c>
      <c r="N266" s="217">
        <f t="shared" si="67"/>
        <v>87.3</v>
      </c>
      <c r="O266" s="87"/>
      <c r="P266" s="87"/>
      <c r="Q266" s="226"/>
    </row>
    <row r="267" ht="15.75" hidden="1" customHeight="1">
      <c r="A267" s="64" t="s">
        <v>185</v>
      </c>
      <c r="B267" s="64" t="s">
        <v>48</v>
      </c>
      <c r="C267" s="220"/>
      <c r="D267" s="64" t="s">
        <v>7</v>
      </c>
      <c r="E267" s="221">
        <v>46204.0</v>
      </c>
      <c r="F267" s="213">
        <f t="shared" si="1"/>
        <v>1</v>
      </c>
      <c r="G267" s="213">
        <f t="shared" si="2"/>
        <v>7</v>
      </c>
      <c r="H267" s="213">
        <f t="shared" si="3"/>
        <v>2026</v>
      </c>
      <c r="I267" s="306">
        <v>6.0</v>
      </c>
      <c r="J267" s="215">
        <f>H267</f>
        <v>2026</v>
      </c>
      <c r="K267" s="223"/>
      <c r="L267" s="223">
        <v>87.3</v>
      </c>
      <c r="M267" s="32">
        <v>1.0</v>
      </c>
      <c r="N267" s="236">
        <f t="shared" si="67"/>
        <v>87.3</v>
      </c>
      <c r="O267" s="87"/>
      <c r="P267" s="224"/>
      <c r="Q267" s="226"/>
    </row>
    <row r="268" ht="15.75" hidden="1" customHeight="1">
      <c r="A268" s="64" t="s">
        <v>185</v>
      </c>
      <c r="B268" s="64" t="s">
        <v>48</v>
      </c>
      <c r="C268" s="220"/>
      <c r="D268" s="64" t="s">
        <v>7</v>
      </c>
      <c r="E268" s="221">
        <v>46234.0</v>
      </c>
      <c r="F268" s="213">
        <f t="shared" si="1"/>
        <v>31</v>
      </c>
      <c r="G268" s="213">
        <f t="shared" si="2"/>
        <v>7</v>
      </c>
      <c r="H268" s="213">
        <f t="shared" si="3"/>
        <v>2026</v>
      </c>
      <c r="I268" s="214">
        <f t="shared" ref="I268:J268" si="69">G268</f>
        <v>7</v>
      </c>
      <c r="J268" s="215">
        <f t="shared" si="69"/>
        <v>2026</v>
      </c>
      <c r="K268" s="223"/>
      <c r="L268" s="223">
        <v>87.3</v>
      </c>
      <c r="M268" s="32">
        <v>1.0</v>
      </c>
      <c r="N268" s="236">
        <f t="shared" si="67"/>
        <v>87.3</v>
      </c>
      <c r="O268" s="87"/>
      <c r="P268" s="224"/>
      <c r="Q268" s="226"/>
    </row>
    <row r="269" ht="15.75" hidden="1" customHeight="1">
      <c r="A269" s="82" t="s">
        <v>185</v>
      </c>
      <c r="B269" s="82" t="s">
        <v>26</v>
      </c>
      <c r="C269" s="230"/>
      <c r="D269" s="140" t="s">
        <v>7</v>
      </c>
      <c r="E269" s="310">
        <v>46024.0</v>
      </c>
      <c r="F269" s="213">
        <f t="shared" si="1"/>
        <v>2</v>
      </c>
      <c r="G269" s="213">
        <f t="shared" si="2"/>
        <v>1</v>
      </c>
      <c r="H269" s="213">
        <f t="shared" si="3"/>
        <v>2026</v>
      </c>
      <c r="I269" s="322">
        <v>12.0</v>
      </c>
      <c r="J269" s="214">
        <v>2025.0</v>
      </c>
      <c r="K269" s="217"/>
      <c r="L269" s="217">
        <v>115.0</v>
      </c>
      <c r="M269" s="269">
        <v>1.0</v>
      </c>
      <c r="N269" s="217">
        <f t="shared" si="67"/>
        <v>115</v>
      </c>
      <c r="O269" s="140">
        <v>12.0</v>
      </c>
      <c r="P269" s="140"/>
      <c r="Q269" s="164"/>
    </row>
    <row r="270" ht="15.75" hidden="1" customHeight="1">
      <c r="A270" s="82" t="s">
        <v>185</v>
      </c>
      <c r="B270" s="82" t="s">
        <v>26</v>
      </c>
      <c r="C270" s="220"/>
      <c r="D270" s="64" t="s">
        <v>7</v>
      </c>
      <c r="E270" s="221">
        <v>46233.0</v>
      </c>
      <c r="F270" s="213">
        <f t="shared" si="1"/>
        <v>30</v>
      </c>
      <c r="G270" s="213">
        <f t="shared" si="2"/>
        <v>7</v>
      </c>
      <c r="H270" s="213">
        <f t="shared" si="3"/>
        <v>2026</v>
      </c>
      <c r="I270" s="214">
        <f t="shared" ref="I270:J270" si="70">G270</f>
        <v>7</v>
      </c>
      <c r="J270" s="215">
        <f t="shared" si="70"/>
        <v>2026</v>
      </c>
      <c r="K270" s="223"/>
      <c r="L270" s="223">
        <v>333.0</v>
      </c>
      <c r="M270" s="32">
        <v>1.0</v>
      </c>
      <c r="N270" s="236">
        <f t="shared" si="67"/>
        <v>333</v>
      </c>
      <c r="O270" s="77"/>
      <c r="P270" s="77"/>
      <c r="Q270" s="32" t="s">
        <v>909</v>
      </c>
      <c r="R270" s="32"/>
    </row>
    <row r="271" ht="15.75" hidden="1" customHeight="1">
      <c r="A271" s="82" t="s">
        <v>185</v>
      </c>
      <c r="B271" s="82" t="s">
        <v>26</v>
      </c>
      <c r="C271" s="220"/>
      <c r="D271" s="64" t="s">
        <v>7</v>
      </c>
      <c r="E271" s="221">
        <v>46204.0</v>
      </c>
      <c r="F271" s="213">
        <f t="shared" si="1"/>
        <v>1</v>
      </c>
      <c r="G271" s="213">
        <f t="shared" si="2"/>
        <v>7</v>
      </c>
      <c r="H271" s="213">
        <f t="shared" si="3"/>
        <v>2026</v>
      </c>
      <c r="I271" s="214">
        <v>7.0</v>
      </c>
      <c r="J271" s="222">
        <v>2026.0</v>
      </c>
      <c r="K271" s="223"/>
      <c r="L271" s="347">
        <v>230.0</v>
      </c>
      <c r="M271" s="32">
        <v>1.0</v>
      </c>
      <c r="N271" s="236">
        <f t="shared" si="67"/>
        <v>230</v>
      </c>
      <c r="O271" s="87"/>
      <c r="P271" s="87"/>
      <c r="Q271" s="226"/>
    </row>
    <row r="272" ht="15.75" hidden="1" customHeight="1">
      <c r="A272" s="82" t="s">
        <v>185</v>
      </c>
      <c r="B272" s="82" t="s">
        <v>26</v>
      </c>
      <c r="C272" s="220"/>
      <c r="D272" s="64" t="s">
        <v>7</v>
      </c>
      <c r="E272" s="221">
        <v>46233.0</v>
      </c>
      <c r="F272" s="213">
        <f t="shared" si="1"/>
        <v>30</v>
      </c>
      <c r="G272" s="213">
        <f t="shared" si="2"/>
        <v>7</v>
      </c>
      <c r="H272" s="213">
        <f t="shared" si="3"/>
        <v>2026</v>
      </c>
      <c r="I272" s="214">
        <f t="shared" ref="I272:J272" si="71">G272</f>
        <v>7</v>
      </c>
      <c r="J272" s="215">
        <f t="shared" si="71"/>
        <v>2026</v>
      </c>
      <c r="K272" s="223"/>
      <c r="L272" s="223">
        <v>230.0</v>
      </c>
      <c r="M272" s="32">
        <v>1.0</v>
      </c>
      <c r="N272" s="236">
        <f t="shared" si="67"/>
        <v>230</v>
      </c>
      <c r="O272" s="77"/>
      <c r="P272" s="77"/>
      <c r="Q272" s="32" t="s">
        <v>913</v>
      </c>
      <c r="R272" s="32"/>
    </row>
    <row r="273" ht="15.75" hidden="1" customHeight="1">
      <c r="A273" s="82" t="s">
        <v>185</v>
      </c>
      <c r="B273" s="82" t="s">
        <v>26</v>
      </c>
      <c r="C273" s="220"/>
      <c r="D273" s="64" t="s">
        <v>7</v>
      </c>
      <c r="E273" s="221">
        <v>46233.0</v>
      </c>
      <c r="F273" s="213">
        <f t="shared" si="1"/>
        <v>30</v>
      </c>
      <c r="G273" s="213">
        <f t="shared" si="2"/>
        <v>7</v>
      </c>
      <c r="H273" s="213">
        <f t="shared" si="3"/>
        <v>2026</v>
      </c>
      <c r="I273" s="214">
        <f t="shared" ref="I273:J273" si="72">G273</f>
        <v>7</v>
      </c>
      <c r="J273" s="215">
        <f t="shared" si="72"/>
        <v>2026</v>
      </c>
      <c r="K273" s="223"/>
      <c r="L273" s="223">
        <v>160.0</v>
      </c>
      <c r="M273" s="32">
        <v>1.0</v>
      </c>
      <c r="N273" s="236">
        <f t="shared" si="67"/>
        <v>160</v>
      </c>
      <c r="O273" s="77"/>
      <c r="P273" s="77"/>
      <c r="Q273" s="32" t="s">
        <v>916</v>
      </c>
      <c r="R273" s="32"/>
    </row>
    <row r="274" ht="15.75" hidden="1" customHeight="1">
      <c r="A274" s="82" t="s">
        <v>185</v>
      </c>
      <c r="B274" s="82" t="s">
        <v>26</v>
      </c>
      <c r="C274" s="230"/>
      <c r="D274" s="82" t="s">
        <v>7</v>
      </c>
      <c r="E274" s="231">
        <v>46056.0</v>
      </c>
      <c r="F274" s="213">
        <f t="shared" si="1"/>
        <v>3</v>
      </c>
      <c r="G274" s="213">
        <f t="shared" si="2"/>
        <v>2</v>
      </c>
      <c r="H274" s="213">
        <f t="shared" si="3"/>
        <v>2026</v>
      </c>
      <c r="I274" s="322">
        <v>1.0</v>
      </c>
      <c r="J274" s="213">
        <v>2026.0</v>
      </c>
      <c r="K274" s="307"/>
      <c r="L274" s="307">
        <v>115.0</v>
      </c>
      <c r="M274" s="32">
        <v>1.0</v>
      </c>
      <c r="N274" s="217">
        <f t="shared" si="67"/>
        <v>115</v>
      </c>
      <c r="O274" s="320"/>
      <c r="P274" s="321"/>
      <c r="Q274" s="234"/>
    </row>
    <row r="275" ht="15.75" hidden="1" customHeight="1">
      <c r="A275" s="82" t="s">
        <v>185</v>
      </c>
      <c r="B275" s="82" t="s">
        <v>26</v>
      </c>
      <c r="C275" s="220"/>
      <c r="D275" s="64" t="s">
        <v>7</v>
      </c>
      <c r="E275" s="221">
        <v>46118.0</v>
      </c>
      <c r="F275" s="213">
        <f t="shared" si="1"/>
        <v>6</v>
      </c>
      <c r="G275" s="213">
        <f t="shared" si="2"/>
        <v>4</v>
      </c>
      <c r="H275" s="213">
        <f t="shared" si="3"/>
        <v>2026</v>
      </c>
      <c r="I275" s="306">
        <v>2.0</v>
      </c>
      <c r="J275" s="222">
        <v>2026.0</v>
      </c>
      <c r="K275" s="223"/>
      <c r="L275" s="223">
        <v>115.0</v>
      </c>
      <c r="M275" s="32">
        <v>1.0</v>
      </c>
      <c r="N275" s="217">
        <f t="shared" si="67"/>
        <v>115</v>
      </c>
      <c r="O275" s="87"/>
      <c r="P275" s="87"/>
      <c r="Q275" s="32" t="s">
        <v>919</v>
      </c>
    </row>
    <row r="276" ht="15.75" hidden="1" customHeight="1">
      <c r="A276" s="82" t="s">
        <v>185</v>
      </c>
      <c r="B276" s="82" t="s">
        <v>26</v>
      </c>
      <c r="C276" s="220"/>
      <c r="D276" s="64" t="s">
        <v>7</v>
      </c>
      <c r="E276" s="221">
        <v>46143.0</v>
      </c>
      <c r="F276" s="213">
        <f t="shared" si="1"/>
        <v>1</v>
      </c>
      <c r="G276" s="213">
        <f t="shared" si="2"/>
        <v>5</v>
      </c>
      <c r="H276" s="213">
        <f t="shared" si="3"/>
        <v>2026</v>
      </c>
      <c r="I276" s="306">
        <v>3.0</v>
      </c>
      <c r="J276" s="222">
        <v>2026.0</v>
      </c>
      <c r="K276" s="223"/>
      <c r="L276" s="223">
        <v>115.0</v>
      </c>
      <c r="M276" s="269">
        <v>1.0</v>
      </c>
      <c r="N276" s="217">
        <f t="shared" si="67"/>
        <v>115</v>
      </c>
      <c r="O276" s="77"/>
      <c r="P276" s="77"/>
      <c r="Q276" s="226"/>
    </row>
    <row r="277" ht="15.75" hidden="1" customHeight="1">
      <c r="A277" s="82" t="s">
        <v>185</v>
      </c>
      <c r="B277" s="82" t="s">
        <v>26</v>
      </c>
      <c r="C277" s="220"/>
      <c r="D277" s="64" t="s">
        <v>7</v>
      </c>
      <c r="E277" s="221">
        <v>46160.0</v>
      </c>
      <c r="F277" s="213">
        <f t="shared" si="1"/>
        <v>18</v>
      </c>
      <c r="G277" s="213">
        <f t="shared" si="2"/>
        <v>5</v>
      </c>
      <c r="H277" s="213">
        <f t="shared" si="3"/>
        <v>2026</v>
      </c>
      <c r="I277" s="306">
        <v>4.0</v>
      </c>
      <c r="J277" s="222">
        <v>2026.0</v>
      </c>
      <c r="K277" s="223"/>
      <c r="L277" s="223">
        <v>115.0</v>
      </c>
      <c r="M277" s="32">
        <v>1.0</v>
      </c>
      <c r="N277" s="217">
        <f t="shared" si="67"/>
        <v>115</v>
      </c>
      <c r="O277" s="87"/>
      <c r="P277" s="224"/>
      <c r="Q277" s="225"/>
    </row>
    <row r="278" ht="15.75" hidden="1" customHeight="1">
      <c r="A278" s="82" t="s">
        <v>185</v>
      </c>
      <c r="B278" s="82" t="s">
        <v>26</v>
      </c>
      <c r="C278" s="220"/>
      <c r="D278" s="64" t="s">
        <v>7</v>
      </c>
      <c r="E278" s="221">
        <v>46162.0</v>
      </c>
      <c r="F278" s="213">
        <f t="shared" si="1"/>
        <v>20</v>
      </c>
      <c r="G278" s="213">
        <f t="shared" si="2"/>
        <v>5</v>
      </c>
      <c r="H278" s="213">
        <f t="shared" si="3"/>
        <v>2026</v>
      </c>
      <c r="I278" s="306">
        <v>5.0</v>
      </c>
      <c r="J278" s="222">
        <v>2026.0</v>
      </c>
      <c r="K278" s="223"/>
      <c r="L278" s="223">
        <v>115.0</v>
      </c>
      <c r="M278" s="32">
        <v>1.0</v>
      </c>
      <c r="N278" s="217">
        <f t="shared" si="67"/>
        <v>115</v>
      </c>
      <c r="O278" s="87"/>
      <c r="P278" s="87"/>
      <c r="Q278" s="225"/>
      <c r="R278" s="348"/>
      <c r="S278" s="348"/>
      <c r="T278" s="348"/>
      <c r="U278" s="348"/>
      <c r="V278" s="348"/>
      <c r="W278" s="348"/>
      <c r="X278" s="348"/>
      <c r="Y278" s="348"/>
      <c r="Z278" s="348"/>
      <c r="AA278" s="348"/>
      <c r="AB278" s="348"/>
      <c r="AC278" s="348"/>
      <c r="AD278" s="348"/>
      <c r="AE278" s="348"/>
      <c r="AF278" s="348"/>
      <c r="AG278" s="348"/>
      <c r="AH278" s="348"/>
    </row>
    <row r="279" ht="15.75" hidden="1" customHeight="1">
      <c r="A279" s="82" t="s">
        <v>185</v>
      </c>
      <c r="B279" s="82" t="s">
        <v>26</v>
      </c>
      <c r="C279" s="220"/>
      <c r="D279" s="64" t="s">
        <v>7</v>
      </c>
      <c r="E279" s="221">
        <v>46182.0</v>
      </c>
      <c r="F279" s="213">
        <f t="shared" si="1"/>
        <v>9</v>
      </c>
      <c r="G279" s="213">
        <f t="shared" si="2"/>
        <v>6</v>
      </c>
      <c r="H279" s="213">
        <f t="shared" si="3"/>
        <v>2026</v>
      </c>
      <c r="I279" s="214">
        <v>6.0</v>
      </c>
      <c r="J279" s="222">
        <v>2026.0</v>
      </c>
      <c r="K279" s="223"/>
      <c r="L279" s="223">
        <v>115.0</v>
      </c>
      <c r="M279" s="32">
        <v>1.0</v>
      </c>
      <c r="N279" s="217">
        <f t="shared" si="67"/>
        <v>115</v>
      </c>
      <c r="O279" s="87"/>
      <c r="P279" s="224"/>
      <c r="Q279" s="225"/>
      <c r="R279" s="228"/>
      <c r="S279" s="228"/>
      <c r="T279" s="228"/>
      <c r="U279" s="228"/>
      <c r="V279" s="228"/>
      <c r="W279" s="228"/>
      <c r="X279" s="228"/>
      <c r="Y279" s="228"/>
      <c r="Z279" s="228"/>
      <c r="AA279" s="228"/>
      <c r="AB279" s="228"/>
      <c r="AC279" s="228"/>
      <c r="AD279" s="228"/>
      <c r="AE279" s="228"/>
      <c r="AF279" s="228"/>
      <c r="AG279" s="228"/>
      <c r="AH279" s="228"/>
    </row>
    <row r="280" ht="15.75" hidden="1" customHeight="1">
      <c r="A280" s="82" t="s">
        <v>185</v>
      </c>
      <c r="B280" s="82" t="s">
        <v>39</v>
      </c>
      <c r="C280" s="230"/>
      <c r="D280" s="82" t="s">
        <v>7</v>
      </c>
      <c r="E280" s="231">
        <v>46037.0</v>
      </c>
      <c r="F280" s="213">
        <f t="shared" si="1"/>
        <v>15</v>
      </c>
      <c r="G280" s="213">
        <f t="shared" si="2"/>
        <v>1</v>
      </c>
      <c r="H280" s="213">
        <f t="shared" si="3"/>
        <v>2026</v>
      </c>
      <c r="I280" s="322">
        <v>12.0</v>
      </c>
      <c r="J280" s="214">
        <v>2025.0</v>
      </c>
      <c r="K280" s="349"/>
      <c r="L280" s="349">
        <v>122.35</v>
      </c>
      <c r="M280" s="32">
        <v>1.0</v>
      </c>
      <c r="N280" s="217">
        <f t="shared" si="67"/>
        <v>122.35</v>
      </c>
      <c r="O280" s="233"/>
      <c r="P280" s="140"/>
      <c r="Q280" s="164"/>
    </row>
    <row r="281" ht="15.75" hidden="1" customHeight="1">
      <c r="A281" s="82" t="s">
        <v>185</v>
      </c>
      <c r="B281" s="82" t="s">
        <v>39</v>
      </c>
      <c r="C281" s="220"/>
      <c r="D281" s="64" t="s">
        <v>7</v>
      </c>
      <c r="E281" s="221">
        <v>46218.0</v>
      </c>
      <c r="F281" s="213">
        <f t="shared" si="1"/>
        <v>15</v>
      </c>
      <c r="G281" s="213">
        <f t="shared" si="2"/>
        <v>7</v>
      </c>
      <c r="H281" s="213">
        <f t="shared" si="3"/>
        <v>2026</v>
      </c>
      <c r="I281" s="306">
        <v>6.0</v>
      </c>
      <c r="J281" s="222">
        <v>2026.0</v>
      </c>
      <c r="K281" s="223"/>
      <c r="L281" s="223">
        <v>338.05</v>
      </c>
      <c r="M281" s="32">
        <v>1.0</v>
      </c>
      <c r="N281" s="236">
        <f t="shared" si="67"/>
        <v>338.05</v>
      </c>
      <c r="O281" s="77"/>
      <c r="P281" s="77"/>
      <c r="Q281" s="226"/>
    </row>
    <row r="282" ht="15.75" hidden="1" customHeight="1">
      <c r="A282" s="82" t="s">
        <v>185</v>
      </c>
      <c r="B282" s="82" t="s">
        <v>39</v>
      </c>
      <c r="C282" s="220"/>
      <c r="D282" s="64" t="s">
        <v>7</v>
      </c>
      <c r="E282" s="221">
        <v>46189.0</v>
      </c>
      <c r="F282" s="213">
        <f t="shared" si="1"/>
        <v>16</v>
      </c>
      <c r="G282" s="213">
        <f t="shared" si="2"/>
        <v>6</v>
      </c>
      <c r="H282" s="213">
        <f t="shared" si="3"/>
        <v>2026</v>
      </c>
      <c r="I282" s="306">
        <v>5.0</v>
      </c>
      <c r="J282" s="222">
        <v>2026.0</v>
      </c>
      <c r="K282" s="223"/>
      <c r="L282" s="223">
        <v>257.51</v>
      </c>
      <c r="M282" s="32">
        <v>1.0</v>
      </c>
      <c r="N282" s="217">
        <f t="shared" si="67"/>
        <v>257.51</v>
      </c>
      <c r="O282" s="87"/>
      <c r="P282" s="87"/>
      <c r="Q282" s="225"/>
    </row>
    <row r="283" ht="15.75" hidden="1" customHeight="1">
      <c r="A283" s="82" t="s">
        <v>185</v>
      </c>
      <c r="B283" s="82" t="s">
        <v>39</v>
      </c>
      <c r="C283" s="220"/>
      <c r="D283" s="64" t="s">
        <v>7</v>
      </c>
      <c r="E283" s="221">
        <v>46097.0</v>
      </c>
      <c r="F283" s="213">
        <f t="shared" si="1"/>
        <v>16</v>
      </c>
      <c r="G283" s="213">
        <f t="shared" si="2"/>
        <v>3</v>
      </c>
      <c r="H283" s="213">
        <f t="shared" si="3"/>
        <v>2026</v>
      </c>
      <c r="I283" s="306">
        <v>2.0</v>
      </c>
      <c r="J283" s="222">
        <v>2026.0</v>
      </c>
      <c r="K283" s="223"/>
      <c r="L283" s="223">
        <v>219.01</v>
      </c>
      <c r="M283" s="32">
        <v>1.0</v>
      </c>
      <c r="N283" s="217">
        <f t="shared" si="67"/>
        <v>219.01</v>
      </c>
      <c r="O283" s="77"/>
      <c r="P283" s="77"/>
      <c r="Q283" s="225"/>
    </row>
    <row r="284" ht="15.75" hidden="1" customHeight="1">
      <c r="A284" s="82" t="s">
        <v>185</v>
      </c>
      <c r="B284" s="82" t="s">
        <v>39</v>
      </c>
      <c r="C284" s="230"/>
      <c r="D284" s="82" t="s">
        <v>7</v>
      </c>
      <c r="E284" s="231">
        <v>46066.0</v>
      </c>
      <c r="F284" s="213">
        <f t="shared" si="1"/>
        <v>13</v>
      </c>
      <c r="G284" s="213">
        <f t="shared" si="2"/>
        <v>2</v>
      </c>
      <c r="H284" s="213">
        <f t="shared" si="3"/>
        <v>2026</v>
      </c>
      <c r="I284" s="322">
        <v>1.0</v>
      </c>
      <c r="J284" s="213">
        <v>2026.0</v>
      </c>
      <c r="K284" s="307"/>
      <c r="L284" s="307">
        <v>158.61</v>
      </c>
      <c r="M284" s="32">
        <v>1.0</v>
      </c>
      <c r="N284" s="217">
        <f t="shared" si="67"/>
        <v>158.61</v>
      </c>
      <c r="O284" s="320"/>
      <c r="P284" s="321"/>
      <c r="Q284" s="234"/>
    </row>
    <row r="285" ht="15.75" hidden="1" customHeight="1">
      <c r="A285" s="82" t="s">
        <v>185</v>
      </c>
      <c r="B285" s="82" t="s">
        <v>39</v>
      </c>
      <c r="C285" s="220"/>
      <c r="D285" s="64" t="s">
        <v>7</v>
      </c>
      <c r="E285" s="221">
        <v>46126.0</v>
      </c>
      <c r="F285" s="213">
        <f t="shared" si="1"/>
        <v>14</v>
      </c>
      <c r="G285" s="213">
        <f t="shared" si="2"/>
        <v>4</v>
      </c>
      <c r="H285" s="213">
        <f t="shared" si="3"/>
        <v>2026</v>
      </c>
      <c r="I285" s="306">
        <v>3.0</v>
      </c>
      <c r="J285" s="222">
        <v>2026.0</v>
      </c>
      <c r="K285" s="223"/>
      <c r="L285" s="223">
        <v>149.88</v>
      </c>
      <c r="M285" s="32">
        <v>1.0</v>
      </c>
      <c r="N285" s="217">
        <f t="shared" si="67"/>
        <v>149.88</v>
      </c>
      <c r="O285" s="87"/>
      <c r="P285" s="87"/>
      <c r="Q285" s="225"/>
    </row>
    <row r="286" ht="15.75" hidden="1" customHeight="1">
      <c r="A286" s="82" t="s">
        <v>185</v>
      </c>
      <c r="B286" s="82" t="s">
        <v>39</v>
      </c>
      <c r="C286" s="220"/>
      <c r="D286" s="64" t="s">
        <v>7</v>
      </c>
      <c r="E286" s="221">
        <v>46157.0</v>
      </c>
      <c r="F286" s="213">
        <f t="shared" si="1"/>
        <v>15</v>
      </c>
      <c r="G286" s="213">
        <f t="shared" si="2"/>
        <v>5</v>
      </c>
      <c r="H286" s="213">
        <f t="shared" si="3"/>
        <v>2026</v>
      </c>
      <c r="I286" s="306">
        <v>4.0</v>
      </c>
      <c r="J286" s="222">
        <v>2026.0</v>
      </c>
      <c r="K286" s="223"/>
      <c r="L286" s="223">
        <v>132.28</v>
      </c>
      <c r="M286" s="32">
        <v>1.0</v>
      </c>
      <c r="N286" s="217">
        <f t="shared" si="67"/>
        <v>132.28</v>
      </c>
      <c r="O286" s="87"/>
      <c r="P286" s="224"/>
      <c r="Q286" s="225"/>
    </row>
    <row r="287" ht="15.75" hidden="1" customHeight="1">
      <c r="A287" s="82" t="s">
        <v>185</v>
      </c>
      <c r="B287" s="82" t="s">
        <v>39</v>
      </c>
      <c r="C287" s="220"/>
      <c r="D287" s="64" t="s">
        <v>7</v>
      </c>
      <c r="E287" s="221">
        <v>46216.0</v>
      </c>
      <c r="F287" s="213">
        <f t="shared" si="1"/>
        <v>13</v>
      </c>
      <c r="G287" s="213">
        <f t="shared" si="2"/>
        <v>7</v>
      </c>
      <c r="H287" s="213">
        <f t="shared" si="3"/>
        <v>2026</v>
      </c>
      <c r="I287" s="306">
        <v>6.0</v>
      </c>
      <c r="J287" s="222">
        <v>2026.0</v>
      </c>
      <c r="K287" s="223"/>
      <c r="L287" s="223">
        <v>84.25</v>
      </c>
      <c r="M287" s="32">
        <v>1.0</v>
      </c>
      <c r="N287" s="236">
        <f t="shared" si="67"/>
        <v>84.25</v>
      </c>
      <c r="O287" s="87"/>
      <c r="P287" s="87"/>
      <c r="Q287" s="226"/>
    </row>
    <row r="288" ht="15.75" hidden="1" customHeight="1">
      <c r="A288" s="82" t="s">
        <v>185</v>
      </c>
      <c r="B288" s="82" t="s">
        <v>32</v>
      </c>
      <c r="C288" s="230"/>
      <c r="D288" s="64" t="s">
        <v>7</v>
      </c>
      <c r="E288" s="231">
        <v>46024.0</v>
      </c>
      <c r="F288" s="213">
        <f t="shared" si="1"/>
        <v>2</v>
      </c>
      <c r="G288" s="213">
        <f t="shared" si="2"/>
        <v>1</v>
      </c>
      <c r="H288" s="213">
        <f t="shared" si="3"/>
        <v>2026</v>
      </c>
      <c r="I288" s="322">
        <v>12.0</v>
      </c>
      <c r="J288" s="214">
        <v>2025.0</v>
      </c>
      <c r="K288" s="307"/>
      <c r="L288" s="307">
        <v>61.8</v>
      </c>
      <c r="M288" s="32">
        <v>1.0</v>
      </c>
      <c r="N288" s="217">
        <f t="shared" si="67"/>
        <v>61.8</v>
      </c>
      <c r="O288" s="311"/>
      <c r="P288" s="245"/>
      <c r="Q288" s="234"/>
    </row>
    <row r="289" ht="15.75" hidden="1" customHeight="1">
      <c r="A289" s="82" t="s">
        <v>185</v>
      </c>
      <c r="B289" s="82" t="s">
        <v>32</v>
      </c>
      <c r="C289" s="220"/>
      <c r="D289" s="64" t="s">
        <v>7</v>
      </c>
      <c r="E289" s="221">
        <v>46204.0</v>
      </c>
      <c r="F289" s="213">
        <f t="shared" si="1"/>
        <v>1</v>
      </c>
      <c r="G289" s="213">
        <f t="shared" si="2"/>
        <v>7</v>
      </c>
      <c r="H289" s="213">
        <f t="shared" si="3"/>
        <v>2026</v>
      </c>
      <c r="I289" s="306">
        <v>6.0</v>
      </c>
      <c r="J289" s="215">
        <f>H289</f>
        <v>2026</v>
      </c>
      <c r="K289" s="223"/>
      <c r="L289" s="223">
        <v>75.57</v>
      </c>
      <c r="M289" s="32">
        <v>1.0</v>
      </c>
      <c r="N289" s="236">
        <f t="shared" si="67"/>
        <v>75.57</v>
      </c>
      <c r="O289" s="87"/>
      <c r="P289" s="224"/>
      <c r="Q289" s="225"/>
    </row>
    <row r="290" ht="15.75" hidden="1" customHeight="1">
      <c r="A290" s="82" t="s">
        <v>185</v>
      </c>
      <c r="B290" s="82" t="s">
        <v>32</v>
      </c>
      <c r="C290" s="220"/>
      <c r="D290" s="64" t="s">
        <v>7</v>
      </c>
      <c r="E290" s="221">
        <v>46083.0</v>
      </c>
      <c r="F290" s="213">
        <f t="shared" si="1"/>
        <v>2</v>
      </c>
      <c r="G290" s="213">
        <f t="shared" si="2"/>
        <v>3</v>
      </c>
      <c r="H290" s="213">
        <f t="shared" si="3"/>
        <v>2026</v>
      </c>
      <c r="I290" s="306">
        <v>2.0</v>
      </c>
      <c r="J290" s="222">
        <v>2026.0</v>
      </c>
      <c r="K290" s="223"/>
      <c r="L290" s="223">
        <v>67.84</v>
      </c>
      <c r="M290" s="32">
        <v>1.0</v>
      </c>
      <c r="N290" s="217">
        <f t="shared" si="67"/>
        <v>67.84</v>
      </c>
      <c r="O290" s="87"/>
      <c r="P290" s="87"/>
      <c r="Q290" s="226"/>
      <c r="R290" s="235"/>
      <c r="S290" s="235"/>
      <c r="T290" s="235"/>
      <c r="U290" s="235"/>
      <c r="V290" s="235"/>
      <c r="W290" s="235"/>
      <c r="X290" s="235"/>
      <c r="Y290" s="235"/>
      <c r="Z290" s="235"/>
      <c r="AA290" s="235"/>
      <c r="AB290" s="235"/>
      <c r="AC290" s="235"/>
      <c r="AD290" s="235"/>
      <c r="AE290" s="235"/>
      <c r="AF290" s="235"/>
      <c r="AG290" s="235"/>
      <c r="AH290" s="235"/>
    </row>
    <row r="291" ht="15.75" hidden="1" customHeight="1">
      <c r="A291" s="82" t="s">
        <v>185</v>
      </c>
      <c r="B291" s="82" t="s">
        <v>32</v>
      </c>
      <c r="C291" s="220"/>
      <c r="D291" s="64" t="s">
        <v>7</v>
      </c>
      <c r="E291" s="221">
        <v>46113.0</v>
      </c>
      <c r="F291" s="213">
        <f t="shared" si="1"/>
        <v>1</v>
      </c>
      <c r="G291" s="213">
        <f t="shared" si="2"/>
        <v>4</v>
      </c>
      <c r="H291" s="213">
        <f t="shared" si="3"/>
        <v>2026</v>
      </c>
      <c r="I291" s="306">
        <v>3.0</v>
      </c>
      <c r="J291" s="222">
        <v>2026.0</v>
      </c>
      <c r="K291" s="223"/>
      <c r="L291" s="223">
        <v>67.6</v>
      </c>
      <c r="M291" s="32">
        <v>1.0</v>
      </c>
      <c r="N291" s="217">
        <f t="shared" si="67"/>
        <v>67.6</v>
      </c>
      <c r="O291" s="77"/>
      <c r="P291" s="77"/>
      <c r="Q291" s="234"/>
    </row>
    <row r="292" ht="15.75" hidden="1" customHeight="1">
      <c r="A292" s="82" t="s">
        <v>185</v>
      </c>
      <c r="B292" s="82" t="s">
        <v>32</v>
      </c>
      <c r="C292" s="230"/>
      <c r="D292" s="82" t="s">
        <v>7</v>
      </c>
      <c r="E292" s="231">
        <v>46055.0</v>
      </c>
      <c r="F292" s="213">
        <f t="shared" si="1"/>
        <v>2</v>
      </c>
      <c r="G292" s="213">
        <f t="shared" si="2"/>
        <v>2</v>
      </c>
      <c r="H292" s="213">
        <f t="shared" si="3"/>
        <v>2026</v>
      </c>
      <c r="I292" s="322">
        <v>1.0</v>
      </c>
      <c r="J292" s="213">
        <v>2026.0</v>
      </c>
      <c r="K292" s="307"/>
      <c r="L292" s="307">
        <v>66.44</v>
      </c>
      <c r="M292" s="32">
        <v>1.0</v>
      </c>
      <c r="N292" s="217">
        <f t="shared" si="67"/>
        <v>66.44</v>
      </c>
      <c r="O292" s="233"/>
      <c r="P292" s="140"/>
      <c r="Q292" s="234"/>
    </row>
    <row r="293" ht="15.75" hidden="1" customHeight="1">
      <c r="A293" s="82" t="s">
        <v>185</v>
      </c>
      <c r="B293" s="82" t="s">
        <v>32</v>
      </c>
      <c r="C293" s="220"/>
      <c r="D293" s="64" t="s">
        <v>7</v>
      </c>
      <c r="E293" s="221">
        <v>46174.0</v>
      </c>
      <c r="F293" s="213">
        <f t="shared" si="1"/>
        <v>1</v>
      </c>
      <c r="G293" s="213">
        <f t="shared" si="2"/>
        <v>6</v>
      </c>
      <c r="H293" s="213">
        <f t="shared" si="3"/>
        <v>2026</v>
      </c>
      <c r="I293" s="306">
        <v>5.0</v>
      </c>
      <c r="J293" s="222">
        <v>2026.0</v>
      </c>
      <c r="K293" s="223"/>
      <c r="L293" s="223">
        <v>64.45</v>
      </c>
      <c r="M293" s="32">
        <v>1.0</v>
      </c>
      <c r="N293" s="217">
        <f t="shared" si="67"/>
        <v>64.45</v>
      </c>
      <c r="O293" s="87"/>
      <c r="P293" s="87"/>
      <c r="Q293" s="226"/>
    </row>
    <row r="294" ht="15.75" hidden="1" customHeight="1">
      <c r="A294" s="82" t="s">
        <v>185</v>
      </c>
      <c r="B294" s="82" t="s">
        <v>32</v>
      </c>
      <c r="C294" s="220"/>
      <c r="D294" s="64" t="s">
        <v>7</v>
      </c>
      <c r="E294" s="221">
        <v>46146.0</v>
      </c>
      <c r="F294" s="213">
        <f t="shared" si="1"/>
        <v>4</v>
      </c>
      <c r="G294" s="213">
        <f t="shared" si="2"/>
        <v>5</v>
      </c>
      <c r="H294" s="213">
        <f t="shared" si="3"/>
        <v>2026</v>
      </c>
      <c r="I294" s="306">
        <v>4.0</v>
      </c>
      <c r="J294" s="222">
        <v>2026.0</v>
      </c>
      <c r="K294" s="223"/>
      <c r="L294" s="223">
        <v>62.86</v>
      </c>
      <c r="M294" s="32">
        <v>1.0</v>
      </c>
      <c r="N294" s="217">
        <f t="shared" si="67"/>
        <v>62.86</v>
      </c>
      <c r="O294" s="87"/>
      <c r="P294" s="224"/>
      <c r="Q294" s="225"/>
      <c r="R294" s="265"/>
      <c r="S294" s="265"/>
      <c r="T294" s="265"/>
      <c r="U294" s="265"/>
      <c r="V294" s="265"/>
      <c r="W294" s="265"/>
      <c r="X294" s="265"/>
      <c r="Y294" s="265"/>
      <c r="Z294" s="265"/>
      <c r="AA294" s="265"/>
      <c r="AB294" s="265"/>
      <c r="AC294" s="265"/>
      <c r="AD294" s="265"/>
      <c r="AE294" s="265"/>
      <c r="AF294" s="265"/>
      <c r="AG294" s="265"/>
      <c r="AH294" s="265"/>
    </row>
    <row r="295" ht="15.75" hidden="1" customHeight="1">
      <c r="A295" s="82" t="s">
        <v>20</v>
      </c>
      <c r="B295" s="64" t="s">
        <v>22</v>
      </c>
      <c r="C295" s="220"/>
      <c r="D295" s="82" t="s">
        <v>8</v>
      </c>
      <c r="E295" s="221">
        <v>46033.0</v>
      </c>
      <c r="F295" s="213">
        <f t="shared" si="1"/>
        <v>11</v>
      </c>
      <c r="G295" s="213">
        <f t="shared" si="2"/>
        <v>1</v>
      </c>
      <c r="H295" s="213">
        <f t="shared" si="3"/>
        <v>2026</v>
      </c>
      <c r="I295" s="214">
        <v>1.0</v>
      </c>
      <c r="J295" s="215">
        <v>2026.0</v>
      </c>
      <c r="K295" s="216"/>
      <c r="L295" s="216">
        <v>100.0</v>
      </c>
      <c r="M295" s="32">
        <v>1.0</v>
      </c>
      <c r="N295" s="217">
        <f t="shared" si="67"/>
        <v>100</v>
      </c>
      <c r="O295" s="87">
        <v>8.0</v>
      </c>
      <c r="P295" s="87" t="s">
        <v>15</v>
      </c>
      <c r="Q295" s="227"/>
    </row>
    <row r="296" ht="15.75" hidden="1" customHeight="1">
      <c r="A296" s="82" t="s">
        <v>20</v>
      </c>
      <c r="B296" s="64" t="s">
        <v>22</v>
      </c>
      <c r="C296" s="220"/>
      <c r="D296" s="82" t="s">
        <v>8</v>
      </c>
      <c r="E296" s="221">
        <v>46058.0</v>
      </c>
      <c r="F296" s="213">
        <f t="shared" si="1"/>
        <v>5</v>
      </c>
      <c r="G296" s="213">
        <f t="shared" si="2"/>
        <v>2</v>
      </c>
      <c r="H296" s="213">
        <f t="shared" si="3"/>
        <v>2026</v>
      </c>
      <c r="I296" s="232">
        <v>2.0</v>
      </c>
      <c r="J296" s="213">
        <v>2026.0</v>
      </c>
      <c r="K296" s="307"/>
      <c r="L296" s="307">
        <v>100.0</v>
      </c>
      <c r="M296" s="32">
        <v>1.0</v>
      </c>
      <c r="N296" s="217">
        <f t="shared" si="67"/>
        <v>100</v>
      </c>
      <c r="O296" s="311">
        <v>47.0</v>
      </c>
      <c r="P296" s="87" t="s">
        <v>15</v>
      </c>
      <c r="Q296" s="234"/>
    </row>
    <row r="297" ht="15.75" hidden="1" customHeight="1">
      <c r="A297" s="82" t="s">
        <v>20</v>
      </c>
      <c r="B297" s="64" t="s">
        <v>22</v>
      </c>
      <c r="C297" s="220"/>
      <c r="D297" s="82" t="s">
        <v>8</v>
      </c>
      <c r="E297" s="221">
        <v>46075.0</v>
      </c>
      <c r="F297" s="213">
        <f t="shared" si="1"/>
        <v>22</v>
      </c>
      <c r="G297" s="213">
        <f t="shared" si="2"/>
        <v>2</v>
      </c>
      <c r="H297" s="213">
        <f t="shared" si="3"/>
        <v>2026</v>
      </c>
      <c r="I297" s="214">
        <v>2.0</v>
      </c>
      <c r="J297" s="222">
        <v>2026.0</v>
      </c>
      <c r="K297" s="223"/>
      <c r="L297" s="223">
        <v>100.0</v>
      </c>
      <c r="M297" s="32">
        <v>1.0</v>
      </c>
      <c r="N297" s="217">
        <f t="shared" si="67"/>
        <v>100</v>
      </c>
      <c r="O297" s="311">
        <v>85.0</v>
      </c>
      <c r="P297" s="87" t="s">
        <v>15</v>
      </c>
      <c r="Q297" s="234"/>
    </row>
    <row r="298" ht="15.75" hidden="1" customHeight="1">
      <c r="A298" s="82" t="s">
        <v>20</v>
      </c>
      <c r="B298" s="64" t="s">
        <v>22</v>
      </c>
      <c r="C298" s="220"/>
      <c r="D298" s="64" t="s">
        <v>7</v>
      </c>
      <c r="E298" s="221">
        <v>46107.0</v>
      </c>
      <c r="F298" s="213">
        <f t="shared" si="1"/>
        <v>26</v>
      </c>
      <c r="G298" s="213">
        <f t="shared" si="2"/>
        <v>3</v>
      </c>
      <c r="H298" s="213">
        <f t="shared" si="3"/>
        <v>2026</v>
      </c>
      <c r="I298" s="214">
        <v>3.0</v>
      </c>
      <c r="J298" s="222">
        <v>2026.0</v>
      </c>
      <c r="K298" s="223"/>
      <c r="L298" s="223">
        <v>64.1</v>
      </c>
      <c r="M298" s="32">
        <v>1.0</v>
      </c>
      <c r="N298" s="217">
        <f t="shared" si="67"/>
        <v>64.1</v>
      </c>
      <c r="O298" s="87">
        <v>141.0</v>
      </c>
      <c r="P298" s="77"/>
      <c r="Q298" s="32" t="s">
        <v>944</v>
      </c>
    </row>
    <row r="299" ht="15.75" hidden="1" customHeight="1">
      <c r="A299" s="82" t="s">
        <v>20</v>
      </c>
      <c r="B299" s="64" t="s">
        <v>22</v>
      </c>
      <c r="C299" s="220"/>
      <c r="D299" s="82" t="s">
        <v>8</v>
      </c>
      <c r="E299" s="221">
        <v>46033.0</v>
      </c>
      <c r="F299" s="213">
        <f t="shared" si="1"/>
        <v>11</v>
      </c>
      <c r="G299" s="213">
        <f t="shared" si="2"/>
        <v>1</v>
      </c>
      <c r="H299" s="213">
        <f t="shared" si="3"/>
        <v>2026</v>
      </c>
      <c r="I299" s="214">
        <v>1.0</v>
      </c>
      <c r="J299" s="222">
        <v>2026.0</v>
      </c>
      <c r="K299" s="223"/>
      <c r="L299" s="223">
        <v>60.0</v>
      </c>
      <c r="M299" s="32">
        <v>1.0</v>
      </c>
      <c r="N299" s="217">
        <f t="shared" si="67"/>
        <v>60</v>
      </c>
      <c r="O299" s="87">
        <v>9.0</v>
      </c>
      <c r="P299" s="87" t="s">
        <v>15</v>
      </c>
      <c r="Q299" s="226"/>
    </row>
    <row r="300" ht="15.75" hidden="1" customHeight="1">
      <c r="A300" s="82" t="s">
        <v>20</v>
      </c>
      <c r="B300" s="64" t="s">
        <v>22</v>
      </c>
      <c r="C300" s="230"/>
      <c r="D300" s="82" t="s">
        <v>7</v>
      </c>
      <c r="E300" s="231">
        <v>46083.0</v>
      </c>
      <c r="F300" s="213">
        <f t="shared" si="1"/>
        <v>2</v>
      </c>
      <c r="G300" s="213">
        <f t="shared" si="2"/>
        <v>3</v>
      </c>
      <c r="H300" s="213">
        <f t="shared" si="3"/>
        <v>2026</v>
      </c>
      <c r="I300" s="232">
        <v>3.0</v>
      </c>
      <c r="J300" s="213">
        <v>2026.0</v>
      </c>
      <c r="K300" s="307"/>
      <c r="L300" s="307">
        <v>43.1</v>
      </c>
      <c r="M300" s="32">
        <v>1.0</v>
      </c>
      <c r="N300" s="217">
        <f t="shared" si="67"/>
        <v>43.1</v>
      </c>
      <c r="O300" s="311">
        <v>97.0</v>
      </c>
      <c r="P300" s="304"/>
      <c r="Q300" s="32" t="s">
        <v>947</v>
      </c>
      <c r="R300" s="235"/>
      <c r="S300" s="235"/>
      <c r="T300" s="235"/>
      <c r="U300" s="235"/>
      <c r="V300" s="235"/>
      <c r="W300" s="235"/>
      <c r="X300" s="235"/>
      <c r="Y300" s="235"/>
      <c r="Z300" s="235"/>
      <c r="AA300" s="235"/>
      <c r="AB300" s="235"/>
      <c r="AC300" s="235"/>
      <c r="AD300" s="235"/>
      <c r="AE300" s="235"/>
      <c r="AF300" s="235"/>
      <c r="AG300" s="235"/>
      <c r="AH300" s="235"/>
    </row>
    <row r="301" ht="15.75" hidden="1" customHeight="1">
      <c r="A301" s="82" t="s">
        <v>20</v>
      </c>
      <c r="B301" s="64" t="s">
        <v>22</v>
      </c>
      <c r="C301" s="220"/>
      <c r="D301" s="64" t="s">
        <v>7</v>
      </c>
      <c r="E301" s="221">
        <v>46123.0</v>
      </c>
      <c r="F301" s="213">
        <f t="shared" si="1"/>
        <v>11</v>
      </c>
      <c r="G301" s="213">
        <f t="shared" si="2"/>
        <v>4</v>
      </c>
      <c r="H301" s="213">
        <f t="shared" si="3"/>
        <v>2026</v>
      </c>
      <c r="I301" s="214">
        <v>4.0</v>
      </c>
      <c r="J301" s="222">
        <v>2026.0</v>
      </c>
      <c r="K301" s="223"/>
      <c r="L301" s="223">
        <v>40.05</v>
      </c>
      <c r="M301" s="32">
        <v>1.0</v>
      </c>
      <c r="N301" s="217">
        <f t="shared" si="67"/>
        <v>40.05</v>
      </c>
      <c r="O301" s="87">
        <v>162.0</v>
      </c>
      <c r="P301" s="77"/>
      <c r="Q301" s="164" t="s">
        <v>949</v>
      </c>
      <c r="AF301" s="350"/>
      <c r="AG301" s="350"/>
      <c r="AH301" s="350"/>
    </row>
    <row r="302" ht="15.75" hidden="1" customHeight="1">
      <c r="A302" s="82" t="s">
        <v>20</v>
      </c>
      <c r="B302" s="64" t="s">
        <v>22</v>
      </c>
      <c r="C302" s="230"/>
      <c r="D302" s="82" t="s">
        <v>8</v>
      </c>
      <c r="E302" s="231">
        <v>46073.0</v>
      </c>
      <c r="F302" s="213">
        <f t="shared" si="1"/>
        <v>20</v>
      </c>
      <c r="G302" s="213">
        <f t="shared" si="2"/>
        <v>2</v>
      </c>
      <c r="H302" s="213">
        <f t="shared" si="3"/>
        <v>2026</v>
      </c>
      <c r="I302" s="232">
        <v>2.0</v>
      </c>
      <c r="J302" s="213">
        <v>2026.0</v>
      </c>
      <c r="K302" s="307"/>
      <c r="L302" s="307">
        <v>38.5</v>
      </c>
      <c r="M302" s="32">
        <v>1.0</v>
      </c>
      <c r="N302" s="217">
        <f t="shared" si="67"/>
        <v>38.5</v>
      </c>
      <c r="O302" s="87">
        <v>57.0</v>
      </c>
      <c r="P302" s="87" t="s">
        <v>15</v>
      </c>
      <c r="Q302" s="234"/>
    </row>
    <row r="303" ht="15.75" hidden="1" customHeight="1">
      <c r="A303" s="82" t="s">
        <v>20</v>
      </c>
      <c r="B303" s="64" t="s">
        <v>22</v>
      </c>
      <c r="C303" s="230"/>
      <c r="D303" s="82" t="s">
        <v>7</v>
      </c>
      <c r="E303" s="231">
        <v>46095.0</v>
      </c>
      <c r="F303" s="213">
        <f t="shared" si="1"/>
        <v>14</v>
      </c>
      <c r="G303" s="213">
        <f t="shared" si="2"/>
        <v>3</v>
      </c>
      <c r="H303" s="213">
        <f t="shared" si="3"/>
        <v>2026</v>
      </c>
      <c r="I303" s="232">
        <v>3.0</v>
      </c>
      <c r="J303" s="213">
        <v>2026.0</v>
      </c>
      <c r="K303" s="307"/>
      <c r="L303" s="307">
        <v>36.0</v>
      </c>
      <c r="M303" s="32">
        <v>1.0</v>
      </c>
      <c r="N303" s="217">
        <f t="shared" si="67"/>
        <v>36</v>
      </c>
      <c r="O303" s="311">
        <v>115.0</v>
      </c>
      <c r="P303" s="140"/>
      <c r="Q303" s="164" t="s">
        <v>953</v>
      </c>
    </row>
    <row r="304" ht="15.75" hidden="1" customHeight="1">
      <c r="A304" s="82" t="s">
        <v>20</v>
      </c>
      <c r="B304" s="64" t="s">
        <v>22</v>
      </c>
      <c r="C304" s="220"/>
      <c r="D304" s="64" t="s">
        <v>7</v>
      </c>
      <c r="E304" s="221">
        <v>46130.0</v>
      </c>
      <c r="F304" s="213">
        <f t="shared" si="1"/>
        <v>18</v>
      </c>
      <c r="G304" s="213">
        <f t="shared" si="2"/>
        <v>4</v>
      </c>
      <c r="H304" s="213">
        <f t="shared" si="3"/>
        <v>2026</v>
      </c>
      <c r="I304" s="214">
        <v>4.0</v>
      </c>
      <c r="J304" s="222">
        <v>2026.0</v>
      </c>
      <c r="K304" s="223"/>
      <c r="L304" s="223">
        <v>35.9</v>
      </c>
      <c r="M304" s="32">
        <v>1.0</v>
      </c>
      <c r="N304" s="217">
        <f t="shared" si="67"/>
        <v>35.9</v>
      </c>
      <c r="O304" s="87">
        <v>165.0</v>
      </c>
      <c r="P304" s="77"/>
      <c r="Q304" s="164" t="s">
        <v>955</v>
      </c>
    </row>
    <row r="305" ht="15.75" hidden="1" customHeight="1">
      <c r="A305" s="82" t="s">
        <v>20</v>
      </c>
      <c r="B305" s="64" t="s">
        <v>22</v>
      </c>
      <c r="C305" s="220"/>
      <c r="D305" s="64" t="s">
        <v>7</v>
      </c>
      <c r="E305" s="221">
        <v>46102.0</v>
      </c>
      <c r="F305" s="213">
        <f t="shared" si="1"/>
        <v>21</v>
      </c>
      <c r="G305" s="213">
        <f t="shared" si="2"/>
        <v>3</v>
      </c>
      <c r="H305" s="213">
        <f t="shared" si="3"/>
        <v>2026</v>
      </c>
      <c r="I305" s="214">
        <v>3.0</v>
      </c>
      <c r="J305" s="222">
        <v>2026.0</v>
      </c>
      <c r="K305" s="223"/>
      <c r="L305" s="223">
        <v>30.1</v>
      </c>
      <c r="M305" s="32">
        <v>1.0</v>
      </c>
      <c r="N305" s="217">
        <f t="shared" si="67"/>
        <v>30.1</v>
      </c>
      <c r="O305" s="87">
        <v>124.0</v>
      </c>
      <c r="Q305" s="32" t="s">
        <v>957</v>
      </c>
    </row>
    <row r="306" ht="15.75" hidden="1" customHeight="1">
      <c r="A306" s="82" t="s">
        <v>20</v>
      </c>
      <c r="B306" s="64" t="s">
        <v>22</v>
      </c>
      <c r="C306" s="220"/>
      <c r="D306" s="64" t="s">
        <v>7</v>
      </c>
      <c r="E306" s="221">
        <v>46111.0</v>
      </c>
      <c r="F306" s="213">
        <f t="shared" si="1"/>
        <v>30</v>
      </c>
      <c r="G306" s="213">
        <f t="shared" si="2"/>
        <v>3</v>
      </c>
      <c r="H306" s="213">
        <f t="shared" si="3"/>
        <v>2026</v>
      </c>
      <c r="I306" s="214">
        <v>3.0</v>
      </c>
      <c r="J306" s="222">
        <v>2026.0</v>
      </c>
      <c r="K306" s="223"/>
      <c r="L306" s="223">
        <v>26.3</v>
      </c>
      <c r="M306" s="32">
        <v>1.0</v>
      </c>
      <c r="N306" s="217">
        <f t="shared" si="67"/>
        <v>26.3</v>
      </c>
      <c r="O306" s="87">
        <v>140.0</v>
      </c>
      <c r="P306" s="77"/>
      <c r="Q306" s="32" t="s">
        <v>949</v>
      </c>
    </row>
    <row r="307" ht="15.75" hidden="1" customHeight="1">
      <c r="A307" s="82" t="s">
        <v>20</v>
      </c>
      <c r="B307" s="64" t="s">
        <v>22</v>
      </c>
      <c r="C307" s="220"/>
      <c r="D307" s="64" t="s">
        <v>7</v>
      </c>
      <c r="E307" s="231">
        <v>46095.0</v>
      </c>
      <c r="F307" s="213">
        <f t="shared" si="1"/>
        <v>14</v>
      </c>
      <c r="G307" s="213">
        <f t="shared" si="2"/>
        <v>3</v>
      </c>
      <c r="H307" s="213">
        <f t="shared" si="3"/>
        <v>2026</v>
      </c>
      <c r="I307" s="214">
        <v>3.0</v>
      </c>
      <c r="J307" s="222">
        <v>2026.0</v>
      </c>
      <c r="K307" s="223"/>
      <c r="L307" s="223">
        <v>24.3</v>
      </c>
      <c r="M307" s="32">
        <v>1.0</v>
      </c>
      <c r="N307" s="217">
        <f t="shared" si="67"/>
        <v>24.3</v>
      </c>
      <c r="O307" s="311">
        <v>120.0</v>
      </c>
      <c r="P307" s="77"/>
      <c r="Q307" s="225" t="s">
        <v>960</v>
      </c>
    </row>
    <row r="308" ht="15.75" hidden="1" customHeight="1">
      <c r="A308" s="82" t="s">
        <v>20</v>
      </c>
      <c r="B308" s="64" t="s">
        <v>22</v>
      </c>
      <c r="C308" s="220"/>
      <c r="D308" s="64" t="s">
        <v>7</v>
      </c>
      <c r="E308" s="221">
        <v>46122.0</v>
      </c>
      <c r="F308" s="213">
        <f t="shared" si="1"/>
        <v>10</v>
      </c>
      <c r="G308" s="213">
        <f t="shared" si="2"/>
        <v>4</v>
      </c>
      <c r="H308" s="213">
        <f t="shared" si="3"/>
        <v>2026</v>
      </c>
      <c r="I308" s="214">
        <v>4.0</v>
      </c>
      <c r="J308" s="222">
        <v>2026.0</v>
      </c>
      <c r="K308" s="223"/>
      <c r="L308" s="223">
        <v>22.3</v>
      </c>
      <c r="M308" s="32">
        <v>1.0</v>
      </c>
      <c r="N308" s="217">
        <f t="shared" si="67"/>
        <v>22.3</v>
      </c>
      <c r="O308" s="87">
        <v>159.0</v>
      </c>
      <c r="P308" s="87"/>
      <c r="Q308" s="164" t="s">
        <v>962</v>
      </c>
    </row>
    <row r="309" ht="15.75" hidden="1" customHeight="1">
      <c r="A309" s="82" t="s">
        <v>20</v>
      </c>
      <c r="B309" s="64" t="s">
        <v>22</v>
      </c>
      <c r="C309" s="220"/>
      <c r="D309" s="82" t="s">
        <v>8</v>
      </c>
      <c r="E309" s="231">
        <v>46095.0</v>
      </c>
      <c r="F309" s="213">
        <f t="shared" si="1"/>
        <v>14</v>
      </c>
      <c r="G309" s="213">
        <f t="shared" si="2"/>
        <v>3</v>
      </c>
      <c r="H309" s="213">
        <f t="shared" si="3"/>
        <v>2026</v>
      </c>
      <c r="I309" s="232">
        <v>3.0</v>
      </c>
      <c r="J309" s="213">
        <v>2026.0</v>
      </c>
      <c r="K309" s="307"/>
      <c r="L309" s="307">
        <v>20.0</v>
      </c>
      <c r="M309" s="32">
        <v>1.0</v>
      </c>
      <c r="N309" s="217">
        <f t="shared" si="67"/>
        <v>20</v>
      </c>
      <c r="O309" s="311">
        <v>117.0</v>
      </c>
      <c r="P309" s="87" t="s">
        <v>15</v>
      </c>
      <c r="Q309" s="164"/>
    </row>
    <row r="310" ht="15.75" hidden="1" customHeight="1">
      <c r="A310" s="82" t="s">
        <v>20</v>
      </c>
      <c r="B310" s="64" t="s">
        <v>22</v>
      </c>
      <c r="C310" s="220"/>
      <c r="D310" s="64" t="s">
        <v>7</v>
      </c>
      <c r="E310" s="221">
        <v>46127.0</v>
      </c>
      <c r="F310" s="213">
        <f t="shared" si="1"/>
        <v>15</v>
      </c>
      <c r="G310" s="213">
        <f t="shared" si="2"/>
        <v>4</v>
      </c>
      <c r="H310" s="213">
        <f t="shared" si="3"/>
        <v>2026</v>
      </c>
      <c r="I310" s="214">
        <v>4.0</v>
      </c>
      <c r="J310" s="222">
        <v>2026.0</v>
      </c>
      <c r="K310" s="223"/>
      <c r="L310" s="223">
        <v>17.6</v>
      </c>
      <c r="M310" s="32">
        <v>1.0</v>
      </c>
      <c r="N310" s="217">
        <f t="shared" si="67"/>
        <v>17.6</v>
      </c>
      <c r="O310" s="87">
        <v>176.0</v>
      </c>
      <c r="P310" s="87"/>
      <c r="Q310" s="32" t="s">
        <v>966</v>
      </c>
    </row>
    <row r="311" ht="15.75" hidden="1" customHeight="1">
      <c r="A311" s="82" t="s">
        <v>20</v>
      </c>
      <c r="B311" s="64" t="s">
        <v>22</v>
      </c>
      <c r="C311" s="230"/>
      <c r="D311" s="82" t="s">
        <v>7</v>
      </c>
      <c r="E311" s="231">
        <v>46069.0</v>
      </c>
      <c r="F311" s="213">
        <f t="shared" si="1"/>
        <v>16</v>
      </c>
      <c r="G311" s="213">
        <f t="shared" si="2"/>
        <v>2</v>
      </c>
      <c r="H311" s="213">
        <f t="shared" si="3"/>
        <v>2026</v>
      </c>
      <c r="I311" s="232">
        <v>2.0</v>
      </c>
      <c r="J311" s="213">
        <v>2026.0</v>
      </c>
      <c r="K311" s="307"/>
      <c r="L311" s="307">
        <v>17.0</v>
      </c>
      <c r="M311" s="32">
        <v>1.0</v>
      </c>
      <c r="N311" s="217">
        <f t="shared" si="67"/>
        <v>17</v>
      </c>
      <c r="O311" s="311">
        <v>77.0</v>
      </c>
      <c r="P311" s="245"/>
      <c r="Q311" s="164" t="s">
        <v>968</v>
      </c>
    </row>
    <row r="312" ht="15.75" hidden="1" customHeight="1">
      <c r="A312" s="82" t="s">
        <v>20</v>
      </c>
      <c r="B312" s="64" t="s">
        <v>22</v>
      </c>
      <c r="C312" s="220"/>
      <c r="D312" s="64" t="s">
        <v>7</v>
      </c>
      <c r="E312" s="221">
        <v>46122.0</v>
      </c>
      <c r="F312" s="213">
        <f t="shared" si="1"/>
        <v>10</v>
      </c>
      <c r="G312" s="213">
        <f t="shared" si="2"/>
        <v>4</v>
      </c>
      <c r="H312" s="213">
        <f t="shared" si="3"/>
        <v>2026</v>
      </c>
      <c r="I312" s="214">
        <v>4.0</v>
      </c>
      <c r="J312" s="222">
        <v>2026.0</v>
      </c>
      <c r="K312" s="223"/>
      <c r="L312" s="223">
        <v>14.71</v>
      </c>
      <c r="M312" s="32">
        <v>1.0</v>
      </c>
      <c r="N312" s="217">
        <f t="shared" si="67"/>
        <v>14.71</v>
      </c>
      <c r="O312" s="87">
        <v>160.0</v>
      </c>
      <c r="P312" s="77"/>
      <c r="Q312" s="164" t="s">
        <v>970</v>
      </c>
    </row>
    <row r="313" ht="15.75" hidden="1" customHeight="1">
      <c r="A313" s="82" t="s">
        <v>20</v>
      </c>
      <c r="B313" s="64" t="s">
        <v>22</v>
      </c>
      <c r="C313" s="220"/>
      <c r="D313" s="64" t="s">
        <v>7</v>
      </c>
      <c r="E313" s="221">
        <v>46123.0</v>
      </c>
      <c r="F313" s="213">
        <f t="shared" si="1"/>
        <v>11</v>
      </c>
      <c r="G313" s="213">
        <f t="shared" si="2"/>
        <v>4</v>
      </c>
      <c r="H313" s="213">
        <f t="shared" si="3"/>
        <v>2026</v>
      </c>
      <c r="I313" s="214">
        <v>4.0</v>
      </c>
      <c r="J313" s="222">
        <v>2026.0</v>
      </c>
      <c r="K313" s="223"/>
      <c r="L313" s="223">
        <v>13.08</v>
      </c>
      <c r="M313" s="32">
        <v>1.0</v>
      </c>
      <c r="N313" s="217">
        <f t="shared" si="67"/>
        <v>13.08</v>
      </c>
      <c r="O313" s="87">
        <v>161.0</v>
      </c>
      <c r="P313" s="87"/>
      <c r="Q313" s="164" t="s">
        <v>970</v>
      </c>
    </row>
    <row r="314" ht="15.75" hidden="1" customHeight="1">
      <c r="A314" s="82" t="s">
        <v>20</v>
      </c>
      <c r="B314" s="64" t="s">
        <v>22</v>
      </c>
      <c r="C314" s="220"/>
      <c r="D314" s="64" t="s">
        <v>7</v>
      </c>
      <c r="E314" s="221">
        <v>46129.0</v>
      </c>
      <c r="F314" s="213">
        <f t="shared" si="1"/>
        <v>17</v>
      </c>
      <c r="G314" s="213">
        <f t="shared" si="2"/>
        <v>4</v>
      </c>
      <c r="H314" s="213">
        <f t="shared" si="3"/>
        <v>2026</v>
      </c>
      <c r="I314" s="214">
        <v>4.0</v>
      </c>
      <c r="J314" s="222">
        <v>2026.0</v>
      </c>
      <c r="K314" s="223"/>
      <c r="L314" s="223">
        <v>10.38</v>
      </c>
      <c r="M314" s="32">
        <v>1.0</v>
      </c>
      <c r="N314" s="217">
        <f t="shared" si="67"/>
        <v>10.38</v>
      </c>
      <c r="O314" s="87">
        <v>174.0</v>
      </c>
      <c r="P314" s="87"/>
      <c r="Q314" s="164" t="s">
        <v>970</v>
      </c>
    </row>
    <row r="315" ht="15.75" hidden="1" customHeight="1">
      <c r="A315" s="82" t="s">
        <v>20</v>
      </c>
      <c r="B315" s="64" t="s">
        <v>22</v>
      </c>
      <c r="C315" s="230"/>
      <c r="D315" s="82" t="s">
        <v>8</v>
      </c>
      <c r="E315" s="231">
        <v>46095.0</v>
      </c>
      <c r="F315" s="213">
        <f t="shared" si="1"/>
        <v>14</v>
      </c>
      <c r="G315" s="213">
        <f t="shared" si="2"/>
        <v>3</v>
      </c>
      <c r="H315" s="213">
        <f t="shared" si="3"/>
        <v>2026</v>
      </c>
      <c r="I315" s="232">
        <v>3.0</v>
      </c>
      <c r="J315" s="213">
        <v>2026.0</v>
      </c>
      <c r="K315" s="307"/>
      <c r="L315" s="307">
        <v>10.0</v>
      </c>
      <c r="M315" s="32">
        <v>1.0</v>
      </c>
      <c r="N315" s="351">
        <f t="shared" si="67"/>
        <v>10</v>
      </c>
      <c r="O315" s="311">
        <v>98.0</v>
      </c>
      <c r="P315" s="87" t="s">
        <v>16</v>
      </c>
      <c r="Q315" s="234"/>
    </row>
    <row r="316" ht="15.75" hidden="1" customHeight="1">
      <c r="A316" s="82" t="s">
        <v>20</v>
      </c>
      <c r="B316" s="64" t="s">
        <v>22</v>
      </c>
      <c r="C316" s="220"/>
      <c r="D316" s="64" t="s">
        <v>7</v>
      </c>
      <c r="E316" s="221">
        <v>46121.0</v>
      </c>
      <c r="F316" s="213">
        <f t="shared" si="1"/>
        <v>9</v>
      </c>
      <c r="G316" s="213">
        <f t="shared" si="2"/>
        <v>4</v>
      </c>
      <c r="H316" s="213">
        <f t="shared" si="3"/>
        <v>2026</v>
      </c>
      <c r="I316" s="214">
        <v>4.0</v>
      </c>
      <c r="J316" s="222">
        <v>2026.0</v>
      </c>
      <c r="K316" s="223"/>
      <c r="L316" s="223">
        <v>9.0</v>
      </c>
      <c r="M316" s="32">
        <v>1.0</v>
      </c>
      <c r="N316" s="217">
        <f t="shared" si="67"/>
        <v>9</v>
      </c>
      <c r="O316" s="87">
        <v>158.0</v>
      </c>
      <c r="P316" s="87"/>
      <c r="Q316" s="164" t="s">
        <v>976</v>
      </c>
    </row>
    <row r="317" ht="15.75" hidden="1" customHeight="1">
      <c r="A317" s="82" t="s">
        <v>20</v>
      </c>
      <c r="B317" s="64" t="s">
        <v>22</v>
      </c>
      <c r="C317" s="220"/>
      <c r="D317" s="64" t="s">
        <v>7</v>
      </c>
      <c r="E317" s="221">
        <v>46120.0</v>
      </c>
      <c r="F317" s="213">
        <f t="shared" si="1"/>
        <v>8</v>
      </c>
      <c r="G317" s="213">
        <f t="shared" si="2"/>
        <v>4</v>
      </c>
      <c r="H317" s="213">
        <f t="shared" si="3"/>
        <v>2026</v>
      </c>
      <c r="I317" s="214">
        <v>4.0</v>
      </c>
      <c r="J317" s="222">
        <v>2026.0</v>
      </c>
      <c r="K317" s="223"/>
      <c r="L317" s="223">
        <v>5.4</v>
      </c>
      <c r="M317" s="32">
        <v>1.0</v>
      </c>
      <c r="N317" s="217">
        <f t="shared" si="67"/>
        <v>5.4</v>
      </c>
      <c r="O317" s="87">
        <v>157.0</v>
      </c>
      <c r="P317" s="87"/>
      <c r="Q317" s="164" t="s">
        <v>976</v>
      </c>
    </row>
    <row r="318" ht="15.75" hidden="1" customHeight="1">
      <c r="A318" s="82" t="s">
        <v>20</v>
      </c>
      <c r="B318" s="82" t="s">
        <v>25</v>
      </c>
      <c r="C318" s="220"/>
      <c r="D318" s="82" t="s">
        <v>369</v>
      </c>
      <c r="E318" s="221">
        <v>46173.0</v>
      </c>
      <c r="F318" s="213">
        <f t="shared" si="1"/>
        <v>31</v>
      </c>
      <c r="G318" s="213">
        <f t="shared" si="2"/>
        <v>5</v>
      </c>
      <c r="H318" s="213">
        <f t="shared" si="3"/>
        <v>2026</v>
      </c>
      <c r="I318" s="214">
        <v>5.0</v>
      </c>
      <c r="J318" s="222">
        <v>2026.0</v>
      </c>
      <c r="K318" s="64"/>
      <c r="L318" s="64">
        <v>62.95</v>
      </c>
      <c r="M318" s="32">
        <v>1.0</v>
      </c>
      <c r="N318" s="217">
        <f t="shared" si="67"/>
        <v>62.95</v>
      </c>
      <c r="O318" s="87"/>
      <c r="P318" s="224"/>
      <c r="Q318" s="225" t="s">
        <v>979</v>
      </c>
      <c r="R318" s="64" t="s">
        <v>372</v>
      </c>
    </row>
    <row r="319" ht="15.75" hidden="1" customHeight="1">
      <c r="A319" s="82" t="s">
        <v>20</v>
      </c>
      <c r="B319" s="82" t="s">
        <v>25</v>
      </c>
      <c r="C319" s="220"/>
      <c r="D319" s="64" t="s">
        <v>7</v>
      </c>
      <c r="E319" s="221">
        <v>46198.0</v>
      </c>
      <c r="F319" s="213">
        <f t="shared" si="1"/>
        <v>25</v>
      </c>
      <c r="G319" s="213">
        <f t="shared" si="2"/>
        <v>6</v>
      </c>
      <c r="H319" s="213">
        <f t="shared" si="3"/>
        <v>2026</v>
      </c>
      <c r="I319" s="214">
        <v>6.0</v>
      </c>
      <c r="J319" s="222">
        <v>2026.0</v>
      </c>
      <c r="K319" s="223"/>
      <c r="L319" s="223">
        <v>137.58</v>
      </c>
      <c r="M319" s="32">
        <v>1.0</v>
      </c>
      <c r="N319" s="217">
        <f t="shared" si="67"/>
        <v>137.58</v>
      </c>
      <c r="O319" s="77"/>
      <c r="P319" s="77"/>
      <c r="Q319" s="225" t="s">
        <v>981</v>
      </c>
    </row>
    <row r="320" ht="15.75" hidden="1" customHeight="1">
      <c r="A320" s="82" t="s">
        <v>20</v>
      </c>
      <c r="B320" s="82" t="s">
        <v>25</v>
      </c>
      <c r="C320" s="220"/>
      <c r="D320" s="82" t="s">
        <v>8</v>
      </c>
      <c r="E320" s="221">
        <v>46186.0</v>
      </c>
      <c r="F320" s="213">
        <f t="shared" si="1"/>
        <v>13</v>
      </c>
      <c r="G320" s="213">
        <f t="shared" si="2"/>
        <v>6</v>
      </c>
      <c r="H320" s="213">
        <f t="shared" si="3"/>
        <v>2026</v>
      </c>
      <c r="I320" s="322">
        <f t="shared" ref="I320:J320" si="73">G320</f>
        <v>6</v>
      </c>
      <c r="J320" s="213">
        <f t="shared" si="73"/>
        <v>2026</v>
      </c>
      <c r="K320" s="223"/>
      <c r="L320" s="223">
        <v>50.0</v>
      </c>
      <c r="M320" s="245">
        <v>1.0</v>
      </c>
      <c r="N320" s="217">
        <f>M320*L320</f>
        <v>50</v>
      </c>
      <c r="O320" s="87"/>
      <c r="P320" s="87" t="s">
        <v>17</v>
      </c>
      <c r="Q320" s="225" t="s">
        <v>984</v>
      </c>
    </row>
    <row r="321" ht="15.75" hidden="1" customHeight="1">
      <c r="A321" s="82" t="s">
        <v>20</v>
      </c>
      <c r="B321" s="82" t="s">
        <v>25</v>
      </c>
      <c r="C321" s="230"/>
      <c r="D321" s="82" t="s">
        <v>8</v>
      </c>
      <c r="E321" s="231">
        <v>46073.0</v>
      </c>
      <c r="F321" s="213">
        <f t="shared" si="1"/>
        <v>20</v>
      </c>
      <c r="G321" s="213">
        <f t="shared" si="2"/>
        <v>2</v>
      </c>
      <c r="H321" s="213">
        <f t="shared" si="3"/>
        <v>2026</v>
      </c>
      <c r="I321" s="232">
        <v>2.0</v>
      </c>
      <c r="J321" s="213">
        <v>2026.0</v>
      </c>
      <c r="K321" s="307"/>
      <c r="L321" s="307">
        <v>7000.0</v>
      </c>
      <c r="M321" s="32">
        <v>1.0</v>
      </c>
      <c r="N321" s="351">
        <f t="shared" ref="N321:N323" si="74">L321*M321</f>
        <v>7000</v>
      </c>
      <c r="O321" s="311">
        <v>56.0</v>
      </c>
      <c r="P321" s="87" t="s">
        <v>16</v>
      </c>
      <c r="Q321" s="32" t="s">
        <v>987</v>
      </c>
    </row>
    <row r="322" ht="15.75" hidden="1" customHeight="1">
      <c r="A322" s="82" t="s">
        <v>20</v>
      </c>
      <c r="B322" s="82" t="s">
        <v>25</v>
      </c>
      <c r="C322" s="230"/>
      <c r="D322" s="64" t="s">
        <v>7</v>
      </c>
      <c r="E322" s="231">
        <v>46127.0</v>
      </c>
      <c r="F322" s="213">
        <f t="shared" si="1"/>
        <v>15</v>
      </c>
      <c r="G322" s="213">
        <f t="shared" si="2"/>
        <v>4</v>
      </c>
      <c r="H322" s="213">
        <f t="shared" si="3"/>
        <v>2026</v>
      </c>
      <c r="I322" s="214">
        <v>4.0</v>
      </c>
      <c r="J322" s="222">
        <v>2026.0</v>
      </c>
      <c r="K322" s="223"/>
      <c r="L322" s="223">
        <v>3410.0</v>
      </c>
      <c r="M322" s="32">
        <v>1.0</v>
      </c>
      <c r="N322" s="217">
        <f t="shared" si="74"/>
        <v>3410</v>
      </c>
      <c r="O322" s="87">
        <v>172.0</v>
      </c>
      <c r="P322" s="82"/>
      <c r="Q322" s="32" t="s">
        <v>989</v>
      </c>
      <c r="R322" s="32"/>
    </row>
    <row r="323" ht="15.75" hidden="1" customHeight="1">
      <c r="A323" s="82" t="s">
        <v>20</v>
      </c>
      <c r="B323" s="82" t="s">
        <v>25</v>
      </c>
      <c r="C323" s="220"/>
      <c r="D323" s="64" t="s">
        <v>7</v>
      </c>
      <c r="E323" s="221">
        <v>46103.0</v>
      </c>
      <c r="F323" s="213">
        <f t="shared" si="1"/>
        <v>22</v>
      </c>
      <c r="G323" s="213">
        <f t="shared" si="2"/>
        <v>3</v>
      </c>
      <c r="H323" s="213">
        <f t="shared" si="3"/>
        <v>2026</v>
      </c>
      <c r="I323" s="214">
        <v>3.0</v>
      </c>
      <c r="J323" s="222">
        <v>2026.0</v>
      </c>
      <c r="K323" s="223"/>
      <c r="L323" s="223">
        <v>1881.9</v>
      </c>
      <c r="M323" s="32">
        <v>1.0</v>
      </c>
      <c r="N323" s="217">
        <f t="shared" si="74"/>
        <v>1881.9</v>
      </c>
      <c r="O323" s="87">
        <v>134.0</v>
      </c>
      <c r="P323" s="87"/>
      <c r="Q323" s="32" t="s">
        <v>991</v>
      </c>
    </row>
    <row r="324" ht="15.75" hidden="1" customHeight="1">
      <c r="A324" s="82" t="s">
        <v>20</v>
      </c>
      <c r="B324" s="82" t="s">
        <v>25</v>
      </c>
      <c r="C324" s="230"/>
      <c r="D324" s="82" t="s">
        <v>8</v>
      </c>
      <c r="E324" s="231">
        <v>46203.0</v>
      </c>
      <c r="F324" s="213">
        <f t="shared" si="1"/>
        <v>30</v>
      </c>
      <c r="G324" s="213">
        <f t="shared" si="2"/>
        <v>6</v>
      </c>
      <c r="H324" s="213">
        <f t="shared" si="3"/>
        <v>2026</v>
      </c>
      <c r="I324" s="322">
        <f t="shared" ref="I324:J324" si="75">G324</f>
        <v>6</v>
      </c>
      <c r="J324" s="213">
        <f t="shared" si="75"/>
        <v>2026</v>
      </c>
      <c r="K324" s="217"/>
      <c r="L324" s="307">
        <v>1665.0</v>
      </c>
      <c r="M324" s="245">
        <v>1.0</v>
      </c>
      <c r="N324" s="217">
        <f>M324*L324</f>
        <v>1665</v>
      </c>
      <c r="O324" s="233"/>
      <c r="P324" s="87" t="s">
        <v>19</v>
      </c>
      <c r="Q324" s="234" t="s">
        <v>993</v>
      </c>
    </row>
    <row r="325" ht="15.75" hidden="1" customHeight="1">
      <c r="A325" s="82" t="s">
        <v>20</v>
      </c>
      <c r="B325" s="82" t="s">
        <v>25</v>
      </c>
      <c r="C325" s="220"/>
      <c r="D325" s="82" t="s">
        <v>8</v>
      </c>
      <c r="E325" s="221">
        <v>46146.0</v>
      </c>
      <c r="F325" s="213">
        <f t="shared" si="1"/>
        <v>4</v>
      </c>
      <c r="G325" s="213">
        <f t="shared" si="2"/>
        <v>5</v>
      </c>
      <c r="H325" s="213">
        <f t="shared" si="3"/>
        <v>2026</v>
      </c>
      <c r="I325" s="214">
        <v>5.0</v>
      </c>
      <c r="J325" s="222">
        <v>2026.0</v>
      </c>
      <c r="K325" s="223"/>
      <c r="L325" s="223">
        <v>1200.0</v>
      </c>
      <c r="M325" s="32">
        <v>1.0</v>
      </c>
      <c r="N325" s="217">
        <f t="shared" ref="N325:N347" si="76">L325*M325</f>
        <v>1200</v>
      </c>
      <c r="O325" s="352">
        <v>200.0</v>
      </c>
      <c r="P325" s="87" t="s">
        <v>18</v>
      </c>
      <c r="Q325" s="32" t="s">
        <v>996</v>
      </c>
    </row>
    <row r="326" ht="15.75" hidden="1" customHeight="1">
      <c r="A326" s="82" t="s">
        <v>20</v>
      </c>
      <c r="B326" s="82" t="s">
        <v>25</v>
      </c>
      <c r="C326" s="230"/>
      <c r="D326" s="82" t="s">
        <v>7</v>
      </c>
      <c r="E326" s="231">
        <v>46087.0</v>
      </c>
      <c r="F326" s="213">
        <f t="shared" si="1"/>
        <v>6</v>
      </c>
      <c r="G326" s="213">
        <f t="shared" si="2"/>
        <v>3</v>
      </c>
      <c r="H326" s="213">
        <f t="shared" si="3"/>
        <v>2026</v>
      </c>
      <c r="I326" s="232">
        <v>3.0</v>
      </c>
      <c r="J326" s="213">
        <v>2026.0</v>
      </c>
      <c r="K326" s="307"/>
      <c r="L326" s="307">
        <v>927.5</v>
      </c>
      <c r="M326" s="32">
        <v>1.0</v>
      </c>
      <c r="N326" s="217">
        <f t="shared" si="76"/>
        <v>927.5</v>
      </c>
      <c r="O326" s="311">
        <v>114.0</v>
      </c>
      <c r="P326" s="245"/>
      <c r="Q326" s="164" t="s">
        <v>998</v>
      </c>
      <c r="R326" s="235"/>
      <c r="S326" s="235"/>
      <c r="T326" s="235"/>
      <c r="U326" s="235"/>
      <c r="V326" s="235"/>
      <c r="W326" s="235"/>
      <c r="X326" s="235"/>
      <c r="Y326" s="235"/>
      <c r="Z326" s="235"/>
      <c r="AA326" s="235"/>
      <c r="AB326" s="235"/>
      <c r="AC326" s="235"/>
      <c r="AD326" s="235"/>
      <c r="AE326" s="235"/>
      <c r="AF326" s="235"/>
      <c r="AG326" s="235"/>
      <c r="AH326" s="235"/>
    </row>
    <row r="327" ht="15.75" hidden="1" customHeight="1">
      <c r="A327" s="82" t="s">
        <v>20</v>
      </c>
      <c r="B327" s="82" t="s">
        <v>25</v>
      </c>
      <c r="C327" s="230"/>
      <c r="D327" s="82" t="s">
        <v>7</v>
      </c>
      <c r="E327" s="231">
        <v>46055.0</v>
      </c>
      <c r="F327" s="213">
        <f t="shared" si="1"/>
        <v>2</v>
      </c>
      <c r="G327" s="213">
        <f t="shared" si="2"/>
        <v>2</v>
      </c>
      <c r="H327" s="213">
        <f t="shared" si="3"/>
        <v>2026</v>
      </c>
      <c r="I327" s="232">
        <v>1.0</v>
      </c>
      <c r="J327" s="213">
        <v>2026.0</v>
      </c>
      <c r="K327" s="307"/>
      <c r="L327" s="307">
        <v>580.0</v>
      </c>
      <c r="M327" s="32">
        <v>1.0</v>
      </c>
      <c r="N327" s="217">
        <f t="shared" si="76"/>
        <v>580</v>
      </c>
      <c r="O327" s="311">
        <v>28.0</v>
      </c>
      <c r="Q327" s="311" t="s">
        <v>1000</v>
      </c>
    </row>
    <row r="328" ht="15.75" hidden="1" customHeight="1">
      <c r="A328" s="82" t="s">
        <v>20</v>
      </c>
      <c r="B328" s="82" t="s">
        <v>25</v>
      </c>
      <c r="C328" s="220"/>
      <c r="D328" s="64" t="s">
        <v>7</v>
      </c>
      <c r="E328" s="221">
        <v>46133.0</v>
      </c>
      <c r="F328" s="213">
        <f t="shared" si="1"/>
        <v>21</v>
      </c>
      <c r="G328" s="213">
        <f t="shared" si="2"/>
        <v>4</v>
      </c>
      <c r="H328" s="213">
        <f t="shared" si="3"/>
        <v>2026</v>
      </c>
      <c r="I328" s="214">
        <v>4.0</v>
      </c>
      <c r="J328" s="222">
        <v>2026.0</v>
      </c>
      <c r="K328" s="223"/>
      <c r="L328" s="223">
        <v>379.8</v>
      </c>
      <c r="M328" s="32">
        <v>1.0</v>
      </c>
      <c r="N328" s="217">
        <f t="shared" si="76"/>
        <v>379.8</v>
      </c>
      <c r="O328" s="87">
        <v>163.0</v>
      </c>
      <c r="P328" s="77"/>
      <c r="Q328" s="235" t="s">
        <v>1002</v>
      </c>
    </row>
    <row r="329" ht="15.75" hidden="1" customHeight="1">
      <c r="A329" s="82" t="s">
        <v>20</v>
      </c>
      <c r="B329" s="82" t="s">
        <v>25</v>
      </c>
      <c r="C329" s="230"/>
      <c r="D329" s="82" t="s">
        <v>7</v>
      </c>
      <c r="E329" s="231">
        <v>46056.0</v>
      </c>
      <c r="F329" s="213">
        <f t="shared" si="1"/>
        <v>3</v>
      </c>
      <c r="G329" s="213">
        <f t="shared" si="2"/>
        <v>2</v>
      </c>
      <c r="H329" s="213">
        <f t="shared" si="3"/>
        <v>2026</v>
      </c>
      <c r="I329" s="232">
        <v>2.0</v>
      </c>
      <c r="J329" s="213">
        <v>2026.0</v>
      </c>
      <c r="K329" s="307"/>
      <c r="L329" s="307">
        <v>301.5</v>
      </c>
      <c r="M329" s="32">
        <v>1.0</v>
      </c>
      <c r="N329" s="217">
        <f t="shared" si="76"/>
        <v>301.5</v>
      </c>
      <c r="O329" s="311">
        <v>36.0</v>
      </c>
      <c r="P329" s="140"/>
      <c r="Q329" s="234" t="s">
        <v>1004</v>
      </c>
    </row>
    <row r="330" ht="15.75" hidden="1" customHeight="1">
      <c r="A330" s="82" t="s">
        <v>20</v>
      </c>
      <c r="B330" s="82" t="s">
        <v>25</v>
      </c>
      <c r="C330" s="220"/>
      <c r="D330" s="64" t="s">
        <v>7</v>
      </c>
      <c r="E330" s="221">
        <v>46104.0</v>
      </c>
      <c r="F330" s="213">
        <f t="shared" si="1"/>
        <v>23</v>
      </c>
      <c r="G330" s="213">
        <f t="shared" si="2"/>
        <v>3</v>
      </c>
      <c r="H330" s="213">
        <f t="shared" si="3"/>
        <v>2026</v>
      </c>
      <c r="I330" s="214">
        <v>3.0</v>
      </c>
      <c r="J330" s="222">
        <v>2026.0</v>
      </c>
      <c r="K330" s="223"/>
      <c r="L330" s="223">
        <v>154.27</v>
      </c>
      <c r="M330" s="32">
        <v>1.0</v>
      </c>
      <c r="N330" s="217">
        <f t="shared" si="76"/>
        <v>154.27</v>
      </c>
      <c r="O330" s="87">
        <v>125.0</v>
      </c>
      <c r="P330" s="87"/>
      <c r="Q330" s="32" t="s">
        <v>1006</v>
      </c>
    </row>
    <row r="331" ht="15.75" hidden="1" customHeight="1">
      <c r="A331" s="82" t="s">
        <v>20</v>
      </c>
      <c r="B331" s="82" t="s">
        <v>25</v>
      </c>
      <c r="C331" s="230"/>
      <c r="D331" s="82" t="s">
        <v>7</v>
      </c>
      <c r="E331" s="231">
        <v>46043.0</v>
      </c>
      <c r="F331" s="213">
        <f t="shared" si="1"/>
        <v>21</v>
      </c>
      <c r="G331" s="213">
        <f t="shared" si="2"/>
        <v>1</v>
      </c>
      <c r="H331" s="213">
        <f t="shared" si="3"/>
        <v>2026</v>
      </c>
      <c r="I331" s="232">
        <v>1.0</v>
      </c>
      <c r="J331" s="213">
        <v>2026.0</v>
      </c>
      <c r="K331" s="307"/>
      <c r="L331" s="307">
        <v>150.0</v>
      </c>
      <c r="M331" s="32">
        <v>1.0</v>
      </c>
      <c r="N331" s="217">
        <f t="shared" si="76"/>
        <v>150</v>
      </c>
      <c r="O331" s="311">
        <v>27.0</v>
      </c>
      <c r="Q331" s="311" t="s">
        <v>1007</v>
      </c>
    </row>
    <row r="332" ht="15.75" hidden="1" customHeight="1">
      <c r="A332" s="82" t="s">
        <v>20</v>
      </c>
      <c r="B332" s="82" t="s">
        <v>25</v>
      </c>
      <c r="C332" s="220"/>
      <c r="D332" s="82" t="s">
        <v>7</v>
      </c>
      <c r="E332" s="221">
        <v>46033.0</v>
      </c>
      <c r="F332" s="213">
        <f t="shared" si="1"/>
        <v>11</v>
      </c>
      <c r="G332" s="213">
        <f t="shared" si="2"/>
        <v>1</v>
      </c>
      <c r="H332" s="213">
        <f t="shared" si="3"/>
        <v>2026</v>
      </c>
      <c r="I332" s="214">
        <v>1.0</v>
      </c>
      <c r="J332" s="215">
        <v>2026.0</v>
      </c>
      <c r="K332" s="216"/>
      <c r="L332" s="216">
        <v>149.35</v>
      </c>
      <c r="M332" s="32">
        <v>1.0</v>
      </c>
      <c r="N332" s="217">
        <f t="shared" si="76"/>
        <v>149.35</v>
      </c>
      <c r="O332" s="87">
        <v>6.0</v>
      </c>
      <c r="P332" s="87"/>
      <c r="Q332" s="227" t="s">
        <v>1009</v>
      </c>
    </row>
    <row r="333" ht="15.75" hidden="1" customHeight="1">
      <c r="A333" s="82" t="s">
        <v>20</v>
      </c>
      <c r="B333" s="82" t="s">
        <v>25</v>
      </c>
      <c r="C333" s="220"/>
      <c r="D333" s="64" t="s">
        <v>7</v>
      </c>
      <c r="E333" s="221">
        <v>46134.0</v>
      </c>
      <c r="F333" s="213">
        <f t="shared" si="1"/>
        <v>22</v>
      </c>
      <c r="G333" s="213">
        <f t="shared" si="2"/>
        <v>4</v>
      </c>
      <c r="H333" s="213">
        <f t="shared" si="3"/>
        <v>2026</v>
      </c>
      <c r="I333" s="214">
        <v>4.0</v>
      </c>
      <c r="J333" s="222">
        <v>2026.0</v>
      </c>
      <c r="K333" s="223"/>
      <c r="L333" s="223">
        <v>120.93</v>
      </c>
      <c r="M333" s="32">
        <v>1.0</v>
      </c>
      <c r="N333" s="217">
        <f t="shared" si="76"/>
        <v>120.93</v>
      </c>
      <c r="O333" s="87">
        <v>186.0</v>
      </c>
      <c r="P333" s="77"/>
      <c r="Q333" s="82" t="s">
        <v>1010</v>
      </c>
    </row>
    <row r="334" ht="15.75" hidden="1" customHeight="1">
      <c r="A334" s="82" t="s">
        <v>20</v>
      </c>
      <c r="B334" s="82" t="s">
        <v>25</v>
      </c>
      <c r="C334" s="230"/>
      <c r="D334" s="82" t="s">
        <v>7</v>
      </c>
      <c r="E334" s="231">
        <v>46069.0</v>
      </c>
      <c r="F334" s="213">
        <f t="shared" si="1"/>
        <v>16</v>
      </c>
      <c r="G334" s="213">
        <f t="shared" si="2"/>
        <v>2</v>
      </c>
      <c r="H334" s="213">
        <f t="shared" si="3"/>
        <v>2026</v>
      </c>
      <c r="I334" s="232">
        <v>2.0</v>
      </c>
      <c r="J334" s="213">
        <v>2026.0</v>
      </c>
      <c r="K334" s="217"/>
      <c r="L334" s="217">
        <v>77.3</v>
      </c>
      <c r="M334" s="32">
        <v>1.0</v>
      </c>
      <c r="N334" s="217">
        <f t="shared" si="76"/>
        <v>77.3</v>
      </c>
      <c r="O334" s="311">
        <v>82.0</v>
      </c>
      <c r="P334" s="140"/>
      <c r="Q334" s="164" t="s">
        <v>1012</v>
      </c>
    </row>
    <row r="335" ht="15.75" hidden="1" customHeight="1">
      <c r="A335" s="82" t="s">
        <v>20</v>
      </c>
      <c r="B335" s="82" t="s">
        <v>25</v>
      </c>
      <c r="C335" s="230"/>
      <c r="D335" s="82" t="s">
        <v>7</v>
      </c>
      <c r="E335" s="231">
        <v>46063.0</v>
      </c>
      <c r="F335" s="213">
        <f t="shared" si="1"/>
        <v>10</v>
      </c>
      <c r="G335" s="213">
        <f t="shared" si="2"/>
        <v>2</v>
      </c>
      <c r="H335" s="213">
        <f t="shared" si="3"/>
        <v>2026</v>
      </c>
      <c r="I335" s="232">
        <v>2.0</v>
      </c>
      <c r="J335" s="213">
        <v>2026.0</v>
      </c>
      <c r="K335" s="307"/>
      <c r="L335" s="307">
        <v>61.74</v>
      </c>
      <c r="M335" s="32">
        <v>1.0</v>
      </c>
      <c r="N335" s="217">
        <f t="shared" si="76"/>
        <v>61.74</v>
      </c>
      <c r="O335" s="311">
        <v>44.0</v>
      </c>
      <c r="P335" s="140"/>
      <c r="Q335" s="234" t="s">
        <v>1014</v>
      </c>
    </row>
    <row r="336" ht="15.75" hidden="1" customHeight="1">
      <c r="A336" s="82" t="s">
        <v>20</v>
      </c>
      <c r="B336" s="82" t="s">
        <v>25</v>
      </c>
      <c r="C336" s="220"/>
      <c r="D336" s="64" t="s">
        <v>7</v>
      </c>
      <c r="E336" s="221">
        <v>46135.0</v>
      </c>
      <c r="F336" s="213">
        <f t="shared" si="1"/>
        <v>23</v>
      </c>
      <c r="G336" s="213">
        <f t="shared" si="2"/>
        <v>4</v>
      </c>
      <c r="H336" s="213">
        <f t="shared" si="3"/>
        <v>2026</v>
      </c>
      <c r="I336" s="214">
        <v>4.0</v>
      </c>
      <c r="J336" s="222">
        <v>2026.0</v>
      </c>
      <c r="K336" s="223"/>
      <c r="L336" s="223">
        <v>14.99</v>
      </c>
      <c r="M336" s="32">
        <v>1.0</v>
      </c>
      <c r="N336" s="217">
        <f t="shared" si="76"/>
        <v>14.99</v>
      </c>
      <c r="O336" s="87">
        <v>184.0</v>
      </c>
      <c r="P336" s="87"/>
      <c r="Q336" s="164" t="s">
        <v>1016</v>
      </c>
    </row>
    <row r="337" ht="15.75" hidden="1" customHeight="1">
      <c r="A337" s="82" t="s">
        <v>20</v>
      </c>
      <c r="B337" s="82" t="s">
        <v>25</v>
      </c>
      <c r="C337" s="230"/>
      <c r="D337" s="82" t="s">
        <v>7</v>
      </c>
      <c r="E337" s="231">
        <v>46048.0</v>
      </c>
      <c r="F337" s="213">
        <f t="shared" si="1"/>
        <v>26</v>
      </c>
      <c r="G337" s="213">
        <f t="shared" si="2"/>
        <v>1</v>
      </c>
      <c r="H337" s="213">
        <f t="shared" si="3"/>
        <v>2026</v>
      </c>
      <c r="I337" s="232">
        <v>1.0</v>
      </c>
      <c r="J337" s="213">
        <v>2026.0</v>
      </c>
      <c r="K337" s="307"/>
      <c r="L337" s="307">
        <v>-150.0</v>
      </c>
      <c r="M337" s="32">
        <v>1.0</v>
      </c>
      <c r="N337" s="217">
        <f t="shared" si="76"/>
        <v>-150</v>
      </c>
      <c r="O337" s="320"/>
      <c r="P337" s="321"/>
      <c r="Q337" s="234" t="s">
        <v>1018</v>
      </c>
    </row>
    <row r="338" ht="15.75" hidden="1" customHeight="1">
      <c r="A338" s="82" t="s">
        <v>20</v>
      </c>
      <c r="B338" s="82" t="s">
        <v>302</v>
      </c>
      <c r="C338" s="230"/>
      <c r="D338" s="82" t="s">
        <v>8</v>
      </c>
      <c r="E338" s="231">
        <v>46059.0</v>
      </c>
      <c r="F338" s="213">
        <f t="shared" si="1"/>
        <v>6</v>
      </c>
      <c r="G338" s="213">
        <f t="shared" si="2"/>
        <v>2</v>
      </c>
      <c r="H338" s="213">
        <f t="shared" si="3"/>
        <v>2026</v>
      </c>
      <c r="I338" s="232">
        <v>2.0</v>
      </c>
      <c r="J338" s="213">
        <v>2026.0</v>
      </c>
      <c r="K338" s="307"/>
      <c r="L338" s="307">
        <v>2600.0</v>
      </c>
      <c r="M338" s="32">
        <v>1.0</v>
      </c>
      <c r="N338" s="217">
        <f t="shared" si="76"/>
        <v>2600</v>
      </c>
      <c r="O338" s="311">
        <v>50.0</v>
      </c>
      <c r="P338" s="87" t="s">
        <v>15</v>
      </c>
      <c r="Q338" s="234" t="s">
        <v>1020</v>
      </c>
    </row>
    <row r="339" ht="15.75" hidden="1" customHeight="1">
      <c r="A339" s="82" t="s">
        <v>20</v>
      </c>
      <c r="B339" s="82" t="s">
        <v>302</v>
      </c>
      <c r="C339" s="230"/>
      <c r="D339" s="82" t="s">
        <v>8</v>
      </c>
      <c r="E339" s="231">
        <v>46079.0</v>
      </c>
      <c r="F339" s="213">
        <f t="shared" si="1"/>
        <v>26</v>
      </c>
      <c r="G339" s="213">
        <f t="shared" si="2"/>
        <v>2</v>
      </c>
      <c r="H339" s="213">
        <f t="shared" si="3"/>
        <v>2026</v>
      </c>
      <c r="I339" s="232">
        <v>2.0</v>
      </c>
      <c r="J339" s="213">
        <v>2026.0</v>
      </c>
      <c r="K339" s="307"/>
      <c r="L339" s="307">
        <v>2600.0</v>
      </c>
      <c r="M339" s="32">
        <v>1.0</v>
      </c>
      <c r="N339" s="353">
        <f t="shared" si="76"/>
        <v>2600</v>
      </c>
      <c r="O339" s="311">
        <v>87.0</v>
      </c>
      <c r="P339" s="87" t="s">
        <v>16</v>
      </c>
      <c r="Q339" s="32" t="s">
        <v>1022</v>
      </c>
    </row>
    <row r="340" ht="15.75" hidden="1" customHeight="1">
      <c r="A340" s="82" t="s">
        <v>20</v>
      </c>
      <c r="B340" s="82" t="s">
        <v>302</v>
      </c>
      <c r="C340" s="230"/>
      <c r="D340" s="82" t="s">
        <v>8</v>
      </c>
      <c r="E340" s="231">
        <v>46042.0</v>
      </c>
      <c r="F340" s="213">
        <f t="shared" si="1"/>
        <v>20</v>
      </c>
      <c r="G340" s="213">
        <f t="shared" si="2"/>
        <v>1</v>
      </c>
      <c r="H340" s="213">
        <f t="shared" si="3"/>
        <v>2026</v>
      </c>
      <c r="I340" s="232">
        <v>1.0</v>
      </c>
      <c r="J340" s="213">
        <v>2026.0</v>
      </c>
      <c r="K340" s="307"/>
      <c r="L340" s="307">
        <v>2000.0</v>
      </c>
      <c r="M340" s="32">
        <v>1.0</v>
      </c>
      <c r="N340" s="217">
        <f t="shared" si="76"/>
        <v>2000</v>
      </c>
      <c r="O340" s="311">
        <v>26.0</v>
      </c>
      <c r="P340" s="87" t="s">
        <v>15</v>
      </c>
      <c r="Q340" s="311" t="s">
        <v>1024</v>
      </c>
    </row>
    <row r="341" ht="15.75" hidden="1" customHeight="1">
      <c r="A341" s="82" t="s">
        <v>20</v>
      </c>
      <c r="B341" s="82" t="s">
        <v>302</v>
      </c>
      <c r="C341" s="230"/>
      <c r="D341" s="82" t="s">
        <v>8</v>
      </c>
      <c r="E341" s="231">
        <v>46081.0</v>
      </c>
      <c r="F341" s="213">
        <f t="shared" si="1"/>
        <v>28</v>
      </c>
      <c r="G341" s="213">
        <f t="shared" si="2"/>
        <v>2</v>
      </c>
      <c r="H341" s="213">
        <f t="shared" si="3"/>
        <v>2026</v>
      </c>
      <c r="I341" s="232">
        <v>2.0</v>
      </c>
      <c r="J341" s="354">
        <v>2026.0</v>
      </c>
      <c r="K341" s="355"/>
      <c r="L341" s="355">
        <v>800.0</v>
      </c>
      <c r="M341" s="32">
        <v>1.0</v>
      </c>
      <c r="N341" s="217">
        <f t="shared" si="76"/>
        <v>800</v>
      </c>
      <c r="O341" s="311">
        <v>95.0</v>
      </c>
      <c r="P341" s="87" t="s">
        <v>17</v>
      </c>
      <c r="Q341" s="32" t="s">
        <v>1026</v>
      </c>
    </row>
    <row r="342" ht="15.75" hidden="1" customHeight="1">
      <c r="A342" s="82" t="s">
        <v>20</v>
      </c>
      <c r="B342" s="82" t="s">
        <v>302</v>
      </c>
      <c r="C342" s="220"/>
      <c r="D342" s="82" t="s">
        <v>8</v>
      </c>
      <c r="E342" s="221">
        <v>46129.0</v>
      </c>
      <c r="F342" s="213">
        <f t="shared" si="1"/>
        <v>17</v>
      </c>
      <c r="G342" s="213">
        <f t="shared" si="2"/>
        <v>4</v>
      </c>
      <c r="H342" s="213">
        <f t="shared" si="3"/>
        <v>2026</v>
      </c>
      <c r="I342" s="214">
        <v>4.0</v>
      </c>
      <c r="J342" s="356">
        <v>2026.0</v>
      </c>
      <c r="K342" s="357"/>
      <c r="L342" s="357">
        <v>800.0</v>
      </c>
      <c r="M342" s="32">
        <v>1.0</v>
      </c>
      <c r="N342" s="217">
        <f t="shared" si="76"/>
        <v>800</v>
      </c>
      <c r="O342" s="87">
        <v>185.0</v>
      </c>
      <c r="P342" s="87" t="s">
        <v>17</v>
      </c>
      <c r="Q342" s="164" t="s">
        <v>1028</v>
      </c>
    </row>
    <row r="343" ht="15.75" hidden="1" customHeight="1">
      <c r="A343" s="82" t="s">
        <v>20</v>
      </c>
      <c r="B343" s="82" t="s">
        <v>302</v>
      </c>
      <c r="C343" s="220"/>
      <c r="D343" s="82" t="s">
        <v>8</v>
      </c>
      <c r="E343" s="221">
        <v>46143.0</v>
      </c>
      <c r="F343" s="213">
        <f t="shared" si="1"/>
        <v>1</v>
      </c>
      <c r="G343" s="213">
        <f t="shared" si="2"/>
        <v>5</v>
      </c>
      <c r="H343" s="213">
        <f t="shared" si="3"/>
        <v>2026</v>
      </c>
      <c r="I343" s="214">
        <v>5.0</v>
      </c>
      <c r="J343" s="222">
        <v>2026.0</v>
      </c>
      <c r="K343" s="223"/>
      <c r="L343" s="223">
        <v>700.0</v>
      </c>
      <c r="M343" s="32">
        <v>1.0</v>
      </c>
      <c r="N343" s="217">
        <f t="shared" si="76"/>
        <v>700</v>
      </c>
      <c r="O343" s="87">
        <v>194.0</v>
      </c>
      <c r="P343" s="87" t="s">
        <v>18</v>
      </c>
      <c r="Q343" s="140" t="s">
        <v>1030</v>
      </c>
    </row>
    <row r="344" ht="15.75" hidden="1" customHeight="1">
      <c r="A344" s="82" t="s">
        <v>20</v>
      </c>
      <c r="B344" s="82" t="s">
        <v>302</v>
      </c>
      <c r="C344" s="220"/>
      <c r="D344" s="64" t="s">
        <v>7</v>
      </c>
      <c r="E344" s="221">
        <v>46132.0</v>
      </c>
      <c r="F344" s="213">
        <f t="shared" si="1"/>
        <v>20</v>
      </c>
      <c r="G344" s="213">
        <f t="shared" si="2"/>
        <v>4</v>
      </c>
      <c r="H344" s="213">
        <f t="shared" si="3"/>
        <v>2026</v>
      </c>
      <c r="I344" s="214">
        <v>4.0</v>
      </c>
      <c r="J344" s="222">
        <v>2026.0</v>
      </c>
      <c r="K344" s="223"/>
      <c r="L344" s="223">
        <v>615.0</v>
      </c>
      <c r="M344" s="32">
        <v>1.0</v>
      </c>
      <c r="N344" s="217">
        <f t="shared" si="76"/>
        <v>615</v>
      </c>
      <c r="O344" s="87">
        <v>164.0</v>
      </c>
      <c r="P344" s="77"/>
      <c r="Q344" s="235" t="s">
        <v>996</v>
      </c>
    </row>
    <row r="345" ht="15.75" hidden="1" customHeight="1">
      <c r="A345" s="82" t="s">
        <v>20</v>
      </c>
      <c r="B345" s="82" t="s">
        <v>302</v>
      </c>
      <c r="C345" s="220"/>
      <c r="D345" s="82" t="s">
        <v>8</v>
      </c>
      <c r="E345" s="231">
        <v>46095.0</v>
      </c>
      <c r="F345" s="213">
        <f t="shared" si="1"/>
        <v>14</v>
      </c>
      <c r="G345" s="213">
        <f t="shared" si="2"/>
        <v>3</v>
      </c>
      <c r="H345" s="213">
        <f t="shared" si="3"/>
        <v>2026</v>
      </c>
      <c r="I345" s="214">
        <v>3.0</v>
      </c>
      <c r="J345" s="356">
        <v>2026.0</v>
      </c>
      <c r="K345" s="357"/>
      <c r="L345" s="357">
        <v>600.0</v>
      </c>
      <c r="M345" s="32">
        <v>1.0</v>
      </c>
      <c r="N345" s="217">
        <f t="shared" si="76"/>
        <v>600</v>
      </c>
      <c r="O345" s="311">
        <v>119.0</v>
      </c>
      <c r="P345" s="87" t="s">
        <v>17</v>
      </c>
      <c r="Q345" s="225" t="s">
        <v>1028</v>
      </c>
    </row>
    <row r="346" ht="15.75" hidden="1" customHeight="1">
      <c r="A346" s="82" t="s">
        <v>20</v>
      </c>
      <c r="B346" s="82" t="s">
        <v>302</v>
      </c>
      <c r="C346" s="220"/>
      <c r="D346" s="82" t="s">
        <v>8</v>
      </c>
      <c r="E346" s="221">
        <v>46102.0</v>
      </c>
      <c r="F346" s="213">
        <f t="shared" si="1"/>
        <v>21</v>
      </c>
      <c r="G346" s="213">
        <f t="shared" si="2"/>
        <v>3</v>
      </c>
      <c r="H346" s="213">
        <f t="shared" si="3"/>
        <v>2026</v>
      </c>
      <c r="I346" s="214">
        <v>3.0</v>
      </c>
      <c r="J346" s="222">
        <v>2026.0</v>
      </c>
      <c r="K346" s="223"/>
      <c r="L346" s="223">
        <v>600.0</v>
      </c>
      <c r="M346" s="32">
        <v>1.0</v>
      </c>
      <c r="N346" s="217">
        <f t="shared" si="76"/>
        <v>600</v>
      </c>
      <c r="O346" s="87">
        <v>121.0</v>
      </c>
      <c r="P346" s="87" t="s">
        <v>17</v>
      </c>
      <c r="Q346" s="32" t="s">
        <v>1028</v>
      </c>
    </row>
    <row r="347" ht="15.75" hidden="1" customHeight="1">
      <c r="A347" s="82" t="s">
        <v>20</v>
      </c>
      <c r="B347" s="82" t="s">
        <v>302</v>
      </c>
      <c r="C347" s="220"/>
      <c r="D347" s="82" t="s">
        <v>8</v>
      </c>
      <c r="E347" s="221">
        <v>46143.0</v>
      </c>
      <c r="F347" s="213">
        <f t="shared" si="1"/>
        <v>1</v>
      </c>
      <c r="G347" s="213">
        <f t="shared" si="2"/>
        <v>5</v>
      </c>
      <c r="H347" s="213">
        <f t="shared" si="3"/>
        <v>2026</v>
      </c>
      <c r="I347" s="214">
        <v>5.0</v>
      </c>
      <c r="J347" s="222">
        <v>2026.0</v>
      </c>
      <c r="K347" s="223"/>
      <c r="L347" s="223">
        <v>600.0</v>
      </c>
      <c r="M347" s="32">
        <v>1.0</v>
      </c>
      <c r="N347" s="217">
        <f t="shared" si="76"/>
        <v>600</v>
      </c>
      <c r="O347" s="87">
        <v>192.0</v>
      </c>
      <c r="P347" s="87" t="s">
        <v>18</v>
      </c>
      <c r="Q347" s="164" t="s">
        <v>1033</v>
      </c>
    </row>
    <row r="348" ht="15.75" hidden="1" customHeight="1">
      <c r="A348" s="82" t="s">
        <v>20</v>
      </c>
      <c r="B348" s="64" t="s">
        <v>302</v>
      </c>
      <c r="C348" s="220"/>
      <c r="D348" s="82" t="s">
        <v>8</v>
      </c>
      <c r="E348" s="221">
        <v>46219.0</v>
      </c>
      <c r="F348" s="213">
        <f t="shared" si="1"/>
        <v>16</v>
      </c>
      <c r="G348" s="213">
        <f t="shared" si="2"/>
        <v>7</v>
      </c>
      <c r="H348" s="213">
        <f t="shared" si="3"/>
        <v>2026</v>
      </c>
      <c r="I348" s="322">
        <f t="shared" ref="I348:J348" si="77">G348</f>
        <v>7</v>
      </c>
      <c r="J348" s="213">
        <f t="shared" si="77"/>
        <v>2026</v>
      </c>
      <c r="K348" s="223"/>
      <c r="L348" s="223">
        <v>600.0</v>
      </c>
      <c r="M348" s="245">
        <v>1.0</v>
      </c>
      <c r="N348" s="217">
        <f>M348*L348</f>
        <v>600</v>
      </c>
      <c r="O348" s="87"/>
      <c r="P348" s="87" t="s">
        <v>19</v>
      </c>
      <c r="Q348" s="225" t="s">
        <v>1035</v>
      </c>
    </row>
    <row r="349" ht="15.75" hidden="1" customHeight="1">
      <c r="A349" s="82" t="s">
        <v>20</v>
      </c>
      <c r="B349" s="82" t="s">
        <v>302</v>
      </c>
      <c r="C349" s="230"/>
      <c r="D349" s="82" t="s">
        <v>8</v>
      </c>
      <c r="E349" s="231">
        <v>46081.0</v>
      </c>
      <c r="F349" s="213">
        <f t="shared" si="1"/>
        <v>28</v>
      </c>
      <c r="G349" s="213">
        <f t="shared" si="2"/>
        <v>2</v>
      </c>
      <c r="H349" s="213">
        <f t="shared" si="3"/>
        <v>2026</v>
      </c>
      <c r="I349" s="232">
        <v>2.0</v>
      </c>
      <c r="J349" s="354">
        <v>2026.0</v>
      </c>
      <c r="K349" s="355"/>
      <c r="L349" s="355">
        <v>560.0</v>
      </c>
      <c r="M349" s="32">
        <v>1.0</v>
      </c>
      <c r="N349" s="217">
        <f t="shared" ref="N349:N364" si="78">L349*M349</f>
        <v>560</v>
      </c>
      <c r="O349" s="311">
        <v>96.0</v>
      </c>
      <c r="P349" s="87" t="s">
        <v>17</v>
      </c>
      <c r="Q349" s="32" t="s">
        <v>1038</v>
      </c>
    </row>
    <row r="350" ht="15.75" hidden="1" customHeight="1">
      <c r="A350" s="82" t="s">
        <v>20</v>
      </c>
      <c r="B350" s="82" t="s">
        <v>302</v>
      </c>
      <c r="C350" s="230"/>
      <c r="D350" s="82" t="s">
        <v>7</v>
      </c>
      <c r="E350" s="231">
        <v>46088.0</v>
      </c>
      <c r="F350" s="213">
        <f t="shared" si="1"/>
        <v>7</v>
      </c>
      <c r="G350" s="213">
        <f t="shared" si="2"/>
        <v>3</v>
      </c>
      <c r="H350" s="213">
        <f t="shared" si="3"/>
        <v>2026</v>
      </c>
      <c r="I350" s="232">
        <v>3.0</v>
      </c>
      <c r="J350" s="213">
        <v>2026.0</v>
      </c>
      <c r="K350" s="307"/>
      <c r="L350" s="307">
        <v>500.0</v>
      </c>
      <c r="M350" s="32">
        <v>1.0</v>
      </c>
      <c r="N350" s="217">
        <f t="shared" si="78"/>
        <v>500</v>
      </c>
      <c r="O350" s="311">
        <v>102.0</v>
      </c>
      <c r="P350" s="87"/>
      <c r="Q350" s="32" t="s">
        <v>1039</v>
      </c>
    </row>
    <row r="351" ht="15.75" hidden="1" customHeight="1">
      <c r="A351" s="82" t="s">
        <v>20</v>
      </c>
      <c r="B351" s="82" t="s">
        <v>302</v>
      </c>
      <c r="C351" s="230"/>
      <c r="D351" s="82" t="s">
        <v>8</v>
      </c>
      <c r="E351" s="231">
        <v>46088.0</v>
      </c>
      <c r="F351" s="213">
        <f t="shared" si="1"/>
        <v>7</v>
      </c>
      <c r="G351" s="213">
        <f t="shared" si="2"/>
        <v>3</v>
      </c>
      <c r="H351" s="213">
        <f t="shared" si="3"/>
        <v>2026</v>
      </c>
      <c r="I351" s="232">
        <v>3.0</v>
      </c>
      <c r="J351" s="354">
        <v>2026.0</v>
      </c>
      <c r="K351" s="355"/>
      <c r="L351" s="355">
        <v>500.0</v>
      </c>
      <c r="M351" s="32">
        <v>1.0</v>
      </c>
      <c r="N351" s="217">
        <f t="shared" si="78"/>
        <v>500</v>
      </c>
      <c r="O351" s="311">
        <v>103.0</v>
      </c>
      <c r="P351" s="87" t="s">
        <v>17</v>
      </c>
      <c r="Q351" s="164" t="s">
        <v>1028</v>
      </c>
    </row>
    <row r="352" ht="15.75" hidden="1" customHeight="1">
      <c r="A352" s="82" t="s">
        <v>20</v>
      </c>
      <c r="B352" s="82" t="s">
        <v>302</v>
      </c>
      <c r="C352" s="220"/>
      <c r="D352" s="82" t="s">
        <v>8</v>
      </c>
      <c r="E352" s="221">
        <v>46109.0</v>
      </c>
      <c r="F352" s="213">
        <f t="shared" si="1"/>
        <v>28</v>
      </c>
      <c r="G352" s="213">
        <f t="shared" si="2"/>
        <v>3</v>
      </c>
      <c r="H352" s="213">
        <f t="shared" si="3"/>
        <v>2026</v>
      </c>
      <c r="I352" s="214">
        <v>3.0</v>
      </c>
      <c r="J352" s="356">
        <v>2026.0</v>
      </c>
      <c r="K352" s="357"/>
      <c r="L352" s="357">
        <v>500.0</v>
      </c>
      <c r="M352" s="32">
        <v>1.0</v>
      </c>
      <c r="N352" s="217">
        <f t="shared" si="78"/>
        <v>500</v>
      </c>
      <c r="O352" s="87">
        <v>137.0</v>
      </c>
      <c r="P352" s="87" t="s">
        <v>17</v>
      </c>
      <c r="Q352" s="164" t="s">
        <v>1028</v>
      </c>
    </row>
    <row r="353" ht="15.75" hidden="1" customHeight="1">
      <c r="A353" s="82" t="s">
        <v>20</v>
      </c>
      <c r="B353" s="82" t="s">
        <v>302</v>
      </c>
      <c r="C353" s="220"/>
      <c r="D353" s="82" t="s">
        <v>8</v>
      </c>
      <c r="E353" s="221">
        <v>46150.0</v>
      </c>
      <c r="F353" s="213">
        <f t="shared" si="1"/>
        <v>8</v>
      </c>
      <c r="G353" s="213">
        <f t="shared" si="2"/>
        <v>5</v>
      </c>
      <c r="H353" s="213">
        <f t="shared" si="3"/>
        <v>2026</v>
      </c>
      <c r="I353" s="214">
        <v>5.0</v>
      </c>
      <c r="J353" s="222">
        <v>2026.0</v>
      </c>
      <c r="K353" s="223"/>
      <c r="L353" s="223">
        <v>400.0</v>
      </c>
      <c r="M353" s="32">
        <v>1.0</v>
      </c>
      <c r="N353" s="217">
        <f t="shared" si="78"/>
        <v>400</v>
      </c>
      <c r="O353" s="87">
        <v>202.0</v>
      </c>
      <c r="P353" s="87" t="s">
        <v>18</v>
      </c>
      <c r="Q353" s="225" t="s">
        <v>1043</v>
      </c>
    </row>
    <row r="354" ht="15.75" hidden="1" customHeight="1">
      <c r="A354" s="82" t="s">
        <v>20</v>
      </c>
      <c r="B354" s="82" t="s">
        <v>302</v>
      </c>
      <c r="C354" s="220"/>
      <c r="D354" s="82" t="s">
        <v>8</v>
      </c>
      <c r="E354" s="221">
        <v>46102.0</v>
      </c>
      <c r="F354" s="213">
        <f t="shared" si="1"/>
        <v>21</v>
      </c>
      <c r="G354" s="213">
        <f t="shared" si="2"/>
        <v>3</v>
      </c>
      <c r="H354" s="213">
        <f t="shared" si="3"/>
        <v>2026</v>
      </c>
      <c r="I354" s="214">
        <v>3.0</v>
      </c>
      <c r="J354" s="356">
        <v>2026.0</v>
      </c>
      <c r="K354" s="357"/>
      <c r="L354" s="357">
        <v>350.0</v>
      </c>
      <c r="M354" s="32">
        <v>1.0</v>
      </c>
      <c r="N354" s="217">
        <f t="shared" si="78"/>
        <v>350</v>
      </c>
      <c r="O354" s="87">
        <v>122.0</v>
      </c>
      <c r="P354" s="87" t="s">
        <v>17</v>
      </c>
      <c r="Q354" s="140" t="s">
        <v>1038</v>
      </c>
    </row>
    <row r="355" ht="15.75" hidden="1" customHeight="1">
      <c r="A355" s="82" t="s">
        <v>20</v>
      </c>
      <c r="B355" s="82" t="s">
        <v>302</v>
      </c>
      <c r="C355" s="220"/>
      <c r="D355" s="82" t="s">
        <v>8</v>
      </c>
      <c r="E355" s="221">
        <v>46115.0</v>
      </c>
      <c r="F355" s="213">
        <f t="shared" si="1"/>
        <v>3</v>
      </c>
      <c r="G355" s="213">
        <f t="shared" si="2"/>
        <v>4</v>
      </c>
      <c r="H355" s="213">
        <f t="shared" si="3"/>
        <v>2026</v>
      </c>
      <c r="I355" s="214">
        <v>4.0</v>
      </c>
      <c r="J355" s="356">
        <v>2026.0</v>
      </c>
      <c r="K355" s="357"/>
      <c r="L355" s="357">
        <v>350.0</v>
      </c>
      <c r="M355" s="32">
        <v>1.0</v>
      </c>
      <c r="N355" s="217">
        <f t="shared" si="78"/>
        <v>350</v>
      </c>
      <c r="O355" s="269">
        <v>148.0</v>
      </c>
      <c r="P355" s="87" t="s">
        <v>17</v>
      </c>
      <c r="Q355" s="164" t="s">
        <v>1028</v>
      </c>
    </row>
    <row r="356" ht="15.75" hidden="1" customHeight="1">
      <c r="A356" s="82" t="s">
        <v>20</v>
      </c>
      <c r="B356" s="82" t="s">
        <v>302</v>
      </c>
      <c r="C356" s="220"/>
      <c r="D356" s="82" t="s">
        <v>8</v>
      </c>
      <c r="E356" s="221">
        <v>46143.0</v>
      </c>
      <c r="F356" s="213">
        <f t="shared" si="1"/>
        <v>1</v>
      </c>
      <c r="G356" s="213">
        <f t="shared" si="2"/>
        <v>5</v>
      </c>
      <c r="H356" s="213">
        <f t="shared" si="3"/>
        <v>2026</v>
      </c>
      <c r="I356" s="214">
        <v>5.0</v>
      </c>
      <c r="J356" s="222">
        <v>2026.0</v>
      </c>
      <c r="K356" s="223"/>
      <c r="L356" s="223">
        <v>350.0</v>
      </c>
      <c r="M356" s="32">
        <v>1.0</v>
      </c>
      <c r="N356" s="217">
        <f t="shared" si="78"/>
        <v>350</v>
      </c>
      <c r="O356" s="87">
        <v>195.0</v>
      </c>
      <c r="P356" s="87" t="s">
        <v>18</v>
      </c>
      <c r="Q356" s="32" t="s">
        <v>1046</v>
      </c>
      <c r="T356" s="142"/>
      <c r="U356" s="350"/>
    </row>
    <row r="357" ht="15.75" hidden="1" customHeight="1">
      <c r="A357" s="82" t="s">
        <v>20</v>
      </c>
      <c r="B357" s="82" t="s">
        <v>302</v>
      </c>
      <c r="C357" s="220"/>
      <c r="D357" s="82" t="s">
        <v>8</v>
      </c>
      <c r="E357" s="221">
        <v>46109.0</v>
      </c>
      <c r="F357" s="213">
        <f t="shared" si="1"/>
        <v>28</v>
      </c>
      <c r="G357" s="213">
        <f t="shared" si="2"/>
        <v>3</v>
      </c>
      <c r="H357" s="213">
        <f t="shared" si="3"/>
        <v>2026</v>
      </c>
      <c r="I357" s="214">
        <v>3.0</v>
      </c>
      <c r="J357" s="356">
        <v>2026.0</v>
      </c>
      <c r="K357" s="357"/>
      <c r="L357" s="357">
        <v>320.0</v>
      </c>
      <c r="M357" s="32">
        <v>1.0</v>
      </c>
      <c r="N357" s="217">
        <f t="shared" si="78"/>
        <v>320</v>
      </c>
      <c r="O357" s="87">
        <v>135.0</v>
      </c>
      <c r="P357" s="87" t="s">
        <v>17</v>
      </c>
      <c r="Q357" s="164" t="s">
        <v>1038</v>
      </c>
    </row>
    <row r="358" ht="15.75" hidden="1" customHeight="1">
      <c r="A358" s="82" t="s">
        <v>20</v>
      </c>
      <c r="B358" s="82" t="s">
        <v>302</v>
      </c>
      <c r="C358" s="220"/>
      <c r="D358" s="82" t="s">
        <v>8</v>
      </c>
      <c r="E358" s="221">
        <v>46127.0</v>
      </c>
      <c r="F358" s="213">
        <f t="shared" si="1"/>
        <v>15</v>
      </c>
      <c r="G358" s="213">
        <f t="shared" si="2"/>
        <v>4</v>
      </c>
      <c r="H358" s="213">
        <f t="shared" si="3"/>
        <v>2026</v>
      </c>
      <c r="I358" s="214">
        <v>4.0</v>
      </c>
      <c r="J358" s="356">
        <v>2026.0</v>
      </c>
      <c r="K358" s="357"/>
      <c r="L358" s="357">
        <v>320.0</v>
      </c>
      <c r="M358" s="32">
        <v>1.0</v>
      </c>
      <c r="N358" s="217">
        <f t="shared" si="78"/>
        <v>320</v>
      </c>
      <c r="O358" s="87">
        <v>184.0</v>
      </c>
      <c r="P358" s="87" t="s">
        <v>17</v>
      </c>
      <c r="Q358" s="164" t="s">
        <v>1038</v>
      </c>
    </row>
    <row r="359" ht="15.75" hidden="1" customHeight="1">
      <c r="A359" s="82" t="s">
        <v>20</v>
      </c>
      <c r="B359" s="82" t="s">
        <v>302</v>
      </c>
      <c r="C359" s="220"/>
      <c r="D359" s="82" t="s">
        <v>8</v>
      </c>
      <c r="E359" s="221">
        <v>46059.0</v>
      </c>
      <c r="F359" s="213">
        <f t="shared" si="1"/>
        <v>6</v>
      </c>
      <c r="G359" s="213">
        <f t="shared" si="2"/>
        <v>2</v>
      </c>
      <c r="H359" s="213">
        <f t="shared" si="3"/>
        <v>2026</v>
      </c>
      <c r="I359" s="214">
        <v>2.0</v>
      </c>
      <c r="J359" s="215">
        <v>2026.0</v>
      </c>
      <c r="K359" s="216"/>
      <c r="L359" s="216">
        <v>300.0</v>
      </c>
      <c r="M359" s="32">
        <v>1.0</v>
      </c>
      <c r="N359" s="217">
        <f t="shared" si="78"/>
        <v>300</v>
      </c>
      <c r="O359" s="311">
        <v>48.0</v>
      </c>
      <c r="P359" s="87" t="s">
        <v>15</v>
      </c>
      <c r="Q359" s="225" t="s">
        <v>1038</v>
      </c>
    </row>
    <row r="360" ht="15.75" hidden="1" customHeight="1">
      <c r="A360" s="82" t="s">
        <v>20</v>
      </c>
      <c r="B360" s="82" t="s">
        <v>302</v>
      </c>
      <c r="C360" s="220"/>
      <c r="D360" s="82" t="s">
        <v>8</v>
      </c>
      <c r="E360" s="221">
        <v>46143.0</v>
      </c>
      <c r="F360" s="213">
        <f t="shared" si="1"/>
        <v>1</v>
      </c>
      <c r="G360" s="213">
        <f t="shared" si="2"/>
        <v>5</v>
      </c>
      <c r="H360" s="213">
        <f t="shared" si="3"/>
        <v>2026</v>
      </c>
      <c r="I360" s="214">
        <v>5.0</v>
      </c>
      <c r="J360" s="222">
        <v>2026.0</v>
      </c>
      <c r="K360" s="223"/>
      <c r="L360" s="223">
        <v>300.0</v>
      </c>
      <c r="M360" s="32">
        <v>1.0</v>
      </c>
      <c r="N360" s="217">
        <f t="shared" si="78"/>
        <v>300</v>
      </c>
      <c r="O360" s="87">
        <v>198.0</v>
      </c>
      <c r="P360" s="87" t="s">
        <v>18</v>
      </c>
      <c r="Q360" s="164" t="s">
        <v>1038</v>
      </c>
    </row>
    <row r="361" ht="15.75" hidden="1" customHeight="1">
      <c r="A361" s="82" t="s">
        <v>20</v>
      </c>
      <c r="B361" s="82" t="s">
        <v>302</v>
      </c>
      <c r="C361" s="220"/>
      <c r="D361" s="82" t="s">
        <v>8</v>
      </c>
      <c r="E361" s="221">
        <v>46143.0</v>
      </c>
      <c r="F361" s="213">
        <f t="shared" si="1"/>
        <v>1</v>
      </c>
      <c r="G361" s="213">
        <f t="shared" si="2"/>
        <v>5</v>
      </c>
      <c r="H361" s="213">
        <f t="shared" si="3"/>
        <v>2026</v>
      </c>
      <c r="I361" s="214">
        <v>5.0</v>
      </c>
      <c r="J361" s="222">
        <v>2026.0</v>
      </c>
      <c r="K361" s="223"/>
      <c r="L361" s="223">
        <v>300.0</v>
      </c>
      <c r="M361" s="32">
        <v>1.0</v>
      </c>
      <c r="N361" s="217">
        <f t="shared" si="78"/>
        <v>300</v>
      </c>
      <c r="O361" s="87">
        <v>199.0</v>
      </c>
      <c r="P361" s="87" t="s">
        <v>18</v>
      </c>
      <c r="Q361" s="164" t="s">
        <v>1051</v>
      </c>
    </row>
    <row r="362" ht="15.75" hidden="1" customHeight="1">
      <c r="A362" s="82" t="s">
        <v>20</v>
      </c>
      <c r="B362" s="82" t="s">
        <v>302</v>
      </c>
      <c r="C362" s="220"/>
      <c r="D362" s="82" t="s">
        <v>8</v>
      </c>
      <c r="E362" s="221">
        <v>46158.0</v>
      </c>
      <c r="F362" s="213">
        <f t="shared" si="1"/>
        <v>16</v>
      </c>
      <c r="G362" s="213">
        <f t="shared" si="2"/>
        <v>5</v>
      </c>
      <c r="H362" s="213">
        <f t="shared" si="3"/>
        <v>2026</v>
      </c>
      <c r="I362" s="214">
        <v>5.0</v>
      </c>
      <c r="J362" s="222">
        <v>2026.0</v>
      </c>
      <c r="K362" s="223"/>
      <c r="L362" s="223">
        <v>300.0</v>
      </c>
      <c r="M362" s="32">
        <v>1.0</v>
      </c>
      <c r="N362" s="217">
        <f t="shared" si="78"/>
        <v>300</v>
      </c>
      <c r="O362" s="87"/>
      <c r="P362" s="87" t="s">
        <v>18</v>
      </c>
      <c r="Q362" s="225" t="s">
        <v>1054</v>
      </c>
      <c r="S362" s="140"/>
    </row>
    <row r="363" ht="15.75" hidden="1" customHeight="1">
      <c r="A363" s="82" t="s">
        <v>20</v>
      </c>
      <c r="B363" s="82" t="s">
        <v>302</v>
      </c>
      <c r="C363" s="220"/>
      <c r="D363" s="82" t="s">
        <v>8</v>
      </c>
      <c r="E363" s="221">
        <v>46164.0</v>
      </c>
      <c r="F363" s="213">
        <f t="shared" si="1"/>
        <v>22</v>
      </c>
      <c r="G363" s="213">
        <f t="shared" si="2"/>
        <v>5</v>
      </c>
      <c r="H363" s="213">
        <f t="shared" si="3"/>
        <v>2026</v>
      </c>
      <c r="I363" s="214">
        <v>5.0</v>
      </c>
      <c r="J363" s="222">
        <v>2026.0</v>
      </c>
      <c r="K363" s="223"/>
      <c r="L363" s="223">
        <v>300.0</v>
      </c>
      <c r="M363" s="32">
        <v>1.0</v>
      </c>
      <c r="N363" s="217">
        <f t="shared" si="78"/>
        <v>300</v>
      </c>
      <c r="O363" s="77"/>
      <c r="P363" s="87" t="s">
        <v>17</v>
      </c>
      <c r="Q363" s="225" t="s">
        <v>1054</v>
      </c>
      <c r="S363" s="265"/>
      <c r="T363" s="265"/>
      <c r="U363" s="265"/>
      <c r="V363" s="265"/>
      <c r="W363" s="265"/>
      <c r="X363" s="265"/>
      <c r="Y363" s="265"/>
      <c r="Z363" s="265"/>
      <c r="AA363" s="265"/>
      <c r="AB363" s="265"/>
      <c r="AC363" s="265"/>
      <c r="AD363" s="265"/>
      <c r="AE363" s="265"/>
      <c r="AF363" s="265"/>
      <c r="AG363" s="265"/>
      <c r="AH363" s="265"/>
    </row>
    <row r="364" ht="15.75" hidden="1" customHeight="1">
      <c r="A364" s="82" t="s">
        <v>20</v>
      </c>
      <c r="B364" s="82" t="s">
        <v>302</v>
      </c>
      <c r="C364" s="220"/>
      <c r="D364" s="82" t="s">
        <v>8</v>
      </c>
      <c r="E364" s="221">
        <v>46171.0</v>
      </c>
      <c r="F364" s="213">
        <f t="shared" si="1"/>
        <v>29</v>
      </c>
      <c r="G364" s="213">
        <f t="shared" si="2"/>
        <v>5</v>
      </c>
      <c r="H364" s="213">
        <f t="shared" si="3"/>
        <v>2026</v>
      </c>
      <c r="I364" s="214">
        <v>5.0</v>
      </c>
      <c r="J364" s="222">
        <v>2026.0</v>
      </c>
      <c r="K364" s="223"/>
      <c r="L364" s="223">
        <v>300.0</v>
      </c>
      <c r="M364" s="32">
        <v>1.0</v>
      </c>
      <c r="N364" s="217">
        <f t="shared" si="78"/>
        <v>300</v>
      </c>
      <c r="O364" s="77"/>
      <c r="P364" s="87" t="s">
        <v>17</v>
      </c>
      <c r="Q364" s="225" t="s">
        <v>1054</v>
      </c>
    </row>
    <row r="365" ht="15.75" hidden="1" customHeight="1">
      <c r="A365" s="82" t="s">
        <v>20</v>
      </c>
      <c r="B365" s="64" t="s">
        <v>302</v>
      </c>
      <c r="C365" s="230"/>
      <c r="D365" s="82" t="s">
        <v>8</v>
      </c>
      <c r="E365" s="221">
        <v>46183.0</v>
      </c>
      <c r="F365" s="213">
        <f t="shared" si="1"/>
        <v>10</v>
      </c>
      <c r="G365" s="213">
        <f t="shared" si="2"/>
        <v>6</v>
      </c>
      <c r="H365" s="213">
        <f t="shared" si="3"/>
        <v>2026</v>
      </c>
      <c r="I365" s="322">
        <f t="shared" ref="I365:J365" si="79">G365</f>
        <v>6</v>
      </c>
      <c r="J365" s="213">
        <f t="shared" si="79"/>
        <v>2026</v>
      </c>
      <c r="K365" s="217"/>
      <c r="L365" s="307">
        <v>285.0</v>
      </c>
      <c r="M365" s="245">
        <v>1.0</v>
      </c>
      <c r="N365" s="217">
        <f>M365*L365</f>
        <v>285</v>
      </c>
      <c r="O365" s="233"/>
      <c r="P365" s="87" t="s">
        <v>18</v>
      </c>
      <c r="Q365" s="234" t="s">
        <v>1058</v>
      </c>
    </row>
    <row r="366" ht="15.75" hidden="1" customHeight="1">
      <c r="A366" s="82" t="s">
        <v>20</v>
      </c>
      <c r="B366" s="82" t="s">
        <v>302</v>
      </c>
      <c r="C366" s="220"/>
      <c r="D366" s="82" t="s">
        <v>8</v>
      </c>
      <c r="E366" s="221">
        <v>46122.0</v>
      </c>
      <c r="F366" s="213">
        <f t="shared" si="1"/>
        <v>10</v>
      </c>
      <c r="G366" s="213">
        <f t="shared" si="2"/>
        <v>4</v>
      </c>
      <c r="H366" s="213">
        <f t="shared" si="3"/>
        <v>2026</v>
      </c>
      <c r="I366" s="214">
        <v>4.0</v>
      </c>
      <c r="J366" s="356">
        <v>2026.0</v>
      </c>
      <c r="K366" s="357"/>
      <c r="L366" s="357">
        <v>270.0</v>
      </c>
      <c r="M366" s="32">
        <v>1.0</v>
      </c>
      <c r="N366" s="217">
        <f t="shared" ref="N366:N375" si="80">L366*M366</f>
        <v>270</v>
      </c>
      <c r="O366" s="87">
        <v>153.0</v>
      </c>
      <c r="P366" s="87" t="s">
        <v>17</v>
      </c>
      <c r="Q366" s="140" t="s">
        <v>1038</v>
      </c>
    </row>
    <row r="367" ht="15.75" hidden="1" customHeight="1">
      <c r="A367" s="82" t="s">
        <v>20</v>
      </c>
      <c r="B367" s="82" t="s">
        <v>302</v>
      </c>
      <c r="C367" s="230"/>
      <c r="D367" s="82" t="s">
        <v>8</v>
      </c>
      <c r="E367" s="231">
        <v>46083.0</v>
      </c>
      <c r="F367" s="213">
        <f t="shared" si="1"/>
        <v>2</v>
      </c>
      <c r="G367" s="213">
        <f t="shared" si="2"/>
        <v>3</v>
      </c>
      <c r="H367" s="213">
        <f t="shared" si="3"/>
        <v>2026</v>
      </c>
      <c r="I367" s="232">
        <v>3.0</v>
      </c>
      <c r="J367" s="354">
        <v>2026.0</v>
      </c>
      <c r="K367" s="355"/>
      <c r="L367" s="355">
        <v>250.0</v>
      </c>
      <c r="M367" s="32">
        <v>1.0</v>
      </c>
      <c r="N367" s="217">
        <f t="shared" si="80"/>
        <v>250</v>
      </c>
      <c r="O367" s="311">
        <v>104.0</v>
      </c>
      <c r="P367" s="87" t="s">
        <v>17</v>
      </c>
      <c r="Q367" s="164" t="s">
        <v>1038</v>
      </c>
    </row>
    <row r="368" ht="15.75" hidden="1" customHeight="1">
      <c r="A368" s="82" t="s">
        <v>20</v>
      </c>
      <c r="B368" s="82" t="s">
        <v>302</v>
      </c>
      <c r="C368" s="220"/>
      <c r="D368" s="82" t="s">
        <v>8</v>
      </c>
      <c r="E368" s="221">
        <v>46074.0</v>
      </c>
      <c r="F368" s="213">
        <f t="shared" si="1"/>
        <v>21</v>
      </c>
      <c r="G368" s="213">
        <f t="shared" si="2"/>
        <v>2</v>
      </c>
      <c r="H368" s="213">
        <f t="shared" si="3"/>
        <v>2026</v>
      </c>
      <c r="I368" s="214">
        <v>2.0</v>
      </c>
      <c r="J368" s="222">
        <v>2026.0</v>
      </c>
      <c r="K368" s="223"/>
      <c r="L368" s="223">
        <v>240.0</v>
      </c>
      <c r="M368" s="32">
        <v>1.0</v>
      </c>
      <c r="N368" s="217">
        <f t="shared" si="80"/>
        <v>240</v>
      </c>
      <c r="O368" s="87">
        <v>54.0</v>
      </c>
      <c r="P368" s="87" t="s">
        <v>15</v>
      </c>
      <c r="Q368" s="225" t="s">
        <v>1062</v>
      </c>
    </row>
    <row r="369" ht="15.75" hidden="1" customHeight="1">
      <c r="A369" s="82" t="s">
        <v>20</v>
      </c>
      <c r="B369" s="82" t="s">
        <v>302</v>
      </c>
      <c r="C369" s="230"/>
      <c r="D369" s="82" t="s">
        <v>8</v>
      </c>
      <c r="E369" s="231">
        <v>46067.0</v>
      </c>
      <c r="F369" s="213">
        <f t="shared" si="1"/>
        <v>14</v>
      </c>
      <c r="G369" s="213">
        <f t="shared" si="2"/>
        <v>2</v>
      </c>
      <c r="H369" s="213">
        <f t="shared" si="3"/>
        <v>2026</v>
      </c>
      <c r="I369" s="232">
        <v>2.0</v>
      </c>
      <c r="J369" s="213">
        <v>2026.0</v>
      </c>
      <c r="K369" s="307"/>
      <c r="L369" s="307">
        <v>200.0</v>
      </c>
      <c r="M369" s="32">
        <v>1.0</v>
      </c>
      <c r="N369" s="217">
        <f t="shared" si="80"/>
        <v>200</v>
      </c>
      <c r="O369" s="311">
        <v>58.0</v>
      </c>
      <c r="P369" s="87" t="s">
        <v>15</v>
      </c>
      <c r="Q369" s="164" t="s">
        <v>1038</v>
      </c>
    </row>
    <row r="370" ht="15.75" hidden="1" customHeight="1">
      <c r="A370" s="82" t="s">
        <v>20</v>
      </c>
      <c r="B370" s="82" t="s">
        <v>302</v>
      </c>
      <c r="C370" s="230"/>
      <c r="D370" s="82" t="s">
        <v>8</v>
      </c>
      <c r="E370" s="231">
        <v>46081.0</v>
      </c>
      <c r="F370" s="213">
        <f t="shared" si="1"/>
        <v>28</v>
      </c>
      <c r="G370" s="213">
        <f t="shared" si="2"/>
        <v>2</v>
      </c>
      <c r="H370" s="213">
        <f t="shared" si="3"/>
        <v>2026</v>
      </c>
      <c r="I370" s="232">
        <v>2.0</v>
      </c>
      <c r="J370" s="354">
        <v>2026.0</v>
      </c>
      <c r="K370" s="355"/>
      <c r="L370" s="355">
        <v>200.0</v>
      </c>
      <c r="M370" s="32">
        <v>1.0</v>
      </c>
      <c r="N370" s="217">
        <f t="shared" si="80"/>
        <v>200</v>
      </c>
      <c r="O370" s="311">
        <v>94.0</v>
      </c>
      <c r="P370" s="87" t="s">
        <v>17</v>
      </c>
      <c r="Q370" s="32" t="s">
        <v>1065</v>
      </c>
    </row>
    <row r="371" ht="15.75" hidden="1" customHeight="1">
      <c r="A371" s="82" t="s">
        <v>20</v>
      </c>
      <c r="B371" s="82" t="s">
        <v>302</v>
      </c>
      <c r="C371" s="230"/>
      <c r="D371" s="82" t="s">
        <v>8</v>
      </c>
      <c r="E371" s="231">
        <v>46083.0</v>
      </c>
      <c r="F371" s="213">
        <f t="shared" si="1"/>
        <v>2</v>
      </c>
      <c r="G371" s="213">
        <f t="shared" si="2"/>
        <v>3</v>
      </c>
      <c r="H371" s="213">
        <f t="shared" si="3"/>
        <v>2026</v>
      </c>
      <c r="I371" s="232">
        <v>3.0</v>
      </c>
      <c r="J371" s="354">
        <v>2026.0</v>
      </c>
      <c r="K371" s="355"/>
      <c r="L371" s="355">
        <v>200.0</v>
      </c>
      <c r="M371" s="32">
        <v>1.0</v>
      </c>
      <c r="N371" s="217">
        <f t="shared" si="80"/>
        <v>200</v>
      </c>
      <c r="O371" s="311">
        <v>105.0</v>
      </c>
      <c r="P371" s="87" t="s">
        <v>17</v>
      </c>
      <c r="Q371" s="164" t="s">
        <v>1065</v>
      </c>
    </row>
    <row r="372" ht="15.75" hidden="1" customHeight="1">
      <c r="A372" s="82" t="s">
        <v>20</v>
      </c>
      <c r="B372" s="82" t="s">
        <v>302</v>
      </c>
      <c r="C372" s="220"/>
      <c r="D372" s="82" t="s">
        <v>8</v>
      </c>
      <c r="E372" s="231">
        <v>46095.0</v>
      </c>
      <c r="F372" s="213">
        <f t="shared" si="1"/>
        <v>14</v>
      </c>
      <c r="G372" s="213">
        <f t="shared" si="2"/>
        <v>3</v>
      </c>
      <c r="H372" s="213">
        <f t="shared" si="3"/>
        <v>2026</v>
      </c>
      <c r="I372" s="214">
        <v>3.0</v>
      </c>
      <c r="J372" s="356">
        <v>2026.0</v>
      </c>
      <c r="K372" s="357"/>
      <c r="L372" s="357">
        <v>200.0</v>
      </c>
      <c r="M372" s="32">
        <v>1.0</v>
      </c>
      <c r="N372" s="217">
        <f t="shared" si="80"/>
        <v>200</v>
      </c>
      <c r="O372" s="311">
        <v>118.0</v>
      </c>
      <c r="P372" s="87" t="s">
        <v>17</v>
      </c>
      <c r="Q372" s="225" t="s">
        <v>1038</v>
      </c>
    </row>
    <row r="373" ht="15.75" hidden="1" customHeight="1">
      <c r="A373" s="82" t="s">
        <v>20</v>
      </c>
      <c r="B373" s="82" t="s">
        <v>302</v>
      </c>
      <c r="C373" s="220"/>
      <c r="D373" s="82" t="s">
        <v>8</v>
      </c>
      <c r="E373" s="221">
        <v>46129.0</v>
      </c>
      <c r="F373" s="213">
        <f t="shared" si="1"/>
        <v>17</v>
      </c>
      <c r="G373" s="213">
        <f t="shared" si="2"/>
        <v>4</v>
      </c>
      <c r="H373" s="213">
        <f t="shared" si="3"/>
        <v>2026</v>
      </c>
      <c r="I373" s="214">
        <v>4.0</v>
      </c>
      <c r="J373" s="356">
        <v>2026.0</v>
      </c>
      <c r="K373" s="357"/>
      <c r="L373" s="357">
        <v>200.0</v>
      </c>
      <c r="M373" s="32">
        <v>1.0</v>
      </c>
      <c r="N373" s="217">
        <f t="shared" si="80"/>
        <v>200</v>
      </c>
      <c r="O373" s="87">
        <v>182.0</v>
      </c>
      <c r="P373" s="87" t="s">
        <v>17</v>
      </c>
      <c r="Q373" s="164" t="s">
        <v>1051</v>
      </c>
    </row>
    <row r="374" ht="15.75" hidden="1" customHeight="1">
      <c r="A374" s="82" t="s">
        <v>20</v>
      </c>
      <c r="B374" s="82" t="s">
        <v>302</v>
      </c>
      <c r="C374" s="220"/>
      <c r="D374" s="82" t="s">
        <v>8</v>
      </c>
      <c r="E374" s="221">
        <v>46122.0</v>
      </c>
      <c r="F374" s="213">
        <f t="shared" si="1"/>
        <v>10</v>
      </c>
      <c r="G374" s="213">
        <f t="shared" si="2"/>
        <v>4</v>
      </c>
      <c r="H374" s="213">
        <f t="shared" si="3"/>
        <v>2026</v>
      </c>
      <c r="I374" s="214">
        <v>4.0</v>
      </c>
      <c r="J374" s="356">
        <v>2026.0</v>
      </c>
      <c r="K374" s="357"/>
      <c r="L374" s="357">
        <v>180.0</v>
      </c>
      <c r="M374" s="32">
        <v>1.0</v>
      </c>
      <c r="N374" s="217">
        <f t="shared" si="80"/>
        <v>180</v>
      </c>
      <c r="O374" s="87">
        <v>154.0</v>
      </c>
      <c r="P374" s="87" t="s">
        <v>17</v>
      </c>
      <c r="Q374" s="225" t="s">
        <v>1051</v>
      </c>
    </row>
    <row r="375" ht="15.75" hidden="1" customHeight="1">
      <c r="A375" s="82" t="s">
        <v>20</v>
      </c>
      <c r="B375" s="82" t="s">
        <v>302</v>
      </c>
      <c r="C375" s="220"/>
      <c r="D375" s="82" t="s">
        <v>8</v>
      </c>
      <c r="E375" s="221">
        <v>46143.0</v>
      </c>
      <c r="F375" s="213">
        <f t="shared" si="1"/>
        <v>1</v>
      </c>
      <c r="G375" s="213">
        <f t="shared" si="2"/>
        <v>5</v>
      </c>
      <c r="H375" s="213">
        <f t="shared" si="3"/>
        <v>2026</v>
      </c>
      <c r="I375" s="214">
        <v>5.0</v>
      </c>
      <c r="J375" s="222">
        <v>2026.0</v>
      </c>
      <c r="K375" s="223"/>
      <c r="L375" s="223">
        <v>180.0</v>
      </c>
      <c r="M375" s="32">
        <v>1.0</v>
      </c>
      <c r="N375" s="217">
        <f t="shared" si="80"/>
        <v>180</v>
      </c>
      <c r="O375" s="87">
        <v>191.0</v>
      </c>
      <c r="P375" s="87" t="s">
        <v>18</v>
      </c>
      <c r="Q375" s="164" t="s">
        <v>1051</v>
      </c>
    </row>
    <row r="376" ht="15.75" hidden="1" customHeight="1">
      <c r="A376" s="82" t="s">
        <v>20</v>
      </c>
      <c r="B376" s="64" t="s">
        <v>302</v>
      </c>
      <c r="C376" s="220"/>
      <c r="D376" s="82" t="s">
        <v>8</v>
      </c>
      <c r="E376" s="221">
        <v>46179.0</v>
      </c>
      <c r="F376" s="213">
        <f t="shared" si="1"/>
        <v>6</v>
      </c>
      <c r="G376" s="213">
        <f t="shared" si="2"/>
        <v>6</v>
      </c>
      <c r="H376" s="213">
        <f t="shared" si="3"/>
        <v>2026</v>
      </c>
      <c r="I376" s="322">
        <f t="shared" ref="I376:J376" si="81">G376</f>
        <v>6</v>
      </c>
      <c r="J376" s="213">
        <f t="shared" si="81"/>
        <v>2026</v>
      </c>
      <c r="K376" s="223"/>
      <c r="L376" s="223">
        <v>180.0</v>
      </c>
      <c r="M376" s="245">
        <v>1.0</v>
      </c>
      <c r="N376" s="217">
        <f>M376*L376</f>
        <v>180</v>
      </c>
      <c r="O376" s="359"/>
      <c r="P376" s="87" t="s">
        <v>17</v>
      </c>
      <c r="Q376" s="225" t="s">
        <v>1054</v>
      </c>
    </row>
    <row r="377" ht="15.75" hidden="1" customHeight="1">
      <c r="A377" s="82" t="s">
        <v>20</v>
      </c>
      <c r="B377" s="82" t="s">
        <v>302</v>
      </c>
      <c r="C377" s="230"/>
      <c r="D377" s="82" t="s">
        <v>8</v>
      </c>
      <c r="E377" s="231">
        <v>46067.0</v>
      </c>
      <c r="F377" s="213">
        <f t="shared" si="1"/>
        <v>14</v>
      </c>
      <c r="G377" s="213">
        <f t="shared" si="2"/>
        <v>2</v>
      </c>
      <c r="H377" s="213">
        <f t="shared" si="3"/>
        <v>2026</v>
      </c>
      <c r="I377" s="232">
        <v>2.0</v>
      </c>
      <c r="J377" s="213">
        <v>2026.0</v>
      </c>
      <c r="K377" s="307"/>
      <c r="L377" s="307">
        <v>160.0</v>
      </c>
      <c r="M377" s="32">
        <v>1.0</v>
      </c>
      <c r="N377" s="217">
        <f t="shared" ref="N377:N382" si="82">L377*M377</f>
        <v>160</v>
      </c>
      <c r="O377" s="311">
        <v>59.0</v>
      </c>
      <c r="P377" s="87" t="s">
        <v>15</v>
      </c>
      <c r="Q377" s="164" t="s">
        <v>1071</v>
      </c>
    </row>
    <row r="378" ht="15.75" hidden="1" customHeight="1">
      <c r="A378" s="82" t="s">
        <v>20</v>
      </c>
      <c r="B378" s="82" t="s">
        <v>302</v>
      </c>
      <c r="C378" s="230"/>
      <c r="D378" s="82" t="s">
        <v>8</v>
      </c>
      <c r="E378" s="231">
        <v>46081.0</v>
      </c>
      <c r="F378" s="213">
        <f t="shared" si="1"/>
        <v>28</v>
      </c>
      <c r="G378" s="213">
        <f t="shared" si="2"/>
        <v>2</v>
      </c>
      <c r="H378" s="213">
        <f t="shared" si="3"/>
        <v>2026</v>
      </c>
      <c r="I378" s="232">
        <v>2.0</v>
      </c>
      <c r="J378" s="213">
        <v>2026.0</v>
      </c>
      <c r="K378" s="307"/>
      <c r="L378" s="307">
        <v>150.0</v>
      </c>
      <c r="M378" s="32">
        <v>1.0</v>
      </c>
      <c r="N378" s="217">
        <f t="shared" si="82"/>
        <v>150</v>
      </c>
      <c r="O378" s="311">
        <v>93.0</v>
      </c>
      <c r="P378" s="87" t="s">
        <v>15</v>
      </c>
      <c r="Q378" s="32" t="s">
        <v>1071</v>
      </c>
    </row>
    <row r="379" ht="15.75" hidden="1" customHeight="1">
      <c r="A379" s="82" t="s">
        <v>20</v>
      </c>
      <c r="B379" s="82" t="s">
        <v>302</v>
      </c>
      <c r="C379" s="220"/>
      <c r="D379" s="82" t="s">
        <v>8</v>
      </c>
      <c r="E379" s="221">
        <v>46122.0</v>
      </c>
      <c r="F379" s="213">
        <f t="shared" si="1"/>
        <v>10</v>
      </c>
      <c r="G379" s="213">
        <f t="shared" si="2"/>
        <v>4</v>
      </c>
      <c r="H379" s="213">
        <f t="shared" si="3"/>
        <v>2026</v>
      </c>
      <c r="I379" s="214">
        <v>4.0</v>
      </c>
      <c r="J379" s="356">
        <v>2026.0</v>
      </c>
      <c r="K379" s="357"/>
      <c r="L379" s="357">
        <v>150.0</v>
      </c>
      <c r="M379" s="32">
        <v>1.0</v>
      </c>
      <c r="N379" s="217">
        <f t="shared" si="82"/>
        <v>150</v>
      </c>
      <c r="O379" s="87">
        <v>152.0</v>
      </c>
      <c r="P379" s="87" t="s">
        <v>17</v>
      </c>
      <c r="Q379" s="164" t="s">
        <v>1074</v>
      </c>
    </row>
    <row r="380" ht="15.75" hidden="1" customHeight="1">
      <c r="A380" s="82" t="s">
        <v>20</v>
      </c>
      <c r="B380" s="82" t="s">
        <v>302</v>
      </c>
      <c r="C380" s="220"/>
      <c r="D380" s="82" t="s">
        <v>8</v>
      </c>
      <c r="E380" s="221">
        <v>46129.0</v>
      </c>
      <c r="F380" s="213">
        <f t="shared" si="1"/>
        <v>17</v>
      </c>
      <c r="G380" s="213">
        <f t="shared" si="2"/>
        <v>4</v>
      </c>
      <c r="H380" s="213">
        <f t="shared" si="3"/>
        <v>2026</v>
      </c>
      <c r="I380" s="214">
        <v>4.0</v>
      </c>
      <c r="J380" s="356">
        <v>2026.0</v>
      </c>
      <c r="K380" s="357"/>
      <c r="L380" s="357">
        <v>150.0</v>
      </c>
      <c r="M380" s="32">
        <v>1.0</v>
      </c>
      <c r="N380" s="217">
        <f t="shared" si="82"/>
        <v>150</v>
      </c>
      <c r="O380" s="87">
        <v>183.0</v>
      </c>
      <c r="P380" s="87" t="s">
        <v>17</v>
      </c>
      <c r="Q380" s="164" t="s">
        <v>1071</v>
      </c>
    </row>
    <row r="381" ht="15.75" hidden="1" customHeight="1">
      <c r="A381" s="82" t="s">
        <v>20</v>
      </c>
      <c r="B381" s="82" t="s">
        <v>302</v>
      </c>
      <c r="C381" s="142"/>
      <c r="D381" s="82" t="s">
        <v>8</v>
      </c>
      <c r="E381" s="221">
        <v>46143.0</v>
      </c>
      <c r="F381" s="213">
        <f t="shared" si="1"/>
        <v>1</v>
      </c>
      <c r="G381" s="213">
        <f t="shared" si="2"/>
        <v>5</v>
      </c>
      <c r="H381" s="213">
        <f t="shared" si="3"/>
        <v>2026</v>
      </c>
      <c r="I381" s="214">
        <v>5.0</v>
      </c>
      <c r="J381" s="222">
        <v>2026.0</v>
      </c>
      <c r="K381" s="223"/>
      <c r="L381" s="223">
        <v>150.0</v>
      </c>
      <c r="M381" s="32">
        <v>1.0</v>
      </c>
      <c r="N381" s="217">
        <f t="shared" si="82"/>
        <v>150</v>
      </c>
      <c r="O381" s="87">
        <v>197.0</v>
      </c>
      <c r="P381" s="87" t="s">
        <v>18</v>
      </c>
      <c r="Q381" s="32" t="s">
        <v>1071</v>
      </c>
    </row>
    <row r="382" ht="15.75" hidden="1" customHeight="1">
      <c r="A382" s="82" t="s">
        <v>20</v>
      </c>
      <c r="B382" s="82" t="s">
        <v>302</v>
      </c>
      <c r="C382" s="220"/>
      <c r="D382" s="82" t="s">
        <v>8</v>
      </c>
      <c r="E382" s="221">
        <v>46143.0</v>
      </c>
      <c r="F382" s="213">
        <f t="shared" si="1"/>
        <v>1</v>
      </c>
      <c r="G382" s="213">
        <f t="shared" si="2"/>
        <v>5</v>
      </c>
      <c r="H382" s="213">
        <f t="shared" si="3"/>
        <v>2026</v>
      </c>
      <c r="I382" s="214">
        <v>5.0</v>
      </c>
      <c r="J382" s="222">
        <v>2026.0</v>
      </c>
      <c r="K382" s="223"/>
      <c r="L382" s="223">
        <v>150.0</v>
      </c>
      <c r="M382" s="32">
        <v>1.0</v>
      </c>
      <c r="N382" s="217">
        <f t="shared" si="82"/>
        <v>150</v>
      </c>
      <c r="O382" s="87">
        <v>196.0</v>
      </c>
      <c r="P382" s="87" t="s">
        <v>18</v>
      </c>
      <c r="Q382" s="225" t="s">
        <v>1078</v>
      </c>
    </row>
    <row r="383" ht="15.75" hidden="1" customHeight="1">
      <c r="A383" s="82" t="s">
        <v>20</v>
      </c>
      <c r="B383" s="64" t="s">
        <v>302</v>
      </c>
      <c r="C383" s="230"/>
      <c r="D383" s="82" t="s">
        <v>8</v>
      </c>
      <c r="E383" s="221">
        <v>46179.0</v>
      </c>
      <c r="F383" s="213">
        <f t="shared" si="1"/>
        <v>6</v>
      </c>
      <c r="G383" s="213">
        <f t="shared" si="2"/>
        <v>6</v>
      </c>
      <c r="H383" s="213">
        <f t="shared" si="3"/>
        <v>2026</v>
      </c>
      <c r="I383" s="322">
        <f t="shared" ref="I383:J383" si="83">G383</f>
        <v>6</v>
      </c>
      <c r="J383" s="213">
        <f t="shared" si="83"/>
        <v>2026</v>
      </c>
      <c r="K383" s="216"/>
      <c r="L383" s="216">
        <v>150.0</v>
      </c>
      <c r="M383" s="245">
        <v>1.0</v>
      </c>
      <c r="N383" s="217">
        <f>M383*L383</f>
        <v>150</v>
      </c>
      <c r="O383" s="311"/>
      <c r="P383" s="87" t="s">
        <v>17</v>
      </c>
      <c r="Q383" s="361" t="s">
        <v>1080</v>
      </c>
    </row>
    <row r="384" ht="15.75" hidden="1" customHeight="1">
      <c r="A384" s="82" t="s">
        <v>20</v>
      </c>
      <c r="B384" s="82" t="s">
        <v>302</v>
      </c>
      <c r="C384" s="230"/>
      <c r="D384" s="82" t="s">
        <v>7</v>
      </c>
      <c r="E384" s="231">
        <v>46083.0</v>
      </c>
      <c r="F384" s="213">
        <f t="shared" si="1"/>
        <v>2</v>
      </c>
      <c r="G384" s="213">
        <f t="shared" si="2"/>
        <v>3</v>
      </c>
      <c r="H384" s="213">
        <f t="shared" si="3"/>
        <v>2026</v>
      </c>
      <c r="I384" s="232">
        <v>3.0</v>
      </c>
      <c r="J384" s="213">
        <v>2026.0</v>
      </c>
      <c r="K384" s="307"/>
      <c r="L384" s="307">
        <v>130.13</v>
      </c>
      <c r="M384" s="32">
        <v>1.0</v>
      </c>
      <c r="N384" s="217">
        <f t="shared" ref="N384:N389" si="84">L384*M384</f>
        <v>130.13</v>
      </c>
      <c r="O384" s="311">
        <v>92.0</v>
      </c>
      <c r="P384" s="321"/>
      <c r="Q384" s="32" t="s">
        <v>1082</v>
      </c>
      <c r="R384" s="235"/>
      <c r="S384" s="235"/>
      <c r="T384" s="235"/>
      <c r="U384" s="235"/>
      <c r="V384" s="235"/>
      <c r="W384" s="235"/>
      <c r="X384" s="235"/>
      <c r="Y384" s="235"/>
      <c r="Z384" s="235"/>
      <c r="AA384" s="235"/>
      <c r="AB384" s="235"/>
      <c r="AC384" s="235"/>
      <c r="AD384" s="235"/>
      <c r="AE384" s="235"/>
      <c r="AF384" s="235"/>
      <c r="AG384" s="235"/>
      <c r="AH384" s="235"/>
    </row>
    <row r="385" ht="15.75" hidden="1" customHeight="1">
      <c r="A385" s="82" t="s">
        <v>20</v>
      </c>
      <c r="B385" s="82" t="s">
        <v>302</v>
      </c>
      <c r="C385" s="230"/>
      <c r="D385" s="82" t="s">
        <v>8</v>
      </c>
      <c r="E385" s="231">
        <v>46074.0</v>
      </c>
      <c r="F385" s="213">
        <f t="shared" si="1"/>
        <v>21</v>
      </c>
      <c r="G385" s="213">
        <f t="shared" si="2"/>
        <v>2</v>
      </c>
      <c r="H385" s="213">
        <f t="shared" si="3"/>
        <v>2026</v>
      </c>
      <c r="I385" s="214">
        <v>2.0</v>
      </c>
      <c r="J385" s="222">
        <v>2026.0</v>
      </c>
      <c r="K385" s="223"/>
      <c r="L385" s="223">
        <v>130.0</v>
      </c>
      <c r="M385" s="32">
        <v>1.0</v>
      </c>
      <c r="N385" s="217">
        <f t="shared" si="84"/>
        <v>130</v>
      </c>
      <c r="O385" s="311">
        <v>55.0</v>
      </c>
      <c r="P385" s="87" t="s">
        <v>15</v>
      </c>
      <c r="Q385" s="225" t="s">
        <v>1071</v>
      </c>
    </row>
    <row r="386" ht="15.75" hidden="1" customHeight="1">
      <c r="A386" s="82" t="s">
        <v>20</v>
      </c>
      <c r="B386" s="82" t="s">
        <v>302</v>
      </c>
      <c r="C386" s="230"/>
      <c r="D386" s="82" t="s">
        <v>8</v>
      </c>
      <c r="E386" s="231">
        <v>46032.0</v>
      </c>
      <c r="F386" s="213">
        <f t="shared" si="1"/>
        <v>10</v>
      </c>
      <c r="G386" s="213">
        <f t="shared" si="2"/>
        <v>1</v>
      </c>
      <c r="H386" s="213">
        <f t="shared" si="3"/>
        <v>2026</v>
      </c>
      <c r="I386" s="232">
        <v>1.0</v>
      </c>
      <c r="J386" s="213">
        <v>2026.0</v>
      </c>
      <c r="K386" s="307"/>
      <c r="L386" s="307">
        <v>100.0</v>
      </c>
      <c r="M386" s="32">
        <v>1.0</v>
      </c>
      <c r="N386" s="217">
        <f t="shared" si="84"/>
        <v>100</v>
      </c>
      <c r="O386" s="87">
        <v>11.0</v>
      </c>
      <c r="P386" s="87" t="s">
        <v>15</v>
      </c>
      <c r="Q386" s="234" t="s">
        <v>1084</v>
      </c>
    </row>
    <row r="387" ht="15.75" hidden="1" customHeight="1">
      <c r="A387" s="82" t="s">
        <v>20</v>
      </c>
      <c r="B387" s="82" t="s">
        <v>302</v>
      </c>
      <c r="C387" s="230"/>
      <c r="D387" s="82" t="s">
        <v>8</v>
      </c>
      <c r="E387" s="231">
        <v>46038.0</v>
      </c>
      <c r="F387" s="213">
        <f t="shared" si="1"/>
        <v>16</v>
      </c>
      <c r="G387" s="213">
        <f t="shared" si="2"/>
        <v>1</v>
      </c>
      <c r="H387" s="213">
        <f t="shared" si="3"/>
        <v>2026</v>
      </c>
      <c r="I387" s="232">
        <v>1.0</v>
      </c>
      <c r="J387" s="213">
        <v>2026.0</v>
      </c>
      <c r="K387" s="307"/>
      <c r="L387" s="307">
        <v>100.0</v>
      </c>
      <c r="M387" s="32">
        <v>1.0</v>
      </c>
      <c r="N387" s="217">
        <f t="shared" si="84"/>
        <v>100</v>
      </c>
      <c r="O387" s="311">
        <v>18.0</v>
      </c>
      <c r="P387" s="87" t="s">
        <v>15</v>
      </c>
      <c r="Q387" s="82" t="s">
        <v>1071</v>
      </c>
    </row>
    <row r="388" ht="15.75" hidden="1" customHeight="1">
      <c r="A388" s="82" t="s">
        <v>20</v>
      </c>
      <c r="B388" s="82" t="s">
        <v>302</v>
      </c>
      <c r="C388" s="230"/>
      <c r="D388" s="82" t="s">
        <v>8</v>
      </c>
      <c r="E388" s="231">
        <v>46041.0</v>
      </c>
      <c r="F388" s="213">
        <f t="shared" si="1"/>
        <v>19</v>
      </c>
      <c r="G388" s="213">
        <f t="shared" si="2"/>
        <v>1</v>
      </c>
      <c r="H388" s="213">
        <f t="shared" si="3"/>
        <v>2026</v>
      </c>
      <c r="I388" s="232">
        <v>1.0</v>
      </c>
      <c r="J388" s="213">
        <v>2026.0</v>
      </c>
      <c r="K388" s="307"/>
      <c r="L388" s="307">
        <v>100.0</v>
      </c>
      <c r="M388" s="32">
        <v>1.0</v>
      </c>
      <c r="N388" s="217">
        <f t="shared" si="84"/>
        <v>100</v>
      </c>
      <c r="O388" s="311">
        <v>29.0</v>
      </c>
      <c r="P388" s="87" t="s">
        <v>15</v>
      </c>
      <c r="Q388" s="311" t="s">
        <v>1087</v>
      </c>
    </row>
    <row r="389" ht="15.75" hidden="1" customHeight="1">
      <c r="A389" s="82" t="s">
        <v>20</v>
      </c>
      <c r="B389" s="82" t="s">
        <v>302</v>
      </c>
      <c r="C389" s="230"/>
      <c r="D389" s="82" t="s">
        <v>8</v>
      </c>
      <c r="E389" s="231">
        <v>46059.0</v>
      </c>
      <c r="F389" s="213">
        <f t="shared" si="1"/>
        <v>6</v>
      </c>
      <c r="G389" s="213">
        <f t="shared" si="2"/>
        <v>2</v>
      </c>
      <c r="H389" s="213">
        <f t="shared" si="3"/>
        <v>2026</v>
      </c>
      <c r="I389" s="214">
        <v>2.0</v>
      </c>
      <c r="J389" s="222">
        <v>2026.0</v>
      </c>
      <c r="K389" s="223"/>
      <c r="L389" s="223">
        <v>100.0</v>
      </c>
      <c r="M389" s="32">
        <v>1.0</v>
      </c>
      <c r="N389" s="217">
        <f t="shared" si="84"/>
        <v>100</v>
      </c>
      <c r="O389" s="311">
        <v>49.0</v>
      </c>
      <c r="P389" s="87" t="s">
        <v>15</v>
      </c>
      <c r="Q389" s="225" t="s">
        <v>1071</v>
      </c>
    </row>
    <row r="390" ht="15.75" hidden="1" customHeight="1">
      <c r="A390" s="82" t="s">
        <v>20</v>
      </c>
      <c r="B390" s="64" t="s">
        <v>302</v>
      </c>
      <c r="C390" s="220"/>
      <c r="D390" s="82" t="s">
        <v>8</v>
      </c>
      <c r="E390" s="221">
        <v>46226.0</v>
      </c>
      <c r="F390" s="213">
        <f t="shared" si="1"/>
        <v>23</v>
      </c>
      <c r="G390" s="213">
        <f t="shared" si="2"/>
        <v>7</v>
      </c>
      <c r="H390" s="213">
        <f t="shared" si="3"/>
        <v>2026</v>
      </c>
      <c r="I390" s="322">
        <f t="shared" ref="I390:J390" si="85">G390</f>
        <v>7</v>
      </c>
      <c r="J390" s="213">
        <f t="shared" si="85"/>
        <v>2026</v>
      </c>
      <c r="K390" s="216"/>
      <c r="L390" s="216">
        <v>100.0</v>
      </c>
      <c r="M390" s="245">
        <v>1.0</v>
      </c>
      <c r="N390" s="217">
        <f>M390*L390</f>
        <v>100</v>
      </c>
      <c r="O390" s="87"/>
      <c r="P390" s="87" t="s">
        <v>19</v>
      </c>
      <c r="Q390" s="225" t="s">
        <v>1035</v>
      </c>
    </row>
    <row r="391" ht="15.75" hidden="1" customHeight="1">
      <c r="A391" s="82" t="s">
        <v>20</v>
      </c>
      <c r="B391" s="82" t="s">
        <v>302</v>
      </c>
      <c r="C391" s="230"/>
      <c r="D391" s="82" t="s">
        <v>8</v>
      </c>
      <c r="E391" s="231">
        <v>46032.0</v>
      </c>
      <c r="F391" s="213">
        <f t="shared" si="1"/>
        <v>10</v>
      </c>
      <c r="G391" s="213">
        <f t="shared" si="2"/>
        <v>1</v>
      </c>
      <c r="H391" s="213">
        <f t="shared" si="3"/>
        <v>2026</v>
      </c>
      <c r="I391" s="232">
        <v>1.0</v>
      </c>
      <c r="J391" s="213">
        <v>2026.0</v>
      </c>
      <c r="K391" s="307"/>
      <c r="L391" s="307">
        <v>90.0</v>
      </c>
      <c r="M391" s="32">
        <v>1.0</v>
      </c>
      <c r="N391" s="217">
        <f t="shared" ref="N391:N419" si="86">L391*M391</f>
        <v>90</v>
      </c>
      <c r="O391" s="87">
        <v>10.0</v>
      </c>
      <c r="P391" s="87" t="s">
        <v>15</v>
      </c>
      <c r="Q391" s="234" t="s">
        <v>1091</v>
      </c>
    </row>
    <row r="392" ht="15.75" hidden="1" customHeight="1">
      <c r="A392" s="82" t="s">
        <v>20</v>
      </c>
      <c r="B392" s="82" t="s">
        <v>302</v>
      </c>
      <c r="C392" s="230"/>
      <c r="D392" s="82" t="s">
        <v>8</v>
      </c>
      <c r="E392" s="231">
        <v>46038.0</v>
      </c>
      <c r="F392" s="213">
        <f t="shared" si="1"/>
        <v>16</v>
      </c>
      <c r="G392" s="213">
        <f t="shared" si="2"/>
        <v>1</v>
      </c>
      <c r="H392" s="213">
        <f t="shared" si="3"/>
        <v>2026</v>
      </c>
      <c r="I392" s="232">
        <v>1.0</v>
      </c>
      <c r="J392" s="213">
        <v>2026.0</v>
      </c>
      <c r="K392" s="307"/>
      <c r="L392" s="307">
        <v>90.0</v>
      </c>
      <c r="M392" s="32">
        <v>1.0</v>
      </c>
      <c r="N392" s="217">
        <f t="shared" si="86"/>
        <v>90</v>
      </c>
      <c r="O392" s="311">
        <v>19.0</v>
      </c>
      <c r="P392" s="87" t="s">
        <v>15</v>
      </c>
      <c r="Q392" s="82" t="s">
        <v>1038</v>
      </c>
    </row>
    <row r="393" ht="15.75" hidden="1" customHeight="1">
      <c r="A393" s="82" t="s">
        <v>20</v>
      </c>
      <c r="B393" s="82" t="s">
        <v>302</v>
      </c>
      <c r="C393" s="220"/>
      <c r="D393" s="82" t="s">
        <v>8</v>
      </c>
      <c r="E393" s="221">
        <v>46122.0</v>
      </c>
      <c r="F393" s="213">
        <f t="shared" si="1"/>
        <v>10</v>
      </c>
      <c r="G393" s="213">
        <f t="shared" si="2"/>
        <v>4</v>
      </c>
      <c r="H393" s="213">
        <f t="shared" si="3"/>
        <v>2026</v>
      </c>
      <c r="I393" s="214">
        <v>4.0</v>
      </c>
      <c r="J393" s="356">
        <v>2026.0</v>
      </c>
      <c r="K393" s="357"/>
      <c r="L393" s="357">
        <v>80.0</v>
      </c>
      <c r="M393" s="32">
        <v>1.0</v>
      </c>
      <c r="N393" s="217">
        <f t="shared" si="86"/>
        <v>80</v>
      </c>
      <c r="O393" s="87">
        <v>151.0</v>
      </c>
      <c r="P393" s="87" t="s">
        <v>17</v>
      </c>
      <c r="Q393" s="32" t="s">
        <v>1092</v>
      </c>
    </row>
    <row r="394" ht="15.75" hidden="1" customHeight="1">
      <c r="A394" s="82" t="s">
        <v>20</v>
      </c>
      <c r="B394" s="82" t="s">
        <v>302</v>
      </c>
      <c r="C394" s="220"/>
      <c r="D394" s="82" t="s">
        <v>8</v>
      </c>
      <c r="E394" s="221">
        <v>46029.0</v>
      </c>
      <c r="F394" s="213">
        <f t="shared" si="1"/>
        <v>7</v>
      </c>
      <c r="G394" s="213">
        <f t="shared" si="2"/>
        <v>1</v>
      </c>
      <c r="H394" s="213">
        <f t="shared" si="3"/>
        <v>2026</v>
      </c>
      <c r="I394" s="214">
        <v>1.0</v>
      </c>
      <c r="J394" s="222">
        <v>2026.0</v>
      </c>
      <c r="K394" s="223"/>
      <c r="L394" s="223">
        <v>75.4</v>
      </c>
      <c r="M394" s="32">
        <v>1.0</v>
      </c>
      <c r="N394" s="217">
        <f t="shared" si="86"/>
        <v>75.4</v>
      </c>
      <c r="O394" s="87">
        <v>12.0</v>
      </c>
      <c r="P394" s="87" t="s">
        <v>15</v>
      </c>
      <c r="Q394" s="225" t="s">
        <v>1094</v>
      </c>
    </row>
    <row r="395" ht="15.75" hidden="1" customHeight="1">
      <c r="A395" s="82" t="s">
        <v>20</v>
      </c>
      <c r="B395" s="82" t="s">
        <v>302</v>
      </c>
      <c r="C395" s="230"/>
      <c r="D395" s="82" t="s">
        <v>8</v>
      </c>
      <c r="E395" s="231">
        <v>46038.0</v>
      </c>
      <c r="F395" s="213">
        <f t="shared" si="1"/>
        <v>16</v>
      </c>
      <c r="G395" s="213">
        <f t="shared" si="2"/>
        <v>1</v>
      </c>
      <c r="H395" s="213">
        <f t="shared" si="3"/>
        <v>2026</v>
      </c>
      <c r="I395" s="232">
        <v>1.0</v>
      </c>
      <c r="J395" s="213">
        <v>2026.0</v>
      </c>
      <c r="K395" s="307"/>
      <c r="L395" s="307">
        <v>60.0</v>
      </c>
      <c r="M395" s="32">
        <v>1.0</v>
      </c>
      <c r="N395" s="217">
        <f t="shared" si="86"/>
        <v>60</v>
      </c>
      <c r="O395" s="311">
        <v>20.0</v>
      </c>
      <c r="P395" s="87" t="s">
        <v>15</v>
      </c>
      <c r="Q395" s="82" t="s">
        <v>1096</v>
      </c>
    </row>
    <row r="396" ht="15.75" hidden="1" customHeight="1">
      <c r="A396" s="82" t="s">
        <v>20</v>
      </c>
      <c r="B396" s="82" t="s">
        <v>302</v>
      </c>
      <c r="C396" s="220"/>
      <c r="D396" s="82" t="s">
        <v>8</v>
      </c>
      <c r="E396" s="221">
        <v>46102.0</v>
      </c>
      <c r="F396" s="213">
        <f t="shared" si="1"/>
        <v>21</v>
      </c>
      <c r="G396" s="213">
        <f t="shared" si="2"/>
        <v>3</v>
      </c>
      <c r="H396" s="213">
        <f t="shared" si="3"/>
        <v>2026</v>
      </c>
      <c r="I396" s="214">
        <v>3.0</v>
      </c>
      <c r="J396" s="356">
        <v>2026.0</v>
      </c>
      <c r="K396" s="357"/>
      <c r="L396" s="357">
        <v>60.0</v>
      </c>
      <c r="M396" s="32">
        <v>1.0</v>
      </c>
      <c r="N396" s="217">
        <f t="shared" si="86"/>
        <v>60</v>
      </c>
      <c r="O396" s="87">
        <v>123.0</v>
      </c>
      <c r="P396" s="87" t="s">
        <v>17</v>
      </c>
      <c r="Q396" s="164" t="s">
        <v>1071</v>
      </c>
    </row>
    <row r="397" ht="15.75" hidden="1" customHeight="1">
      <c r="A397" s="82" t="s">
        <v>20</v>
      </c>
      <c r="B397" s="82" t="s">
        <v>302</v>
      </c>
      <c r="C397" s="220"/>
      <c r="D397" s="82" t="s">
        <v>8</v>
      </c>
      <c r="E397" s="221">
        <v>46109.0</v>
      </c>
      <c r="F397" s="213">
        <f t="shared" si="1"/>
        <v>28</v>
      </c>
      <c r="G397" s="213">
        <f t="shared" si="2"/>
        <v>3</v>
      </c>
      <c r="H397" s="213">
        <f t="shared" si="3"/>
        <v>2026</v>
      </c>
      <c r="I397" s="214">
        <v>3.0</v>
      </c>
      <c r="J397" s="356">
        <v>2026.0</v>
      </c>
      <c r="K397" s="357"/>
      <c r="L397" s="357">
        <v>60.0</v>
      </c>
      <c r="M397" s="32">
        <v>1.0</v>
      </c>
      <c r="N397" s="217">
        <f t="shared" si="86"/>
        <v>60</v>
      </c>
      <c r="O397" s="87">
        <v>136.0</v>
      </c>
      <c r="P397" s="87" t="s">
        <v>17</v>
      </c>
      <c r="Q397" s="164" t="s">
        <v>1071</v>
      </c>
    </row>
    <row r="398" ht="15.75" hidden="1" customHeight="1">
      <c r="A398" s="82" t="s">
        <v>20</v>
      </c>
      <c r="B398" s="82" t="s">
        <v>302</v>
      </c>
      <c r="C398" s="220"/>
      <c r="D398" s="82" t="s">
        <v>8</v>
      </c>
      <c r="E398" s="221">
        <v>46115.0</v>
      </c>
      <c r="F398" s="213">
        <f t="shared" si="1"/>
        <v>3</v>
      </c>
      <c r="G398" s="213">
        <f t="shared" si="2"/>
        <v>4</v>
      </c>
      <c r="H398" s="213">
        <f t="shared" si="3"/>
        <v>2026</v>
      </c>
      <c r="I398" s="214">
        <v>4.0</v>
      </c>
      <c r="J398" s="356">
        <v>2026.0</v>
      </c>
      <c r="K398" s="357"/>
      <c r="L398" s="357">
        <v>60.0</v>
      </c>
      <c r="M398" s="32">
        <v>1.0</v>
      </c>
      <c r="N398" s="217">
        <f t="shared" si="86"/>
        <v>60</v>
      </c>
      <c r="O398" s="269">
        <v>147.0</v>
      </c>
      <c r="P398" s="87" t="s">
        <v>17</v>
      </c>
      <c r="Q398" s="140" t="s">
        <v>1071</v>
      </c>
    </row>
    <row r="399" ht="15.75" hidden="1" customHeight="1">
      <c r="A399" s="82" t="s">
        <v>20</v>
      </c>
      <c r="B399" s="82" t="s">
        <v>302</v>
      </c>
      <c r="C399" s="220"/>
      <c r="D399" s="82" t="s">
        <v>8</v>
      </c>
      <c r="E399" s="221">
        <v>46143.0</v>
      </c>
      <c r="F399" s="213">
        <f t="shared" si="1"/>
        <v>1</v>
      </c>
      <c r="G399" s="213">
        <f t="shared" si="2"/>
        <v>5</v>
      </c>
      <c r="H399" s="213">
        <f t="shared" si="3"/>
        <v>2026</v>
      </c>
      <c r="I399" s="214">
        <v>5.0</v>
      </c>
      <c r="J399" s="222">
        <v>2026.0</v>
      </c>
      <c r="K399" s="223"/>
      <c r="L399" s="223">
        <v>50.0</v>
      </c>
      <c r="M399" s="32">
        <v>1.0</v>
      </c>
      <c r="N399" s="217">
        <f t="shared" si="86"/>
        <v>50</v>
      </c>
      <c r="O399" s="87">
        <v>193.0</v>
      </c>
      <c r="P399" s="87" t="s">
        <v>18</v>
      </c>
      <c r="Q399" s="164" t="s">
        <v>1099</v>
      </c>
      <c r="R399" s="265"/>
    </row>
    <row r="400" ht="15.75" hidden="1" customHeight="1">
      <c r="A400" s="82" t="s">
        <v>20</v>
      </c>
      <c r="B400" s="82" t="s">
        <v>302</v>
      </c>
      <c r="C400" s="220"/>
      <c r="D400" s="82" t="s">
        <v>8</v>
      </c>
      <c r="E400" s="221">
        <v>46034.0</v>
      </c>
      <c r="F400" s="213">
        <f t="shared" si="1"/>
        <v>12</v>
      </c>
      <c r="G400" s="213">
        <f t="shared" si="2"/>
        <v>1</v>
      </c>
      <c r="H400" s="213">
        <f t="shared" si="3"/>
        <v>2026</v>
      </c>
      <c r="I400" s="214">
        <v>1.0</v>
      </c>
      <c r="J400" s="222">
        <v>2026.0</v>
      </c>
      <c r="K400" s="223"/>
      <c r="L400" s="223">
        <v>30.0</v>
      </c>
      <c r="M400" s="32">
        <v>1.0</v>
      </c>
      <c r="N400" s="217">
        <f t="shared" si="86"/>
        <v>30</v>
      </c>
      <c r="O400" s="87">
        <v>16.0</v>
      </c>
      <c r="P400" s="87" t="s">
        <v>15</v>
      </c>
      <c r="Q400" s="225" t="s">
        <v>1101</v>
      </c>
    </row>
    <row r="401" ht="15.75" hidden="1" customHeight="1">
      <c r="A401" s="82" t="s">
        <v>20</v>
      </c>
      <c r="B401" s="82" t="s">
        <v>302</v>
      </c>
      <c r="C401" s="230"/>
      <c r="D401" s="82" t="s">
        <v>8</v>
      </c>
      <c r="E401" s="231">
        <v>46038.0</v>
      </c>
      <c r="F401" s="213">
        <f t="shared" si="1"/>
        <v>16</v>
      </c>
      <c r="G401" s="213">
        <f t="shared" si="2"/>
        <v>1</v>
      </c>
      <c r="H401" s="213">
        <f t="shared" si="3"/>
        <v>2026</v>
      </c>
      <c r="I401" s="232">
        <v>1.0</v>
      </c>
      <c r="J401" s="213">
        <v>2026.0</v>
      </c>
      <c r="K401" s="307"/>
      <c r="L401" s="307">
        <v>30.0</v>
      </c>
      <c r="M401" s="32">
        <v>1.0</v>
      </c>
      <c r="N401" s="217">
        <f t="shared" si="86"/>
        <v>30</v>
      </c>
      <c r="O401" s="311">
        <v>21.0</v>
      </c>
      <c r="P401" s="87" t="s">
        <v>15</v>
      </c>
      <c r="Q401" s="82" t="s">
        <v>1101</v>
      </c>
    </row>
    <row r="402" ht="15.75" hidden="1" customHeight="1">
      <c r="A402" s="82" t="s">
        <v>20</v>
      </c>
      <c r="B402" s="82" t="s">
        <v>302</v>
      </c>
      <c r="C402" s="230"/>
      <c r="D402" s="82" t="s">
        <v>8</v>
      </c>
      <c r="E402" s="231">
        <v>46058.0</v>
      </c>
      <c r="F402" s="213">
        <f t="shared" si="1"/>
        <v>5</v>
      </c>
      <c r="G402" s="213">
        <f t="shared" si="2"/>
        <v>2</v>
      </c>
      <c r="H402" s="213">
        <f t="shared" si="3"/>
        <v>2026</v>
      </c>
      <c r="I402" s="232">
        <v>2.0</v>
      </c>
      <c r="J402" s="213">
        <v>2026.0</v>
      </c>
      <c r="K402" s="307"/>
      <c r="L402" s="307">
        <v>30.0</v>
      </c>
      <c r="M402" s="32">
        <v>1.0</v>
      </c>
      <c r="N402" s="217">
        <f t="shared" si="86"/>
        <v>30</v>
      </c>
      <c r="O402" s="311">
        <v>51.0</v>
      </c>
      <c r="P402" s="87" t="s">
        <v>15</v>
      </c>
      <c r="Q402" s="234" t="s">
        <v>1103</v>
      </c>
    </row>
    <row r="403" ht="15.75" hidden="1" customHeight="1">
      <c r="A403" s="82" t="s">
        <v>20</v>
      </c>
      <c r="B403" s="82" t="s">
        <v>302</v>
      </c>
      <c r="C403" s="230"/>
      <c r="D403" s="82" t="s">
        <v>8</v>
      </c>
      <c r="E403" s="231">
        <v>46038.0</v>
      </c>
      <c r="F403" s="213">
        <f t="shared" si="1"/>
        <v>16</v>
      </c>
      <c r="G403" s="213">
        <f t="shared" si="2"/>
        <v>1</v>
      </c>
      <c r="H403" s="213">
        <f t="shared" si="3"/>
        <v>2026</v>
      </c>
      <c r="I403" s="232">
        <v>1.0</v>
      </c>
      <c r="J403" s="213">
        <v>2026.0</v>
      </c>
      <c r="K403" s="307"/>
      <c r="L403" s="307">
        <v>20.0</v>
      </c>
      <c r="M403" s="32">
        <v>1.0</v>
      </c>
      <c r="N403" s="217">
        <f t="shared" si="86"/>
        <v>20</v>
      </c>
      <c r="O403" s="311">
        <v>22.0</v>
      </c>
      <c r="P403" s="87" t="s">
        <v>15</v>
      </c>
      <c r="Q403" s="82" t="s">
        <v>1101</v>
      </c>
    </row>
    <row r="404" ht="15.75" hidden="1" customHeight="1">
      <c r="A404" s="82" t="s">
        <v>20</v>
      </c>
      <c r="B404" s="64" t="s">
        <v>302</v>
      </c>
      <c r="C404" s="220"/>
      <c r="D404" s="64" t="s">
        <v>319</v>
      </c>
      <c r="E404" s="221">
        <v>46193.0</v>
      </c>
      <c r="F404" s="213">
        <f t="shared" si="1"/>
        <v>20</v>
      </c>
      <c r="G404" s="213">
        <f t="shared" si="2"/>
        <v>6</v>
      </c>
      <c r="H404" s="213">
        <f t="shared" si="3"/>
        <v>2026</v>
      </c>
      <c r="I404" s="214">
        <v>6.0</v>
      </c>
      <c r="J404" s="222">
        <v>2026.0</v>
      </c>
      <c r="K404" s="223"/>
      <c r="L404" s="223">
        <v>180.0</v>
      </c>
      <c r="M404" s="32">
        <v>1.0</v>
      </c>
      <c r="N404" s="217">
        <f t="shared" si="86"/>
        <v>180</v>
      </c>
      <c r="O404" s="77"/>
      <c r="P404" s="77"/>
      <c r="Q404" s="225" t="s">
        <v>1054</v>
      </c>
    </row>
    <row r="405" ht="15.75" hidden="1" customHeight="1">
      <c r="A405" s="82" t="s">
        <v>20</v>
      </c>
      <c r="B405" s="64" t="s">
        <v>302</v>
      </c>
      <c r="C405" s="220"/>
      <c r="D405" s="64" t="s">
        <v>319</v>
      </c>
      <c r="E405" s="221">
        <v>46186.0</v>
      </c>
      <c r="F405" s="213">
        <f t="shared" si="1"/>
        <v>13</v>
      </c>
      <c r="G405" s="213">
        <f t="shared" si="2"/>
        <v>6</v>
      </c>
      <c r="H405" s="213">
        <f t="shared" si="3"/>
        <v>2026</v>
      </c>
      <c r="I405" s="214">
        <v>6.0</v>
      </c>
      <c r="J405" s="222">
        <v>2026.0</v>
      </c>
      <c r="K405" s="223"/>
      <c r="L405" s="223">
        <v>90.0</v>
      </c>
      <c r="M405" s="32">
        <v>1.0</v>
      </c>
      <c r="N405" s="217">
        <f t="shared" si="86"/>
        <v>90</v>
      </c>
      <c r="O405" s="87"/>
      <c r="P405" s="87"/>
      <c r="Q405" s="225" t="s">
        <v>1054</v>
      </c>
    </row>
    <row r="406" ht="15.75" hidden="1" customHeight="1">
      <c r="A406" s="82" t="s">
        <v>20</v>
      </c>
      <c r="B406" s="64" t="s">
        <v>302</v>
      </c>
      <c r="C406" s="220"/>
      <c r="D406" s="64" t="s">
        <v>319</v>
      </c>
      <c r="E406" s="221">
        <v>46156.0</v>
      </c>
      <c r="F406" s="213">
        <f t="shared" si="1"/>
        <v>14</v>
      </c>
      <c r="G406" s="213">
        <f t="shared" si="2"/>
        <v>5</v>
      </c>
      <c r="H406" s="213">
        <f t="shared" si="3"/>
        <v>2026</v>
      </c>
      <c r="I406" s="214">
        <v>5.0</v>
      </c>
      <c r="J406" s="222">
        <v>2026.0</v>
      </c>
      <c r="K406" s="223"/>
      <c r="L406" s="223">
        <v>40.9</v>
      </c>
      <c r="M406" s="32">
        <v>1.0</v>
      </c>
      <c r="N406" s="217">
        <f t="shared" si="86"/>
        <v>40.9</v>
      </c>
      <c r="O406" s="87"/>
      <c r="P406" s="87"/>
      <c r="Q406" s="225" t="s">
        <v>1110</v>
      </c>
    </row>
    <row r="407" ht="15.75" hidden="1" customHeight="1">
      <c r="A407" s="82" t="s">
        <v>20</v>
      </c>
      <c r="B407" s="64" t="s">
        <v>302</v>
      </c>
      <c r="C407" s="220"/>
      <c r="D407" s="64" t="s">
        <v>319</v>
      </c>
      <c r="E407" s="221">
        <v>46172.0</v>
      </c>
      <c r="F407" s="213">
        <f t="shared" si="1"/>
        <v>30</v>
      </c>
      <c r="G407" s="213">
        <f t="shared" si="2"/>
        <v>5</v>
      </c>
      <c r="H407" s="213">
        <f t="shared" si="3"/>
        <v>2026</v>
      </c>
      <c r="I407" s="214">
        <v>5.0</v>
      </c>
      <c r="J407" s="222">
        <v>2026.0</v>
      </c>
      <c r="K407" s="223"/>
      <c r="L407" s="223">
        <v>35.0</v>
      </c>
      <c r="M407" s="32">
        <v>1.0</v>
      </c>
      <c r="N407" s="217">
        <f t="shared" si="86"/>
        <v>35</v>
      </c>
      <c r="O407" s="87"/>
      <c r="P407" s="87"/>
      <c r="Q407" s="226"/>
    </row>
    <row r="408" ht="15.75" hidden="1" customHeight="1">
      <c r="A408" s="82" t="s">
        <v>20</v>
      </c>
      <c r="B408" s="64" t="s">
        <v>302</v>
      </c>
      <c r="C408" s="220"/>
      <c r="D408" s="64" t="s">
        <v>319</v>
      </c>
      <c r="E408" s="221">
        <v>46163.0</v>
      </c>
      <c r="F408" s="213">
        <f t="shared" si="1"/>
        <v>21</v>
      </c>
      <c r="G408" s="213">
        <f t="shared" si="2"/>
        <v>5</v>
      </c>
      <c r="H408" s="213">
        <f t="shared" si="3"/>
        <v>2026</v>
      </c>
      <c r="I408" s="214">
        <v>5.0</v>
      </c>
      <c r="J408" s="222">
        <v>2026.0</v>
      </c>
      <c r="K408" s="223"/>
      <c r="L408" s="223">
        <v>28.3</v>
      </c>
      <c r="M408" s="32">
        <v>1.0</v>
      </c>
      <c r="N408" s="217">
        <f t="shared" si="86"/>
        <v>28.3</v>
      </c>
      <c r="O408" s="87"/>
      <c r="P408" s="224"/>
      <c r="Q408" s="225"/>
    </row>
    <row r="409" ht="15.75" hidden="1" customHeight="1">
      <c r="A409" s="82" t="s">
        <v>20</v>
      </c>
      <c r="B409" s="64" t="s">
        <v>302</v>
      </c>
      <c r="C409" s="220"/>
      <c r="D409" s="64" t="s">
        <v>319</v>
      </c>
      <c r="E409" s="221">
        <v>46148.0</v>
      </c>
      <c r="F409" s="213">
        <f t="shared" si="1"/>
        <v>6</v>
      </c>
      <c r="G409" s="213">
        <f t="shared" si="2"/>
        <v>5</v>
      </c>
      <c r="H409" s="213">
        <f t="shared" si="3"/>
        <v>2026</v>
      </c>
      <c r="I409" s="214">
        <v>5.0</v>
      </c>
      <c r="J409" s="222">
        <v>2026.0</v>
      </c>
      <c r="K409" s="223"/>
      <c r="L409" s="223">
        <v>20.0</v>
      </c>
      <c r="M409" s="32">
        <v>1.0</v>
      </c>
      <c r="N409" s="217">
        <f t="shared" si="86"/>
        <v>20</v>
      </c>
      <c r="O409" s="87"/>
      <c r="P409" s="87"/>
      <c r="Q409" s="225" t="s">
        <v>1114</v>
      </c>
      <c r="T409" s="142"/>
      <c r="U409" s="142"/>
    </row>
    <row r="410" ht="15.75" hidden="1" customHeight="1">
      <c r="A410" s="82" t="s">
        <v>20</v>
      </c>
      <c r="B410" s="64" t="s">
        <v>302</v>
      </c>
      <c r="C410" s="220"/>
      <c r="D410" s="64" t="s">
        <v>319</v>
      </c>
      <c r="E410" s="221">
        <v>46201.0</v>
      </c>
      <c r="F410" s="213">
        <f t="shared" si="1"/>
        <v>28</v>
      </c>
      <c r="G410" s="213">
        <f t="shared" si="2"/>
        <v>6</v>
      </c>
      <c r="H410" s="213">
        <f t="shared" si="3"/>
        <v>2026</v>
      </c>
      <c r="I410" s="214">
        <v>6.0</v>
      </c>
      <c r="J410" s="222">
        <v>2026.0</v>
      </c>
      <c r="K410" s="223"/>
      <c r="L410" s="223">
        <v>20.0</v>
      </c>
      <c r="M410" s="32">
        <v>1.0</v>
      </c>
      <c r="N410" s="217">
        <f t="shared" si="86"/>
        <v>20</v>
      </c>
      <c r="O410" s="87"/>
      <c r="P410" s="87"/>
      <c r="Q410" s="225" t="s">
        <v>1116</v>
      </c>
      <c r="V410" s="350"/>
      <c r="W410" s="350"/>
      <c r="X410" s="350"/>
      <c r="Y410" s="350"/>
      <c r="Z410" s="350"/>
      <c r="AA410" s="350"/>
      <c r="AB410" s="350"/>
      <c r="AC410" s="350"/>
      <c r="AD410" s="350"/>
      <c r="AE410" s="350"/>
    </row>
    <row r="411" ht="15.75" hidden="1" customHeight="1">
      <c r="A411" s="82" t="s">
        <v>20</v>
      </c>
      <c r="B411" s="64" t="s">
        <v>302</v>
      </c>
      <c r="C411" s="220"/>
      <c r="D411" s="64" t="s">
        <v>319</v>
      </c>
      <c r="E411" s="221">
        <v>46157.0</v>
      </c>
      <c r="F411" s="213">
        <f t="shared" si="1"/>
        <v>15</v>
      </c>
      <c r="G411" s="213">
        <f t="shared" si="2"/>
        <v>5</v>
      </c>
      <c r="H411" s="213">
        <f t="shared" si="3"/>
        <v>2026</v>
      </c>
      <c r="I411" s="214">
        <v>5.0</v>
      </c>
      <c r="J411" s="222">
        <v>2026.0</v>
      </c>
      <c r="K411" s="223"/>
      <c r="L411" s="223">
        <v>18.57</v>
      </c>
      <c r="M411" s="32">
        <v>1.0</v>
      </c>
      <c r="N411" s="217">
        <f t="shared" si="86"/>
        <v>18.57</v>
      </c>
      <c r="O411" s="87"/>
      <c r="P411" s="87"/>
      <c r="Q411" s="226"/>
      <c r="R411" s="265"/>
      <c r="S411" s="265"/>
      <c r="T411" s="265"/>
      <c r="U411" s="265"/>
      <c r="V411" s="265"/>
      <c r="W411" s="265"/>
      <c r="X411" s="265"/>
      <c r="Y411" s="265"/>
      <c r="Z411" s="265"/>
      <c r="AA411" s="265"/>
      <c r="AB411" s="265"/>
      <c r="AC411" s="265"/>
      <c r="AD411" s="265"/>
      <c r="AE411" s="265"/>
      <c r="AF411" s="265"/>
      <c r="AG411" s="265"/>
      <c r="AH411" s="265"/>
    </row>
    <row r="412" ht="15.75" hidden="1" customHeight="1">
      <c r="A412" s="82" t="s">
        <v>20</v>
      </c>
      <c r="B412" s="64" t="s">
        <v>302</v>
      </c>
      <c r="C412" s="220"/>
      <c r="D412" s="64" t="s">
        <v>319</v>
      </c>
      <c r="E412" s="221">
        <v>46171.0</v>
      </c>
      <c r="F412" s="213">
        <f t="shared" si="1"/>
        <v>29</v>
      </c>
      <c r="G412" s="213">
        <f t="shared" si="2"/>
        <v>5</v>
      </c>
      <c r="H412" s="213">
        <f t="shared" si="3"/>
        <v>2026</v>
      </c>
      <c r="I412" s="214">
        <v>5.0</v>
      </c>
      <c r="J412" s="222">
        <v>2026.0</v>
      </c>
      <c r="K412" s="223"/>
      <c r="L412" s="223">
        <v>18.33</v>
      </c>
      <c r="M412" s="32">
        <v>1.0</v>
      </c>
      <c r="N412" s="217">
        <f t="shared" si="86"/>
        <v>18.33</v>
      </c>
      <c r="O412" s="77"/>
      <c r="P412" s="77"/>
      <c r="Q412" s="225"/>
    </row>
    <row r="413" ht="15.75" hidden="1" customHeight="1">
      <c r="A413" s="82" t="s">
        <v>20</v>
      </c>
      <c r="B413" s="64" t="s">
        <v>302</v>
      </c>
      <c r="C413" s="220"/>
      <c r="D413" s="64" t="s">
        <v>319</v>
      </c>
      <c r="E413" s="221">
        <v>46193.0</v>
      </c>
      <c r="F413" s="213">
        <f t="shared" si="1"/>
        <v>20</v>
      </c>
      <c r="G413" s="213">
        <f t="shared" si="2"/>
        <v>6</v>
      </c>
      <c r="H413" s="213">
        <f t="shared" si="3"/>
        <v>2026</v>
      </c>
      <c r="I413" s="214">
        <v>6.0</v>
      </c>
      <c r="J413" s="222">
        <v>2026.0</v>
      </c>
      <c r="K413" s="223"/>
      <c r="L413" s="223">
        <v>8.88</v>
      </c>
      <c r="M413" s="32">
        <v>1.0</v>
      </c>
      <c r="N413" s="217">
        <f t="shared" si="86"/>
        <v>8.88</v>
      </c>
      <c r="O413" s="87"/>
      <c r="P413" s="87"/>
      <c r="Q413" s="225"/>
    </row>
    <row r="414" ht="15.75" hidden="1" customHeight="1">
      <c r="A414" s="82" t="s">
        <v>20</v>
      </c>
      <c r="B414" s="64" t="s">
        <v>302</v>
      </c>
      <c r="C414" s="220"/>
      <c r="D414" s="64" t="s">
        <v>319</v>
      </c>
      <c r="E414" s="221">
        <v>46170.0</v>
      </c>
      <c r="F414" s="213">
        <f t="shared" si="1"/>
        <v>28</v>
      </c>
      <c r="G414" s="213">
        <f t="shared" si="2"/>
        <v>5</v>
      </c>
      <c r="H414" s="213">
        <f t="shared" si="3"/>
        <v>2026</v>
      </c>
      <c r="I414" s="214">
        <v>5.0</v>
      </c>
      <c r="J414" s="222">
        <v>2026.0</v>
      </c>
      <c r="K414" s="223"/>
      <c r="L414" s="223">
        <v>5.0</v>
      </c>
      <c r="M414" s="32">
        <v>1.0</v>
      </c>
      <c r="N414" s="217">
        <f t="shared" si="86"/>
        <v>5</v>
      </c>
      <c r="O414" s="77"/>
      <c r="P414" s="77"/>
      <c r="Q414" s="225"/>
    </row>
    <row r="415" ht="15.75" hidden="1" customHeight="1">
      <c r="A415" s="82" t="s">
        <v>20</v>
      </c>
      <c r="B415" s="82" t="s">
        <v>31</v>
      </c>
      <c r="C415" s="362"/>
      <c r="D415" s="363" t="s">
        <v>7</v>
      </c>
      <c r="E415" s="364">
        <v>46021.0</v>
      </c>
      <c r="F415" s="365">
        <f t="shared" si="1"/>
        <v>30</v>
      </c>
      <c r="G415" s="365">
        <f t="shared" si="2"/>
        <v>12</v>
      </c>
      <c r="H415" s="365">
        <f t="shared" si="3"/>
        <v>2025</v>
      </c>
      <c r="I415" s="232">
        <v>12.0</v>
      </c>
      <c r="J415" s="232">
        <v>2025.0</v>
      </c>
      <c r="K415" s="366"/>
      <c r="L415" s="366">
        <v>233.7</v>
      </c>
      <c r="M415" s="367">
        <v>1.0</v>
      </c>
      <c r="N415" s="366">
        <f t="shared" si="86"/>
        <v>233.7</v>
      </c>
      <c r="O415" s="87">
        <v>3.0</v>
      </c>
      <c r="P415" s="363">
        <v>2025.0</v>
      </c>
      <c r="Q415" s="368" t="s">
        <v>1123</v>
      </c>
    </row>
    <row r="416" ht="15.75" hidden="1" customHeight="1">
      <c r="A416" s="82" t="s">
        <v>20</v>
      </c>
      <c r="B416" s="82" t="s">
        <v>31</v>
      </c>
      <c r="C416" s="369"/>
      <c r="D416" s="363" t="s">
        <v>7</v>
      </c>
      <c r="E416" s="364">
        <v>45982.0</v>
      </c>
      <c r="F416" s="365">
        <f t="shared" si="1"/>
        <v>21</v>
      </c>
      <c r="G416" s="365">
        <f t="shared" si="2"/>
        <v>11</v>
      </c>
      <c r="H416" s="365">
        <f t="shared" si="3"/>
        <v>2025</v>
      </c>
      <c r="I416" s="232">
        <v>11.0</v>
      </c>
      <c r="J416" s="365">
        <v>2025.0</v>
      </c>
      <c r="K416" s="366"/>
      <c r="L416" s="366">
        <v>103.89</v>
      </c>
      <c r="M416" s="367">
        <v>1.0</v>
      </c>
      <c r="N416" s="366">
        <f t="shared" si="86"/>
        <v>103.89</v>
      </c>
      <c r="O416" s="87">
        <v>4.0</v>
      </c>
      <c r="P416" s="363">
        <v>2025.0</v>
      </c>
      <c r="Q416" s="363" t="s">
        <v>1125</v>
      </c>
      <c r="R416" s="370"/>
      <c r="S416" s="370"/>
      <c r="T416" s="370"/>
      <c r="U416" s="370"/>
      <c r="V416" s="370"/>
      <c r="W416" s="370"/>
      <c r="X416" s="370"/>
      <c r="Y416" s="370"/>
      <c r="Z416" s="370"/>
      <c r="AA416" s="370"/>
      <c r="AB416" s="370"/>
      <c r="AC416" s="370"/>
      <c r="AD416" s="370"/>
      <c r="AE416" s="370"/>
      <c r="AF416" s="370"/>
      <c r="AG416" s="370"/>
      <c r="AH416" s="370"/>
    </row>
    <row r="417" ht="15.75" hidden="1" customHeight="1">
      <c r="A417" s="82" t="s">
        <v>20</v>
      </c>
      <c r="B417" s="82" t="s">
        <v>31</v>
      </c>
      <c r="C417" s="220"/>
      <c r="D417" s="82" t="s">
        <v>369</v>
      </c>
      <c r="E417" s="221">
        <v>46138.0</v>
      </c>
      <c r="F417" s="213">
        <f t="shared" si="1"/>
        <v>26</v>
      </c>
      <c r="G417" s="213">
        <f t="shared" si="2"/>
        <v>4</v>
      </c>
      <c r="H417" s="213">
        <f t="shared" si="3"/>
        <v>2026</v>
      </c>
      <c r="I417" s="214">
        <v>4.0</v>
      </c>
      <c r="J417" s="222">
        <v>2026.0</v>
      </c>
      <c r="K417" s="223"/>
      <c r="L417" s="223">
        <v>18.15</v>
      </c>
      <c r="M417" s="32">
        <v>1.0</v>
      </c>
      <c r="N417" s="217">
        <f t="shared" si="86"/>
        <v>18.15</v>
      </c>
      <c r="O417" s="87">
        <v>187.0</v>
      </c>
      <c r="P417" s="77"/>
      <c r="Q417" s="164" t="s">
        <v>1127</v>
      </c>
      <c r="R417" s="259"/>
      <c r="S417" s="259"/>
      <c r="T417" s="259"/>
      <c r="U417" s="259"/>
      <c r="V417" s="259"/>
      <c r="W417" s="259"/>
      <c r="X417" s="259"/>
      <c r="Y417" s="259"/>
      <c r="Z417" s="259"/>
      <c r="AA417" s="259"/>
      <c r="AB417" s="259"/>
      <c r="AC417" s="259"/>
      <c r="AD417" s="259"/>
      <c r="AE417" s="259"/>
      <c r="AF417" s="259"/>
      <c r="AG417" s="259"/>
      <c r="AH417" s="259"/>
    </row>
    <row r="418" ht="15.75" hidden="1" customHeight="1">
      <c r="A418" s="82" t="s">
        <v>20</v>
      </c>
      <c r="B418" s="82" t="s">
        <v>31</v>
      </c>
      <c r="C418" s="220"/>
      <c r="D418" s="82" t="s">
        <v>369</v>
      </c>
      <c r="E418" s="221">
        <v>46141.0</v>
      </c>
      <c r="F418" s="213">
        <f t="shared" si="1"/>
        <v>29</v>
      </c>
      <c r="G418" s="213">
        <f t="shared" si="2"/>
        <v>4</v>
      </c>
      <c r="H418" s="213">
        <f t="shared" si="3"/>
        <v>2026</v>
      </c>
      <c r="I418" s="214">
        <v>4.0</v>
      </c>
      <c r="J418" s="222">
        <v>2026.0</v>
      </c>
      <c r="K418" s="223"/>
      <c r="L418" s="223">
        <v>8.48</v>
      </c>
      <c r="M418" s="32">
        <v>1.0</v>
      </c>
      <c r="N418" s="217">
        <f t="shared" si="86"/>
        <v>8.48</v>
      </c>
      <c r="O418" s="87">
        <v>190.0</v>
      </c>
      <c r="P418" s="77"/>
      <c r="Q418" s="164" t="s">
        <v>1127</v>
      </c>
    </row>
    <row r="419" ht="15.75" hidden="1" customHeight="1">
      <c r="A419" s="82" t="s">
        <v>20</v>
      </c>
      <c r="B419" s="82" t="s">
        <v>31</v>
      </c>
      <c r="C419" s="230"/>
      <c r="D419" s="82" t="s">
        <v>7</v>
      </c>
      <c r="E419" s="231">
        <v>46055.0</v>
      </c>
      <c r="F419" s="213">
        <f t="shared" si="1"/>
        <v>2</v>
      </c>
      <c r="G419" s="213">
        <f t="shared" si="2"/>
        <v>2</v>
      </c>
      <c r="H419" s="213">
        <f t="shared" si="3"/>
        <v>2026</v>
      </c>
      <c r="I419" s="232">
        <v>1.0</v>
      </c>
      <c r="J419" s="213">
        <v>2026.0</v>
      </c>
      <c r="K419" s="307"/>
      <c r="L419" s="307">
        <v>3700.0</v>
      </c>
      <c r="M419" s="32">
        <v>1.0</v>
      </c>
      <c r="N419" s="217">
        <f t="shared" si="86"/>
        <v>3700</v>
      </c>
      <c r="O419" s="311">
        <v>32.0</v>
      </c>
      <c r="Q419" s="311" t="s">
        <v>1130</v>
      </c>
    </row>
    <row r="420" ht="15.75" hidden="1" customHeight="1">
      <c r="A420" s="82" t="s">
        <v>20</v>
      </c>
      <c r="B420" s="64" t="s">
        <v>31</v>
      </c>
      <c r="C420" s="220"/>
      <c r="D420" s="64" t="s">
        <v>7</v>
      </c>
      <c r="E420" s="231">
        <v>46235.0</v>
      </c>
      <c r="F420" s="213">
        <f t="shared" si="1"/>
        <v>1</v>
      </c>
      <c r="G420" s="213">
        <f t="shared" si="2"/>
        <v>8</v>
      </c>
      <c r="H420" s="213">
        <f t="shared" si="3"/>
        <v>2026</v>
      </c>
      <c r="I420" s="322">
        <f t="shared" ref="I420:J420" si="87">G420</f>
        <v>8</v>
      </c>
      <c r="J420" s="213">
        <f t="shared" si="87"/>
        <v>2026</v>
      </c>
      <c r="K420" s="223"/>
      <c r="L420" s="223">
        <v>3180.0</v>
      </c>
      <c r="M420" s="245">
        <v>1.0</v>
      </c>
      <c r="N420" s="217">
        <f>M420*L420</f>
        <v>3180</v>
      </c>
      <c r="O420" s="87"/>
      <c r="P420" s="87"/>
      <c r="Q420" s="225" t="s">
        <v>1132</v>
      </c>
    </row>
    <row r="421" ht="15.75" hidden="1" customHeight="1">
      <c r="A421" s="82" t="s">
        <v>20</v>
      </c>
      <c r="B421" s="82" t="s">
        <v>31</v>
      </c>
      <c r="C421" s="220"/>
      <c r="D421" s="82" t="s">
        <v>7</v>
      </c>
      <c r="E421" s="221">
        <v>46034.0</v>
      </c>
      <c r="F421" s="213">
        <f t="shared" si="1"/>
        <v>12</v>
      </c>
      <c r="G421" s="213">
        <f t="shared" si="2"/>
        <v>1</v>
      </c>
      <c r="H421" s="213">
        <f t="shared" si="3"/>
        <v>2026</v>
      </c>
      <c r="I421" s="214">
        <v>1.0</v>
      </c>
      <c r="J421" s="222">
        <v>2026.0</v>
      </c>
      <c r="K421" s="223"/>
      <c r="L421" s="223">
        <v>2829.0</v>
      </c>
      <c r="M421" s="32">
        <v>1.0</v>
      </c>
      <c r="N421" s="217">
        <f t="shared" ref="N421:N613" si="88">L421*M421</f>
        <v>2829</v>
      </c>
      <c r="O421" s="77"/>
      <c r="P421" s="77"/>
      <c r="Q421" s="225" t="s">
        <v>1133</v>
      </c>
    </row>
    <row r="422" ht="15.75" hidden="1" customHeight="1">
      <c r="A422" s="82" t="s">
        <v>20</v>
      </c>
      <c r="B422" s="82" t="s">
        <v>31</v>
      </c>
      <c r="C422" s="230"/>
      <c r="D422" s="82" t="s">
        <v>7</v>
      </c>
      <c r="E422" s="231">
        <v>46065.0</v>
      </c>
      <c r="F422" s="213">
        <f t="shared" si="1"/>
        <v>12</v>
      </c>
      <c r="G422" s="213">
        <f t="shared" si="2"/>
        <v>2</v>
      </c>
      <c r="H422" s="213">
        <f t="shared" si="3"/>
        <v>2026</v>
      </c>
      <c r="I422" s="232">
        <v>2.0</v>
      </c>
      <c r="J422" s="213">
        <v>2026.0</v>
      </c>
      <c r="K422" s="307"/>
      <c r="L422" s="307">
        <v>1881.9</v>
      </c>
      <c r="M422" s="32">
        <v>1.0</v>
      </c>
      <c r="N422" s="217">
        <f t="shared" si="88"/>
        <v>1881.9</v>
      </c>
      <c r="O422" s="311">
        <v>40.0</v>
      </c>
      <c r="P422" s="140"/>
      <c r="Q422" s="234" t="s">
        <v>1135</v>
      </c>
      <c r="R422" s="259"/>
      <c r="S422" s="259"/>
      <c r="T422" s="259"/>
      <c r="U422" s="259"/>
      <c r="V422" s="259"/>
      <c r="W422" s="259"/>
      <c r="X422" s="259"/>
      <c r="Y422" s="259"/>
      <c r="Z422" s="259"/>
      <c r="AA422" s="259"/>
      <c r="AB422" s="259"/>
      <c r="AC422" s="259"/>
      <c r="AD422" s="259"/>
      <c r="AE422" s="259"/>
      <c r="AF422" s="259"/>
      <c r="AG422" s="259"/>
      <c r="AH422" s="259"/>
    </row>
    <row r="423" ht="15.75" hidden="1" customHeight="1">
      <c r="A423" s="82" t="s">
        <v>20</v>
      </c>
      <c r="B423" s="82" t="s">
        <v>31</v>
      </c>
      <c r="C423" s="220"/>
      <c r="D423" s="64" t="s">
        <v>7</v>
      </c>
      <c r="E423" s="221">
        <v>46143.0</v>
      </c>
      <c r="F423" s="213">
        <f t="shared" si="1"/>
        <v>1</v>
      </c>
      <c r="G423" s="213">
        <f t="shared" si="2"/>
        <v>5</v>
      </c>
      <c r="H423" s="213">
        <f t="shared" si="3"/>
        <v>2026</v>
      </c>
      <c r="I423" s="214">
        <v>5.0</v>
      </c>
      <c r="J423" s="222">
        <v>2026.0</v>
      </c>
      <c r="K423" s="223"/>
      <c r="L423" s="223">
        <v>927.5</v>
      </c>
      <c r="M423" s="32">
        <v>1.0</v>
      </c>
      <c r="N423" s="217">
        <f t="shared" si="88"/>
        <v>927.5</v>
      </c>
      <c r="O423" s="87">
        <v>198.0</v>
      </c>
      <c r="P423" s="77"/>
      <c r="Q423" s="32" t="s">
        <v>1137</v>
      </c>
    </row>
    <row r="424" ht="15.75" hidden="1" customHeight="1">
      <c r="A424" s="82" t="s">
        <v>20</v>
      </c>
      <c r="B424" s="82" t="s">
        <v>31</v>
      </c>
      <c r="C424" s="220"/>
      <c r="D424" s="82" t="s">
        <v>8</v>
      </c>
      <c r="E424" s="221">
        <v>46102.0</v>
      </c>
      <c r="F424" s="213">
        <f t="shared" si="1"/>
        <v>21</v>
      </c>
      <c r="G424" s="213">
        <f t="shared" si="2"/>
        <v>3</v>
      </c>
      <c r="H424" s="213">
        <f t="shared" si="3"/>
        <v>2026</v>
      </c>
      <c r="I424" s="214">
        <v>3.0</v>
      </c>
      <c r="J424" s="356">
        <v>2026.0</v>
      </c>
      <c r="K424" s="357"/>
      <c r="L424" s="357">
        <v>900.0</v>
      </c>
      <c r="M424" s="32">
        <v>1.0</v>
      </c>
      <c r="N424" s="217">
        <f t="shared" si="88"/>
        <v>900</v>
      </c>
      <c r="O424" s="87">
        <v>128.0</v>
      </c>
      <c r="P424" s="87" t="s">
        <v>17</v>
      </c>
      <c r="Q424" s="32" t="s">
        <v>1139</v>
      </c>
    </row>
    <row r="425" ht="15.75" hidden="1" customHeight="1">
      <c r="A425" s="82" t="s">
        <v>20</v>
      </c>
      <c r="B425" s="82" t="s">
        <v>31</v>
      </c>
      <c r="C425" s="230"/>
      <c r="D425" s="82" t="s">
        <v>7</v>
      </c>
      <c r="E425" s="231">
        <v>46056.0</v>
      </c>
      <c r="F425" s="213">
        <f t="shared" si="1"/>
        <v>3</v>
      </c>
      <c r="G425" s="213">
        <f t="shared" si="2"/>
        <v>2</v>
      </c>
      <c r="H425" s="213">
        <f t="shared" si="3"/>
        <v>2026</v>
      </c>
      <c r="I425" s="232">
        <v>2.0</v>
      </c>
      <c r="J425" s="213">
        <v>2026.0</v>
      </c>
      <c r="K425" s="307"/>
      <c r="L425" s="307">
        <v>787.5</v>
      </c>
      <c r="M425" s="32">
        <v>1.0</v>
      </c>
      <c r="N425" s="217">
        <f t="shared" si="88"/>
        <v>787.5</v>
      </c>
      <c r="O425" s="311">
        <v>35.0</v>
      </c>
      <c r="P425" s="140"/>
      <c r="Q425" s="234" t="s">
        <v>1141</v>
      </c>
    </row>
    <row r="426" ht="15.75" hidden="1" customHeight="1">
      <c r="A426" s="82" t="s">
        <v>20</v>
      </c>
      <c r="B426" s="82" t="s">
        <v>31</v>
      </c>
      <c r="C426" s="230"/>
      <c r="D426" s="82" t="s">
        <v>7</v>
      </c>
      <c r="E426" s="231">
        <v>46059.0</v>
      </c>
      <c r="F426" s="213">
        <f t="shared" si="1"/>
        <v>6</v>
      </c>
      <c r="G426" s="213">
        <f t="shared" si="2"/>
        <v>2</v>
      </c>
      <c r="H426" s="213">
        <f t="shared" si="3"/>
        <v>2026</v>
      </c>
      <c r="I426" s="232">
        <v>2.0</v>
      </c>
      <c r="J426" s="213">
        <v>2026.0</v>
      </c>
      <c r="K426" s="307"/>
      <c r="L426" s="307">
        <v>762.05</v>
      </c>
      <c r="M426" s="32">
        <v>1.0</v>
      </c>
      <c r="N426" s="217">
        <f t="shared" si="88"/>
        <v>762.05</v>
      </c>
      <c r="O426" s="311">
        <v>43.0</v>
      </c>
      <c r="P426" s="140"/>
      <c r="Q426" s="234" t="s">
        <v>1143</v>
      </c>
    </row>
    <row r="427" ht="15.75" hidden="1" customHeight="1">
      <c r="A427" s="82" t="s">
        <v>20</v>
      </c>
      <c r="B427" s="82" t="s">
        <v>31</v>
      </c>
      <c r="C427" s="220"/>
      <c r="D427" s="64" t="s">
        <v>7</v>
      </c>
      <c r="E427" s="221">
        <v>46118.0</v>
      </c>
      <c r="F427" s="213">
        <f t="shared" si="1"/>
        <v>6</v>
      </c>
      <c r="G427" s="213">
        <f t="shared" si="2"/>
        <v>4</v>
      </c>
      <c r="H427" s="213">
        <f t="shared" si="3"/>
        <v>2026</v>
      </c>
      <c r="I427" s="214">
        <v>4.0</v>
      </c>
      <c r="J427" s="222">
        <v>2026.0</v>
      </c>
      <c r="K427" s="223"/>
      <c r="L427" s="223">
        <v>600.0</v>
      </c>
      <c r="M427" s="32">
        <v>1.0</v>
      </c>
      <c r="N427" s="217">
        <f t="shared" si="88"/>
        <v>600</v>
      </c>
      <c r="O427" s="352">
        <v>146.0</v>
      </c>
      <c r="P427" s="345"/>
      <c r="Q427" s="164" t="s">
        <v>1145</v>
      </c>
    </row>
    <row r="428" ht="15.75" hidden="1" customHeight="1">
      <c r="A428" s="82" t="s">
        <v>20</v>
      </c>
      <c r="B428" s="82" t="s">
        <v>31</v>
      </c>
      <c r="C428" s="230"/>
      <c r="D428" s="82" t="s">
        <v>8</v>
      </c>
      <c r="E428" s="231">
        <v>46077.0</v>
      </c>
      <c r="F428" s="213">
        <f t="shared" si="1"/>
        <v>24</v>
      </c>
      <c r="G428" s="213">
        <f t="shared" si="2"/>
        <v>2</v>
      </c>
      <c r="H428" s="213">
        <f t="shared" si="3"/>
        <v>2026</v>
      </c>
      <c r="I428" s="232">
        <v>2.0</v>
      </c>
      <c r="J428" s="213">
        <v>2026.0</v>
      </c>
      <c r="K428" s="307"/>
      <c r="L428" s="307">
        <v>550.0</v>
      </c>
      <c r="M428" s="32">
        <v>1.0</v>
      </c>
      <c r="N428" s="217">
        <f t="shared" si="88"/>
        <v>550</v>
      </c>
      <c r="O428" s="311">
        <v>90.0</v>
      </c>
      <c r="P428" s="87" t="s">
        <v>15</v>
      </c>
      <c r="Q428" s="32" t="s">
        <v>1147</v>
      </c>
    </row>
    <row r="429" ht="15.75" hidden="1" customHeight="1">
      <c r="A429" s="82" t="s">
        <v>20</v>
      </c>
      <c r="B429" s="82" t="s">
        <v>31</v>
      </c>
      <c r="C429" s="230"/>
      <c r="D429" s="82" t="s">
        <v>8</v>
      </c>
      <c r="E429" s="221">
        <v>46072.0</v>
      </c>
      <c r="F429" s="213">
        <f t="shared" si="1"/>
        <v>19</v>
      </c>
      <c r="G429" s="213">
        <f t="shared" si="2"/>
        <v>2</v>
      </c>
      <c r="H429" s="213">
        <f t="shared" si="3"/>
        <v>2026</v>
      </c>
      <c r="I429" s="214">
        <v>2.0</v>
      </c>
      <c r="J429" s="222">
        <v>2026.0</v>
      </c>
      <c r="K429" s="223"/>
      <c r="L429" s="223">
        <v>520.0</v>
      </c>
      <c r="M429" s="32">
        <v>1.0</v>
      </c>
      <c r="N429" s="217">
        <f t="shared" si="88"/>
        <v>520</v>
      </c>
      <c r="O429" s="87">
        <v>66.0</v>
      </c>
      <c r="P429" s="87" t="s">
        <v>15</v>
      </c>
      <c r="Q429" s="32" t="s">
        <v>1149</v>
      </c>
      <c r="T429" s="142"/>
    </row>
    <row r="430" ht="15.75" hidden="1" customHeight="1">
      <c r="A430" s="82" t="s">
        <v>20</v>
      </c>
      <c r="B430" s="82" t="s">
        <v>31</v>
      </c>
      <c r="C430" s="230"/>
      <c r="D430" s="82" t="s">
        <v>7</v>
      </c>
      <c r="E430" s="231">
        <v>46042.0</v>
      </c>
      <c r="F430" s="213">
        <f t="shared" si="1"/>
        <v>20</v>
      </c>
      <c r="G430" s="213">
        <f t="shared" si="2"/>
        <v>1</v>
      </c>
      <c r="H430" s="213">
        <f t="shared" si="3"/>
        <v>2026</v>
      </c>
      <c r="I430" s="232">
        <v>1.0</v>
      </c>
      <c r="J430" s="213">
        <v>2026.0</v>
      </c>
      <c r="K430" s="307"/>
      <c r="L430" s="307">
        <v>505.48</v>
      </c>
      <c r="M430" s="32">
        <v>1.0</v>
      </c>
      <c r="N430" s="217">
        <f t="shared" si="88"/>
        <v>505.48</v>
      </c>
      <c r="O430" s="311">
        <v>31.0</v>
      </c>
      <c r="Q430" s="311" t="s">
        <v>1150</v>
      </c>
    </row>
    <row r="431" ht="15.75" hidden="1" customHeight="1">
      <c r="A431" s="82" t="s">
        <v>20</v>
      </c>
      <c r="B431" s="82" t="s">
        <v>31</v>
      </c>
      <c r="C431" s="230"/>
      <c r="D431" s="82" t="s">
        <v>8</v>
      </c>
      <c r="E431" s="231">
        <v>46042.0</v>
      </c>
      <c r="F431" s="213">
        <f t="shared" si="1"/>
        <v>20</v>
      </c>
      <c r="G431" s="213">
        <f t="shared" si="2"/>
        <v>1</v>
      </c>
      <c r="H431" s="213">
        <f t="shared" si="3"/>
        <v>2026</v>
      </c>
      <c r="I431" s="232">
        <v>1.0</v>
      </c>
      <c r="J431" s="213">
        <v>2026.0</v>
      </c>
      <c r="K431" s="307"/>
      <c r="L431" s="307">
        <v>500.0</v>
      </c>
      <c r="M431" s="32">
        <v>1.0</v>
      </c>
      <c r="N431" s="217">
        <f t="shared" si="88"/>
        <v>500</v>
      </c>
      <c r="O431" s="311">
        <v>25.0</v>
      </c>
      <c r="P431" s="87" t="s">
        <v>15</v>
      </c>
      <c r="Q431" s="311" t="s">
        <v>1152</v>
      </c>
    </row>
    <row r="432" ht="15.75" hidden="1" customHeight="1">
      <c r="A432" s="82" t="s">
        <v>20</v>
      </c>
      <c r="B432" s="64" t="s">
        <v>31</v>
      </c>
      <c r="C432" s="230"/>
      <c r="D432" s="64" t="s">
        <v>7</v>
      </c>
      <c r="E432" s="231">
        <v>46227.0</v>
      </c>
      <c r="F432" s="213">
        <f t="shared" si="1"/>
        <v>24</v>
      </c>
      <c r="G432" s="213">
        <f t="shared" si="2"/>
        <v>7</v>
      </c>
      <c r="H432" s="213">
        <f t="shared" si="3"/>
        <v>2026</v>
      </c>
      <c r="I432" s="214">
        <f t="shared" ref="I432:J432" si="89">G432</f>
        <v>7</v>
      </c>
      <c r="J432" s="215">
        <f t="shared" si="89"/>
        <v>2026</v>
      </c>
      <c r="K432" s="223"/>
      <c r="L432" s="223">
        <v>464.0</v>
      </c>
      <c r="M432" s="32">
        <v>1.0</v>
      </c>
      <c r="N432" s="236">
        <f t="shared" si="88"/>
        <v>464</v>
      </c>
      <c r="O432" s="233"/>
      <c r="P432" s="140"/>
      <c r="Q432" s="225"/>
      <c r="T432" s="371"/>
      <c r="U432" s="371"/>
    </row>
    <row r="433" ht="15.75" hidden="1" customHeight="1">
      <c r="A433" s="82" t="s">
        <v>20</v>
      </c>
      <c r="B433" s="82" t="s">
        <v>31</v>
      </c>
      <c r="C433" s="230"/>
      <c r="D433" s="82" t="s">
        <v>7</v>
      </c>
      <c r="E433" s="231">
        <v>46064.0</v>
      </c>
      <c r="F433" s="213">
        <f t="shared" si="1"/>
        <v>11</v>
      </c>
      <c r="G433" s="213">
        <f t="shared" si="2"/>
        <v>2</v>
      </c>
      <c r="H433" s="213">
        <f t="shared" si="3"/>
        <v>2026</v>
      </c>
      <c r="I433" s="232">
        <v>2.0</v>
      </c>
      <c r="J433" s="213">
        <v>2026.0</v>
      </c>
      <c r="K433" s="307"/>
      <c r="L433" s="307">
        <v>461.0</v>
      </c>
      <c r="M433" s="32">
        <v>1.0</v>
      </c>
      <c r="N433" s="217">
        <f t="shared" si="88"/>
        <v>461</v>
      </c>
      <c r="O433" s="311">
        <v>45.0</v>
      </c>
      <c r="P433" s="140"/>
      <c r="Q433" s="234" t="s">
        <v>1156</v>
      </c>
    </row>
    <row r="434" ht="15.75" hidden="1" customHeight="1">
      <c r="A434" s="82" t="s">
        <v>20</v>
      </c>
      <c r="B434" s="64" t="s">
        <v>31</v>
      </c>
      <c r="C434" s="220"/>
      <c r="D434" s="64" t="s">
        <v>7</v>
      </c>
      <c r="E434" s="221">
        <v>46233.0</v>
      </c>
      <c r="F434" s="213">
        <f t="shared" si="1"/>
        <v>30</v>
      </c>
      <c r="G434" s="213">
        <f t="shared" si="2"/>
        <v>7</v>
      </c>
      <c r="H434" s="213">
        <f t="shared" si="3"/>
        <v>2026</v>
      </c>
      <c r="I434" s="214">
        <f t="shared" ref="I434:J434" si="90">G434</f>
        <v>7</v>
      </c>
      <c r="J434" s="215">
        <f t="shared" si="90"/>
        <v>2026</v>
      </c>
      <c r="K434" s="223"/>
      <c r="L434" s="223">
        <v>459.95</v>
      </c>
      <c r="M434" s="32">
        <v>1.0</v>
      </c>
      <c r="N434" s="236">
        <f t="shared" si="88"/>
        <v>459.95</v>
      </c>
      <c r="O434" s="87"/>
      <c r="P434" s="87"/>
      <c r="Q434" s="226"/>
    </row>
    <row r="435" ht="15.75" hidden="1" customHeight="1">
      <c r="A435" s="82" t="s">
        <v>20</v>
      </c>
      <c r="B435" s="82" t="s">
        <v>31</v>
      </c>
      <c r="C435" s="230"/>
      <c r="D435" s="82" t="s">
        <v>7</v>
      </c>
      <c r="E435" s="231">
        <v>46059.0</v>
      </c>
      <c r="F435" s="213">
        <f t="shared" si="1"/>
        <v>6</v>
      </c>
      <c r="G435" s="213">
        <f t="shared" si="2"/>
        <v>2</v>
      </c>
      <c r="H435" s="213">
        <f t="shared" si="3"/>
        <v>2026</v>
      </c>
      <c r="I435" s="232">
        <v>2.0</v>
      </c>
      <c r="J435" s="213">
        <v>2026.0</v>
      </c>
      <c r="K435" s="307"/>
      <c r="L435" s="307">
        <v>400.5</v>
      </c>
      <c r="M435" s="32">
        <v>1.0</v>
      </c>
      <c r="N435" s="217">
        <f t="shared" si="88"/>
        <v>400.5</v>
      </c>
      <c r="O435" s="311">
        <v>42.0</v>
      </c>
      <c r="P435" s="245"/>
      <c r="Q435" s="234" t="s">
        <v>1158</v>
      </c>
    </row>
    <row r="436" ht="15.75" hidden="1" customHeight="1">
      <c r="A436" s="82" t="s">
        <v>20</v>
      </c>
      <c r="B436" s="82" t="s">
        <v>31</v>
      </c>
      <c r="C436" s="220"/>
      <c r="D436" s="64" t="s">
        <v>7</v>
      </c>
      <c r="E436" s="221">
        <v>46150.0</v>
      </c>
      <c r="F436" s="213">
        <f t="shared" si="1"/>
        <v>8</v>
      </c>
      <c r="G436" s="213">
        <f t="shared" si="2"/>
        <v>5</v>
      </c>
      <c r="H436" s="213">
        <f t="shared" si="3"/>
        <v>2026</v>
      </c>
      <c r="I436" s="214">
        <v>5.0</v>
      </c>
      <c r="J436" s="222">
        <v>2026.0</v>
      </c>
      <c r="K436" s="223"/>
      <c r="L436" s="223">
        <v>400.0</v>
      </c>
      <c r="M436" s="32">
        <v>1.0</v>
      </c>
      <c r="N436" s="217">
        <f t="shared" si="88"/>
        <v>400</v>
      </c>
      <c r="O436" s="87">
        <v>203.0</v>
      </c>
      <c r="P436" s="87"/>
      <c r="Q436" s="225" t="s">
        <v>1160</v>
      </c>
    </row>
    <row r="437" ht="15.75" hidden="1" customHeight="1">
      <c r="A437" s="82" t="s">
        <v>20</v>
      </c>
      <c r="B437" s="82" t="s">
        <v>31</v>
      </c>
      <c r="C437" s="230"/>
      <c r="D437" s="82" t="s">
        <v>7</v>
      </c>
      <c r="E437" s="231">
        <v>46086.0</v>
      </c>
      <c r="F437" s="213">
        <f t="shared" si="1"/>
        <v>5</v>
      </c>
      <c r="G437" s="213">
        <f t="shared" si="2"/>
        <v>3</v>
      </c>
      <c r="H437" s="213">
        <f t="shared" si="3"/>
        <v>2026</v>
      </c>
      <c r="I437" s="232">
        <v>3.0</v>
      </c>
      <c r="J437" s="213">
        <v>2026.0</v>
      </c>
      <c r="K437" s="307"/>
      <c r="L437" s="307">
        <v>383.3</v>
      </c>
      <c r="M437" s="32">
        <v>1.0</v>
      </c>
      <c r="N437" s="217">
        <f t="shared" si="88"/>
        <v>383.3</v>
      </c>
      <c r="O437" s="311">
        <v>100.0</v>
      </c>
      <c r="P437" s="87"/>
      <c r="Q437" s="164" t="s">
        <v>1162</v>
      </c>
      <c r="R437" s="235"/>
      <c r="S437" s="235"/>
      <c r="T437" s="235"/>
      <c r="U437" s="235"/>
      <c r="V437" s="235"/>
      <c r="W437" s="235"/>
      <c r="X437" s="235"/>
      <c r="Y437" s="235"/>
      <c r="Z437" s="235"/>
      <c r="AA437" s="235"/>
      <c r="AB437" s="235"/>
      <c r="AC437" s="235"/>
      <c r="AD437" s="235"/>
      <c r="AE437" s="235"/>
      <c r="AF437" s="235"/>
      <c r="AG437" s="235"/>
      <c r="AH437" s="235"/>
    </row>
    <row r="438" ht="15.75" hidden="1" customHeight="1">
      <c r="A438" s="82" t="s">
        <v>20</v>
      </c>
      <c r="B438" s="82" t="s">
        <v>31</v>
      </c>
      <c r="C438" s="230"/>
      <c r="D438" s="82" t="s">
        <v>8</v>
      </c>
      <c r="E438" s="231">
        <v>46067.0</v>
      </c>
      <c r="F438" s="213">
        <f t="shared" si="1"/>
        <v>14</v>
      </c>
      <c r="G438" s="213">
        <f t="shared" si="2"/>
        <v>2</v>
      </c>
      <c r="H438" s="213">
        <f t="shared" si="3"/>
        <v>2026</v>
      </c>
      <c r="I438" s="232">
        <v>2.0</v>
      </c>
      <c r="J438" s="213">
        <v>2026.0</v>
      </c>
      <c r="K438" s="307"/>
      <c r="L438" s="307">
        <v>350.0</v>
      </c>
      <c r="M438" s="32">
        <v>1.0</v>
      </c>
      <c r="N438" s="217">
        <f t="shared" si="88"/>
        <v>350</v>
      </c>
      <c r="O438" s="311">
        <v>61.0</v>
      </c>
      <c r="P438" s="87" t="s">
        <v>15</v>
      </c>
      <c r="Q438" s="140" t="s">
        <v>1164</v>
      </c>
    </row>
    <row r="439" ht="15.75" hidden="1" customHeight="1">
      <c r="A439" s="82" t="s">
        <v>20</v>
      </c>
      <c r="B439" s="82" t="s">
        <v>31</v>
      </c>
      <c r="C439" s="230"/>
      <c r="D439" s="82" t="s">
        <v>7</v>
      </c>
      <c r="E439" s="231">
        <v>46065.0</v>
      </c>
      <c r="F439" s="213">
        <f t="shared" si="1"/>
        <v>12</v>
      </c>
      <c r="G439" s="213">
        <f t="shared" si="2"/>
        <v>2</v>
      </c>
      <c r="H439" s="213">
        <f t="shared" si="3"/>
        <v>2026</v>
      </c>
      <c r="I439" s="232">
        <v>2.0</v>
      </c>
      <c r="J439" s="213">
        <v>2026.0</v>
      </c>
      <c r="K439" s="307"/>
      <c r="L439" s="307">
        <v>309.43</v>
      </c>
      <c r="M439" s="32">
        <v>1.0</v>
      </c>
      <c r="N439" s="217">
        <f t="shared" si="88"/>
        <v>309.43</v>
      </c>
      <c r="O439" s="311">
        <v>46.0</v>
      </c>
      <c r="P439" s="140"/>
      <c r="Q439" s="234" t="s">
        <v>1143</v>
      </c>
    </row>
    <row r="440" ht="15.75" hidden="1" customHeight="1">
      <c r="A440" s="82" t="s">
        <v>20</v>
      </c>
      <c r="B440" s="82" t="s">
        <v>31</v>
      </c>
      <c r="C440" s="230"/>
      <c r="D440" s="82" t="s">
        <v>8</v>
      </c>
      <c r="E440" s="231">
        <v>46077.0</v>
      </c>
      <c r="F440" s="213">
        <f t="shared" si="1"/>
        <v>24</v>
      </c>
      <c r="G440" s="213">
        <f t="shared" si="2"/>
        <v>2</v>
      </c>
      <c r="H440" s="213">
        <f t="shared" si="3"/>
        <v>2026</v>
      </c>
      <c r="I440" s="232">
        <v>2.0</v>
      </c>
      <c r="J440" s="213">
        <v>2026.0</v>
      </c>
      <c r="K440" s="307"/>
      <c r="L440" s="307">
        <v>300.0</v>
      </c>
      <c r="M440" s="32">
        <v>1.0</v>
      </c>
      <c r="N440" s="217">
        <f t="shared" si="88"/>
        <v>300</v>
      </c>
      <c r="O440" s="311">
        <v>91.0</v>
      </c>
      <c r="P440" s="87" t="s">
        <v>15</v>
      </c>
      <c r="Q440" s="32" t="s">
        <v>1167</v>
      </c>
    </row>
    <row r="441" ht="15.75" hidden="1" customHeight="1">
      <c r="A441" s="82" t="s">
        <v>20</v>
      </c>
      <c r="B441" s="82" t="s">
        <v>31</v>
      </c>
      <c r="C441" s="220"/>
      <c r="D441" s="64" t="s">
        <v>7</v>
      </c>
      <c r="E441" s="221">
        <v>46127.0</v>
      </c>
      <c r="F441" s="213">
        <f t="shared" si="1"/>
        <v>15</v>
      </c>
      <c r="G441" s="213">
        <f t="shared" si="2"/>
        <v>4</v>
      </c>
      <c r="H441" s="213">
        <f t="shared" si="3"/>
        <v>2026</v>
      </c>
      <c r="I441" s="214">
        <v>4.0</v>
      </c>
      <c r="J441" s="222">
        <v>2026.0</v>
      </c>
      <c r="K441" s="223"/>
      <c r="L441" s="223">
        <v>266.48</v>
      </c>
      <c r="M441" s="32">
        <v>1.0</v>
      </c>
      <c r="N441" s="217">
        <f t="shared" si="88"/>
        <v>266.48</v>
      </c>
      <c r="O441" s="87">
        <v>178.0</v>
      </c>
      <c r="P441" s="87"/>
      <c r="Q441" s="32" t="s">
        <v>1169</v>
      </c>
      <c r="T441" s="142"/>
    </row>
    <row r="442" ht="15.75" hidden="1" customHeight="1">
      <c r="A442" s="82" t="s">
        <v>20</v>
      </c>
      <c r="B442" s="64" t="s">
        <v>31</v>
      </c>
      <c r="C442" s="220"/>
      <c r="D442" s="64" t="s">
        <v>7</v>
      </c>
      <c r="E442" s="221">
        <v>46166.0</v>
      </c>
      <c r="F442" s="213">
        <f t="shared" si="1"/>
        <v>24</v>
      </c>
      <c r="G442" s="213">
        <f t="shared" si="2"/>
        <v>5</v>
      </c>
      <c r="H442" s="213">
        <f t="shared" si="3"/>
        <v>2026</v>
      </c>
      <c r="I442" s="214">
        <v>5.0</v>
      </c>
      <c r="J442" s="222">
        <v>2026.0</v>
      </c>
      <c r="K442" s="223"/>
      <c r="L442" s="223">
        <v>262.5</v>
      </c>
      <c r="M442" s="32">
        <v>1.0</v>
      </c>
      <c r="N442" s="217">
        <f t="shared" si="88"/>
        <v>262.5</v>
      </c>
      <c r="O442" s="87"/>
      <c r="P442" s="224"/>
      <c r="Q442" s="225" t="s">
        <v>1170</v>
      </c>
    </row>
    <row r="443" ht="15.75" hidden="1" customHeight="1">
      <c r="A443" s="82" t="s">
        <v>20</v>
      </c>
      <c r="B443" s="64" t="s">
        <v>31</v>
      </c>
      <c r="C443" s="220"/>
      <c r="D443" s="64" t="s">
        <v>7</v>
      </c>
      <c r="E443" s="221">
        <v>46198.0</v>
      </c>
      <c r="F443" s="213">
        <f t="shared" si="1"/>
        <v>25</v>
      </c>
      <c r="G443" s="213">
        <f t="shared" si="2"/>
        <v>6</v>
      </c>
      <c r="H443" s="213">
        <f t="shared" si="3"/>
        <v>2026</v>
      </c>
      <c r="I443" s="214">
        <v>6.0</v>
      </c>
      <c r="J443" s="222">
        <v>2026.0</v>
      </c>
      <c r="K443" s="223"/>
      <c r="L443" s="223">
        <v>250.0</v>
      </c>
      <c r="M443" s="32">
        <v>1.0</v>
      </c>
      <c r="N443" s="217">
        <f t="shared" si="88"/>
        <v>250</v>
      </c>
      <c r="O443" s="77"/>
      <c r="Q443" s="87" t="s">
        <v>1171</v>
      </c>
    </row>
    <row r="444" ht="15.75" hidden="1" customHeight="1">
      <c r="A444" s="82" t="s">
        <v>20</v>
      </c>
      <c r="B444" s="82" t="s">
        <v>31</v>
      </c>
      <c r="C444" s="230"/>
      <c r="D444" s="82" t="s">
        <v>8</v>
      </c>
      <c r="E444" s="231">
        <v>46038.0</v>
      </c>
      <c r="F444" s="213">
        <f t="shared" si="1"/>
        <v>16</v>
      </c>
      <c r="G444" s="213">
        <f t="shared" si="2"/>
        <v>1</v>
      </c>
      <c r="H444" s="213">
        <f t="shared" si="3"/>
        <v>2026</v>
      </c>
      <c r="I444" s="232">
        <v>1.0</v>
      </c>
      <c r="J444" s="372">
        <v>2026.0</v>
      </c>
      <c r="K444" s="349"/>
      <c r="L444" s="349">
        <v>225.9</v>
      </c>
      <c r="M444" s="32">
        <v>1.0</v>
      </c>
      <c r="N444" s="217">
        <f t="shared" si="88"/>
        <v>225.9</v>
      </c>
      <c r="O444" s="311">
        <v>17.0</v>
      </c>
      <c r="P444" s="87" t="s">
        <v>15</v>
      </c>
      <c r="Q444" s="82" t="s">
        <v>1173</v>
      </c>
      <c r="V444" s="257"/>
      <c r="W444" s="257"/>
      <c r="X444" s="257"/>
      <c r="Y444" s="257"/>
      <c r="Z444" s="257"/>
      <c r="AA444" s="257"/>
      <c r="AB444" s="257"/>
      <c r="AC444" s="257"/>
      <c r="AD444" s="257"/>
      <c r="AE444" s="257"/>
      <c r="AF444" s="257"/>
      <c r="AG444" s="257"/>
      <c r="AH444" s="257"/>
    </row>
    <row r="445" ht="15.75" hidden="1" customHeight="1">
      <c r="A445" s="82" t="s">
        <v>20</v>
      </c>
      <c r="B445" s="82" t="s">
        <v>31</v>
      </c>
      <c r="C445" s="220"/>
      <c r="D445" s="64" t="s">
        <v>7</v>
      </c>
      <c r="E445" s="221">
        <v>46127.0</v>
      </c>
      <c r="F445" s="213">
        <f t="shared" si="1"/>
        <v>15</v>
      </c>
      <c r="G445" s="213">
        <f t="shared" si="2"/>
        <v>4</v>
      </c>
      <c r="H445" s="213">
        <f t="shared" si="3"/>
        <v>2026</v>
      </c>
      <c r="I445" s="214">
        <v>4.0</v>
      </c>
      <c r="J445" s="222">
        <v>2026.0</v>
      </c>
      <c r="K445" s="223"/>
      <c r="L445" s="223">
        <v>188.91</v>
      </c>
      <c r="M445" s="32">
        <v>1.0</v>
      </c>
      <c r="N445" s="217">
        <f t="shared" si="88"/>
        <v>188.91</v>
      </c>
      <c r="O445" s="87">
        <v>167.0</v>
      </c>
      <c r="P445" s="87"/>
      <c r="Q445" s="164" t="s">
        <v>1176</v>
      </c>
    </row>
    <row r="446" ht="15.75" hidden="1" customHeight="1">
      <c r="A446" s="82" t="s">
        <v>20</v>
      </c>
      <c r="B446" s="82" t="s">
        <v>31</v>
      </c>
      <c r="C446" s="230"/>
      <c r="D446" s="82" t="s">
        <v>8</v>
      </c>
      <c r="E446" s="231">
        <v>46084.0</v>
      </c>
      <c r="F446" s="213">
        <f t="shared" si="1"/>
        <v>3</v>
      </c>
      <c r="G446" s="213">
        <f t="shared" si="2"/>
        <v>3</v>
      </c>
      <c r="H446" s="213">
        <f t="shared" si="3"/>
        <v>2026</v>
      </c>
      <c r="I446" s="232">
        <v>3.0</v>
      </c>
      <c r="J446" s="213">
        <v>2026.0</v>
      </c>
      <c r="K446" s="307"/>
      <c r="L446" s="307">
        <v>160.0</v>
      </c>
      <c r="M446" s="32">
        <v>1.0</v>
      </c>
      <c r="N446" s="351">
        <f t="shared" si="88"/>
        <v>160</v>
      </c>
      <c r="O446" s="311">
        <v>99.0</v>
      </c>
      <c r="P446" s="87" t="s">
        <v>16</v>
      </c>
      <c r="Q446" s="164" t="s">
        <v>1178</v>
      </c>
    </row>
    <row r="447" ht="15.75" hidden="1" customHeight="1">
      <c r="A447" s="82" t="s">
        <v>20</v>
      </c>
      <c r="B447" s="82" t="s">
        <v>31</v>
      </c>
      <c r="C447" s="230"/>
      <c r="D447" s="82" t="s">
        <v>7</v>
      </c>
      <c r="E447" s="231">
        <v>46057.0</v>
      </c>
      <c r="F447" s="213">
        <f t="shared" si="1"/>
        <v>4</v>
      </c>
      <c r="G447" s="213">
        <f t="shared" si="2"/>
        <v>2</v>
      </c>
      <c r="H447" s="213">
        <f t="shared" si="3"/>
        <v>2026</v>
      </c>
      <c r="I447" s="232">
        <v>2.0</v>
      </c>
      <c r="J447" s="213">
        <v>2026.0</v>
      </c>
      <c r="K447" s="307"/>
      <c r="L447" s="307">
        <v>157.35</v>
      </c>
      <c r="M447" s="32">
        <v>1.0</v>
      </c>
      <c r="N447" s="217">
        <f t="shared" si="88"/>
        <v>157.35</v>
      </c>
      <c r="O447" s="311">
        <v>41.0</v>
      </c>
      <c r="P447" s="140"/>
      <c r="Q447" s="234" t="s">
        <v>1143</v>
      </c>
    </row>
    <row r="448" ht="15.75" hidden="1" customHeight="1">
      <c r="A448" s="82" t="s">
        <v>20</v>
      </c>
      <c r="B448" s="82" t="s">
        <v>31</v>
      </c>
      <c r="C448" s="220"/>
      <c r="D448" s="64" t="s">
        <v>7</v>
      </c>
      <c r="E448" s="221">
        <v>46143.0</v>
      </c>
      <c r="F448" s="213">
        <f t="shared" si="1"/>
        <v>1</v>
      </c>
      <c r="G448" s="213">
        <f t="shared" si="2"/>
        <v>5</v>
      </c>
      <c r="H448" s="213">
        <f t="shared" si="3"/>
        <v>2026</v>
      </c>
      <c r="I448" s="214">
        <v>5.0</v>
      </c>
      <c r="J448" s="222">
        <v>2026.0</v>
      </c>
      <c r="K448" s="223"/>
      <c r="L448" s="223">
        <v>141.35</v>
      </c>
      <c r="M448" s="32">
        <v>1.0</v>
      </c>
      <c r="N448" s="217">
        <f t="shared" si="88"/>
        <v>141.35</v>
      </c>
      <c r="O448" s="87">
        <v>188.0</v>
      </c>
      <c r="P448" s="87"/>
      <c r="Q448" s="164" t="s">
        <v>1181</v>
      </c>
      <c r="R448" s="140"/>
    </row>
    <row r="449" ht="15.75" hidden="1" customHeight="1">
      <c r="A449" s="82" t="s">
        <v>20</v>
      </c>
      <c r="B449" s="82" t="s">
        <v>31</v>
      </c>
      <c r="C449" s="230"/>
      <c r="D449" s="82" t="s">
        <v>7</v>
      </c>
      <c r="E449" s="231">
        <v>46072.0</v>
      </c>
      <c r="F449" s="213">
        <f t="shared" si="1"/>
        <v>19</v>
      </c>
      <c r="G449" s="213">
        <f t="shared" si="2"/>
        <v>2</v>
      </c>
      <c r="H449" s="213">
        <f t="shared" si="3"/>
        <v>2026</v>
      </c>
      <c r="I449" s="239">
        <v>2.0</v>
      </c>
      <c r="J449" s="240">
        <v>2026.0</v>
      </c>
      <c r="K449" s="32"/>
      <c r="L449" s="32">
        <v>132.8</v>
      </c>
      <c r="M449" s="32">
        <v>1.0</v>
      </c>
      <c r="N449" s="217">
        <f t="shared" si="88"/>
        <v>132.8</v>
      </c>
      <c r="O449" s="311">
        <v>74.0</v>
      </c>
      <c r="P449" s="140"/>
      <c r="Q449" s="164" t="s">
        <v>1183</v>
      </c>
    </row>
    <row r="450" ht="15.75" hidden="1" customHeight="1">
      <c r="A450" s="82" t="s">
        <v>20</v>
      </c>
      <c r="B450" s="82" t="s">
        <v>31</v>
      </c>
      <c r="C450" s="220"/>
      <c r="D450" s="64" t="s">
        <v>7</v>
      </c>
      <c r="E450" s="221">
        <v>46127.0</v>
      </c>
      <c r="F450" s="213">
        <f t="shared" si="1"/>
        <v>15</v>
      </c>
      <c r="G450" s="213">
        <f t="shared" si="2"/>
        <v>4</v>
      </c>
      <c r="H450" s="213">
        <f t="shared" si="3"/>
        <v>2026</v>
      </c>
      <c r="I450" s="214">
        <v>4.0</v>
      </c>
      <c r="J450" s="222">
        <v>2026.0</v>
      </c>
      <c r="K450" s="223"/>
      <c r="L450" s="223">
        <v>132.52</v>
      </c>
      <c r="M450" s="32">
        <v>1.0</v>
      </c>
      <c r="N450" s="217">
        <f t="shared" si="88"/>
        <v>132.52</v>
      </c>
      <c r="O450" s="87">
        <v>177.0</v>
      </c>
      <c r="P450" s="87"/>
      <c r="Q450" s="32" t="s">
        <v>1185</v>
      </c>
    </row>
    <row r="451" ht="15.75" hidden="1" customHeight="1">
      <c r="A451" s="82" t="s">
        <v>20</v>
      </c>
      <c r="B451" s="82" t="s">
        <v>31</v>
      </c>
      <c r="C451" s="220"/>
      <c r="D451" s="64" t="s">
        <v>7</v>
      </c>
      <c r="E451" s="221">
        <v>46024.0</v>
      </c>
      <c r="F451" s="213">
        <f t="shared" si="1"/>
        <v>2</v>
      </c>
      <c r="G451" s="213">
        <f t="shared" si="2"/>
        <v>1</v>
      </c>
      <c r="H451" s="213">
        <f t="shared" si="3"/>
        <v>2026</v>
      </c>
      <c r="I451" s="214">
        <v>1.0</v>
      </c>
      <c r="J451" s="222">
        <v>2026.0</v>
      </c>
      <c r="K451" s="223"/>
      <c r="L451" s="223">
        <v>131.13</v>
      </c>
      <c r="M451" s="32">
        <v>1.0</v>
      </c>
      <c r="N451" s="217">
        <f t="shared" si="88"/>
        <v>131.13</v>
      </c>
      <c r="O451" s="87">
        <v>5.0</v>
      </c>
      <c r="P451" s="77"/>
      <c r="Q451" s="225" t="s">
        <v>1186</v>
      </c>
    </row>
    <row r="452" ht="15.75" hidden="1" customHeight="1">
      <c r="A452" s="82" t="s">
        <v>20</v>
      </c>
      <c r="B452" s="82" t="s">
        <v>31</v>
      </c>
      <c r="C452" s="220"/>
      <c r="D452" s="64" t="s">
        <v>7</v>
      </c>
      <c r="E452" s="221">
        <v>46098.0</v>
      </c>
      <c r="F452" s="213">
        <f t="shared" si="1"/>
        <v>17</v>
      </c>
      <c r="G452" s="213">
        <f t="shared" si="2"/>
        <v>3</v>
      </c>
      <c r="H452" s="213">
        <f t="shared" si="3"/>
        <v>2026</v>
      </c>
      <c r="I452" s="214">
        <v>3.0</v>
      </c>
      <c r="J452" s="222">
        <v>2026.0</v>
      </c>
      <c r="K452" s="223"/>
      <c r="L452" s="223">
        <v>127.4</v>
      </c>
      <c r="M452" s="32">
        <v>1.0</v>
      </c>
      <c r="N452" s="217">
        <f t="shared" si="88"/>
        <v>127.4</v>
      </c>
      <c r="O452" s="87">
        <v>131.0</v>
      </c>
      <c r="P452" s="77"/>
      <c r="Q452" s="32" t="s">
        <v>1188</v>
      </c>
    </row>
    <row r="453" ht="15.75" hidden="1" customHeight="1">
      <c r="A453" s="82" t="s">
        <v>20</v>
      </c>
      <c r="B453" s="82" t="s">
        <v>31</v>
      </c>
      <c r="C453" s="220"/>
      <c r="D453" s="64" t="s">
        <v>7</v>
      </c>
      <c r="E453" s="221">
        <v>46107.0</v>
      </c>
      <c r="F453" s="213">
        <f t="shared" si="1"/>
        <v>26</v>
      </c>
      <c r="G453" s="213">
        <f t="shared" si="2"/>
        <v>3</v>
      </c>
      <c r="H453" s="213">
        <f t="shared" si="3"/>
        <v>2026</v>
      </c>
      <c r="I453" s="214">
        <v>3.0</v>
      </c>
      <c r="J453" s="222">
        <v>2026.0</v>
      </c>
      <c r="K453" s="223"/>
      <c r="L453" s="223">
        <v>126.09</v>
      </c>
      <c r="M453" s="32">
        <v>1.0</v>
      </c>
      <c r="N453" s="217">
        <f t="shared" si="88"/>
        <v>126.09</v>
      </c>
      <c r="O453" s="87">
        <v>129.0</v>
      </c>
      <c r="P453" s="87"/>
      <c r="Q453" s="32" t="s">
        <v>1127</v>
      </c>
    </row>
    <row r="454" ht="15.75" hidden="1" customHeight="1">
      <c r="A454" s="82" t="s">
        <v>20</v>
      </c>
      <c r="B454" s="82" t="s">
        <v>31</v>
      </c>
      <c r="C454" s="220"/>
      <c r="D454" s="64" t="s">
        <v>7</v>
      </c>
      <c r="E454" s="221">
        <v>46111.0</v>
      </c>
      <c r="F454" s="213">
        <f t="shared" si="1"/>
        <v>30</v>
      </c>
      <c r="G454" s="213">
        <f t="shared" si="2"/>
        <v>3</v>
      </c>
      <c r="H454" s="213">
        <f t="shared" si="3"/>
        <v>2026</v>
      </c>
      <c r="I454" s="214">
        <v>3.0</v>
      </c>
      <c r="J454" s="222">
        <v>2026.0</v>
      </c>
      <c r="K454" s="223"/>
      <c r="L454" s="223">
        <v>125.6</v>
      </c>
      <c r="M454" s="32">
        <v>1.0</v>
      </c>
      <c r="N454" s="217">
        <f t="shared" si="88"/>
        <v>125.6</v>
      </c>
      <c r="O454" s="87">
        <v>144.0</v>
      </c>
      <c r="P454" s="224"/>
      <c r="Q454" s="32" t="s">
        <v>1127</v>
      </c>
    </row>
    <row r="455" ht="15.75" hidden="1" customHeight="1">
      <c r="A455" s="82" t="s">
        <v>20</v>
      </c>
      <c r="B455" s="82" t="s">
        <v>31</v>
      </c>
      <c r="C455" s="220"/>
      <c r="D455" s="82" t="s">
        <v>8</v>
      </c>
      <c r="E455" s="221">
        <v>46073.0</v>
      </c>
      <c r="F455" s="213">
        <f t="shared" si="1"/>
        <v>20</v>
      </c>
      <c r="G455" s="213">
        <f t="shared" si="2"/>
        <v>2</v>
      </c>
      <c r="H455" s="213">
        <f t="shared" si="3"/>
        <v>2026</v>
      </c>
      <c r="I455" s="214">
        <v>2.0</v>
      </c>
      <c r="J455" s="222">
        <v>2026.0</v>
      </c>
      <c r="K455" s="223"/>
      <c r="L455" s="223">
        <v>113.6</v>
      </c>
      <c r="M455" s="32">
        <v>1.0</v>
      </c>
      <c r="N455" s="217">
        <f t="shared" si="88"/>
        <v>113.6</v>
      </c>
      <c r="O455" s="311">
        <v>65.0</v>
      </c>
      <c r="P455" s="87" t="s">
        <v>15</v>
      </c>
      <c r="Q455" s="164" t="s">
        <v>1191</v>
      </c>
    </row>
    <row r="456" ht="15.75" hidden="1" customHeight="1">
      <c r="A456" s="82" t="s">
        <v>20</v>
      </c>
      <c r="B456" s="64" t="s">
        <v>31</v>
      </c>
      <c r="C456" s="220"/>
      <c r="D456" s="64" t="s">
        <v>7</v>
      </c>
      <c r="E456" s="221">
        <v>46198.0</v>
      </c>
      <c r="F456" s="213">
        <f t="shared" si="1"/>
        <v>25</v>
      </c>
      <c r="G456" s="213">
        <f t="shared" si="2"/>
        <v>6</v>
      </c>
      <c r="H456" s="213">
        <f t="shared" si="3"/>
        <v>2026</v>
      </c>
      <c r="I456" s="214">
        <v>6.0</v>
      </c>
      <c r="J456" s="222">
        <v>2026.0</v>
      </c>
      <c r="K456" s="223"/>
      <c r="L456" s="223">
        <v>112.57</v>
      </c>
      <c r="M456" s="32">
        <v>1.0</v>
      </c>
      <c r="N456" s="217">
        <f t="shared" si="88"/>
        <v>112.57</v>
      </c>
      <c r="O456" s="77"/>
      <c r="P456" s="77"/>
      <c r="Q456" s="225" t="s">
        <v>1193</v>
      </c>
    </row>
    <row r="457" ht="15.75" hidden="1" customHeight="1">
      <c r="A457" s="82" t="s">
        <v>20</v>
      </c>
      <c r="B457" s="82" t="s">
        <v>31</v>
      </c>
      <c r="C457" s="220"/>
      <c r="D457" s="64" t="s">
        <v>7</v>
      </c>
      <c r="E457" s="221">
        <v>46146.0</v>
      </c>
      <c r="F457" s="213">
        <f t="shared" si="1"/>
        <v>4</v>
      </c>
      <c r="G457" s="213">
        <f t="shared" si="2"/>
        <v>5</v>
      </c>
      <c r="H457" s="213">
        <f t="shared" si="3"/>
        <v>2026</v>
      </c>
      <c r="I457" s="214">
        <v>5.0</v>
      </c>
      <c r="J457" s="222">
        <v>2026.0</v>
      </c>
      <c r="K457" s="223"/>
      <c r="L457" s="223">
        <v>110.7</v>
      </c>
      <c r="M457" s="32">
        <v>1.0</v>
      </c>
      <c r="N457" s="217">
        <f t="shared" si="88"/>
        <v>110.7</v>
      </c>
      <c r="O457" s="352">
        <v>202.0</v>
      </c>
      <c r="P457" s="195"/>
      <c r="Q457" s="140" t="s">
        <v>1195</v>
      </c>
    </row>
    <row r="458" ht="15.75" hidden="1" customHeight="1">
      <c r="A458" s="82" t="s">
        <v>20</v>
      </c>
      <c r="B458" s="82" t="s">
        <v>31</v>
      </c>
      <c r="C458" s="230"/>
      <c r="D458" s="82" t="s">
        <v>7</v>
      </c>
      <c r="E458" s="231">
        <v>46073.0</v>
      </c>
      <c r="F458" s="213">
        <f t="shared" si="1"/>
        <v>20</v>
      </c>
      <c r="G458" s="213">
        <f t="shared" si="2"/>
        <v>2</v>
      </c>
      <c r="H458" s="213">
        <f t="shared" si="3"/>
        <v>2026</v>
      </c>
      <c r="I458" s="239">
        <v>2.0</v>
      </c>
      <c r="J458" s="240">
        <v>2026.0</v>
      </c>
      <c r="K458" s="32"/>
      <c r="L458" s="32">
        <v>109.76</v>
      </c>
      <c r="M458" s="32">
        <v>1.0</v>
      </c>
      <c r="N458" s="217">
        <f t="shared" si="88"/>
        <v>109.76</v>
      </c>
      <c r="O458" s="87">
        <v>84.0</v>
      </c>
      <c r="P458" s="140"/>
      <c r="Q458" s="32" t="s">
        <v>1197</v>
      </c>
    </row>
    <row r="459" ht="15.75" hidden="1" customHeight="1">
      <c r="A459" s="82" t="s">
        <v>20</v>
      </c>
      <c r="B459" s="64" t="s">
        <v>31</v>
      </c>
      <c r="C459" s="220"/>
      <c r="D459" s="64" t="s">
        <v>7</v>
      </c>
      <c r="E459" s="221">
        <v>46205.0</v>
      </c>
      <c r="F459" s="213">
        <f t="shared" si="1"/>
        <v>2</v>
      </c>
      <c r="G459" s="213">
        <f t="shared" si="2"/>
        <v>7</v>
      </c>
      <c r="H459" s="213">
        <f t="shared" si="3"/>
        <v>2026</v>
      </c>
      <c r="I459" s="214">
        <f t="shared" ref="I459:J459" si="91">G459</f>
        <v>7</v>
      </c>
      <c r="J459" s="215">
        <f t="shared" si="91"/>
        <v>2026</v>
      </c>
      <c r="K459" s="223"/>
      <c r="L459" s="223">
        <v>103.08</v>
      </c>
      <c r="M459" s="32">
        <v>1.0</v>
      </c>
      <c r="N459" s="236">
        <f t="shared" si="88"/>
        <v>103.08</v>
      </c>
      <c r="O459" s="87"/>
      <c r="P459" s="224"/>
      <c r="Q459" s="226"/>
      <c r="R459" s="140"/>
      <c r="S459" s="140"/>
    </row>
    <row r="460" ht="15.75" hidden="1" customHeight="1">
      <c r="A460" s="82" t="s">
        <v>20</v>
      </c>
      <c r="B460" s="82" t="s">
        <v>31</v>
      </c>
      <c r="C460" s="220"/>
      <c r="D460" s="64" t="s">
        <v>7</v>
      </c>
      <c r="E460" s="221">
        <v>46069.0</v>
      </c>
      <c r="F460" s="213">
        <f t="shared" si="1"/>
        <v>16</v>
      </c>
      <c r="G460" s="213">
        <f t="shared" si="2"/>
        <v>2</v>
      </c>
      <c r="H460" s="213">
        <f t="shared" si="3"/>
        <v>2026</v>
      </c>
      <c r="I460" s="232">
        <v>2.0</v>
      </c>
      <c r="J460" s="213">
        <v>2026.0</v>
      </c>
      <c r="K460" s="307"/>
      <c r="L460" s="307">
        <v>102.57</v>
      </c>
      <c r="M460" s="32">
        <v>1.0</v>
      </c>
      <c r="N460" s="217">
        <f t="shared" si="88"/>
        <v>102.57</v>
      </c>
      <c r="O460" s="311">
        <v>62.0</v>
      </c>
      <c r="P460" s="77"/>
      <c r="Q460" s="164" t="s">
        <v>1201</v>
      </c>
    </row>
    <row r="461" ht="15.75" hidden="1" customHeight="1">
      <c r="A461" s="82" t="s">
        <v>20</v>
      </c>
      <c r="B461" s="82" t="s">
        <v>31</v>
      </c>
      <c r="C461" s="220"/>
      <c r="D461" s="82" t="s">
        <v>8</v>
      </c>
      <c r="E461" s="221">
        <v>46073.0</v>
      </c>
      <c r="F461" s="213">
        <f t="shared" si="1"/>
        <v>20</v>
      </c>
      <c r="G461" s="213">
        <f t="shared" si="2"/>
        <v>2</v>
      </c>
      <c r="H461" s="213">
        <f t="shared" si="3"/>
        <v>2026</v>
      </c>
      <c r="I461" s="214">
        <v>2.0</v>
      </c>
      <c r="J461" s="215">
        <v>2026.0</v>
      </c>
      <c r="K461" s="216"/>
      <c r="L461" s="216">
        <v>97.9</v>
      </c>
      <c r="M461" s="32">
        <v>1.0</v>
      </c>
      <c r="N461" s="217">
        <f t="shared" si="88"/>
        <v>97.9</v>
      </c>
      <c r="O461" s="311">
        <v>64.0</v>
      </c>
      <c r="P461" s="87" t="s">
        <v>15</v>
      </c>
      <c r="Q461" s="164" t="s">
        <v>1191</v>
      </c>
    </row>
    <row r="462" ht="15.75" hidden="1" customHeight="1">
      <c r="A462" s="82" t="s">
        <v>20</v>
      </c>
      <c r="B462" s="64" t="s">
        <v>31</v>
      </c>
      <c r="C462" s="220"/>
      <c r="D462" s="64" t="s">
        <v>7</v>
      </c>
      <c r="E462" s="221">
        <v>46226.0</v>
      </c>
      <c r="F462" s="213">
        <f t="shared" si="1"/>
        <v>23</v>
      </c>
      <c r="G462" s="213">
        <f t="shared" si="2"/>
        <v>7</v>
      </c>
      <c r="H462" s="213">
        <f t="shared" si="3"/>
        <v>2026</v>
      </c>
      <c r="I462" s="222">
        <f t="shared" ref="I462:J462" si="92">G462</f>
        <v>7</v>
      </c>
      <c r="J462" s="222">
        <f t="shared" si="92"/>
        <v>2026</v>
      </c>
      <c r="K462" s="223"/>
      <c r="L462" s="223">
        <v>93.02</v>
      </c>
      <c r="M462" s="32">
        <v>1.0</v>
      </c>
      <c r="N462" s="236">
        <f t="shared" si="88"/>
        <v>93.02</v>
      </c>
      <c r="O462" s="77"/>
      <c r="P462" s="77"/>
      <c r="Q462" s="32" t="s">
        <v>1204</v>
      </c>
      <c r="R462" s="32"/>
    </row>
    <row r="463" ht="15.75" hidden="1" customHeight="1">
      <c r="A463" s="82" t="s">
        <v>20</v>
      </c>
      <c r="B463" s="82" t="s">
        <v>31</v>
      </c>
      <c r="C463" s="220"/>
      <c r="D463" s="64" t="s">
        <v>7</v>
      </c>
      <c r="E463" s="221">
        <v>46097.0</v>
      </c>
      <c r="F463" s="213">
        <f t="shared" si="1"/>
        <v>16</v>
      </c>
      <c r="G463" s="213">
        <f t="shared" si="2"/>
        <v>3</v>
      </c>
      <c r="H463" s="213">
        <f t="shared" si="3"/>
        <v>2026</v>
      </c>
      <c r="I463" s="214">
        <v>3.0</v>
      </c>
      <c r="J463" s="222">
        <v>2026.0</v>
      </c>
      <c r="K463" s="223"/>
      <c r="L463" s="223">
        <v>92.96</v>
      </c>
      <c r="M463" s="32">
        <v>1.0</v>
      </c>
      <c r="N463" s="217">
        <f t="shared" si="88"/>
        <v>92.96</v>
      </c>
      <c r="O463" s="87">
        <v>133.0</v>
      </c>
      <c r="P463" s="87"/>
      <c r="Q463" s="32" t="s">
        <v>1206</v>
      </c>
    </row>
    <row r="464" ht="15.75" hidden="1" customHeight="1">
      <c r="A464" s="82" t="s">
        <v>20</v>
      </c>
      <c r="B464" s="82" t="s">
        <v>31</v>
      </c>
      <c r="C464" s="220"/>
      <c r="D464" s="64" t="s">
        <v>7</v>
      </c>
      <c r="E464" s="221">
        <v>46106.0</v>
      </c>
      <c r="F464" s="213">
        <f t="shared" si="1"/>
        <v>25</v>
      </c>
      <c r="G464" s="213">
        <f t="shared" si="2"/>
        <v>3</v>
      </c>
      <c r="H464" s="213">
        <f t="shared" si="3"/>
        <v>2026</v>
      </c>
      <c r="I464" s="214">
        <v>3.0</v>
      </c>
      <c r="J464" s="222">
        <v>2026.0</v>
      </c>
      <c r="K464" s="223"/>
      <c r="L464" s="223">
        <v>87.29</v>
      </c>
      <c r="M464" s="32">
        <v>1.0</v>
      </c>
      <c r="N464" s="217">
        <f t="shared" si="88"/>
        <v>87.29</v>
      </c>
      <c r="O464" s="87">
        <v>142.0</v>
      </c>
      <c r="P464" s="87"/>
      <c r="Q464" s="32" t="s">
        <v>1127</v>
      </c>
    </row>
    <row r="465" ht="15.75" hidden="1" customHeight="1">
      <c r="A465" s="82" t="s">
        <v>20</v>
      </c>
      <c r="B465" s="82" t="s">
        <v>31</v>
      </c>
      <c r="C465" s="220"/>
      <c r="D465" s="64" t="s">
        <v>7</v>
      </c>
      <c r="E465" s="221">
        <v>46120.0</v>
      </c>
      <c r="F465" s="213">
        <f t="shared" si="1"/>
        <v>8</v>
      </c>
      <c r="G465" s="213">
        <f t="shared" si="2"/>
        <v>4</v>
      </c>
      <c r="H465" s="213">
        <f t="shared" si="3"/>
        <v>2026</v>
      </c>
      <c r="I465" s="214">
        <v>4.0</v>
      </c>
      <c r="J465" s="222">
        <v>2026.0</v>
      </c>
      <c r="K465" s="223"/>
      <c r="L465" s="223">
        <v>79.85</v>
      </c>
      <c r="M465" s="32">
        <v>1.0</v>
      </c>
      <c r="N465" s="217">
        <f t="shared" si="88"/>
        <v>79.85</v>
      </c>
      <c r="O465" s="87">
        <v>156.0</v>
      </c>
      <c r="P465" s="87"/>
      <c r="Q465" s="32" t="s">
        <v>1208</v>
      </c>
    </row>
    <row r="466" ht="15.75" hidden="1" customHeight="1">
      <c r="A466" s="82" t="s">
        <v>20</v>
      </c>
      <c r="B466" s="82" t="s">
        <v>31</v>
      </c>
      <c r="C466" s="230"/>
      <c r="D466" s="82" t="s">
        <v>8</v>
      </c>
      <c r="E466" s="231">
        <v>46088.0</v>
      </c>
      <c r="F466" s="213">
        <f t="shared" si="1"/>
        <v>7</v>
      </c>
      <c r="G466" s="213">
        <f t="shared" si="2"/>
        <v>3</v>
      </c>
      <c r="H466" s="213">
        <f t="shared" si="3"/>
        <v>2026</v>
      </c>
      <c r="I466" s="232">
        <v>3.0</v>
      </c>
      <c r="J466" s="213">
        <v>2026.0</v>
      </c>
      <c r="K466" s="307"/>
      <c r="L466" s="307">
        <v>72.21</v>
      </c>
      <c r="M466" s="32">
        <v>1.0</v>
      </c>
      <c r="N466" s="217">
        <f t="shared" si="88"/>
        <v>72.21</v>
      </c>
      <c r="O466" s="311">
        <v>101.0</v>
      </c>
      <c r="P466" s="87" t="s">
        <v>15</v>
      </c>
      <c r="Q466" s="32" t="s">
        <v>1210</v>
      </c>
    </row>
    <row r="467" ht="15.75" hidden="1" customHeight="1">
      <c r="A467" s="82" t="s">
        <v>20</v>
      </c>
      <c r="B467" s="82" t="s">
        <v>31</v>
      </c>
      <c r="C467" s="220"/>
      <c r="D467" s="82" t="s">
        <v>8</v>
      </c>
      <c r="E467" s="221">
        <v>46099.0</v>
      </c>
      <c r="F467" s="213">
        <f t="shared" si="1"/>
        <v>18</v>
      </c>
      <c r="G467" s="213">
        <f t="shared" si="2"/>
        <v>3</v>
      </c>
      <c r="H467" s="213">
        <f t="shared" si="3"/>
        <v>2026</v>
      </c>
      <c r="I467" s="214">
        <v>3.0</v>
      </c>
      <c r="J467" s="222">
        <v>2026.0</v>
      </c>
      <c r="K467" s="223"/>
      <c r="L467" s="223">
        <v>70.0</v>
      </c>
      <c r="M467" s="32">
        <v>1.0</v>
      </c>
      <c r="N467" s="351">
        <f t="shared" si="88"/>
        <v>70</v>
      </c>
      <c r="O467" s="87">
        <v>127.0</v>
      </c>
      <c r="P467" s="87" t="s">
        <v>16</v>
      </c>
      <c r="Q467" s="32" t="s">
        <v>1212</v>
      </c>
    </row>
    <row r="468" ht="15.75" hidden="1" customHeight="1">
      <c r="A468" s="82" t="s">
        <v>20</v>
      </c>
      <c r="B468" s="82" t="s">
        <v>31</v>
      </c>
      <c r="C468" s="220"/>
      <c r="D468" s="64" t="s">
        <v>7</v>
      </c>
      <c r="E468" s="221">
        <v>46129.0</v>
      </c>
      <c r="F468" s="213">
        <f t="shared" si="1"/>
        <v>17</v>
      </c>
      <c r="G468" s="213">
        <f t="shared" si="2"/>
        <v>4</v>
      </c>
      <c r="H468" s="213">
        <f t="shared" si="3"/>
        <v>2026</v>
      </c>
      <c r="I468" s="214">
        <v>4.0</v>
      </c>
      <c r="J468" s="222">
        <v>2026.0</v>
      </c>
      <c r="K468" s="223"/>
      <c r="L468" s="223">
        <v>61.84</v>
      </c>
      <c r="M468" s="32">
        <v>1.0</v>
      </c>
      <c r="N468" s="217">
        <f t="shared" si="88"/>
        <v>61.84</v>
      </c>
      <c r="O468" s="87">
        <v>170.0</v>
      </c>
      <c r="P468" s="77"/>
      <c r="Q468" s="164" t="s">
        <v>1214</v>
      </c>
    </row>
    <row r="469" ht="15.75" hidden="1" customHeight="1">
      <c r="A469" s="82" t="s">
        <v>20</v>
      </c>
      <c r="B469" s="82" t="s">
        <v>31</v>
      </c>
      <c r="C469" s="230"/>
      <c r="D469" s="82" t="s">
        <v>7</v>
      </c>
      <c r="E469" s="231">
        <v>46085.0</v>
      </c>
      <c r="F469" s="213">
        <f t="shared" si="1"/>
        <v>4</v>
      </c>
      <c r="G469" s="213">
        <f t="shared" si="2"/>
        <v>3</v>
      </c>
      <c r="H469" s="213">
        <f t="shared" si="3"/>
        <v>2026</v>
      </c>
      <c r="I469" s="232">
        <v>3.0</v>
      </c>
      <c r="J469" s="213">
        <v>2026.0</v>
      </c>
      <c r="K469" s="307"/>
      <c r="L469" s="307">
        <v>60.78</v>
      </c>
      <c r="M469" s="32">
        <v>1.0</v>
      </c>
      <c r="N469" s="217">
        <f t="shared" si="88"/>
        <v>60.78</v>
      </c>
      <c r="O469" s="311">
        <v>108.0</v>
      </c>
      <c r="P469" s="140"/>
      <c r="Q469" s="164" t="s">
        <v>583</v>
      </c>
      <c r="R469" s="235"/>
      <c r="S469" s="235"/>
      <c r="T469" s="235"/>
      <c r="U469" s="235"/>
      <c r="V469" s="235"/>
      <c r="W469" s="235"/>
      <c r="X469" s="235"/>
      <c r="Y469" s="235"/>
      <c r="Z469" s="235"/>
      <c r="AA469" s="235"/>
      <c r="AB469" s="235"/>
      <c r="AC469" s="235"/>
      <c r="AD469" s="235"/>
      <c r="AE469" s="235"/>
      <c r="AF469" s="235"/>
      <c r="AG469" s="235"/>
      <c r="AH469" s="235"/>
    </row>
    <row r="470" ht="15.75" hidden="1" customHeight="1">
      <c r="A470" s="82" t="s">
        <v>20</v>
      </c>
      <c r="B470" s="82" t="s">
        <v>31</v>
      </c>
      <c r="C470" s="220"/>
      <c r="D470" s="64" t="s">
        <v>7</v>
      </c>
      <c r="E470" s="221">
        <v>46146.0</v>
      </c>
      <c r="F470" s="213">
        <f t="shared" si="1"/>
        <v>4</v>
      </c>
      <c r="G470" s="213">
        <f t="shared" si="2"/>
        <v>5</v>
      </c>
      <c r="H470" s="213">
        <f t="shared" si="3"/>
        <v>2026</v>
      </c>
      <c r="I470" s="214">
        <v>5.0</v>
      </c>
      <c r="J470" s="222">
        <v>2026.0</v>
      </c>
      <c r="K470" s="223"/>
      <c r="L470" s="223">
        <v>58.96</v>
      </c>
      <c r="M470" s="32">
        <v>1.0</v>
      </c>
      <c r="N470" s="217">
        <f t="shared" si="88"/>
        <v>58.96</v>
      </c>
      <c r="O470" s="352">
        <v>201.0</v>
      </c>
      <c r="P470" s="195"/>
      <c r="Q470" s="140" t="s">
        <v>1217</v>
      </c>
    </row>
    <row r="471" ht="15.75" hidden="1" customHeight="1">
      <c r="A471" s="82" t="s">
        <v>20</v>
      </c>
      <c r="B471" s="64" t="s">
        <v>31</v>
      </c>
      <c r="C471" s="220"/>
      <c r="D471" s="64" t="s">
        <v>7</v>
      </c>
      <c r="E471" s="221">
        <v>46188.0</v>
      </c>
      <c r="F471" s="213">
        <f t="shared" si="1"/>
        <v>15</v>
      </c>
      <c r="G471" s="213">
        <f t="shared" si="2"/>
        <v>6</v>
      </c>
      <c r="H471" s="213">
        <f t="shared" si="3"/>
        <v>2026</v>
      </c>
      <c r="I471" s="214">
        <v>6.0</v>
      </c>
      <c r="J471" s="222">
        <v>2026.0</v>
      </c>
      <c r="K471" s="223"/>
      <c r="L471" s="223">
        <v>58.32</v>
      </c>
      <c r="M471" s="32">
        <v>1.0</v>
      </c>
      <c r="N471" s="217">
        <f t="shared" si="88"/>
        <v>58.32</v>
      </c>
      <c r="O471" s="87"/>
      <c r="P471" s="87"/>
      <c r="Q471" s="225" t="s">
        <v>1219</v>
      </c>
      <c r="S471" s="373"/>
      <c r="T471" s="373"/>
      <c r="U471" s="373"/>
      <c r="V471" s="373"/>
      <c r="W471" s="373"/>
      <c r="X471" s="373"/>
      <c r="Y471" s="373"/>
      <c r="Z471" s="373"/>
      <c r="AA471" s="373"/>
      <c r="AB471" s="373"/>
      <c r="AC471" s="373"/>
      <c r="AD471" s="373"/>
      <c r="AE471" s="373"/>
      <c r="AF471" s="373"/>
      <c r="AG471" s="373"/>
      <c r="AH471" s="373"/>
    </row>
    <row r="472" ht="15.75" hidden="1" customHeight="1">
      <c r="A472" s="82" t="s">
        <v>20</v>
      </c>
      <c r="B472" s="82" t="s">
        <v>31</v>
      </c>
      <c r="C472" s="230"/>
      <c r="D472" s="82" t="s">
        <v>8</v>
      </c>
      <c r="E472" s="231">
        <v>46042.0</v>
      </c>
      <c r="F472" s="213">
        <f t="shared" si="1"/>
        <v>20</v>
      </c>
      <c r="G472" s="213">
        <f t="shared" si="2"/>
        <v>1</v>
      </c>
      <c r="H472" s="213">
        <f t="shared" si="3"/>
        <v>2026</v>
      </c>
      <c r="I472" s="232">
        <v>1.0</v>
      </c>
      <c r="J472" s="213">
        <v>2026.0</v>
      </c>
      <c r="K472" s="307"/>
      <c r="L472" s="307">
        <v>56.34</v>
      </c>
      <c r="M472" s="32">
        <v>1.0</v>
      </c>
      <c r="N472" s="217">
        <f t="shared" si="88"/>
        <v>56.34</v>
      </c>
      <c r="O472" s="311">
        <v>30.0</v>
      </c>
      <c r="P472" s="87" t="s">
        <v>15</v>
      </c>
      <c r="Q472" s="311" t="s">
        <v>1221</v>
      </c>
    </row>
    <row r="473" ht="15.75" hidden="1" customHeight="1">
      <c r="A473" s="82" t="s">
        <v>20</v>
      </c>
      <c r="B473" s="82" t="s">
        <v>31</v>
      </c>
      <c r="C473" s="220"/>
      <c r="D473" s="64" t="s">
        <v>7</v>
      </c>
      <c r="E473" s="221">
        <v>46130.0</v>
      </c>
      <c r="F473" s="213">
        <f t="shared" si="1"/>
        <v>18</v>
      </c>
      <c r="G473" s="213">
        <f t="shared" si="2"/>
        <v>4</v>
      </c>
      <c r="H473" s="213">
        <f t="shared" si="3"/>
        <v>2026</v>
      </c>
      <c r="I473" s="214">
        <v>4.0</v>
      </c>
      <c r="J473" s="222">
        <v>2026.0</v>
      </c>
      <c r="K473" s="223"/>
      <c r="L473" s="223">
        <v>55.94</v>
      </c>
      <c r="M473" s="32">
        <v>1.0</v>
      </c>
      <c r="N473" s="217">
        <f t="shared" si="88"/>
        <v>55.94</v>
      </c>
      <c r="O473" s="87">
        <v>166.0</v>
      </c>
      <c r="P473" s="77"/>
      <c r="Q473" s="140" t="s">
        <v>1176</v>
      </c>
    </row>
    <row r="474" ht="15.75" hidden="1" customHeight="1">
      <c r="A474" s="82" t="s">
        <v>20</v>
      </c>
      <c r="B474" s="64" t="s">
        <v>31</v>
      </c>
      <c r="C474" s="220"/>
      <c r="D474" s="64" t="s">
        <v>7</v>
      </c>
      <c r="E474" s="221">
        <v>46182.0</v>
      </c>
      <c r="F474" s="213">
        <f t="shared" si="1"/>
        <v>9</v>
      </c>
      <c r="G474" s="213">
        <f t="shared" si="2"/>
        <v>6</v>
      </c>
      <c r="H474" s="213">
        <f t="shared" si="3"/>
        <v>2026</v>
      </c>
      <c r="I474" s="214">
        <v>6.0</v>
      </c>
      <c r="J474" s="222">
        <v>2026.0</v>
      </c>
      <c r="K474" s="223"/>
      <c r="L474" s="223">
        <v>54.75</v>
      </c>
      <c r="M474" s="32">
        <v>1.0</v>
      </c>
      <c r="N474" s="217">
        <f t="shared" si="88"/>
        <v>54.75</v>
      </c>
      <c r="O474" s="87"/>
      <c r="P474" s="87"/>
      <c r="Q474" s="225" t="s">
        <v>1224</v>
      </c>
    </row>
    <row r="475" ht="15.75" hidden="1" customHeight="1">
      <c r="A475" s="82" t="s">
        <v>20</v>
      </c>
      <c r="B475" s="82" t="s">
        <v>31</v>
      </c>
      <c r="C475" s="230"/>
      <c r="D475" s="82" t="s">
        <v>7</v>
      </c>
      <c r="E475" s="231">
        <v>46076.0</v>
      </c>
      <c r="F475" s="213">
        <f t="shared" si="1"/>
        <v>23</v>
      </c>
      <c r="G475" s="213">
        <f t="shared" si="2"/>
        <v>2</v>
      </c>
      <c r="H475" s="213">
        <f t="shared" si="3"/>
        <v>2026</v>
      </c>
      <c r="I475" s="232">
        <v>2.0</v>
      </c>
      <c r="J475" s="213">
        <v>2026.0</v>
      </c>
      <c r="K475" s="217"/>
      <c r="L475" s="217">
        <v>52.9</v>
      </c>
      <c r="M475" s="32">
        <v>1.0</v>
      </c>
      <c r="N475" s="217">
        <f t="shared" si="88"/>
        <v>52.9</v>
      </c>
      <c r="O475" s="311">
        <v>83.0</v>
      </c>
      <c r="P475" s="140"/>
      <c r="Q475" s="164" t="s">
        <v>1226</v>
      </c>
      <c r="R475" s="235"/>
      <c r="S475" s="235"/>
      <c r="T475" s="235"/>
      <c r="U475" s="235"/>
      <c r="V475" s="235"/>
      <c r="W475" s="235"/>
      <c r="X475" s="235"/>
      <c r="Y475" s="235"/>
      <c r="Z475" s="235"/>
      <c r="AA475" s="235"/>
      <c r="AB475" s="235"/>
      <c r="AC475" s="235"/>
      <c r="AD475" s="235"/>
      <c r="AE475" s="235"/>
      <c r="AF475" s="235"/>
      <c r="AG475" s="235"/>
      <c r="AH475" s="235"/>
    </row>
    <row r="476" ht="15.75" hidden="1" customHeight="1">
      <c r="A476" s="82" t="s">
        <v>20</v>
      </c>
      <c r="B476" s="82" t="s">
        <v>31</v>
      </c>
      <c r="C476" s="220"/>
      <c r="D476" s="64" t="s">
        <v>7</v>
      </c>
      <c r="E476" s="221">
        <v>46073.0</v>
      </c>
      <c r="F476" s="213">
        <f t="shared" si="1"/>
        <v>20</v>
      </c>
      <c r="G476" s="213">
        <f t="shared" si="2"/>
        <v>2</v>
      </c>
      <c r="H476" s="213">
        <f t="shared" si="3"/>
        <v>2026</v>
      </c>
      <c r="I476" s="214">
        <v>2.0</v>
      </c>
      <c r="J476" s="215">
        <v>2026.0</v>
      </c>
      <c r="K476" s="216"/>
      <c r="L476" s="216">
        <v>51.56</v>
      </c>
      <c r="M476" s="32">
        <v>1.0</v>
      </c>
      <c r="N476" s="217">
        <f t="shared" si="88"/>
        <v>51.56</v>
      </c>
      <c r="O476" s="87">
        <v>63.0</v>
      </c>
      <c r="P476" s="87"/>
      <c r="Q476" s="140" t="s">
        <v>1143</v>
      </c>
    </row>
    <row r="477" ht="15.75" hidden="1" customHeight="1">
      <c r="A477" s="82" t="s">
        <v>20</v>
      </c>
      <c r="B477" s="82" t="s">
        <v>31</v>
      </c>
      <c r="C477" s="230"/>
      <c r="D477" s="82" t="s">
        <v>8</v>
      </c>
      <c r="E477" s="231">
        <v>46062.0</v>
      </c>
      <c r="F477" s="213">
        <f t="shared" si="1"/>
        <v>9</v>
      </c>
      <c r="G477" s="213">
        <f t="shared" si="2"/>
        <v>2</v>
      </c>
      <c r="H477" s="213">
        <f t="shared" si="3"/>
        <v>2026</v>
      </c>
      <c r="I477" s="232">
        <v>2.0</v>
      </c>
      <c r="J477" s="213">
        <v>2026.0</v>
      </c>
      <c r="K477" s="307"/>
      <c r="L477" s="307">
        <v>50.0</v>
      </c>
      <c r="M477" s="32">
        <v>1.0</v>
      </c>
      <c r="N477" s="217">
        <f t="shared" si="88"/>
        <v>50</v>
      </c>
      <c r="O477" s="311">
        <v>53.0</v>
      </c>
      <c r="P477" s="87" t="s">
        <v>15</v>
      </c>
      <c r="Q477" s="234" t="s">
        <v>1229</v>
      </c>
    </row>
    <row r="478" ht="15.75" hidden="1" customHeight="1">
      <c r="A478" s="82" t="s">
        <v>20</v>
      </c>
      <c r="B478" s="64" t="s">
        <v>31</v>
      </c>
      <c r="C478" s="220"/>
      <c r="D478" s="64" t="s">
        <v>7</v>
      </c>
      <c r="E478" s="221">
        <v>46199.0</v>
      </c>
      <c r="F478" s="213">
        <f t="shared" si="1"/>
        <v>26</v>
      </c>
      <c r="G478" s="213">
        <f t="shared" si="2"/>
        <v>6</v>
      </c>
      <c r="H478" s="213">
        <f t="shared" si="3"/>
        <v>2026</v>
      </c>
      <c r="I478" s="214">
        <v>6.0</v>
      </c>
      <c r="J478" s="222">
        <v>2026.0</v>
      </c>
      <c r="K478" s="223"/>
      <c r="L478" s="223">
        <v>50.0</v>
      </c>
      <c r="M478" s="32">
        <v>1.0</v>
      </c>
      <c r="N478" s="217">
        <f t="shared" si="88"/>
        <v>50</v>
      </c>
      <c r="O478" s="87"/>
      <c r="P478" s="87"/>
      <c r="Q478" s="225" t="s">
        <v>1231</v>
      </c>
    </row>
    <row r="479" ht="15.75" hidden="1" customHeight="1">
      <c r="A479" s="82" t="s">
        <v>20</v>
      </c>
      <c r="B479" s="82" t="s">
        <v>31</v>
      </c>
      <c r="C479" s="230"/>
      <c r="D479" s="82" t="s">
        <v>7</v>
      </c>
      <c r="E479" s="231">
        <v>46057.0</v>
      </c>
      <c r="F479" s="213">
        <f t="shared" si="1"/>
        <v>4</v>
      </c>
      <c r="G479" s="213">
        <f t="shared" si="2"/>
        <v>2</v>
      </c>
      <c r="H479" s="213">
        <f t="shared" si="3"/>
        <v>2026</v>
      </c>
      <c r="I479" s="232">
        <v>2.0</v>
      </c>
      <c r="J479" s="213">
        <v>2026.0</v>
      </c>
      <c r="K479" s="307"/>
      <c r="L479" s="307">
        <v>47.23</v>
      </c>
      <c r="M479" s="32">
        <v>1.0</v>
      </c>
      <c r="N479" s="217">
        <f t="shared" si="88"/>
        <v>47.23</v>
      </c>
      <c r="O479" s="311">
        <v>33.0</v>
      </c>
      <c r="P479" s="140"/>
      <c r="Q479" s="234" t="s">
        <v>1233</v>
      </c>
    </row>
    <row r="480" ht="15.75" hidden="1" customHeight="1">
      <c r="A480" s="82" t="s">
        <v>20</v>
      </c>
      <c r="B480" s="82" t="s">
        <v>31</v>
      </c>
      <c r="C480" s="220"/>
      <c r="D480" s="64" t="s">
        <v>7</v>
      </c>
      <c r="E480" s="221">
        <v>46128.0</v>
      </c>
      <c r="F480" s="213">
        <f t="shared" si="1"/>
        <v>16</v>
      </c>
      <c r="G480" s="213">
        <f t="shared" si="2"/>
        <v>4</v>
      </c>
      <c r="H480" s="213">
        <f t="shared" si="3"/>
        <v>2026</v>
      </c>
      <c r="I480" s="214">
        <v>4.0</v>
      </c>
      <c r="J480" s="222">
        <v>2026.0</v>
      </c>
      <c r="K480" s="223"/>
      <c r="L480" s="223">
        <v>44.14</v>
      </c>
      <c r="M480" s="32">
        <v>1.0</v>
      </c>
      <c r="N480" s="217">
        <f t="shared" si="88"/>
        <v>44.14</v>
      </c>
      <c r="O480" s="87">
        <v>180.0</v>
      </c>
      <c r="P480" s="87"/>
      <c r="Q480" s="164" t="s">
        <v>1221</v>
      </c>
    </row>
    <row r="481" ht="15.75" hidden="1" customHeight="1">
      <c r="A481" s="82" t="s">
        <v>20</v>
      </c>
      <c r="B481" s="82" t="s">
        <v>31</v>
      </c>
      <c r="C481" s="230"/>
      <c r="D481" s="82" t="s">
        <v>8</v>
      </c>
      <c r="E481" s="231">
        <v>46091.0</v>
      </c>
      <c r="F481" s="213">
        <f t="shared" si="1"/>
        <v>10</v>
      </c>
      <c r="G481" s="213">
        <f t="shared" si="2"/>
        <v>3</v>
      </c>
      <c r="H481" s="213">
        <f t="shared" si="3"/>
        <v>2026</v>
      </c>
      <c r="I481" s="232">
        <v>3.0</v>
      </c>
      <c r="J481" s="213">
        <v>2026.0</v>
      </c>
      <c r="K481" s="307"/>
      <c r="L481" s="307">
        <v>43.6</v>
      </c>
      <c r="M481" s="32">
        <v>1.0</v>
      </c>
      <c r="N481" s="217">
        <f t="shared" si="88"/>
        <v>43.6</v>
      </c>
      <c r="O481" s="311">
        <v>110.0</v>
      </c>
      <c r="P481" s="87" t="s">
        <v>15</v>
      </c>
      <c r="Q481" s="164" t="s">
        <v>1236</v>
      </c>
    </row>
    <row r="482" ht="15.75" hidden="1" customHeight="1">
      <c r="A482" s="82" t="s">
        <v>20</v>
      </c>
      <c r="B482" s="82" t="s">
        <v>31</v>
      </c>
      <c r="C482" s="220"/>
      <c r="D482" s="64" t="s">
        <v>7</v>
      </c>
      <c r="E482" s="221">
        <v>46119.0</v>
      </c>
      <c r="F482" s="213">
        <f t="shared" si="1"/>
        <v>7</v>
      </c>
      <c r="G482" s="213">
        <f t="shared" si="2"/>
        <v>4</v>
      </c>
      <c r="H482" s="213">
        <f t="shared" si="3"/>
        <v>2026</v>
      </c>
      <c r="I482" s="214">
        <v>4.0</v>
      </c>
      <c r="J482" s="222">
        <v>2026.0</v>
      </c>
      <c r="K482" s="223"/>
      <c r="L482" s="223">
        <v>42.8</v>
      </c>
      <c r="M482" s="32">
        <v>1.0</v>
      </c>
      <c r="N482" s="217">
        <f t="shared" si="88"/>
        <v>42.8</v>
      </c>
      <c r="O482" s="87">
        <v>155.0</v>
      </c>
      <c r="P482" s="87"/>
      <c r="Q482" s="32" t="s">
        <v>1237</v>
      </c>
      <c r="T482" s="142"/>
      <c r="U482" s="142"/>
    </row>
    <row r="483" ht="15.75" hidden="1" customHeight="1">
      <c r="A483" s="82" t="s">
        <v>20</v>
      </c>
      <c r="B483" s="82" t="s">
        <v>31</v>
      </c>
      <c r="C483" s="220"/>
      <c r="D483" s="64" t="s">
        <v>7</v>
      </c>
      <c r="E483" s="221">
        <v>46129.0</v>
      </c>
      <c r="F483" s="213">
        <f t="shared" si="1"/>
        <v>17</v>
      </c>
      <c r="G483" s="213">
        <f t="shared" si="2"/>
        <v>4</v>
      </c>
      <c r="H483" s="213">
        <f t="shared" si="3"/>
        <v>2026</v>
      </c>
      <c r="I483" s="214">
        <v>4.0</v>
      </c>
      <c r="J483" s="222">
        <v>2026.0</v>
      </c>
      <c r="K483" s="223"/>
      <c r="L483" s="223">
        <v>41.12</v>
      </c>
      <c r="M483" s="32">
        <v>1.0</v>
      </c>
      <c r="N483" s="217">
        <f t="shared" si="88"/>
        <v>41.12</v>
      </c>
      <c r="O483" s="87">
        <v>171.0</v>
      </c>
      <c r="P483" s="77"/>
      <c r="Q483" s="164" t="s">
        <v>1239</v>
      </c>
    </row>
    <row r="484" ht="15.75" hidden="1" customHeight="1">
      <c r="A484" s="82" t="s">
        <v>20</v>
      </c>
      <c r="B484" s="82" t="s">
        <v>31</v>
      </c>
      <c r="C484" s="220"/>
      <c r="D484" s="82" t="s">
        <v>8</v>
      </c>
      <c r="E484" s="221">
        <v>46126.0</v>
      </c>
      <c r="F484" s="213">
        <f t="shared" si="1"/>
        <v>14</v>
      </c>
      <c r="G484" s="213">
        <f t="shared" si="2"/>
        <v>4</v>
      </c>
      <c r="H484" s="213">
        <f t="shared" si="3"/>
        <v>2026</v>
      </c>
      <c r="I484" s="214">
        <v>4.0</v>
      </c>
      <c r="J484" s="222">
        <v>2026.0</v>
      </c>
      <c r="K484" s="223"/>
      <c r="L484" s="223">
        <v>40.22</v>
      </c>
      <c r="M484" s="32">
        <v>1.0</v>
      </c>
      <c r="N484" s="217">
        <f t="shared" si="88"/>
        <v>40.22</v>
      </c>
      <c r="O484" s="87">
        <v>181.0</v>
      </c>
      <c r="P484" s="87" t="s">
        <v>16</v>
      </c>
      <c r="Q484" s="164" t="s">
        <v>1221</v>
      </c>
    </row>
    <row r="485" ht="15.75" hidden="1" customHeight="1">
      <c r="A485" s="82" t="s">
        <v>20</v>
      </c>
      <c r="B485" s="64" t="s">
        <v>31</v>
      </c>
      <c r="C485" s="220"/>
      <c r="D485" s="64" t="s">
        <v>7</v>
      </c>
      <c r="E485" s="221">
        <v>46161.0</v>
      </c>
      <c r="F485" s="213">
        <f t="shared" si="1"/>
        <v>19</v>
      </c>
      <c r="G485" s="213">
        <f t="shared" si="2"/>
        <v>5</v>
      </c>
      <c r="H485" s="213">
        <f t="shared" si="3"/>
        <v>2026</v>
      </c>
      <c r="I485" s="214">
        <v>5.0</v>
      </c>
      <c r="J485" s="222">
        <v>2026.0</v>
      </c>
      <c r="K485" s="223"/>
      <c r="L485" s="223">
        <v>38.6</v>
      </c>
      <c r="M485" s="32">
        <v>1.0</v>
      </c>
      <c r="N485" s="217">
        <f t="shared" si="88"/>
        <v>38.6</v>
      </c>
      <c r="O485" s="87"/>
      <c r="P485" s="87"/>
      <c r="Q485" s="225" t="s">
        <v>1110</v>
      </c>
    </row>
    <row r="486" ht="15.75" hidden="1" customHeight="1">
      <c r="A486" s="82" t="s">
        <v>20</v>
      </c>
      <c r="B486" s="82" t="s">
        <v>31</v>
      </c>
      <c r="C486" s="230"/>
      <c r="D486" s="82" t="s">
        <v>7</v>
      </c>
      <c r="E486" s="231">
        <v>46058.0</v>
      </c>
      <c r="F486" s="213">
        <f t="shared" si="1"/>
        <v>5</v>
      </c>
      <c r="G486" s="213">
        <f t="shared" si="2"/>
        <v>2</v>
      </c>
      <c r="H486" s="213">
        <f t="shared" si="3"/>
        <v>2026</v>
      </c>
      <c r="I486" s="232">
        <v>2.0</v>
      </c>
      <c r="J486" s="213">
        <v>2026.0</v>
      </c>
      <c r="K486" s="307"/>
      <c r="L486" s="307">
        <v>36.95</v>
      </c>
      <c r="M486" s="32">
        <v>1.0</v>
      </c>
      <c r="N486" s="217">
        <f t="shared" si="88"/>
        <v>36.95</v>
      </c>
      <c r="O486" s="311">
        <v>39.0</v>
      </c>
      <c r="P486" s="140"/>
      <c r="Q486" s="234" t="s">
        <v>1243</v>
      </c>
    </row>
    <row r="487" ht="15.75" hidden="1" customHeight="1">
      <c r="A487" s="82" t="s">
        <v>20</v>
      </c>
      <c r="B487" s="64" t="s">
        <v>31</v>
      </c>
      <c r="C487" s="220"/>
      <c r="D487" s="64" t="s">
        <v>7</v>
      </c>
      <c r="E487" s="221">
        <v>46188.0</v>
      </c>
      <c r="F487" s="213">
        <f t="shared" si="1"/>
        <v>15</v>
      </c>
      <c r="G487" s="213">
        <f t="shared" si="2"/>
        <v>6</v>
      </c>
      <c r="H487" s="213">
        <f t="shared" si="3"/>
        <v>2026</v>
      </c>
      <c r="I487" s="214">
        <v>6.0</v>
      </c>
      <c r="J487" s="222">
        <v>2026.0</v>
      </c>
      <c r="K487" s="223"/>
      <c r="L487" s="223">
        <v>36.8</v>
      </c>
      <c r="M487" s="32">
        <v>1.0</v>
      </c>
      <c r="N487" s="217">
        <f t="shared" si="88"/>
        <v>36.8</v>
      </c>
      <c r="O487" s="87"/>
      <c r="P487" s="87"/>
      <c r="Q487" s="225" t="s">
        <v>1245</v>
      </c>
    </row>
    <row r="488" ht="15.75" hidden="1" customHeight="1">
      <c r="A488" s="82" t="s">
        <v>20</v>
      </c>
      <c r="B488" s="82" t="s">
        <v>31</v>
      </c>
      <c r="C488" s="220"/>
      <c r="D488" s="64" t="s">
        <v>7</v>
      </c>
      <c r="E488" s="221">
        <v>46111.0</v>
      </c>
      <c r="F488" s="213">
        <f t="shared" si="1"/>
        <v>30</v>
      </c>
      <c r="G488" s="213">
        <f t="shared" si="2"/>
        <v>3</v>
      </c>
      <c r="H488" s="213">
        <f t="shared" si="3"/>
        <v>2026</v>
      </c>
      <c r="I488" s="214">
        <v>3.0</v>
      </c>
      <c r="J488" s="222">
        <v>2026.0</v>
      </c>
      <c r="K488" s="223"/>
      <c r="L488" s="223">
        <v>34.98</v>
      </c>
      <c r="M488" s="32">
        <v>1.0</v>
      </c>
      <c r="N488" s="217">
        <f t="shared" si="88"/>
        <v>34.98</v>
      </c>
      <c r="O488" s="87">
        <v>145.0</v>
      </c>
      <c r="P488" s="77"/>
      <c r="Q488" s="32" t="s">
        <v>1246</v>
      </c>
    </row>
    <row r="489" ht="15.75" hidden="1" customHeight="1">
      <c r="A489" s="82" t="s">
        <v>20</v>
      </c>
      <c r="B489" s="82" t="s">
        <v>31</v>
      </c>
      <c r="C489" s="230"/>
      <c r="D489" s="82" t="s">
        <v>7</v>
      </c>
      <c r="E489" s="231">
        <v>46088.0</v>
      </c>
      <c r="F489" s="213">
        <f t="shared" si="1"/>
        <v>7</v>
      </c>
      <c r="G489" s="213">
        <f t="shared" si="2"/>
        <v>3</v>
      </c>
      <c r="H489" s="213">
        <f t="shared" si="3"/>
        <v>2026</v>
      </c>
      <c r="I489" s="232">
        <v>3.0</v>
      </c>
      <c r="J489" s="213">
        <v>2026.0</v>
      </c>
      <c r="K489" s="217"/>
      <c r="L489" s="217">
        <f>33.16+1</f>
        <v>34.16</v>
      </c>
      <c r="M489" s="32">
        <v>1.0</v>
      </c>
      <c r="N489" s="217">
        <f t="shared" si="88"/>
        <v>34.16</v>
      </c>
      <c r="O489" s="311">
        <v>113.0</v>
      </c>
      <c r="P489" s="140"/>
      <c r="Q489" s="32" t="s">
        <v>1249</v>
      </c>
    </row>
    <row r="490" ht="15.75" hidden="1" customHeight="1">
      <c r="A490" s="82" t="s">
        <v>20</v>
      </c>
      <c r="B490" s="82" t="s">
        <v>31</v>
      </c>
      <c r="C490" s="220"/>
      <c r="D490" s="64" t="s">
        <v>7</v>
      </c>
      <c r="E490" s="221">
        <v>46129.0</v>
      </c>
      <c r="F490" s="213">
        <f t="shared" si="1"/>
        <v>17</v>
      </c>
      <c r="G490" s="213">
        <f t="shared" si="2"/>
        <v>4</v>
      </c>
      <c r="H490" s="213">
        <f t="shared" si="3"/>
        <v>2026</v>
      </c>
      <c r="I490" s="214">
        <v>4.0</v>
      </c>
      <c r="J490" s="222">
        <v>2026.0</v>
      </c>
      <c r="K490" s="223"/>
      <c r="L490" s="223">
        <v>34.05</v>
      </c>
      <c r="M490" s="32">
        <v>1.0</v>
      </c>
      <c r="N490" s="217">
        <f t="shared" si="88"/>
        <v>34.05</v>
      </c>
      <c r="O490" s="87">
        <v>169.0</v>
      </c>
      <c r="P490" s="77"/>
      <c r="Q490" s="32" t="s">
        <v>1250</v>
      </c>
    </row>
    <row r="491" ht="15.75" hidden="1" customHeight="1">
      <c r="A491" s="82" t="s">
        <v>20</v>
      </c>
      <c r="B491" s="64" t="s">
        <v>31</v>
      </c>
      <c r="C491" s="374"/>
      <c r="D491" s="375" t="s">
        <v>7</v>
      </c>
      <c r="E491" s="376">
        <v>46198.0</v>
      </c>
      <c r="F491" s="377">
        <f t="shared" si="1"/>
        <v>25</v>
      </c>
      <c r="G491" s="377">
        <f t="shared" si="2"/>
        <v>6</v>
      </c>
      <c r="H491" s="377">
        <f t="shared" si="3"/>
        <v>2026</v>
      </c>
      <c r="I491" s="214">
        <v>6.0</v>
      </c>
      <c r="J491" s="378">
        <v>2026.0</v>
      </c>
      <c r="K491" s="379"/>
      <c r="L491" s="379">
        <v>32.0</v>
      </c>
      <c r="M491" s="380">
        <v>1.0</v>
      </c>
      <c r="N491" s="381">
        <f t="shared" si="88"/>
        <v>32</v>
      </c>
      <c r="O491" s="382"/>
      <c r="P491" s="383"/>
      <c r="Q491" s="384" t="s">
        <v>1252</v>
      </c>
      <c r="R491" s="373"/>
    </row>
    <row r="492" ht="15.75" hidden="1" customHeight="1">
      <c r="A492" s="82" t="s">
        <v>20</v>
      </c>
      <c r="B492" s="82" t="s">
        <v>31</v>
      </c>
      <c r="C492" s="220"/>
      <c r="D492" s="64" t="s">
        <v>7</v>
      </c>
      <c r="E492" s="221">
        <v>46129.0</v>
      </c>
      <c r="F492" s="213">
        <f t="shared" si="1"/>
        <v>17</v>
      </c>
      <c r="G492" s="213">
        <f t="shared" si="2"/>
        <v>4</v>
      </c>
      <c r="H492" s="213">
        <f t="shared" si="3"/>
        <v>2026</v>
      </c>
      <c r="I492" s="232">
        <v>4.0</v>
      </c>
      <c r="J492" s="213">
        <v>2026.0</v>
      </c>
      <c r="K492" s="307"/>
      <c r="L492" s="307">
        <v>31.98</v>
      </c>
      <c r="M492" s="32">
        <v>1.0</v>
      </c>
      <c r="N492" s="217">
        <f t="shared" si="88"/>
        <v>31.98</v>
      </c>
      <c r="O492" s="87">
        <v>173.0</v>
      </c>
      <c r="P492" s="224"/>
      <c r="Q492" s="32" t="s">
        <v>1254</v>
      </c>
    </row>
    <row r="493" ht="15.75" hidden="1" customHeight="1">
      <c r="A493" s="82" t="s">
        <v>20</v>
      </c>
      <c r="B493" s="82" t="s">
        <v>31</v>
      </c>
      <c r="C493" s="220"/>
      <c r="D493" s="64" t="s">
        <v>7</v>
      </c>
      <c r="E493" s="221">
        <v>46141.0</v>
      </c>
      <c r="F493" s="213">
        <f t="shared" si="1"/>
        <v>29</v>
      </c>
      <c r="G493" s="213">
        <f t="shared" si="2"/>
        <v>4</v>
      </c>
      <c r="H493" s="213">
        <f t="shared" si="3"/>
        <v>2026</v>
      </c>
      <c r="I493" s="214">
        <v>4.0</v>
      </c>
      <c r="J493" s="222">
        <v>2026.0</v>
      </c>
      <c r="K493" s="223"/>
      <c r="L493" s="223">
        <v>31.86</v>
      </c>
      <c r="M493" s="32">
        <v>1.0</v>
      </c>
      <c r="N493" s="217">
        <f t="shared" si="88"/>
        <v>31.86</v>
      </c>
      <c r="O493" s="87">
        <v>189.0</v>
      </c>
      <c r="P493" s="224"/>
      <c r="Q493" s="164" t="s">
        <v>1255</v>
      </c>
    </row>
    <row r="494" ht="15.75" hidden="1" customHeight="1">
      <c r="A494" s="82" t="s">
        <v>20</v>
      </c>
      <c r="B494" s="82" t="s">
        <v>31</v>
      </c>
      <c r="C494" s="230"/>
      <c r="D494" s="82" t="s">
        <v>7</v>
      </c>
      <c r="E494" s="231">
        <v>46088.0</v>
      </c>
      <c r="F494" s="213">
        <f t="shared" si="1"/>
        <v>7</v>
      </c>
      <c r="G494" s="213">
        <f t="shared" si="2"/>
        <v>3</v>
      </c>
      <c r="H494" s="213">
        <f t="shared" si="3"/>
        <v>2026</v>
      </c>
      <c r="I494" s="232">
        <v>3.0</v>
      </c>
      <c r="J494" s="213">
        <v>2026.0</v>
      </c>
      <c r="K494" s="307"/>
      <c r="L494" s="307">
        <v>29.52</v>
      </c>
      <c r="M494" s="32">
        <v>1.0</v>
      </c>
      <c r="N494" s="217">
        <f t="shared" si="88"/>
        <v>29.52</v>
      </c>
      <c r="O494" s="311">
        <v>109.0</v>
      </c>
      <c r="P494" s="140"/>
      <c r="Q494" s="164" t="s">
        <v>1257</v>
      </c>
    </row>
    <row r="495" ht="15.75" hidden="1" customHeight="1">
      <c r="A495" s="82" t="s">
        <v>20</v>
      </c>
      <c r="B495" s="82" t="s">
        <v>31</v>
      </c>
      <c r="C495" s="230"/>
      <c r="D495" s="82" t="s">
        <v>8</v>
      </c>
      <c r="E495" s="231">
        <v>46029.0</v>
      </c>
      <c r="F495" s="213">
        <f t="shared" si="1"/>
        <v>7</v>
      </c>
      <c r="G495" s="213">
        <f t="shared" si="2"/>
        <v>1</v>
      </c>
      <c r="H495" s="213">
        <f t="shared" si="3"/>
        <v>2026</v>
      </c>
      <c r="I495" s="232">
        <v>1.0</v>
      </c>
      <c r="J495" s="213">
        <v>2026.0</v>
      </c>
      <c r="K495" s="307"/>
      <c r="L495" s="307">
        <v>25.98</v>
      </c>
      <c r="M495" s="269">
        <v>1.0</v>
      </c>
      <c r="N495" s="217">
        <f t="shared" si="88"/>
        <v>25.98</v>
      </c>
      <c r="O495" s="87">
        <v>14.0</v>
      </c>
      <c r="P495" s="87" t="s">
        <v>15</v>
      </c>
      <c r="Q495" s="234" t="s">
        <v>1258</v>
      </c>
    </row>
    <row r="496" ht="15.75" hidden="1" customHeight="1">
      <c r="A496" s="82" t="s">
        <v>20</v>
      </c>
      <c r="B496" s="82" t="s">
        <v>31</v>
      </c>
      <c r="C496" s="220"/>
      <c r="D496" s="64" t="s">
        <v>7</v>
      </c>
      <c r="E496" s="221">
        <v>46107.0</v>
      </c>
      <c r="F496" s="213">
        <f t="shared" si="1"/>
        <v>26</v>
      </c>
      <c r="G496" s="213">
        <f t="shared" si="2"/>
        <v>3</v>
      </c>
      <c r="H496" s="213">
        <f t="shared" si="3"/>
        <v>2026</v>
      </c>
      <c r="I496" s="214">
        <v>3.0</v>
      </c>
      <c r="J496" s="222">
        <v>2026.0</v>
      </c>
      <c r="K496" s="223"/>
      <c r="L496" s="223">
        <v>25.95</v>
      </c>
      <c r="M496" s="32">
        <v>1.0</v>
      </c>
      <c r="N496" s="217">
        <f t="shared" si="88"/>
        <v>25.95</v>
      </c>
      <c r="O496" s="87">
        <v>132.0</v>
      </c>
      <c r="P496" s="87"/>
      <c r="Q496" s="32" t="s">
        <v>1127</v>
      </c>
    </row>
    <row r="497" ht="15.75" hidden="1" customHeight="1">
      <c r="A497" s="82" t="s">
        <v>20</v>
      </c>
      <c r="B497" s="82" t="s">
        <v>31</v>
      </c>
      <c r="C497" s="230"/>
      <c r="D497" s="82" t="s">
        <v>7</v>
      </c>
      <c r="E497" s="231">
        <v>46066.0</v>
      </c>
      <c r="F497" s="213">
        <f t="shared" si="1"/>
        <v>13</v>
      </c>
      <c r="G497" s="213">
        <f t="shared" si="2"/>
        <v>2</v>
      </c>
      <c r="H497" s="213">
        <f t="shared" si="3"/>
        <v>2026</v>
      </c>
      <c r="I497" s="232">
        <v>2.0</v>
      </c>
      <c r="J497" s="213">
        <v>2026.0</v>
      </c>
      <c r="K497" s="307"/>
      <c r="L497" s="307">
        <v>25.49</v>
      </c>
      <c r="M497" s="32">
        <v>1.0</v>
      </c>
      <c r="N497" s="217">
        <f t="shared" si="88"/>
        <v>25.49</v>
      </c>
      <c r="O497" s="87">
        <v>60.0</v>
      </c>
      <c r="P497" s="245"/>
      <c r="Q497" s="164" t="s">
        <v>1255</v>
      </c>
    </row>
    <row r="498" ht="15.75" hidden="1" customHeight="1">
      <c r="A498" s="82" t="s">
        <v>20</v>
      </c>
      <c r="B498" s="64" t="s">
        <v>31</v>
      </c>
      <c r="C498" s="220"/>
      <c r="D498" s="64" t="s">
        <v>7</v>
      </c>
      <c r="E498" s="221">
        <v>46223.0</v>
      </c>
      <c r="F498" s="213">
        <f t="shared" si="1"/>
        <v>20</v>
      </c>
      <c r="G498" s="213">
        <f t="shared" si="2"/>
        <v>7</v>
      </c>
      <c r="H498" s="213">
        <f t="shared" si="3"/>
        <v>2026</v>
      </c>
      <c r="I498" s="214">
        <f t="shared" ref="I498:J498" si="93">G498</f>
        <v>7</v>
      </c>
      <c r="J498" s="215">
        <f t="shared" si="93"/>
        <v>2026</v>
      </c>
      <c r="K498" s="223"/>
      <c r="L498" s="223">
        <v>25.44</v>
      </c>
      <c r="M498" s="32">
        <v>1.0</v>
      </c>
      <c r="N498" s="236">
        <f t="shared" si="88"/>
        <v>25.44</v>
      </c>
      <c r="O498" s="87"/>
      <c r="P498" s="87"/>
      <c r="Q498" s="226"/>
      <c r="T498" s="142"/>
    </row>
    <row r="499" ht="15.75" hidden="1" customHeight="1">
      <c r="A499" s="82" t="s">
        <v>20</v>
      </c>
      <c r="B499" s="82" t="s">
        <v>31</v>
      </c>
      <c r="C499" s="220"/>
      <c r="D499" s="64" t="s">
        <v>7</v>
      </c>
      <c r="E499" s="221">
        <v>46128.0</v>
      </c>
      <c r="F499" s="213">
        <f t="shared" si="1"/>
        <v>16</v>
      </c>
      <c r="G499" s="213">
        <f t="shared" si="2"/>
        <v>4</v>
      </c>
      <c r="H499" s="213">
        <f t="shared" si="3"/>
        <v>2026</v>
      </c>
      <c r="I499" s="214">
        <v>4.0</v>
      </c>
      <c r="J499" s="222">
        <v>2026.0</v>
      </c>
      <c r="K499" s="223"/>
      <c r="L499" s="223">
        <v>24.99</v>
      </c>
      <c r="M499" s="32">
        <v>1.0</v>
      </c>
      <c r="N499" s="217">
        <f t="shared" si="88"/>
        <v>24.99</v>
      </c>
      <c r="O499" s="87">
        <v>168.0</v>
      </c>
      <c r="P499" s="87"/>
      <c r="Q499" s="32" t="s">
        <v>1176</v>
      </c>
    </row>
    <row r="500" ht="15.75" hidden="1" customHeight="1">
      <c r="A500" s="82" t="s">
        <v>20</v>
      </c>
      <c r="B500" s="82" t="s">
        <v>31</v>
      </c>
      <c r="C500" s="220"/>
      <c r="D500" s="82" t="s">
        <v>8</v>
      </c>
      <c r="E500" s="221">
        <v>46114.0</v>
      </c>
      <c r="F500" s="213">
        <f t="shared" si="1"/>
        <v>2</v>
      </c>
      <c r="G500" s="213">
        <f t="shared" si="2"/>
        <v>4</v>
      </c>
      <c r="H500" s="213">
        <f t="shared" si="3"/>
        <v>2026</v>
      </c>
      <c r="I500" s="214">
        <v>4.0</v>
      </c>
      <c r="J500" s="222">
        <v>2026.0</v>
      </c>
      <c r="K500" s="223"/>
      <c r="L500" s="223">
        <v>22.35</v>
      </c>
      <c r="M500" s="32">
        <v>1.0</v>
      </c>
      <c r="N500" s="351">
        <f t="shared" si="88"/>
        <v>22.35</v>
      </c>
      <c r="O500" s="269">
        <v>149.0</v>
      </c>
      <c r="P500" s="87" t="s">
        <v>16</v>
      </c>
      <c r="Q500" s="32" t="s">
        <v>1127</v>
      </c>
    </row>
    <row r="501" ht="15.75" hidden="1" customHeight="1">
      <c r="A501" s="82" t="s">
        <v>20</v>
      </c>
      <c r="B501" s="82" t="s">
        <v>31</v>
      </c>
      <c r="C501" s="230"/>
      <c r="D501" s="82" t="s">
        <v>7</v>
      </c>
      <c r="E501" s="231">
        <v>46095.0</v>
      </c>
      <c r="F501" s="213">
        <f t="shared" si="1"/>
        <v>14</v>
      </c>
      <c r="G501" s="213">
        <f t="shared" si="2"/>
        <v>3</v>
      </c>
      <c r="H501" s="213">
        <f t="shared" si="3"/>
        <v>2026</v>
      </c>
      <c r="I501" s="232">
        <v>3.0</v>
      </c>
      <c r="J501" s="213">
        <v>2026.0</v>
      </c>
      <c r="K501" s="307"/>
      <c r="L501" s="307">
        <v>21.55</v>
      </c>
      <c r="M501" s="32">
        <v>1.0</v>
      </c>
      <c r="N501" s="217">
        <f t="shared" si="88"/>
        <v>21.55</v>
      </c>
      <c r="O501" s="311">
        <v>116.0</v>
      </c>
      <c r="P501" s="140"/>
      <c r="Q501" s="164" t="s">
        <v>1265</v>
      </c>
    </row>
    <row r="502" ht="15.75" hidden="1" customHeight="1">
      <c r="A502" s="82" t="s">
        <v>20</v>
      </c>
      <c r="B502" s="82" t="s">
        <v>31</v>
      </c>
      <c r="C502" s="230"/>
      <c r="D502" s="82" t="s">
        <v>7</v>
      </c>
      <c r="E502" s="231">
        <v>46074.0</v>
      </c>
      <c r="F502" s="213">
        <f t="shared" si="1"/>
        <v>21</v>
      </c>
      <c r="G502" s="213">
        <f t="shared" si="2"/>
        <v>2</v>
      </c>
      <c r="H502" s="213">
        <f t="shared" si="3"/>
        <v>2026</v>
      </c>
      <c r="I502" s="232">
        <v>2.0</v>
      </c>
      <c r="J502" s="213">
        <v>2026.0</v>
      </c>
      <c r="K502" s="217"/>
      <c r="L502" s="217">
        <v>21.07</v>
      </c>
      <c r="M502" s="32">
        <v>1.0</v>
      </c>
      <c r="N502" s="217">
        <f t="shared" si="88"/>
        <v>21.07</v>
      </c>
      <c r="O502" s="87">
        <v>76.0</v>
      </c>
      <c r="P502" s="140"/>
      <c r="Q502" s="164" t="s">
        <v>1143</v>
      </c>
    </row>
    <row r="503" ht="15.75" hidden="1" customHeight="1">
      <c r="A503" s="82" t="s">
        <v>20</v>
      </c>
      <c r="B503" s="82" t="s">
        <v>31</v>
      </c>
      <c r="C503" s="230"/>
      <c r="D503" s="82" t="s">
        <v>7</v>
      </c>
      <c r="E503" s="231">
        <v>46072.0</v>
      </c>
      <c r="F503" s="213">
        <f t="shared" si="1"/>
        <v>19</v>
      </c>
      <c r="G503" s="213">
        <f t="shared" si="2"/>
        <v>2</v>
      </c>
      <c r="H503" s="213">
        <f t="shared" si="3"/>
        <v>2026</v>
      </c>
      <c r="I503" s="232">
        <v>2.0</v>
      </c>
      <c r="J503" s="213">
        <v>2026.0</v>
      </c>
      <c r="K503" s="217"/>
      <c r="L503" s="217">
        <v>20.11</v>
      </c>
      <c r="M503" s="32">
        <v>1.0</v>
      </c>
      <c r="N503" s="217">
        <f t="shared" si="88"/>
        <v>20.11</v>
      </c>
      <c r="O503" s="311">
        <v>75.0</v>
      </c>
      <c r="P503" s="140"/>
      <c r="Q503" s="164" t="s">
        <v>1143</v>
      </c>
    </row>
    <row r="504" ht="15.75" hidden="1" customHeight="1">
      <c r="A504" s="82" t="s">
        <v>20</v>
      </c>
      <c r="B504" s="82" t="s">
        <v>31</v>
      </c>
      <c r="C504" s="220"/>
      <c r="D504" s="64" t="s">
        <v>7</v>
      </c>
      <c r="E504" s="221">
        <v>46138.0</v>
      </c>
      <c r="F504" s="213">
        <f t="shared" si="1"/>
        <v>26</v>
      </c>
      <c r="G504" s="213">
        <f t="shared" si="2"/>
        <v>4</v>
      </c>
      <c r="H504" s="213">
        <f t="shared" si="3"/>
        <v>2026</v>
      </c>
      <c r="I504" s="214">
        <v>4.0</v>
      </c>
      <c r="J504" s="222">
        <v>2026.0</v>
      </c>
      <c r="K504" s="223"/>
      <c r="L504" s="223">
        <v>19.9</v>
      </c>
      <c r="M504" s="32">
        <v>1.0</v>
      </c>
      <c r="N504" s="217">
        <f t="shared" si="88"/>
        <v>19.9</v>
      </c>
      <c r="O504" s="87">
        <v>185.0</v>
      </c>
      <c r="P504" s="87"/>
      <c r="Q504" s="164" t="s">
        <v>1257</v>
      </c>
      <c r="T504" s="142"/>
    </row>
    <row r="505" ht="15.75" hidden="1" customHeight="1">
      <c r="A505" s="82" t="s">
        <v>20</v>
      </c>
      <c r="B505" s="82" t="s">
        <v>31</v>
      </c>
      <c r="C505" s="220"/>
      <c r="D505" s="64" t="s">
        <v>7</v>
      </c>
      <c r="E505" s="221">
        <v>46106.0</v>
      </c>
      <c r="F505" s="213">
        <f t="shared" si="1"/>
        <v>25</v>
      </c>
      <c r="G505" s="213">
        <f t="shared" si="2"/>
        <v>3</v>
      </c>
      <c r="H505" s="213">
        <f t="shared" si="3"/>
        <v>2026</v>
      </c>
      <c r="I505" s="214">
        <v>3.0</v>
      </c>
      <c r="J505" s="222">
        <v>2026.0</v>
      </c>
      <c r="K505" s="223"/>
      <c r="L505" s="223">
        <v>19.0</v>
      </c>
      <c r="M505" s="32">
        <v>1.0</v>
      </c>
      <c r="N505" s="217">
        <f t="shared" si="88"/>
        <v>19</v>
      </c>
      <c r="O505" s="87">
        <v>143.0</v>
      </c>
      <c r="P505" s="87"/>
      <c r="Q505" s="32" t="s">
        <v>1270</v>
      </c>
    </row>
    <row r="506" ht="15.75" hidden="1" customHeight="1">
      <c r="A506" s="82" t="s">
        <v>20</v>
      </c>
      <c r="B506" s="82" t="s">
        <v>31</v>
      </c>
      <c r="C506" s="220"/>
      <c r="D506" s="82" t="s">
        <v>8</v>
      </c>
      <c r="E506" s="221">
        <v>46126.0</v>
      </c>
      <c r="F506" s="213">
        <f t="shared" si="1"/>
        <v>14</v>
      </c>
      <c r="G506" s="213">
        <f t="shared" si="2"/>
        <v>4</v>
      </c>
      <c r="H506" s="213">
        <f t="shared" si="3"/>
        <v>2026</v>
      </c>
      <c r="I506" s="214">
        <v>4.0</v>
      </c>
      <c r="J506" s="222">
        <v>2026.0</v>
      </c>
      <c r="K506" s="223"/>
      <c r="L506" s="223">
        <v>14.99</v>
      </c>
      <c r="M506" s="32">
        <v>1.0</v>
      </c>
      <c r="N506" s="217">
        <f t="shared" si="88"/>
        <v>14.99</v>
      </c>
      <c r="O506" s="87">
        <v>179.0</v>
      </c>
      <c r="P506" s="87" t="s">
        <v>16</v>
      </c>
      <c r="Q506" s="32" t="s">
        <v>1272</v>
      </c>
    </row>
    <row r="507" ht="15.75" hidden="1" customHeight="1">
      <c r="A507" s="82" t="s">
        <v>20</v>
      </c>
      <c r="B507" s="82" t="s">
        <v>31</v>
      </c>
      <c r="C507" s="220"/>
      <c r="D507" s="82" t="s">
        <v>8</v>
      </c>
      <c r="E507" s="221">
        <v>46119.0</v>
      </c>
      <c r="F507" s="213">
        <f t="shared" si="1"/>
        <v>7</v>
      </c>
      <c r="G507" s="213">
        <f t="shared" si="2"/>
        <v>4</v>
      </c>
      <c r="H507" s="213">
        <f t="shared" si="3"/>
        <v>2026</v>
      </c>
      <c r="I507" s="214">
        <v>4.0</v>
      </c>
      <c r="J507" s="222">
        <v>2026.0</v>
      </c>
      <c r="K507" s="223"/>
      <c r="L507" s="223">
        <v>13.17</v>
      </c>
      <c r="M507" s="32">
        <v>1.0</v>
      </c>
      <c r="N507" s="351">
        <f t="shared" si="88"/>
        <v>13.17</v>
      </c>
      <c r="O507" s="87">
        <v>150.0</v>
      </c>
      <c r="P507" s="87" t="s">
        <v>16</v>
      </c>
      <c r="Q507" s="32" t="s">
        <v>1274</v>
      </c>
      <c r="T507" s="142"/>
    </row>
    <row r="508" ht="15.75" hidden="1" customHeight="1">
      <c r="A508" s="82" t="s">
        <v>20</v>
      </c>
      <c r="B508" s="64" t="s">
        <v>31</v>
      </c>
      <c r="C508" s="220"/>
      <c r="D508" s="64" t="s">
        <v>7</v>
      </c>
      <c r="E508" s="221">
        <v>46226.0</v>
      </c>
      <c r="F508" s="213">
        <f t="shared" si="1"/>
        <v>23</v>
      </c>
      <c r="G508" s="213">
        <f t="shared" si="2"/>
        <v>7</v>
      </c>
      <c r="H508" s="213">
        <f t="shared" si="3"/>
        <v>2026</v>
      </c>
      <c r="I508" s="214">
        <f t="shared" ref="I508:J508" si="94">G508</f>
        <v>7</v>
      </c>
      <c r="J508" s="215">
        <f t="shared" si="94"/>
        <v>2026</v>
      </c>
      <c r="K508" s="223"/>
      <c r="L508" s="223">
        <v>12.82</v>
      </c>
      <c r="M508" s="32">
        <v>1.0</v>
      </c>
      <c r="N508" s="236">
        <f t="shared" si="88"/>
        <v>12.82</v>
      </c>
      <c r="O508" s="77"/>
      <c r="P508" s="77"/>
      <c r="Q508" s="226"/>
    </row>
    <row r="509" ht="15.75" hidden="1" customHeight="1">
      <c r="A509" s="82" t="s">
        <v>20</v>
      </c>
      <c r="B509" s="82" t="s">
        <v>31</v>
      </c>
      <c r="C509" s="220"/>
      <c r="D509" s="64" t="s">
        <v>7</v>
      </c>
      <c r="E509" s="221">
        <v>46136.0</v>
      </c>
      <c r="F509" s="213">
        <f t="shared" si="1"/>
        <v>24</v>
      </c>
      <c r="G509" s="213">
        <f t="shared" si="2"/>
        <v>4</v>
      </c>
      <c r="H509" s="213">
        <f t="shared" si="3"/>
        <v>2026</v>
      </c>
      <c r="I509" s="214">
        <v>4.0</v>
      </c>
      <c r="J509" s="222">
        <v>2026.0</v>
      </c>
      <c r="K509" s="223"/>
      <c r="L509" s="223">
        <v>12.37</v>
      </c>
      <c r="M509" s="32">
        <v>1.0</v>
      </c>
      <c r="N509" s="217">
        <f t="shared" si="88"/>
        <v>12.37</v>
      </c>
      <c r="O509" s="87">
        <v>183.0</v>
      </c>
      <c r="P509" s="87"/>
      <c r="Q509" s="164" t="s">
        <v>1278</v>
      </c>
    </row>
    <row r="510" ht="15.75" hidden="1" customHeight="1">
      <c r="A510" s="82" t="s">
        <v>20</v>
      </c>
      <c r="B510" s="82" t="s">
        <v>31</v>
      </c>
      <c r="C510" s="230"/>
      <c r="D510" s="82" t="s">
        <v>7</v>
      </c>
      <c r="E510" s="231">
        <v>46090.0</v>
      </c>
      <c r="F510" s="213">
        <f t="shared" si="1"/>
        <v>9</v>
      </c>
      <c r="G510" s="213">
        <f t="shared" si="2"/>
        <v>3</v>
      </c>
      <c r="H510" s="213">
        <f t="shared" si="3"/>
        <v>2026</v>
      </c>
      <c r="I510" s="214">
        <v>3.0</v>
      </c>
      <c r="J510" s="222">
        <v>2026.0</v>
      </c>
      <c r="K510" s="223"/>
      <c r="L510" s="223">
        <v>9.9</v>
      </c>
      <c r="M510" s="32">
        <v>1.0</v>
      </c>
      <c r="N510" s="217">
        <f t="shared" si="88"/>
        <v>9.9</v>
      </c>
      <c r="O510" s="311">
        <v>112.0</v>
      </c>
      <c r="P510" s="140"/>
      <c r="Q510" s="164" t="s">
        <v>1280</v>
      </c>
    </row>
    <row r="511" ht="15.75" hidden="1" customHeight="1">
      <c r="A511" s="82" t="s">
        <v>20</v>
      </c>
      <c r="B511" s="64" t="s">
        <v>31</v>
      </c>
      <c r="C511" s="220"/>
      <c r="D511" s="64" t="s">
        <v>7</v>
      </c>
      <c r="E511" s="221">
        <v>46160.0</v>
      </c>
      <c r="F511" s="213">
        <f t="shared" si="1"/>
        <v>18</v>
      </c>
      <c r="G511" s="213">
        <f t="shared" si="2"/>
        <v>5</v>
      </c>
      <c r="H511" s="213">
        <f t="shared" si="3"/>
        <v>2026</v>
      </c>
      <c r="I511" s="214">
        <v>5.0</v>
      </c>
      <c r="J511" s="222">
        <v>2026.0</v>
      </c>
      <c r="K511" s="223"/>
      <c r="L511" s="223">
        <v>9.66</v>
      </c>
      <c r="M511" s="32">
        <v>1.0</v>
      </c>
      <c r="N511" s="217">
        <f t="shared" si="88"/>
        <v>9.66</v>
      </c>
      <c r="O511" s="87"/>
      <c r="P511" s="224"/>
      <c r="Q511" s="225" t="s">
        <v>1282</v>
      </c>
    </row>
    <row r="512" ht="15.75" hidden="1" customHeight="1">
      <c r="A512" s="82" t="s">
        <v>20</v>
      </c>
      <c r="B512" s="82" t="s">
        <v>31</v>
      </c>
      <c r="C512" s="230"/>
      <c r="D512" s="82" t="s">
        <v>8</v>
      </c>
      <c r="E512" s="231">
        <v>46059.0</v>
      </c>
      <c r="F512" s="213">
        <f t="shared" si="1"/>
        <v>6</v>
      </c>
      <c r="G512" s="213">
        <f t="shared" si="2"/>
        <v>2</v>
      </c>
      <c r="H512" s="213">
        <f t="shared" si="3"/>
        <v>2026</v>
      </c>
      <c r="I512" s="232">
        <v>2.0</v>
      </c>
      <c r="J512" s="213">
        <v>2026.0</v>
      </c>
      <c r="K512" s="307"/>
      <c r="L512" s="307">
        <v>9.5</v>
      </c>
      <c r="M512" s="32">
        <v>1.0</v>
      </c>
      <c r="N512" s="217">
        <f t="shared" si="88"/>
        <v>9.5</v>
      </c>
      <c r="O512" s="311">
        <v>38.0</v>
      </c>
      <c r="P512" s="87" t="s">
        <v>15</v>
      </c>
      <c r="Q512" s="234" t="s">
        <v>1285</v>
      </c>
    </row>
    <row r="513" ht="15.75" hidden="1" customHeight="1">
      <c r="A513" s="82" t="s">
        <v>20</v>
      </c>
      <c r="B513" s="82" t="s">
        <v>31</v>
      </c>
      <c r="C513" s="220"/>
      <c r="D513" s="64" t="s">
        <v>7</v>
      </c>
      <c r="E513" s="221">
        <v>46088.0</v>
      </c>
      <c r="F513" s="213">
        <f t="shared" si="1"/>
        <v>7</v>
      </c>
      <c r="G513" s="213">
        <f t="shared" si="2"/>
        <v>3</v>
      </c>
      <c r="H513" s="213">
        <f t="shared" si="3"/>
        <v>2026</v>
      </c>
      <c r="I513" s="232">
        <v>3.0</v>
      </c>
      <c r="J513" s="213">
        <v>2026.0</v>
      </c>
      <c r="K513" s="307"/>
      <c r="L513" s="307">
        <v>9.29</v>
      </c>
      <c r="M513" s="32">
        <v>1.0</v>
      </c>
      <c r="N513" s="217">
        <f t="shared" si="88"/>
        <v>9.29</v>
      </c>
      <c r="O513" s="311">
        <v>111.0</v>
      </c>
      <c r="P513" s="77"/>
      <c r="Q513" s="164" t="s">
        <v>1280</v>
      </c>
      <c r="R513" s="235"/>
      <c r="S513" s="235"/>
      <c r="T513" s="235"/>
      <c r="U513" s="235"/>
      <c r="V513" s="235"/>
      <c r="W513" s="235"/>
      <c r="X513" s="235"/>
      <c r="Y513" s="235"/>
      <c r="Z513" s="235"/>
      <c r="AA513" s="235"/>
      <c r="AB513" s="235"/>
      <c r="AC513" s="235"/>
      <c r="AD513" s="235"/>
      <c r="AE513" s="235"/>
      <c r="AF513" s="235"/>
      <c r="AG513" s="235"/>
      <c r="AH513" s="235"/>
    </row>
    <row r="514" ht="15.75" hidden="1" customHeight="1">
      <c r="A514" s="82" t="s">
        <v>20</v>
      </c>
      <c r="B514" s="64" t="s">
        <v>31</v>
      </c>
      <c r="C514" s="220"/>
      <c r="D514" s="64" t="s">
        <v>7</v>
      </c>
      <c r="E514" s="221">
        <v>46216.0</v>
      </c>
      <c r="F514" s="213">
        <f t="shared" si="1"/>
        <v>13</v>
      </c>
      <c r="G514" s="213">
        <f t="shared" si="2"/>
        <v>7</v>
      </c>
      <c r="H514" s="213">
        <f t="shared" si="3"/>
        <v>2026</v>
      </c>
      <c r="I514" s="214">
        <f t="shared" ref="I514:J514" si="95">G514</f>
        <v>7</v>
      </c>
      <c r="J514" s="215">
        <f t="shared" si="95"/>
        <v>2026</v>
      </c>
      <c r="K514" s="223"/>
      <c r="L514" s="223">
        <v>8.2</v>
      </c>
      <c r="M514" s="32">
        <v>1.0</v>
      </c>
      <c r="N514" s="236">
        <f t="shared" si="88"/>
        <v>8.2</v>
      </c>
      <c r="O514" s="77"/>
      <c r="P514" s="77"/>
      <c r="Q514" s="225"/>
    </row>
    <row r="515" ht="15.75" hidden="1" customHeight="1">
      <c r="A515" s="82" t="s">
        <v>20</v>
      </c>
      <c r="B515" s="82" t="s">
        <v>31</v>
      </c>
      <c r="C515" s="230"/>
      <c r="D515" s="82" t="s">
        <v>8</v>
      </c>
      <c r="E515" s="231">
        <v>46056.0</v>
      </c>
      <c r="F515" s="213">
        <f t="shared" si="1"/>
        <v>3</v>
      </c>
      <c r="G515" s="213">
        <f t="shared" si="2"/>
        <v>2</v>
      </c>
      <c r="H515" s="213">
        <f t="shared" si="3"/>
        <v>2026</v>
      </c>
      <c r="I515" s="232">
        <v>2.0</v>
      </c>
      <c r="J515" s="213">
        <v>2026.0</v>
      </c>
      <c r="K515" s="307"/>
      <c r="L515" s="307">
        <v>7.5</v>
      </c>
      <c r="M515" s="32">
        <v>1.0</v>
      </c>
      <c r="N515" s="217">
        <f t="shared" si="88"/>
        <v>7.5</v>
      </c>
      <c r="O515" s="311">
        <v>34.0</v>
      </c>
      <c r="P515" s="87" t="s">
        <v>15</v>
      </c>
      <c r="Q515" s="234" t="s">
        <v>1290</v>
      </c>
    </row>
    <row r="516" ht="15.75" hidden="1" customHeight="1">
      <c r="A516" s="82" t="s">
        <v>20</v>
      </c>
      <c r="B516" s="82" t="s">
        <v>31</v>
      </c>
      <c r="C516" s="220"/>
      <c r="D516" s="64" t="s">
        <v>7</v>
      </c>
      <c r="E516" s="221">
        <v>46097.0</v>
      </c>
      <c r="F516" s="213">
        <f t="shared" si="1"/>
        <v>16</v>
      </c>
      <c r="G516" s="213">
        <f t="shared" si="2"/>
        <v>3</v>
      </c>
      <c r="H516" s="213">
        <f t="shared" si="3"/>
        <v>2026</v>
      </c>
      <c r="I516" s="214">
        <v>3.0</v>
      </c>
      <c r="J516" s="222">
        <v>2026.0</v>
      </c>
      <c r="K516" s="223"/>
      <c r="L516" s="223">
        <v>6.47</v>
      </c>
      <c r="M516" s="32">
        <v>1.0</v>
      </c>
      <c r="N516" s="217">
        <f t="shared" si="88"/>
        <v>6.47</v>
      </c>
      <c r="O516" s="87">
        <v>130.0</v>
      </c>
      <c r="P516" s="77"/>
      <c r="Q516" s="32" t="s">
        <v>1292</v>
      </c>
    </row>
    <row r="517" ht="15.75" hidden="1" customHeight="1">
      <c r="A517" s="82" t="s">
        <v>20</v>
      </c>
      <c r="B517" s="82" t="s">
        <v>31</v>
      </c>
      <c r="C517" s="230"/>
      <c r="D517" s="82" t="s">
        <v>8</v>
      </c>
      <c r="E517" s="231">
        <v>46030.0</v>
      </c>
      <c r="F517" s="213">
        <f t="shared" si="1"/>
        <v>8</v>
      </c>
      <c r="G517" s="213">
        <f t="shared" si="2"/>
        <v>1</v>
      </c>
      <c r="H517" s="213">
        <f t="shared" si="3"/>
        <v>2026</v>
      </c>
      <c r="I517" s="232">
        <v>1.0</v>
      </c>
      <c r="J517" s="213">
        <v>2026.0</v>
      </c>
      <c r="K517" s="307"/>
      <c r="L517" s="307">
        <v>4.8</v>
      </c>
      <c r="M517" s="32">
        <v>1.0</v>
      </c>
      <c r="N517" s="217">
        <f t="shared" si="88"/>
        <v>4.8</v>
      </c>
      <c r="O517" s="87">
        <v>13.0</v>
      </c>
      <c r="P517" s="87" t="s">
        <v>15</v>
      </c>
      <c r="Q517" s="234" t="s">
        <v>1294</v>
      </c>
    </row>
    <row r="518" ht="15.75" hidden="1" customHeight="1">
      <c r="A518" s="82" t="s">
        <v>20</v>
      </c>
      <c r="B518" s="82" t="s">
        <v>31</v>
      </c>
      <c r="C518" s="230"/>
      <c r="D518" s="82" t="s">
        <v>7</v>
      </c>
      <c r="E518" s="231">
        <v>46086.0</v>
      </c>
      <c r="F518" s="213">
        <f t="shared" si="1"/>
        <v>5</v>
      </c>
      <c r="G518" s="213">
        <f t="shared" si="2"/>
        <v>3</v>
      </c>
      <c r="H518" s="213">
        <f t="shared" si="3"/>
        <v>2026</v>
      </c>
      <c r="I518" s="232">
        <v>3.0</v>
      </c>
      <c r="J518" s="213">
        <v>2026.0</v>
      </c>
      <c r="K518" s="307"/>
      <c r="L518" s="307">
        <v>4.37</v>
      </c>
      <c r="M518" s="32">
        <v>1.0</v>
      </c>
      <c r="N518" s="217">
        <f t="shared" si="88"/>
        <v>4.37</v>
      </c>
      <c r="O518" s="311">
        <v>107.0</v>
      </c>
      <c r="P518" s="140"/>
      <c r="Q518" s="164" t="s">
        <v>1296</v>
      </c>
      <c r="R518" s="235"/>
      <c r="S518" s="235"/>
      <c r="T518" s="235"/>
      <c r="U518" s="235"/>
      <c r="V518" s="235"/>
      <c r="W518" s="235"/>
      <c r="X518" s="235"/>
      <c r="Y518" s="235"/>
      <c r="Z518" s="235"/>
      <c r="AA518" s="235"/>
      <c r="AB518" s="235"/>
      <c r="AC518" s="235"/>
      <c r="AD518" s="235"/>
      <c r="AE518" s="235"/>
      <c r="AF518" s="235"/>
      <c r="AG518" s="235"/>
      <c r="AH518" s="235"/>
    </row>
    <row r="519" ht="15.75" hidden="1" customHeight="1">
      <c r="A519" s="82" t="s">
        <v>20</v>
      </c>
      <c r="B519" s="82" t="s">
        <v>31</v>
      </c>
      <c r="C519" s="230"/>
      <c r="D519" s="82" t="s">
        <v>7</v>
      </c>
      <c r="E519" s="231">
        <v>46057.0</v>
      </c>
      <c r="F519" s="213">
        <f t="shared" si="1"/>
        <v>4</v>
      </c>
      <c r="G519" s="213">
        <f t="shared" si="2"/>
        <v>2</v>
      </c>
      <c r="H519" s="213">
        <f t="shared" si="3"/>
        <v>2026</v>
      </c>
      <c r="I519" s="232">
        <v>2.0</v>
      </c>
      <c r="J519" s="213">
        <v>2026.0</v>
      </c>
      <c r="K519" s="307"/>
      <c r="L519" s="307">
        <v>1.76</v>
      </c>
      <c r="M519" s="32">
        <v>1.0</v>
      </c>
      <c r="N519" s="217">
        <f t="shared" si="88"/>
        <v>1.76</v>
      </c>
      <c r="O519" s="311">
        <v>37.0</v>
      </c>
      <c r="P519" s="140"/>
      <c r="Q519" s="234" t="s">
        <v>1143</v>
      </c>
    </row>
    <row r="520" ht="15.75" hidden="1" customHeight="1">
      <c r="A520" s="82" t="s">
        <v>20</v>
      </c>
      <c r="B520" s="64" t="s">
        <v>31</v>
      </c>
      <c r="C520" s="220"/>
      <c r="D520" s="64" t="s">
        <v>319</v>
      </c>
      <c r="E520" s="221">
        <v>46211.0</v>
      </c>
      <c r="F520" s="213">
        <f t="shared" si="1"/>
        <v>8</v>
      </c>
      <c r="G520" s="213">
        <f t="shared" si="2"/>
        <v>7</v>
      </c>
      <c r="H520" s="213">
        <f t="shared" si="3"/>
        <v>2026</v>
      </c>
      <c r="I520" s="214">
        <f t="shared" ref="I520:J520" si="96">G520</f>
        <v>7</v>
      </c>
      <c r="J520" s="215">
        <f t="shared" si="96"/>
        <v>2026</v>
      </c>
      <c r="K520" s="223"/>
      <c r="L520" s="223">
        <v>15.27</v>
      </c>
      <c r="M520" s="32">
        <v>1.0</v>
      </c>
      <c r="N520" s="236">
        <f t="shared" si="88"/>
        <v>15.27</v>
      </c>
      <c r="O520" s="87"/>
      <c r="P520" s="87"/>
      <c r="Q520" s="225"/>
    </row>
    <row r="521" ht="15.75" hidden="1" customHeight="1">
      <c r="A521" s="82" t="s">
        <v>20</v>
      </c>
      <c r="B521" s="64" t="s">
        <v>31</v>
      </c>
      <c r="C521" s="220"/>
      <c r="D521" s="64" t="s">
        <v>319</v>
      </c>
      <c r="E521" s="221">
        <v>46219.0</v>
      </c>
      <c r="F521" s="213">
        <f t="shared" si="1"/>
        <v>16</v>
      </c>
      <c r="G521" s="213">
        <f t="shared" si="2"/>
        <v>7</v>
      </c>
      <c r="H521" s="213">
        <f t="shared" si="3"/>
        <v>2026</v>
      </c>
      <c r="I521" s="214">
        <f t="shared" ref="I521:J521" si="97">G521</f>
        <v>7</v>
      </c>
      <c r="J521" s="215">
        <f t="shared" si="97"/>
        <v>2026</v>
      </c>
      <c r="K521" s="223"/>
      <c r="L521" s="223">
        <v>7.78</v>
      </c>
      <c r="M521" s="32">
        <v>1.0</v>
      </c>
      <c r="N521" s="217">
        <f t="shared" si="88"/>
        <v>7.78</v>
      </c>
      <c r="O521" s="87"/>
      <c r="P521" s="87"/>
      <c r="Q521" s="226"/>
    </row>
    <row r="522" ht="15.75" hidden="1" customHeight="1">
      <c r="A522" s="82" t="s">
        <v>20</v>
      </c>
      <c r="B522" s="64" t="s">
        <v>31</v>
      </c>
      <c r="C522" s="220"/>
      <c r="D522" s="64" t="s">
        <v>319</v>
      </c>
      <c r="E522" s="221">
        <v>46211.0</v>
      </c>
      <c r="F522" s="213">
        <f t="shared" si="1"/>
        <v>8</v>
      </c>
      <c r="G522" s="213">
        <f t="shared" si="2"/>
        <v>7</v>
      </c>
      <c r="H522" s="213">
        <f t="shared" si="3"/>
        <v>2026</v>
      </c>
      <c r="I522" s="214">
        <f t="shared" ref="I522:J522" si="98">G522</f>
        <v>7</v>
      </c>
      <c r="J522" s="215">
        <f t="shared" si="98"/>
        <v>2026</v>
      </c>
      <c r="K522" s="223"/>
      <c r="L522" s="223">
        <v>5.16</v>
      </c>
      <c r="M522" s="32">
        <v>1.0</v>
      </c>
      <c r="N522" s="236">
        <f t="shared" si="88"/>
        <v>5.16</v>
      </c>
      <c r="O522" s="87"/>
      <c r="P522" s="224"/>
      <c r="Q522" s="225"/>
      <c r="V522" s="142"/>
      <c r="W522" s="142"/>
      <c r="X522" s="142"/>
      <c r="Y522" s="142"/>
      <c r="Z522" s="142"/>
      <c r="AA522" s="142"/>
      <c r="AB522" s="142"/>
      <c r="AC522" s="142"/>
      <c r="AD522" s="142"/>
      <c r="AE522" s="142"/>
      <c r="AF522" s="142"/>
      <c r="AG522" s="142"/>
      <c r="AH522" s="142"/>
    </row>
    <row r="523" ht="15.75" hidden="1" customHeight="1">
      <c r="A523" s="82" t="s">
        <v>20</v>
      </c>
      <c r="B523" s="64" t="s">
        <v>31</v>
      </c>
      <c r="C523" s="220"/>
      <c r="D523" s="64" t="s">
        <v>319</v>
      </c>
      <c r="E523" s="221">
        <v>46220.0</v>
      </c>
      <c r="F523" s="213">
        <f t="shared" si="1"/>
        <v>17</v>
      </c>
      <c r="G523" s="213">
        <f t="shared" si="2"/>
        <v>7</v>
      </c>
      <c r="H523" s="213">
        <f t="shared" si="3"/>
        <v>2026</v>
      </c>
      <c r="I523" s="214">
        <f t="shared" ref="I523:J523" si="99">G523</f>
        <v>7</v>
      </c>
      <c r="J523" s="215">
        <f t="shared" si="99"/>
        <v>2026</v>
      </c>
      <c r="K523" s="223"/>
      <c r="L523" s="223">
        <v>4.29</v>
      </c>
      <c r="M523" s="32">
        <v>1.0</v>
      </c>
      <c r="N523" s="217">
        <f t="shared" si="88"/>
        <v>4.29</v>
      </c>
      <c r="O523" s="87"/>
      <c r="P523" s="87"/>
      <c r="Q523" s="225"/>
    </row>
    <row r="524" ht="15.75" hidden="1" customHeight="1">
      <c r="A524" s="64" t="s">
        <v>20</v>
      </c>
      <c r="B524" s="64" t="s">
        <v>31</v>
      </c>
      <c r="C524" s="220"/>
      <c r="D524" s="64" t="s">
        <v>319</v>
      </c>
      <c r="E524" s="221">
        <v>46213.0</v>
      </c>
      <c r="F524" s="213">
        <f t="shared" si="1"/>
        <v>10</v>
      </c>
      <c r="G524" s="213">
        <f t="shared" si="2"/>
        <v>7</v>
      </c>
      <c r="H524" s="213">
        <f t="shared" si="3"/>
        <v>2026</v>
      </c>
      <c r="I524" s="214">
        <f t="shared" ref="I524:J524" si="100">G524</f>
        <v>7</v>
      </c>
      <c r="J524" s="215">
        <f t="shared" si="100"/>
        <v>2026</v>
      </c>
      <c r="K524" s="223"/>
      <c r="L524" s="223">
        <v>3.29</v>
      </c>
      <c r="M524" s="32">
        <v>1.0</v>
      </c>
      <c r="N524" s="217">
        <f t="shared" si="88"/>
        <v>3.29</v>
      </c>
      <c r="O524" s="87"/>
      <c r="P524" s="87"/>
      <c r="Q524" s="225"/>
    </row>
    <row r="525" ht="15.75" hidden="1" customHeight="1">
      <c r="A525" s="82" t="s">
        <v>20</v>
      </c>
      <c r="B525" s="64" t="s">
        <v>33</v>
      </c>
      <c r="C525" s="362"/>
      <c r="D525" s="363" t="s">
        <v>7</v>
      </c>
      <c r="E525" s="364">
        <v>45945.0</v>
      </c>
      <c r="F525" s="365">
        <f t="shared" si="1"/>
        <v>15</v>
      </c>
      <c r="G525" s="365">
        <f t="shared" si="2"/>
        <v>10</v>
      </c>
      <c r="H525" s="365">
        <f t="shared" si="3"/>
        <v>2025</v>
      </c>
      <c r="I525" s="232">
        <v>10.0</v>
      </c>
      <c r="J525" s="365">
        <v>2025.0</v>
      </c>
      <c r="K525" s="366"/>
      <c r="L525" s="366">
        <v>2066.4</v>
      </c>
      <c r="M525" s="367">
        <v>1.0</v>
      </c>
      <c r="N525" s="366">
        <f t="shared" si="88"/>
        <v>2066.4</v>
      </c>
      <c r="O525" s="87">
        <v>1.0</v>
      </c>
      <c r="P525" s="363">
        <v>2025.0</v>
      </c>
      <c r="Q525" s="363" t="s">
        <v>1307</v>
      </c>
      <c r="R525" s="370"/>
      <c r="S525" s="370"/>
      <c r="T525" s="370"/>
      <c r="U525" s="370"/>
      <c r="V525" s="370"/>
      <c r="W525" s="370"/>
      <c r="X525" s="370"/>
      <c r="Y525" s="370"/>
      <c r="Z525" s="370"/>
      <c r="AA525" s="370"/>
      <c r="AB525" s="370"/>
      <c r="AC525" s="370"/>
      <c r="AD525" s="370"/>
      <c r="AE525" s="370"/>
      <c r="AF525" s="370"/>
      <c r="AG525" s="370"/>
      <c r="AH525" s="370"/>
    </row>
    <row r="526" ht="15.75" hidden="1" customHeight="1">
      <c r="A526" s="82" t="s">
        <v>20</v>
      </c>
      <c r="B526" s="64" t="s">
        <v>33</v>
      </c>
      <c r="C526" s="369"/>
      <c r="D526" s="363" t="s">
        <v>7</v>
      </c>
      <c r="E526" s="364">
        <v>45947.0</v>
      </c>
      <c r="F526" s="365">
        <f t="shared" si="1"/>
        <v>17</v>
      </c>
      <c r="G526" s="365">
        <f t="shared" si="2"/>
        <v>10</v>
      </c>
      <c r="H526" s="365">
        <f t="shared" si="3"/>
        <v>2025</v>
      </c>
      <c r="I526" s="232">
        <v>10.0</v>
      </c>
      <c r="J526" s="365">
        <v>2025.0</v>
      </c>
      <c r="K526" s="366"/>
      <c r="L526" s="366">
        <v>233.7</v>
      </c>
      <c r="M526" s="367">
        <v>1.0</v>
      </c>
      <c r="N526" s="366">
        <f t="shared" si="88"/>
        <v>233.7</v>
      </c>
      <c r="O526" s="87">
        <v>2.0</v>
      </c>
      <c r="P526" s="363">
        <v>2025.0</v>
      </c>
      <c r="Q526" s="368" t="s">
        <v>1309</v>
      </c>
      <c r="R526" s="370"/>
      <c r="S526" s="370"/>
      <c r="T526" s="370"/>
      <c r="U526" s="370"/>
      <c r="V526" s="370"/>
      <c r="W526" s="370"/>
      <c r="X526" s="370"/>
      <c r="Y526" s="370"/>
      <c r="Z526" s="370"/>
      <c r="AA526" s="370"/>
      <c r="AB526" s="370"/>
      <c r="AC526" s="370"/>
      <c r="AD526" s="370"/>
      <c r="AE526" s="370"/>
      <c r="AF526" s="370"/>
      <c r="AG526" s="370"/>
      <c r="AH526" s="370"/>
    </row>
    <row r="527" ht="15.75" hidden="1" customHeight="1">
      <c r="A527" s="82" t="s">
        <v>20</v>
      </c>
      <c r="B527" s="64" t="s">
        <v>33</v>
      </c>
      <c r="C527" s="362"/>
      <c r="D527" s="82" t="s">
        <v>8</v>
      </c>
      <c r="E527" s="364">
        <v>45962.0</v>
      </c>
      <c r="F527" s="365">
        <f t="shared" si="1"/>
        <v>1</v>
      </c>
      <c r="G527" s="365">
        <f t="shared" si="2"/>
        <v>11</v>
      </c>
      <c r="H527" s="365">
        <f t="shared" si="3"/>
        <v>2025</v>
      </c>
      <c r="I527" s="386">
        <v>11.0</v>
      </c>
      <c r="J527" s="387">
        <v>2025.0</v>
      </c>
      <c r="K527" s="388"/>
      <c r="L527" s="388">
        <v>80.0</v>
      </c>
      <c r="M527" s="367">
        <v>1.0</v>
      </c>
      <c r="N527" s="366">
        <f t="shared" si="88"/>
        <v>80</v>
      </c>
      <c r="O527" s="87">
        <v>7.0</v>
      </c>
      <c r="P527" s="363">
        <v>2025.0</v>
      </c>
      <c r="Q527" s="368" t="s">
        <v>1312</v>
      </c>
    </row>
    <row r="528" ht="15.75" hidden="1" customHeight="1">
      <c r="A528" s="82" t="s">
        <v>20</v>
      </c>
      <c r="B528" s="64" t="s">
        <v>33</v>
      </c>
      <c r="C528" s="220"/>
      <c r="D528" s="64" t="s">
        <v>7</v>
      </c>
      <c r="E528" s="221">
        <v>46189.0</v>
      </c>
      <c r="F528" s="213">
        <f t="shared" si="1"/>
        <v>16</v>
      </c>
      <c r="G528" s="213">
        <f t="shared" si="2"/>
        <v>6</v>
      </c>
      <c r="H528" s="213">
        <f t="shared" si="3"/>
        <v>2026</v>
      </c>
      <c r="I528" s="214">
        <v>6.0</v>
      </c>
      <c r="J528" s="222">
        <v>2026.0</v>
      </c>
      <c r="K528" s="223"/>
      <c r="L528" s="223">
        <v>2531.34</v>
      </c>
      <c r="M528" s="32">
        <v>1.0</v>
      </c>
      <c r="N528" s="217">
        <f t="shared" si="88"/>
        <v>2531.34</v>
      </c>
      <c r="O528" s="87"/>
      <c r="P528" s="87"/>
      <c r="Q528" s="227"/>
    </row>
    <row r="529" ht="15.75" hidden="1" customHeight="1">
      <c r="A529" s="82" t="s">
        <v>20</v>
      </c>
      <c r="B529" s="64" t="s">
        <v>33</v>
      </c>
      <c r="C529" s="220"/>
      <c r="D529" s="64" t="s">
        <v>7</v>
      </c>
      <c r="E529" s="221">
        <v>46128.0</v>
      </c>
      <c r="F529" s="213">
        <f t="shared" si="1"/>
        <v>16</v>
      </c>
      <c r="G529" s="213">
        <f t="shared" si="2"/>
        <v>4</v>
      </c>
      <c r="H529" s="213">
        <f t="shared" si="3"/>
        <v>2026</v>
      </c>
      <c r="I529" s="214">
        <v>4.0</v>
      </c>
      <c r="J529" s="222">
        <v>2026.0</v>
      </c>
      <c r="K529" s="64"/>
      <c r="L529" s="64">
        <v>2066.4</v>
      </c>
      <c r="M529" s="32">
        <v>1.0</v>
      </c>
      <c r="N529" s="217">
        <f t="shared" si="88"/>
        <v>2066.4</v>
      </c>
      <c r="O529" s="87">
        <v>175.0</v>
      </c>
      <c r="P529" s="87"/>
      <c r="Q529" s="32" t="s">
        <v>1315</v>
      </c>
    </row>
    <row r="530" ht="15.75" hidden="1" customHeight="1">
      <c r="A530" s="82" t="s">
        <v>20</v>
      </c>
      <c r="B530" s="64" t="s">
        <v>33</v>
      </c>
      <c r="C530" s="230"/>
      <c r="D530" s="82" t="s">
        <v>7</v>
      </c>
      <c r="E530" s="231">
        <v>46065.0</v>
      </c>
      <c r="F530" s="213">
        <f t="shared" si="1"/>
        <v>12</v>
      </c>
      <c r="G530" s="213">
        <f t="shared" si="2"/>
        <v>2</v>
      </c>
      <c r="H530" s="213">
        <f t="shared" si="3"/>
        <v>2026</v>
      </c>
      <c r="I530" s="232">
        <v>2.0</v>
      </c>
      <c r="J530" s="213">
        <v>2026.0</v>
      </c>
      <c r="K530" s="307"/>
      <c r="L530" s="307">
        <v>1687.56</v>
      </c>
      <c r="M530" s="32">
        <v>1.0</v>
      </c>
      <c r="N530" s="217">
        <f t="shared" si="88"/>
        <v>1687.56</v>
      </c>
      <c r="O530" s="311">
        <v>52.0</v>
      </c>
      <c r="P530" s="140"/>
      <c r="Q530" s="234" t="s">
        <v>1317</v>
      </c>
    </row>
    <row r="531" ht="15.75" hidden="1" customHeight="1">
      <c r="A531" s="82" t="s">
        <v>20</v>
      </c>
      <c r="B531" s="64" t="s">
        <v>33</v>
      </c>
      <c r="C531" s="220"/>
      <c r="D531" s="82" t="s">
        <v>8</v>
      </c>
      <c r="E531" s="221">
        <v>46104.0</v>
      </c>
      <c r="F531" s="213">
        <f t="shared" si="1"/>
        <v>23</v>
      </c>
      <c r="G531" s="213">
        <f t="shared" si="2"/>
        <v>3</v>
      </c>
      <c r="H531" s="213">
        <f t="shared" si="3"/>
        <v>2026</v>
      </c>
      <c r="I531" s="214">
        <v>3.0</v>
      </c>
      <c r="J531" s="356">
        <v>2026.0</v>
      </c>
      <c r="K531" s="357"/>
      <c r="L531" s="357">
        <v>350.0</v>
      </c>
      <c r="M531" s="32">
        <v>1.0</v>
      </c>
      <c r="N531" s="217">
        <f t="shared" si="88"/>
        <v>350</v>
      </c>
      <c r="O531" s="87">
        <v>126.0</v>
      </c>
      <c r="P531" s="87" t="s">
        <v>17</v>
      </c>
      <c r="Q531" s="32" t="s">
        <v>1319</v>
      </c>
    </row>
    <row r="532" ht="15.75" hidden="1" customHeight="1">
      <c r="A532" s="82" t="s">
        <v>20</v>
      </c>
      <c r="B532" s="64" t="s">
        <v>33</v>
      </c>
      <c r="C532" s="220"/>
      <c r="D532" s="64" t="s">
        <v>7</v>
      </c>
      <c r="E532" s="221">
        <v>46136.0</v>
      </c>
      <c r="F532" s="213">
        <f t="shared" si="1"/>
        <v>24</v>
      </c>
      <c r="G532" s="213">
        <f t="shared" si="2"/>
        <v>4</v>
      </c>
      <c r="H532" s="213">
        <f t="shared" si="3"/>
        <v>2026</v>
      </c>
      <c r="I532" s="214">
        <v>4.0</v>
      </c>
      <c r="J532" s="222">
        <v>2026.0</v>
      </c>
      <c r="K532" s="223"/>
      <c r="L532" s="223">
        <v>55.21</v>
      </c>
      <c r="M532" s="32">
        <v>1.0</v>
      </c>
      <c r="N532" s="217">
        <f t="shared" si="88"/>
        <v>55.21</v>
      </c>
      <c r="O532" s="87">
        <v>197.0</v>
      </c>
      <c r="P532" s="77"/>
      <c r="Q532" s="164" t="s">
        <v>1321</v>
      </c>
    </row>
    <row r="533" ht="15.75" hidden="1" customHeight="1">
      <c r="A533" s="82" t="s">
        <v>20</v>
      </c>
      <c r="B533" s="64" t="s">
        <v>33</v>
      </c>
      <c r="C533" s="230"/>
      <c r="D533" s="82" t="s">
        <v>8</v>
      </c>
      <c r="E533" s="231">
        <v>46079.0</v>
      </c>
      <c r="F533" s="213">
        <f t="shared" si="1"/>
        <v>26</v>
      </c>
      <c r="G533" s="213">
        <f t="shared" si="2"/>
        <v>2</v>
      </c>
      <c r="H533" s="213">
        <f t="shared" si="3"/>
        <v>2026</v>
      </c>
      <c r="I533" s="232">
        <v>2.0</v>
      </c>
      <c r="J533" s="213">
        <v>2026.0</v>
      </c>
      <c r="K533" s="307"/>
      <c r="L533" s="307">
        <v>15.0</v>
      </c>
      <c r="M533" s="32">
        <v>1.0</v>
      </c>
      <c r="N533" s="217">
        <f t="shared" si="88"/>
        <v>15</v>
      </c>
      <c r="O533" s="311">
        <v>88.0</v>
      </c>
      <c r="P533" s="87" t="s">
        <v>16</v>
      </c>
      <c r="Q533" s="32" t="s">
        <v>1323</v>
      </c>
    </row>
    <row r="534" ht="15.75" hidden="1" customHeight="1">
      <c r="A534" s="82" t="s">
        <v>20</v>
      </c>
      <c r="B534" s="82" t="s">
        <v>34</v>
      </c>
      <c r="C534" s="230"/>
      <c r="D534" s="82" t="s">
        <v>7</v>
      </c>
      <c r="E534" s="231">
        <v>46073.0</v>
      </c>
      <c r="F534" s="213">
        <f t="shared" si="1"/>
        <v>20</v>
      </c>
      <c r="G534" s="213">
        <f t="shared" si="2"/>
        <v>2</v>
      </c>
      <c r="H534" s="213">
        <f t="shared" si="3"/>
        <v>2026</v>
      </c>
      <c r="I534" s="232">
        <v>2.0</v>
      </c>
      <c r="J534" s="213">
        <v>2026.0</v>
      </c>
      <c r="K534" s="217"/>
      <c r="L534" s="217">
        <v>76.15</v>
      </c>
      <c r="M534" s="32">
        <v>1.0</v>
      </c>
      <c r="N534" s="217">
        <f t="shared" si="88"/>
        <v>76.15</v>
      </c>
      <c r="O534" s="87">
        <v>69.0</v>
      </c>
      <c r="P534" s="140"/>
      <c r="Q534" s="164" t="s">
        <v>1326</v>
      </c>
    </row>
    <row r="535" ht="15.75" hidden="1" customHeight="1">
      <c r="A535" s="82" t="s">
        <v>20</v>
      </c>
      <c r="B535" s="82" t="s">
        <v>34</v>
      </c>
      <c r="C535" s="230"/>
      <c r="D535" s="82" t="s">
        <v>7</v>
      </c>
      <c r="E535" s="231">
        <v>46073.0</v>
      </c>
      <c r="F535" s="213">
        <f t="shared" si="1"/>
        <v>20</v>
      </c>
      <c r="G535" s="213">
        <f t="shared" si="2"/>
        <v>2</v>
      </c>
      <c r="H535" s="213">
        <f t="shared" si="3"/>
        <v>2026</v>
      </c>
      <c r="I535" s="232">
        <v>2.0</v>
      </c>
      <c r="J535" s="213">
        <v>2026.0</v>
      </c>
      <c r="K535" s="217"/>
      <c r="L535" s="217">
        <v>60.88</v>
      </c>
      <c r="M535" s="32">
        <v>1.0</v>
      </c>
      <c r="N535" s="217">
        <f t="shared" si="88"/>
        <v>60.88</v>
      </c>
      <c r="O535" s="311">
        <v>73.0</v>
      </c>
      <c r="P535" s="140"/>
      <c r="Q535" s="164" t="s">
        <v>1328</v>
      </c>
    </row>
    <row r="536" ht="15.75" hidden="1" customHeight="1">
      <c r="A536" s="82" t="s">
        <v>20</v>
      </c>
      <c r="B536" s="82" t="s">
        <v>34</v>
      </c>
      <c r="C536" s="230"/>
      <c r="D536" s="82" t="s">
        <v>7</v>
      </c>
      <c r="E536" s="231">
        <v>46073.0</v>
      </c>
      <c r="F536" s="213">
        <f t="shared" si="1"/>
        <v>20</v>
      </c>
      <c r="G536" s="213">
        <f t="shared" si="2"/>
        <v>2</v>
      </c>
      <c r="H536" s="213">
        <f t="shared" si="3"/>
        <v>2026</v>
      </c>
      <c r="I536" s="232">
        <v>2.0</v>
      </c>
      <c r="J536" s="213">
        <v>2026.0</v>
      </c>
      <c r="K536" s="217"/>
      <c r="L536" s="217">
        <v>50.0</v>
      </c>
      <c r="M536" s="32">
        <v>1.0</v>
      </c>
      <c r="N536" s="217">
        <f t="shared" si="88"/>
        <v>50</v>
      </c>
      <c r="O536" s="87">
        <v>72.0</v>
      </c>
      <c r="P536" s="140"/>
      <c r="Q536" s="164" t="s">
        <v>1328</v>
      </c>
    </row>
    <row r="537" ht="15.75" hidden="1" customHeight="1">
      <c r="A537" s="82" t="s">
        <v>20</v>
      </c>
      <c r="B537" s="82" t="s">
        <v>34</v>
      </c>
      <c r="C537" s="230"/>
      <c r="D537" s="82" t="s">
        <v>8</v>
      </c>
      <c r="E537" s="231">
        <v>46075.0</v>
      </c>
      <c r="F537" s="213">
        <f t="shared" si="1"/>
        <v>22</v>
      </c>
      <c r="G537" s="213">
        <f t="shared" si="2"/>
        <v>2</v>
      </c>
      <c r="H537" s="213">
        <f t="shared" si="3"/>
        <v>2026</v>
      </c>
      <c r="I537" s="214">
        <v>2.0</v>
      </c>
      <c r="J537" s="222">
        <v>2026.0</v>
      </c>
      <c r="K537" s="223"/>
      <c r="L537" s="223">
        <v>50.0</v>
      </c>
      <c r="M537" s="32">
        <v>1.0</v>
      </c>
      <c r="N537" s="217">
        <f t="shared" si="88"/>
        <v>50</v>
      </c>
      <c r="O537" s="87">
        <v>86.0</v>
      </c>
      <c r="P537" s="87" t="s">
        <v>15</v>
      </c>
      <c r="Q537" s="226"/>
    </row>
    <row r="538" ht="15.75" hidden="1" customHeight="1">
      <c r="A538" s="82" t="s">
        <v>20</v>
      </c>
      <c r="B538" s="82" t="s">
        <v>34</v>
      </c>
      <c r="C538" s="220"/>
      <c r="D538" s="82" t="s">
        <v>7</v>
      </c>
      <c r="E538" s="231">
        <v>46073.0</v>
      </c>
      <c r="F538" s="213">
        <f t="shared" si="1"/>
        <v>20</v>
      </c>
      <c r="G538" s="213">
        <f t="shared" si="2"/>
        <v>2</v>
      </c>
      <c r="H538" s="213">
        <f t="shared" si="3"/>
        <v>2026</v>
      </c>
      <c r="I538" s="232">
        <v>2.0</v>
      </c>
      <c r="J538" s="213">
        <v>2026.0</v>
      </c>
      <c r="K538" s="217"/>
      <c r="L538" s="217">
        <v>28.95</v>
      </c>
      <c r="M538" s="32">
        <v>1.0</v>
      </c>
      <c r="N538" s="217">
        <f t="shared" si="88"/>
        <v>28.95</v>
      </c>
      <c r="O538" s="311">
        <v>68.0</v>
      </c>
      <c r="P538" s="77"/>
      <c r="Q538" s="140" t="s">
        <v>1328</v>
      </c>
    </row>
    <row r="539" ht="15.75" hidden="1" customHeight="1">
      <c r="A539" s="82" t="s">
        <v>20</v>
      </c>
      <c r="B539" s="82" t="s">
        <v>34</v>
      </c>
      <c r="C539" s="230"/>
      <c r="D539" s="82" t="s">
        <v>7</v>
      </c>
      <c r="E539" s="231">
        <v>46073.0</v>
      </c>
      <c r="F539" s="213">
        <f t="shared" si="1"/>
        <v>20</v>
      </c>
      <c r="G539" s="213">
        <f t="shared" si="2"/>
        <v>2</v>
      </c>
      <c r="H539" s="213">
        <f t="shared" si="3"/>
        <v>2026</v>
      </c>
      <c r="I539" s="239">
        <v>2.0</v>
      </c>
      <c r="J539" s="240">
        <v>2026.0</v>
      </c>
      <c r="K539" s="32"/>
      <c r="L539" s="32">
        <v>28.25</v>
      </c>
      <c r="M539" s="32">
        <v>1.0</v>
      </c>
      <c r="N539" s="217">
        <f t="shared" si="88"/>
        <v>28.25</v>
      </c>
      <c r="O539" s="311">
        <v>78.0</v>
      </c>
      <c r="P539" s="140"/>
      <c r="Q539" s="164" t="s">
        <v>1333</v>
      </c>
      <c r="R539" s="140"/>
      <c r="S539" s="140"/>
    </row>
    <row r="540" ht="15.75" hidden="1" customHeight="1">
      <c r="A540" s="82" t="s">
        <v>20</v>
      </c>
      <c r="B540" s="82" t="s">
        <v>34</v>
      </c>
      <c r="C540" s="230"/>
      <c r="D540" s="82" t="s">
        <v>7</v>
      </c>
      <c r="E540" s="231">
        <v>46073.0</v>
      </c>
      <c r="F540" s="213">
        <f t="shared" si="1"/>
        <v>20</v>
      </c>
      <c r="G540" s="213">
        <f t="shared" si="2"/>
        <v>2</v>
      </c>
      <c r="H540" s="213">
        <f t="shared" si="3"/>
        <v>2026</v>
      </c>
      <c r="I540" s="232">
        <v>2.0</v>
      </c>
      <c r="J540" s="213">
        <v>2026.0</v>
      </c>
      <c r="K540" s="217"/>
      <c r="L540" s="217">
        <v>28.25</v>
      </c>
      <c r="M540" s="32">
        <v>1.0</v>
      </c>
      <c r="N540" s="217">
        <f t="shared" si="88"/>
        <v>28.25</v>
      </c>
      <c r="O540" s="87">
        <v>80.0</v>
      </c>
      <c r="P540" s="140"/>
      <c r="Q540" s="164" t="s">
        <v>1333</v>
      </c>
    </row>
    <row r="541" ht="15.75" hidden="1" customHeight="1">
      <c r="A541" s="82" t="s">
        <v>20</v>
      </c>
      <c r="B541" s="82" t="s">
        <v>34</v>
      </c>
      <c r="C541" s="220"/>
      <c r="D541" s="82" t="s">
        <v>7</v>
      </c>
      <c r="E541" s="231">
        <v>46073.0</v>
      </c>
      <c r="F541" s="213">
        <f t="shared" si="1"/>
        <v>20</v>
      </c>
      <c r="G541" s="213">
        <f t="shared" si="2"/>
        <v>2</v>
      </c>
      <c r="H541" s="213">
        <f t="shared" si="3"/>
        <v>2026</v>
      </c>
      <c r="I541" s="232">
        <v>2.0</v>
      </c>
      <c r="J541" s="213">
        <v>2026.0</v>
      </c>
      <c r="K541" s="217"/>
      <c r="L541" s="217">
        <v>15.0</v>
      </c>
      <c r="M541" s="32">
        <v>1.0</v>
      </c>
      <c r="N541" s="217">
        <f t="shared" si="88"/>
        <v>15</v>
      </c>
      <c r="O541" s="311">
        <v>71.0</v>
      </c>
      <c r="P541" s="77"/>
      <c r="Q541" s="164" t="s">
        <v>1328</v>
      </c>
      <c r="R541" s="140"/>
      <c r="S541" s="140"/>
    </row>
    <row r="542" ht="15.75" hidden="1" customHeight="1">
      <c r="A542" s="82" t="s">
        <v>20</v>
      </c>
      <c r="B542" s="82" t="s">
        <v>34</v>
      </c>
      <c r="C542" s="230"/>
      <c r="D542" s="82" t="s">
        <v>7</v>
      </c>
      <c r="E542" s="231">
        <v>46077.0</v>
      </c>
      <c r="F542" s="213">
        <f t="shared" si="1"/>
        <v>24</v>
      </c>
      <c r="G542" s="213">
        <f t="shared" si="2"/>
        <v>2</v>
      </c>
      <c r="H542" s="213">
        <f t="shared" si="3"/>
        <v>2026</v>
      </c>
      <c r="I542" s="232">
        <v>2.0</v>
      </c>
      <c r="J542" s="213">
        <v>2026.0</v>
      </c>
      <c r="K542" s="307"/>
      <c r="L542" s="307">
        <v>12.95</v>
      </c>
      <c r="M542" s="32">
        <v>1.0</v>
      </c>
      <c r="N542" s="217">
        <f t="shared" si="88"/>
        <v>12.95</v>
      </c>
      <c r="O542" s="311">
        <v>89.0</v>
      </c>
      <c r="P542" s="321"/>
      <c r="Q542" s="32" t="s">
        <v>1333</v>
      </c>
      <c r="R542" s="235"/>
      <c r="S542" s="235"/>
      <c r="T542" s="235"/>
      <c r="U542" s="235"/>
      <c r="V542" s="235"/>
      <c r="W542" s="389">
        <v>500000.0</v>
      </c>
      <c r="X542" s="235"/>
      <c r="Y542" s="235"/>
      <c r="Z542" s="235"/>
      <c r="AA542" s="235"/>
      <c r="AB542" s="235"/>
      <c r="AC542" s="235"/>
      <c r="AD542" s="235"/>
      <c r="AE542" s="235"/>
      <c r="AF542" s="235"/>
      <c r="AG542" s="235"/>
      <c r="AH542" s="235"/>
    </row>
    <row r="543" ht="15.75" hidden="1" customHeight="1">
      <c r="A543" s="82" t="s">
        <v>20</v>
      </c>
      <c r="B543" s="82" t="s">
        <v>34</v>
      </c>
      <c r="C543" s="230"/>
      <c r="D543" s="82" t="s">
        <v>7</v>
      </c>
      <c r="E543" s="231">
        <v>46073.0</v>
      </c>
      <c r="F543" s="213">
        <f t="shared" si="1"/>
        <v>20</v>
      </c>
      <c r="G543" s="213">
        <f t="shared" si="2"/>
        <v>2</v>
      </c>
      <c r="H543" s="213">
        <f t="shared" si="3"/>
        <v>2026</v>
      </c>
      <c r="I543" s="232">
        <v>2.0</v>
      </c>
      <c r="J543" s="213">
        <v>2026.0</v>
      </c>
      <c r="K543" s="217"/>
      <c r="L543" s="217">
        <v>11.95</v>
      </c>
      <c r="M543" s="32">
        <v>1.0</v>
      </c>
      <c r="N543" s="217">
        <f t="shared" si="88"/>
        <v>11.95</v>
      </c>
      <c r="O543" s="311">
        <v>67.0</v>
      </c>
      <c r="P543" s="140"/>
      <c r="Q543" s="140" t="s">
        <v>1333</v>
      </c>
    </row>
    <row r="544" ht="15.75" hidden="1" customHeight="1">
      <c r="A544" s="82" t="s">
        <v>20</v>
      </c>
      <c r="B544" s="82" t="s">
        <v>34</v>
      </c>
      <c r="C544" s="230"/>
      <c r="D544" s="82" t="s">
        <v>7</v>
      </c>
      <c r="E544" s="231">
        <v>46073.0</v>
      </c>
      <c r="F544" s="213">
        <f t="shared" si="1"/>
        <v>20</v>
      </c>
      <c r="G544" s="213">
        <f t="shared" si="2"/>
        <v>2</v>
      </c>
      <c r="H544" s="213">
        <f t="shared" si="3"/>
        <v>2026</v>
      </c>
      <c r="I544" s="232">
        <v>2.0</v>
      </c>
      <c r="J544" s="213">
        <v>2026.0</v>
      </c>
      <c r="K544" s="217"/>
      <c r="L544" s="217">
        <v>10.29</v>
      </c>
      <c r="M544" s="32">
        <v>1.0</v>
      </c>
      <c r="N544" s="217">
        <f t="shared" si="88"/>
        <v>10.29</v>
      </c>
      <c r="O544" s="311">
        <v>81.0</v>
      </c>
      <c r="P544" s="140"/>
      <c r="Q544" s="164" t="s">
        <v>1333</v>
      </c>
      <c r="R544" s="32"/>
    </row>
    <row r="545" ht="15.75" hidden="1" customHeight="1">
      <c r="A545" s="82" t="s">
        <v>20</v>
      </c>
      <c r="B545" s="82" t="s">
        <v>34</v>
      </c>
      <c r="C545" s="230"/>
      <c r="D545" s="82" t="s">
        <v>7</v>
      </c>
      <c r="E545" s="231">
        <v>46073.0</v>
      </c>
      <c r="F545" s="213">
        <f t="shared" si="1"/>
        <v>20</v>
      </c>
      <c r="G545" s="213">
        <f t="shared" si="2"/>
        <v>2</v>
      </c>
      <c r="H545" s="213">
        <f t="shared" si="3"/>
        <v>2026</v>
      </c>
      <c r="I545" s="232">
        <v>2.0</v>
      </c>
      <c r="J545" s="213">
        <v>2026.0</v>
      </c>
      <c r="K545" s="307"/>
      <c r="L545" s="307">
        <v>9.94</v>
      </c>
      <c r="M545" s="32">
        <v>1.0</v>
      </c>
      <c r="N545" s="217">
        <f t="shared" si="88"/>
        <v>9.94</v>
      </c>
      <c r="O545" s="311">
        <v>70.0</v>
      </c>
      <c r="P545" s="140"/>
      <c r="Q545" s="321"/>
    </row>
    <row r="546" ht="15.75" hidden="1" customHeight="1">
      <c r="A546" s="82" t="s">
        <v>20</v>
      </c>
      <c r="B546" s="82" t="s">
        <v>34</v>
      </c>
      <c r="C546" s="230"/>
      <c r="D546" s="82" t="s">
        <v>7</v>
      </c>
      <c r="E546" s="231">
        <v>46107.0</v>
      </c>
      <c r="F546" s="213">
        <f t="shared" si="1"/>
        <v>26</v>
      </c>
      <c r="G546" s="213">
        <f t="shared" si="2"/>
        <v>3</v>
      </c>
      <c r="H546" s="213">
        <f t="shared" si="3"/>
        <v>2026</v>
      </c>
      <c r="I546" s="214">
        <v>3.0</v>
      </c>
      <c r="J546" s="222">
        <v>2026.0</v>
      </c>
      <c r="K546" s="223"/>
      <c r="L546" s="223">
        <v>4.94</v>
      </c>
      <c r="M546" s="32">
        <v>1.0</v>
      </c>
      <c r="N546" s="217">
        <f t="shared" si="88"/>
        <v>4.94</v>
      </c>
      <c r="O546" s="87">
        <v>138.0</v>
      </c>
      <c r="P546" s="140"/>
      <c r="Q546" s="225"/>
    </row>
    <row r="547" ht="15.75" hidden="1" customHeight="1">
      <c r="A547" s="82" t="s">
        <v>20</v>
      </c>
      <c r="B547" s="82" t="s">
        <v>34</v>
      </c>
      <c r="C547" s="230"/>
      <c r="D547" s="82" t="s">
        <v>10</v>
      </c>
      <c r="E547" s="231">
        <v>46038.0</v>
      </c>
      <c r="F547" s="213">
        <f t="shared" si="1"/>
        <v>16</v>
      </c>
      <c r="G547" s="213">
        <f t="shared" si="2"/>
        <v>1</v>
      </c>
      <c r="H547" s="213">
        <f t="shared" si="3"/>
        <v>2026</v>
      </c>
      <c r="I547" s="232">
        <v>1.0</v>
      </c>
      <c r="J547" s="213">
        <v>2026.0</v>
      </c>
      <c r="K547" s="307"/>
      <c r="L547" s="307">
        <v>3.94</v>
      </c>
      <c r="M547" s="32">
        <v>1.0</v>
      </c>
      <c r="N547" s="217">
        <f t="shared" si="88"/>
        <v>3.94</v>
      </c>
      <c r="O547" s="311">
        <v>24.0</v>
      </c>
      <c r="P547" s="245"/>
      <c r="Q547" s="234"/>
    </row>
    <row r="548" ht="15.75" hidden="1" customHeight="1">
      <c r="A548" s="82" t="s">
        <v>20</v>
      </c>
      <c r="B548" s="82" t="s">
        <v>34</v>
      </c>
      <c r="C548" s="230"/>
      <c r="D548" s="82" t="s">
        <v>10</v>
      </c>
      <c r="E548" s="231">
        <v>46038.0</v>
      </c>
      <c r="F548" s="213">
        <f t="shared" si="1"/>
        <v>16</v>
      </c>
      <c r="G548" s="213">
        <f t="shared" si="2"/>
        <v>1</v>
      </c>
      <c r="H548" s="213">
        <f t="shared" si="3"/>
        <v>2026</v>
      </c>
      <c r="I548" s="232">
        <v>1.0</v>
      </c>
      <c r="J548" s="213">
        <v>2026.0</v>
      </c>
      <c r="K548" s="307"/>
      <c r="L548" s="307">
        <v>3.58</v>
      </c>
      <c r="M548" s="32">
        <v>1.0</v>
      </c>
      <c r="N548" s="217">
        <f t="shared" si="88"/>
        <v>3.58</v>
      </c>
      <c r="O548" s="311">
        <v>23.0</v>
      </c>
      <c r="P548" s="87"/>
      <c r="Q548" s="234"/>
    </row>
    <row r="549" ht="15.75" hidden="1" customHeight="1">
      <c r="A549" s="82" t="s">
        <v>20</v>
      </c>
      <c r="B549" s="82" t="s">
        <v>34</v>
      </c>
      <c r="C549" s="230"/>
      <c r="D549" s="82" t="s">
        <v>7</v>
      </c>
      <c r="E549" s="231">
        <v>46073.0</v>
      </c>
      <c r="F549" s="213">
        <f t="shared" si="1"/>
        <v>20</v>
      </c>
      <c r="G549" s="213">
        <f t="shared" si="2"/>
        <v>2</v>
      </c>
      <c r="H549" s="213">
        <f t="shared" si="3"/>
        <v>2026</v>
      </c>
      <c r="I549" s="232">
        <v>2.0</v>
      </c>
      <c r="J549" s="213">
        <v>2026.0</v>
      </c>
      <c r="K549" s="217"/>
      <c r="L549" s="217">
        <v>1.3</v>
      </c>
      <c r="M549" s="32">
        <v>1.0</v>
      </c>
      <c r="N549" s="217">
        <f t="shared" si="88"/>
        <v>1.3</v>
      </c>
      <c r="O549" s="311">
        <v>79.0</v>
      </c>
      <c r="P549" s="140"/>
      <c r="Q549" s="164" t="s">
        <v>1333</v>
      </c>
    </row>
    <row r="550" ht="15.75" hidden="1" customHeight="1">
      <c r="A550" s="64" t="s">
        <v>222</v>
      </c>
      <c r="B550" s="64" t="s">
        <v>221</v>
      </c>
      <c r="C550" s="220"/>
      <c r="D550" s="64" t="s">
        <v>319</v>
      </c>
      <c r="E550" s="221">
        <v>46178.0</v>
      </c>
      <c r="F550" s="213">
        <f t="shared" si="1"/>
        <v>5</v>
      </c>
      <c r="G550" s="213">
        <f t="shared" si="2"/>
        <v>6</v>
      </c>
      <c r="H550" s="213">
        <f t="shared" si="3"/>
        <v>2026</v>
      </c>
      <c r="I550" s="214">
        <v>6.0</v>
      </c>
      <c r="J550" s="222">
        <v>2026.0</v>
      </c>
      <c r="K550" s="223"/>
      <c r="L550" s="223">
        <v>6.0</v>
      </c>
      <c r="M550" s="32">
        <v>1.0</v>
      </c>
      <c r="N550" s="217">
        <f t="shared" si="88"/>
        <v>6</v>
      </c>
      <c r="O550" s="87"/>
      <c r="P550" s="87"/>
      <c r="Q550" s="225"/>
    </row>
    <row r="551" ht="15.75" hidden="1" customHeight="1">
      <c r="A551" s="82" t="s">
        <v>222</v>
      </c>
      <c r="B551" s="64" t="s">
        <v>221</v>
      </c>
      <c r="C551" s="220"/>
      <c r="D551" s="64" t="s">
        <v>319</v>
      </c>
      <c r="E551" s="221">
        <v>46210.0</v>
      </c>
      <c r="F551" s="213">
        <f t="shared" si="1"/>
        <v>7</v>
      </c>
      <c r="G551" s="213">
        <f t="shared" si="2"/>
        <v>7</v>
      </c>
      <c r="H551" s="213">
        <f t="shared" si="3"/>
        <v>2026</v>
      </c>
      <c r="I551" s="214">
        <f t="shared" ref="I551:J551" si="101">G551</f>
        <v>7</v>
      </c>
      <c r="J551" s="215">
        <f t="shared" si="101"/>
        <v>2026</v>
      </c>
      <c r="K551" s="223"/>
      <c r="L551" s="223">
        <v>6.0</v>
      </c>
      <c r="M551" s="32">
        <v>1.0</v>
      </c>
      <c r="N551" s="217">
        <f t="shared" si="88"/>
        <v>6</v>
      </c>
      <c r="O551" s="87"/>
      <c r="P551" s="87"/>
      <c r="Q551" s="227"/>
    </row>
    <row r="552" ht="15.75" hidden="1" customHeight="1">
      <c r="A552" s="64" t="s">
        <v>222</v>
      </c>
      <c r="B552" s="64" t="s">
        <v>221</v>
      </c>
      <c r="C552" s="220"/>
      <c r="D552" s="64" t="s">
        <v>319</v>
      </c>
      <c r="E552" s="221">
        <v>46157.0</v>
      </c>
      <c r="F552" s="213">
        <f t="shared" si="1"/>
        <v>15</v>
      </c>
      <c r="G552" s="213">
        <f t="shared" si="2"/>
        <v>5</v>
      </c>
      <c r="H552" s="213">
        <f t="shared" si="3"/>
        <v>2026</v>
      </c>
      <c r="I552" s="214">
        <v>5.0</v>
      </c>
      <c r="J552" s="222">
        <v>2026.0</v>
      </c>
      <c r="K552" s="223"/>
      <c r="L552" s="223">
        <v>5.0</v>
      </c>
      <c r="M552" s="32">
        <v>1.0</v>
      </c>
      <c r="N552" s="217">
        <f t="shared" si="88"/>
        <v>5</v>
      </c>
      <c r="O552" s="87"/>
      <c r="P552" s="224"/>
      <c r="Q552" s="225"/>
    </row>
    <row r="553" ht="15.75" hidden="1" customHeight="1">
      <c r="A553" s="64" t="s">
        <v>222</v>
      </c>
      <c r="B553" s="64" t="s">
        <v>221</v>
      </c>
      <c r="C553" s="220"/>
      <c r="D553" s="64" t="s">
        <v>319</v>
      </c>
      <c r="E553" s="221">
        <v>46165.0</v>
      </c>
      <c r="F553" s="213">
        <f t="shared" si="1"/>
        <v>23</v>
      </c>
      <c r="G553" s="213">
        <f t="shared" si="2"/>
        <v>5</v>
      </c>
      <c r="H553" s="213">
        <f t="shared" si="3"/>
        <v>2026</v>
      </c>
      <c r="I553" s="214">
        <v>5.0</v>
      </c>
      <c r="J553" s="222">
        <v>2026.0</v>
      </c>
      <c r="K553" s="223"/>
      <c r="L553" s="223">
        <v>5.0</v>
      </c>
      <c r="M553" s="32">
        <v>1.0</v>
      </c>
      <c r="N553" s="217">
        <f t="shared" si="88"/>
        <v>5</v>
      </c>
      <c r="O553" s="87"/>
      <c r="P553" s="224"/>
      <c r="Q553" s="225"/>
    </row>
    <row r="554" ht="15.75" hidden="1" customHeight="1">
      <c r="A554" s="64" t="s">
        <v>222</v>
      </c>
      <c r="B554" s="64" t="s">
        <v>221</v>
      </c>
      <c r="C554" s="220"/>
      <c r="D554" s="64" t="s">
        <v>319</v>
      </c>
      <c r="E554" s="221">
        <v>46229.0</v>
      </c>
      <c r="F554" s="213">
        <f t="shared" si="1"/>
        <v>26</v>
      </c>
      <c r="G554" s="213">
        <f t="shared" si="2"/>
        <v>7</v>
      </c>
      <c r="H554" s="213">
        <f t="shared" si="3"/>
        <v>2026</v>
      </c>
      <c r="I554" s="214">
        <f t="shared" ref="I554:J554" si="102">G554</f>
        <v>7</v>
      </c>
      <c r="J554" s="215">
        <f t="shared" si="102"/>
        <v>2026</v>
      </c>
      <c r="K554" s="223"/>
      <c r="L554" s="223">
        <v>2.5</v>
      </c>
      <c r="M554" s="32">
        <v>1.0</v>
      </c>
      <c r="N554" s="217">
        <f t="shared" si="88"/>
        <v>2.5</v>
      </c>
      <c r="O554" s="87"/>
      <c r="P554" s="87"/>
      <c r="Q554" s="225"/>
    </row>
    <row r="555" ht="15.75" hidden="1" customHeight="1">
      <c r="A555" s="64" t="s">
        <v>222</v>
      </c>
      <c r="B555" s="64" t="s">
        <v>219</v>
      </c>
      <c r="C555" s="220"/>
      <c r="D555" s="64" t="s">
        <v>319</v>
      </c>
      <c r="E555" s="221">
        <v>46175.0</v>
      </c>
      <c r="F555" s="213">
        <f t="shared" si="1"/>
        <v>2</v>
      </c>
      <c r="G555" s="213">
        <f t="shared" si="2"/>
        <v>6</v>
      </c>
      <c r="H555" s="213">
        <f t="shared" si="3"/>
        <v>2026</v>
      </c>
      <c r="I555" s="214">
        <v>6.0</v>
      </c>
      <c r="J555" s="222">
        <v>2026.0</v>
      </c>
      <c r="K555" s="223"/>
      <c r="L555" s="223">
        <v>5.0</v>
      </c>
      <c r="M555" s="32">
        <v>1.0</v>
      </c>
      <c r="N555" s="217">
        <f t="shared" si="88"/>
        <v>5</v>
      </c>
      <c r="O555" s="87"/>
      <c r="P555" s="87"/>
      <c r="Q555" s="225"/>
    </row>
    <row r="556" ht="15.75" hidden="1" customHeight="1">
      <c r="A556" s="64" t="s">
        <v>222</v>
      </c>
      <c r="B556" s="64" t="s">
        <v>219</v>
      </c>
      <c r="C556" s="220"/>
      <c r="D556" s="64" t="s">
        <v>319</v>
      </c>
      <c r="E556" s="221">
        <v>46211.0</v>
      </c>
      <c r="F556" s="213">
        <f t="shared" si="1"/>
        <v>8</v>
      </c>
      <c r="G556" s="213">
        <f t="shared" si="2"/>
        <v>7</v>
      </c>
      <c r="H556" s="213">
        <f t="shared" si="3"/>
        <v>2026</v>
      </c>
      <c r="I556" s="214">
        <f t="shared" ref="I556:J556" si="103">G556</f>
        <v>7</v>
      </c>
      <c r="J556" s="215">
        <f t="shared" si="103"/>
        <v>2026</v>
      </c>
      <c r="K556" s="223"/>
      <c r="L556" s="223">
        <v>3.5</v>
      </c>
      <c r="M556" s="32">
        <v>1.0</v>
      </c>
      <c r="N556" s="236">
        <f t="shared" si="88"/>
        <v>3.5</v>
      </c>
      <c r="O556" s="87"/>
      <c r="P556" s="87"/>
      <c r="Q556" s="225"/>
    </row>
    <row r="557" ht="15.75" hidden="1" customHeight="1">
      <c r="A557" s="64" t="s">
        <v>222</v>
      </c>
      <c r="B557" s="64" t="s">
        <v>220</v>
      </c>
      <c r="C557" s="220"/>
      <c r="D557" s="64" t="s">
        <v>7</v>
      </c>
      <c r="E557" s="221">
        <v>46143.0</v>
      </c>
      <c r="F557" s="213">
        <f t="shared" si="1"/>
        <v>1</v>
      </c>
      <c r="G557" s="213">
        <f t="shared" si="2"/>
        <v>5</v>
      </c>
      <c r="H557" s="213">
        <f t="shared" si="3"/>
        <v>2026</v>
      </c>
      <c r="I557" s="214">
        <v>5.0</v>
      </c>
      <c r="J557" s="222">
        <v>2026.0</v>
      </c>
      <c r="K557" s="223"/>
      <c r="L557" s="223">
        <v>27.35</v>
      </c>
      <c r="M557" s="32">
        <v>1.0</v>
      </c>
      <c r="N557" s="217">
        <f t="shared" si="88"/>
        <v>27.35</v>
      </c>
      <c r="O557" s="77"/>
      <c r="P557" s="77"/>
      <c r="Q557" s="225" t="s">
        <v>1354</v>
      </c>
    </row>
    <row r="558" ht="15.75" hidden="1" customHeight="1">
      <c r="A558" s="323" t="s">
        <v>222</v>
      </c>
      <c r="B558" s="64" t="s">
        <v>220</v>
      </c>
      <c r="C558" s="220"/>
      <c r="D558" s="64" t="s">
        <v>7</v>
      </c>
      <c r="E558" s="221">
        <v>46153.0</v>
      </c>
      <c r="F558" s="213">
        <f t="shared" si="1"/>
        <v>11</v>
      </c>
      <c r="G558" s="213">
        <f t="shared" si="2"/>
        <v>5</v>
      </c>
      <c r="H558" s="213">
        <f t="shared" si="3"/>
        <v>2026</v>
      </c>
      <c r="I558" s="214">
        <v>5.0</v>
      </c>
      <c r="J558" s="222">
        <v>2026.0</v>
      </c>
      <c r="K558" s="223"/>
      <c r="L558" s="223">
        <v>19.2</v>
      </c>
      <c r="M558" s="32">
        <v>1.0</v>
      </c>
      <c r="N558" s="217">
        <f t="shared" si="88"/>
        <v>19.2</v>
      </c>
      <c r="O558" s="77"/>
      <c r="P558" s="77"/>
      <c r="Q558" s="225" t="s">
        <v>1356</v>
      </c>
    </row>
    <row r="559" ht="15.75" hidden="1" customHeight="1">
      <c r="A559" s="64" t="s">
        <v>222</v>
      </c>
      <c r="B559" s="64" t="s">
        <v>220</v>
      </c>
      <c r="C559" s="220"/>
      <c r="D559" s="64" t="s">
        <v>319</v>
      </c>
      <c r="E559" s="221">
        <v>46175.0</v>
      </c>
      <c r="F559" s="213">
        <f t="shared" si="1"/>
        <v>2</v>
      </c>
      <c r="G559" s="213">
        <f t="shared" si="2"/>
        <v>6</v>
      </c>
      <c r="H559" s="213">
        <f t="shared" si="3"/>
        <v>2026</v>
      </c>
      <c r="I559" s="214">
        <v>6.0</v>
      </c>
      <c r="J559" s="222">
        <v>2026.0</v>
      </c>
      <c r="K559" s="223"/>
      <c r="L559" s="223">
        <v>24.0</v>
      </c>
      <c r="M559" s="32">
        <v>1.0</v>
      </c>
      <c r="N559" s="217">
        <f t="shared" si="88"/>
        <v>24</v>
      </c>
      <c r="O559" s="87"/>
      <c r="P559" s="87"/>
      <c r="Q559" s="225" t="s">
        <v>1358</v>
      </c>
    </row>
    <row r="560" ht="15.75" hidden="1" customHeight="1">
      <c r="A560" s="64" t="s">
        <v>222</v>
      </c>
      <c r="B560" s="64" t="s">
        <v>220</v>
      </c>
      <c r="C560" s="220"/>
      <c r="D560" s="64" t="s">
        <v>319</v>
      </c>
      <c r="E560" s="221">
        <v>46146.0</v>
      </c>
      <c r="F560" s="213">
        <f t="shared" si="1"/>
        <v>4</v>
      </c>
      <c r="G560" s="213">
        <f t="shared" si="2"/>
        <v>5</v>
      </c>
      <c r="H560" s="213">
        <f t="shared" si="3"/>
        <v>2026</v>
      </c>
      <c r="I560" s="214">
        <v>5.0</v>
      </c>
      <c r="J560" s="222">
        <v>2026.0</v>
      </c>
      <c r="K560" s="223"/>
      <c r="L560" s="223">
        <v>23.45</v>
      </c>
      <c r="M560" s="269">
        <v>1.0</v>
      </c>
      <c r="N560" s="217">
        <f t="shared" si="88"/>
        <v>23.45</v>
      </c>
      <c r="O560" s="87"/>
      <c r="P560" s="87"/>
      <c r="Q560" s="225" t="s">
        <v>1360</v>
      </c>
    </row>
    <row r="561" ht="15.75" hidden="1" customHeight="1">
      <c r="A561" s="64" t="s">
        <v>222</v>
      </c>
      <c r="B561" s="64" t="s">
        <v>220</v>
      </c>
      <c r="C561" s="220"/>
      <c r="D561" s="64" t="s">
        <v>319</v>
      </c>
      <c r="E561" s="221">
        <v>46186.0</v>
      </c>
      <c r="F561" s="213">
        <f t="shared" si="1"/>
        <v>13</v>
      </c>
      <c r="G561" s="213">
        <f t="shared" si="2"/>
        <v>6</v>
      </c>
      <c r="H561" s="213">
        <f t="shared" si="3"/>
        <v>2026</v>
      </c>
      <c r="I561" s="214">
        <v>6.0</v>
      </c>
      <c r="J561" s="222">
        <v>2026.0</v>
      </c>
      <c r="K561" s="223"/>
      <c r="L561" s="223">
        <f>7.39-0.23</f>
        <v>7.16</v>
      </c>
      <c r="M561" s="32">
        <v>1.0</v>
      </c>
      <c r="N561" s="217">
        <f t="shared" si="88"/>
        <v>7.16</v>
      </c>
      <c r="O561" s="77"/>
      <c r="P561" s="77"/>
      <c r="Q561" s="227"/>
    </row>
    <row r="562" ht="15.75" hidden="1" customHeight="1">
      <c r="A562" s="64" t="s">
        <v>222</v>
      </c>
      <c r="B562" s="64" t="s">
        <v>220</v>
      </c>
      <c r="C562" s="220"/>
      <c r="D562" s="64" t="s">
        <v>319</v>
      </c>
      <c r="E562" s="221">
        <v>46227.0</v>
      </c>
      <c r="F562" s="213">
        <f t="shared" si="1"/>
        <v>24</v>
      </c>
      <c r="G562" s="213">
        <f t="shared" si="2"/>
        <v>7</v>
      </c>
      <c r="H562" s="213">
        <f t="shared" si="3"/>
        <v>2026</v>
      </c>
      <c r="I562" s="214">
        <f t="shared" ref="I562:J562" si="104">G562</f>
        <v>7</v>
      </c>
      <c r="J562" s="215">
        <f t="shared" si="104"/>
        <v>2026</v>
      </c>
      <c r="K562" s="223"/>
      <c r="L562" s="223">
        <v>2.0</v>
      </c>
      <c r="M562" s="32">
        <v>1.0</v>
      </c>
      <c r="N562" s="217">
        <f t="shared" si="88"/>
        <v>2</v>
      </c>
      <c r="O562" s="87"/>
      <c r="P562" s="87"/>
      <c r="Q562" s="225" t="s">
        <v>1363</v>
      </c>
    </row>
    <row r="563" ht="15.75" hidden="1" customHeight="1">
      <c r="A563" s="64" t="s">
        <v>196</v>
      </c>
      <c r="B563" s="64" t="s">
        <v>186</v>
      </c>
      <c r="C563" s="220"/>
      <c r="D563" s="64" t="s">
        <v>7</v>
      </c>
      <c r="E563" s="221">
        <v>46146.0</v>
      </c>
      <c r="F563" s="213">
        <f t="shared" si="1"/>
        <v>4</v>
      </c>
      <c r="G563" s="213">
        <f t="shared" si="2"/>
        <v>5</v>
      </c>
      <c r="H563" s="213">
        <f t="shared" si="3"/>
        <v>2026</v>
      </c>
      <c r="I563" s="214">
        <v>5.0</v>
      </c>
      <c r="J563" s="222">
        <v>2026.0</v>
      </c>
      <c r="K563" s="223"/>
      <c r="L563" s="223">
        <v>2.41</v>
      </c>
      <c r="M563" s="32">
        <v>12.0</v>
      </c>
      <c r="N563" s="217">
        <f t="shared" si="88"/>
        <v>28.92</v>
      </c>
      <c r="O563" s="87"/>
      <c r="P563" s="87" t="s">
        <v>1365</v>
      </c>
      <c r="Q563" s="227"/>
      <c r="R563" s="265"/>
      <c r="S563" s="265"/>
      <c r="T563" s="371"/>
      <c r="U563" s="265"/>
      <c r="V563" s="265"/>
      <c r="W563" s="265"/>
      <c r="X563" s="265"/>
      <c r="Y563" s="265"/>
      <c r="Z563" s="265"/>
      <c r="AA563" s="265"/>
      <c r="AB563" s="265"/>
      <c r="AC563" s="265"/>
      <c r="AD563" s="265"/>
      <c r="AE563" s="265"/>
      <c r="AF563" s="265"/>
      <c r="AG563" s="265"/>
      <c r="AH563" s="265"/>
    </row>
    <row r="564" ht="15.75" hidden="1" customHeight="1">
      <c r="A564" s="64" t="s">
        <v>196</v>
      </c>
      <c r="B564" s="64" t="s">
        <v>188</v>
      </c>
      <c r="C564" s="220"/>
      <c r="D564" s="64" t="s">
        <v>7</v>
      </c>
      <c r="E564" s="221">
        <v>46146.0</v>
      </c>
      <c r="F564" s="213">
        <f t="shared" si="1"/>
        <v>4</v>
      </c>
      <c r="G564" s="213">
        <f t="shared" si="2"/>
        <v>5</v>
      </c>
      <c r="H564" s="213">
        <f t="shared" si="3"/>
        <v>2026</v>
      </c>
      <c r="I564" s="214">
        <v>5.0</v>
      </c>
      <c r="J564" s="222">
        <v>2026.0</v>
      </c>
      <c r="K564" s="223"/>
      <c r="L564" s="223">
        <v>15.6</v>
      </c>
      <c r="M564" s="32">
        <v>3.0</v>
      </c>
      <c r="N564" s="217">
        <f t="shared" si="88"/>
        <v>46.8</v>
      </c>
      <c r="O564" s="87"/>
      <c r="P564" s="87" t="s">
        <v>1365</v>
      </c>
      <c r="Q564" s="225"/>
    </row>
    <row r="565" ht="15.75" hidden="1" customHeight="1">
      <c r="A565" s="64" t="s">
        <v>196</v>
      </c>
      <c r="B565" s="64" t="s">
        <v>188</v>
      </c>
      <c r="C565" s="220"/>
      <c r="D565" s="64" t="s">
        <v>7</v>
      </c>
      <c r="E565" s="221">
        <v>46182.0</v>
      </c>
      <c r="F565" s="213">
        <f t="shared" si="1"/>
        <v>9</v>
      </c>
      <c r="G565" s="213">
        <f t="shared" si="2"/>
        <v>6</v>
      </c>
      <c r="H565" s="213">
        <f t="shared" si="3"/>
        <v>2026</v>
      </c>
      <c r="I565" s="214">
        <v>6.0</v>
      </c>
      <c r="J565" s="222">
        <v>2026.0</v>
      </c>
      <c r="K565" s="223"/>
      <c r="L565" s="223">
        <v>15.6</v>
      </c>
      <c r="M565" s="32">
        <v>1.0</v>
      </c>
      <c r="N565" s="217">
        <f t="shared" si="88"/>
        <v>15.6</v>
      </c>
      <c r="O565" s="87"/>
      <c r="P565" s="87" t="s">
        <v>1369</v>
      </c>
      <c r="Q565" s="225"/>
    </row>
    <row r="566" ht="15.75" hidden="1" customHeight="1">
      <c r="A566" s="64" t="s">
        <v>196</v>
      </c>
      <c r="B566" s="82" t="s">
        <v>188</v>
      </c>
      <c r="C566" s="230"/>
      <c r="D566" s="64" t="s">
        <v>7</v>
      </c>
      <c r="E566" s="231">
        <v>46204.0</v>
      </c>
      <c r="F566" s="213">
        <f t="shared" si="1"/>
        <v>1</v>
      </c>
      <c r="G566" s="213">
        <f t="shared" si="2"/>
        <v>7</v>
      </c>
      <c r="H566" s="213">
        <f t="shared" si="3"/>
        <v>2026</v>
      </c>
      <c r="I566" s="306">
        <v>6.0</v>
      </c>
      <c r="J566" s="215">
        <f>H566</f>
        <v>2026</v>
      </c>
      <c r="K566" s="217"/>
      <c r="L566" s="307">
        <v>15.6</v>
      </c>
      <c r="M566" s="245">
        <v>1.0</v>
      </c>
      <c r="N566" s="236">
        <f t="shared" si="88"/>
        <v>15.6</v>
      </c>
      <c r="O566" s="233"/>
      <c r="P566" s="140"/>
      <c r="Q566" s="234"/>
    </row>
    <row r="567" ht="15.75" hidden="1" customHeight="1">
      <c r="A567" s="64" t="s">
        <v>196</v>
      </c>
      <c r="B567" s="64" t="s">
        <v>189</v>
      </c>
      <c r="C567" s="220"/>
      <c r="D567" s="64" t="s">
        <v>7</v>
      </c>
      <c r="E567" s="221">
        <v>46146.0</v>
      </c>
      <c r="F567" s="213">
        <f t="shared" si="1"/>
        <v>4</v>
      </c>
      <c r="G567" s="213">
        <f t="shared" si="2"/>
        <v>5</v>
      </c>
      <c r="H567" s="213">
        <f t="shared" si="3"/>
        <v>2026</v>
      </c>
      <c r="I567" s="214">
        <v>5.0</v>
      </c>
      <c r="J567" s="222">
        <v>2026.0</v>
      </c>
      <c r="K567" s="223"/>
      <c r="L567" s="223">
        <v>56.29</v>
      </c>
      <c r="M567" s="32">
        <v>1.0</v>
      </c>
      <c r="N567" s="217">
        <f t="shared" si="88"/>
        <v>56.29</v>
      </c>
      <c r="O567" s="87"/>
      <c r="P567" s="87" t="s">
        <v>1365</v>
      </c>
      <c r="Q567" s="226"/>
    </row>
    <row r="568" ht="15.75" hidden="1" customHeight="1">
      <c r="A568" s="64" t="s">
        <v>196</v>
      </c>
      <c r="B568" s="64" t="s">
        <v>189</v>
      </c>
      <c r="C568" s="220"/>
      <c r="D568" s="64" t="s">
        <v>7</v>
      </c>
      <c r="E568" s="221">
        <v>46182.0</v>
      </c>
      <c r="F568" s="213">
        <f t="shared" si="1"/>
        <v>9</v>
      </c>
      <c r="G568" s="213">
        <f t="shared" si="2"/>
        <v>6</v>
      </c>
      <c r="H568" s="213">
        <f t="shared" si="3"/>
        <v>2026</v>
      </c>
      <c r="I568" s="214">
        <v>6.0</v>
      </c>
      <c r="J568" s="222">
        <v>2026.0</v>
      </c>
      <c r="K568" s="223"/>
      <c r="L568" s="223">
        <v>42.63</v>
      </c>
      <c r="M568" s="32">
        <v>1.0</v>
      </c>
      <c r="N568" s="217">
        <f t="shared" si="88"/>
        <v>42.63</v>
      </c>
      <c r="O568" s="87"/>
      <c r="P568" s="87" t="s">
        <v>1369</v>
      </c>
      <c r="Q568" s="226"/>
    </row>
    <row r="569" ht="15.75" hidden="1" customHeight="1">
      <c r="A569" s="64" t="s">
        <v>196</v>
      </c>
      <c r="B569" s="82" t="s">
        <v>189</v>
      </c>
      <c r="C569" s="230"/>
      <c r="D569" s="64" t="s">
        <v>7</v>
      </c>
      <c r="E569" s="231">
        <v>46204.0</v>
      </c>
      <c r="F569" s="213">
        <f t="shared" si="1"/>
        <v>1</v>
      </c>
      <c r="G569" s="213">
        <f t="shared" si="2"/>
        <v>7</v>
      </c>
      <c r="H569" s="213">
        <f t="shared" si="3"/>
        <v>2026</v>
      </c>
      <c r="I569" s="306">
        <v>6.0</v>
      </c>
      <c r="J569" s="215">
        <f>H569</f>
        <v>2026</v>
      </c>
      <c r="K569" s="217"/>
      <c r="L569" s="307">
        <v>42.63</v>
      </c>
      <c r="M569" s="245">
        <v>1.0</v>
      </c>
      <c r="N569" s="236">
        <f t="shared" si="88"/>
        <v>42.63</v>
      </c>
      <c r="O569" s="233"/>
      <c r="P569" s="140"/>
      <c r="Q569" s="234"/>
    </row>
    <row r="570" ht="15.75" hidden="1" customHeight="1">
      <c r="A570" s="64" t="s">
        <v>196</v>
      </c>
      <c r="B570" s="64" t="s">
        <v>189</v>
      </c>
      <c r="C570" s="220"/>
      <c r="D570" s="64" t="s">
        <v>7</v>
      </c>
      <c r="E570" s="221">
        <v>46233.0</v>
      </c>
      <c r="F570" s="213">
        <f t="shared" si="1"/>
        <v>30</v>
      </c>
      <c r="G570" s="213">
        <f t="shared" si="2"/>
        <v>7</v>
      </c>
      <c r="H570" s="213">
        <f t="shared" si="3"/>
        <v>2026</v>
      </c>
      <c r="I570" s="214">
        <f t="shared" ref="I570:J570" si="105">G570</f>
        <v>7</v>
      </c>
      <c r="J570" s="215">
        <f t="shared" si="105"/>
        <v>2026</v>
      </c>
      <c r="K570" s="223"/>
      <c r="L570" s="223">
        <v>26.77</v>
      </c>
      <c r="M570" s="32">
        <v>1.0</v>
      </c>
      <c r="N570" s="236">
        <f t="shared" si="88"/>
        <v>26.77</v>
      </c>
      <c r="O570" s="77"/>
      <c r="P570" s="77"/>
      <c r="Q570" s="32"/>
      <c r="R570" s="32"/>
    </row>
    <row r="571" ht="15.75" hidden="1" customHeight="1">
      <c r="A571" s="64" t="s">
        <v>196</v>
      </c>
      <c r="B571" s="390" t="s">
        <v>190</v>
      </c>
      <c r="C571" s="391"/>
      <c r="D571" s="64" t="s">
        <v>7</v>
      </c>
      <c r="E571" s="231">
        <v>46204.0</v>
      </c>
      <c r="F571" s="213">
        <f t="shared" si="1"/>
        <v>1</v>
      </c>
      <c r="G571" s="213">
        <f t="shared" si="2"/>
        <v>7</v>
      </c>
      <c r="H571" s="213">
        <f t="shared" si="3"/>
        <v>2026</v>
      </c>
      <c r="I571" s="306">
        <v>6.0</v>
      </c>
      <c r="J571" s="215">
        <f>H571</f>
        <v>2026</v>
      </c>
      <c r="K571" s="217"/>
      <c r="L571" s="307">
        <v>21.4</v>
      </c>
      <c r="M571" s="32">
        <v>2.0</v>
      </c>
      <c r="N571" s="236">
        <f t="shared" si="88"/>
        <v>42.8</v>
      </c>
      <c r="O571" s="392"/>
      <c r="P571" s="392"/>
      <c r="Q571" s="234"/>
      <c r="R571" s="77"/>
      <c r="S571" s="77"/>
    </row>
    <row r="572" ht="15.75" hidden="1" customHeight="1">
      <c r="A572" s="64" t="s">
        <v>196</v>
      </c>
      <c r="B572" s="64" t="s">
        <v>190</v>
      </c>
      <c r="C572" s="220"/>
      <c r="D572" s="64" t="s">
        <v>7</v>
      </c>
      <c r="E572" s="221">
        <v>46233.0</v>
      </c>
      <c r="F572" s="213">
        <f t="shared" si="1"/>
        <v>30</v>
      </c>
      <c r="G572" s="213">
        <f t="shared" si="2"/>
        <v>7</v>
      </c>
      <c r="H572" s="213">
        <f t="shared" si="3"/>
        <v>2026</v>
      </c>
      <c r="I572" s="214">
        <f t="shared" ref="I572:J572" si="106">G572</f>
        <v>7</v>
      </c>
      <c r="J572" s="215">
        <f t="shared" si="106"/>
        <v>2026</v>
      </c>
      <c r="K572" s="223"/>
      <c r="L572" s="223">
        <v>21.4</v>
      </c>
      <c r="M572" s="32">
        <v>1.0</v>
      </c>
      <c r="N572" s="236">
        <f t="shared" si="88"/>
        <v>21.4</v>
      </c>
      <c r="O572" s="77"/>
      <c r="P572" s="77"/>
      <c r="Q572" s="32"/>
      <c r="R572" s="32"/>
    </row>
    <row r="573" ht="15.75" hidden="1" customHeight="1">
      <c r="A573" s="64" t="s">
        <v>196</v>
      </c>
      <c r="B573" s="64" t="s">
        <v>191</v>
      </c>
      <c r="C573" s="220"/>
      <c r="D573" s="64" t="s">
        <v>7</v>
      </c>
      <c r="E573" s="221">
        <v>46182.0</v>
      </c>
      <c r="F573" s="213">
        <f t="shared" si="1"/>
        <v>9</v>
      </c>
      <c r="G573" s="213">
        <f t="shared" si="2"/>
        <v>6</v>
      </c>
      <c r="H573" s="213">
        <f t="shared" si="3"/>
        <v>2026</v>
      </c>
      <c r="I573" s="214">
        <v>6.0</v>
      </c>
      <c r="J573" s="222">
        <v>2026.0</v>
      </c>
      <c r="K573" s="223"/>
      <c r="L573" s="223">
        <v>17.95</v>
      </c>
      <c r="M573" s="32">
        <v>1.0</v>
      </c>
      <c r="N573" s="217">
        <f t="shared" si="88"/>
        <v>17.95</v>
      </c>
      <c r="O573" s="87"/>
      <c r="P573" s="87" t="s">
        <v>1369</v>
      </c>
      <c r="Q573" s="226"/>
      <c r="R573" s="259"/>
      <c r="S573" s="259"/>
      <c r="T573" s="259"/>
      <c r="U573" s="259"/>
      <c r="V573" s="259"/>
      <c r="W573" s="259"/>
      <c r="X573" s="259"/>
      <c r="Y573" s="259"/>
      <c r="Z573" s="259"/>
      <c r="AA573" s="259"/>
      <c r="AB573" s="259"/>
      <c r="AC573" s="259"/>
      <c r="AD573" s="259"/>
      <c r="AE573" s="259"/>
      <c r="AF573" s="259"/>
      <c r="AG573" s="259"/>
      <c r="AH573" s="259"/>
    </row>
    <row r="574" ht="15.75" hidden="1" customHeight="1">
      <c r="A574" s="64" t="s">
        <v>196</v>
      </c>
      <c r="B574" s="64" t="s">
        <v>191</v>
      </c>
      <c r="C574" s="230"/>
      <c r="D574" s="64" t="s">
        <v>7</v>
      </c>
      <c r="E574" s="231">
        <v>46204.0</v>
      </c>
      <c r="F574" s="213">
        <f t="shared" si="1"/>
        <v>1</v>
      </c>
      <c r="G574" s="213">
        <f t="shared" si="2"/>
        <v>7</v>
      </c>
      <c r="H574" s="213">
        <f t="shared" si="3"/>
        <v>2026</v>
      </c>
      <c r="I574" s="306">
        <v>6.0</v>
      </c>
      <c r="J574" s="215">
        <f>H574</f>
        <v>2026</v>
      </c>
      <c r="K574" s="217"/>
      <c r="L574" s="307">
        <v>17.95</v>
      </c>
      <c r="M574" s="245">
        <v>1.0</v>
      </c>
      <c r="N574" s="236">
        <f t="shared" si="88"/>
        <v>17.95</v>
      </c>
      <c r="O574" s="233"/>
      <c r="P574" s="140"/>
      <c r="Q574" s="234"/>
    </row>
    <row r="575" ht="15.75" hidden="1" customHeight="1">
      <c r="A575" s="64" t="s">
        <v>196</v>
      </c>
      <c r="B575" s="64" t="s">
        <v>191</v>
      </c>
      <c r="C575" s="220"/>
      <c r="D575" s="64" t="s">
        <v>7</v>
      </c>
      <c r="E575" s="221">
        <v>46146.0</v>
      </c>
      <c r="F575" s="213">
        <f t="shared" si="1"/>
        <v>4</v>
      </c>
      <c r="G575" s="213">
        <f t="shared" si="2"/>
        <v>5</v>
      </c>
      <c r="H575" s="213">
        <f t="shared" si="3"/>
        <v>2026</v>
      </c>
      <c r="I575" s="214">
        <v>5.0</v>
      </c>
      <c r="J575" s="222">
        <v>2026.0</v>
      </c>
      <c r="K575" s="223"/>
      <c r="L575" s="223">
        <v>17.5</v>
      </c>
      <c r="M575" s="32">
        <v>2.0</v>
      </c>
      <c r="N575" s="217">
        <f t="shared" si="88"/>
        <v>35</v>
      </c>
      <c r="O575" s="359"/>
      <c r="P575" s="87" t="s">
        <v>1365</v>
      </c>
      <c r="Q575" s="225"/>
      <c r="R575" s="265"/>
      <c r="S575" s="265"/>
      <c r="T575" s="265"/>
      <c r="U575" s="265"/>
      <c r="V575" s="265"/>
      <c r="W575" s="265"/>
      <c r="X575" s="265"/>
      <c r="Y575" s="265"/>
      <c r="Z575" s="265"/>
      <c r="AA575" s="265"/>
      <c r="AB575" s="265"/>
      <c r="AC575" s="265"/>
      <c r="AD575" s="265"/>
      <c r="AE575" s="265"/>
      <c r="AF575" s="265"/>
      <c r="AG575" s="265"/>
      <c r="AH575" s="265"/>
    </row>
    <row r="576" ht="15.75" hidden="1" customHeight="1">
      <c r="A576" s="64" t="s">
        <v>196</v>
      </c>
      <c r="B576" s="64" t="s">
        <v>192</v>
      </c>
      <c r="C576" s="220"/>
      <c r="D576" s="64" t="s">
        <v>7</v>
      </c>
      <c r="E576" s="221">
        <v>46146.0</v>
      </c>
      <c r="F576" s="213">
        <f t="shared" si="1"/>
        <v>4</v>
      </c>
      <c r="G576" s="213">
        <f t="shared" si="2"/>
        <v>5</v>
      </c>
      <c r="H576" s="213">
        <f t="shared" si="3"/>
        <v>2026</v>
      </c>
      <c r="I576" s="214">
        <v>5.0</v>
      </c>
      <c r="J576" s="222">
        <v>2026.0</v>
      </c>
      <c r="K576" s="223"/>
      <c r="L576" s="223">
        <v>18.6</v>
      </c>
      <c r="M576" s="32">
        <v>3.0</v>
      </c>
      <c r="N576" s="217">
        <f t="shared" si="88"/>
        <v>55.8</v>
      </c>
      <c r="O576" s="87"/>
      <c r="P576" s="87" t="s">
        <v>1365</v>
      </c>
      <c r="Q576" s="361"/>
    </row>
    <row r="577" ht="15.75" hidden="1" customHeight="1">
      <c r="A577" s="64" t="s">
        <v>196</v>
      </c>
      <c r="B577" s="64" t="s">
        <v>192</v>
      </c>
      <c r="C577" s="220"/>
      <c r="D577" s="64" t="s">
        <v>7</v>
      </c>
      <c r="E577" s="221">
        <v>46182.0</v>
      </c>
      <c r="F577" s="213">
        <f t="shared" si="1"/>
        <v>9</v>
      </c>
      <c r="G577" s="213">
        <f t="shared" si="2"/>
        <v>6</v>
      </c>
      <c r="H577" s="213">
        <f t="shared" si="3"/>
        <v>2026</v>
      </c>
      <c r="I577" s="214">
        <v>6.0</v>
      </c>
      <c r="J577" s="222">
        <v>2026.0</v>
      </c>
      <c r="K577" s="223"/>
      <c r="L577" s="223">
        <v>18.6</v>
      </c>
      <c r="M577" s="32">
        <v>4.0</v>
      </c>
      <c r="N577" s="217">
        <f t="shared" si="88"/>
        <v>74.4</v>
      </c>
      <c r="O577" s="87"/>
      <c r="P577" s="87" t="s">
        <v>1369</v>
      </c>
      <c r="Q577" s="226"/>
    </row>
    <row r="578" ht="15.75" hidden="1" customHeight="1">
      <c r="A578" s="64" t="s">
        <v>196</v>
      </c>
      <c r="B578" s="64" t="s">
        <v>192</v>
      </c>
      <c r="C578" s="230"/>
      <c r="D578" s="64" t="s">
        <v>7</v>
      </c>
      <c r="E578" s="231">
        <v>46204.0</v>
      </c>
      <c r="F578" s="213">
        <f t="shared" si="1"/>
        <v>1</v>
      </c>
      <c r="G578" s="213">
        <f t="shared" si="2"/>
        <v>7</v>
      </c>
      <c r="H578" s="213">
        <f t="shared" si="3"/>
        <v>2026</v>
      </c>
      <c r="I578" s="306">
        <v>6.0</v>
      </c>
      <c r="J578" s="215">
        <f>H578</f>
        <v>2026</v>
      </c>
      <c r="K578" s="217"/>
      <c r="L578" s="307">
        <v>18.6</v>
      </c>
      <c r="M578" s="32">
        <v>4.0</v>
      </c>
      <c r="N578" s="236">
        <f t="shared" si="88"/>
        <v>74.4</v>
      </c>
      <c r="O578" s="233"/>
      <c r="P578" s="140"/>
      <c r="Q578" s="234"/>
    </row>
    <row r="579" ht="15.75" hidden="1" customHeight="1">
      <c r="A579" s="64" t="s">
        <v>196</v>
      </c>
      <c r="B579" s="64" t="s">
        <v>192</v>
      </c>
      <c r="C579" s="220"/>
      <c r="D579" s="64" t="s">
        <v>7</v>
      </c>
      <c r="E579" s="221">
        <v>46233.0</v>
      </c>
      <c r="F579" s="213">
        <f t="shared" si="1"/>
        <v>30</v>
      </c>
      <c r="G579" s="213">
        <f t="shared" si="2"/>
        <v>7</v>
      </c>
      <c r="H579" s="213">
        <f t="shared" si="3"/>
        <v>2026</v>
      </c>
      <c r="I579" s="214">
        <f t="shared" ref="I579:J579" si="107">G579</f>
        <v>7</v>
      </c>
      <c r="J579" s="215">
        <f t="shared" si="107"/>
        <v>2026</v>
      </c>
      <c r="K579" s="223"/>
      <c r="L579" s="223">
        <v>18.6</v>
      </c>
      <c r="M579" s="32">
        <v>4.0</v>
      </c>
      <c r="N579" s="236">
        <f t="shared" si="88"/>
        <v>74.4</v>
      </c>
      <c r="O579" s="87"/>
      <c r="P579" s="87"/>
      <c r="Q579" s="225"/>
    </row>
    <row r="580" ht="15.75" hidden="1" customHeight="1">
      <c r="A580" s="64" t="s">
        <v>196</v>
      </c>
      <c r="B580" s="64" t="s">
        <v>193</v>
      </c>
      <c r="C580" s="220"/>
      <c r="D580" s="64" t="s">
        <v>7</v>
      </c>
      <c r="E580" s="221">
        <v>46146.0</v>
      </c>
      <c r="F580" s="213">
        <f t="shared" si="1"/>
        <v>4</v>
      </c>
      <c r="G580" s="213">
        <f t="shared" si="2"/>
        <v>5</v>
      </c>
      <c r="H580" s="213">
        <f t="shared" si="3"/>
        <v>2026</v>
      </c>
      <c r="I580" s="214">
        <v>5.0</v>
      </c>
      <c r="J580" s="222">
        <v>2026.0</v>
      </c>
      <c r="K580" s="223"/>
      <c r="L580" s="223">
        <v>21.4</v>
      </c>
      <c r="M580" s="32">
        <v>3.0</v>
      </c>
      <c r="N580" s="217">
        <f t="shared" si="88"/>
        <v>64.2</v>
      </c>
      <c r="O580" s="87"/>
      <c r="P580" s="87" t="s">
        <v>1365</v>
      </c>
      <c r="Q580" s="226"/>
    </row>
    <row r="581" ht="15.75" hidden="1" customHeight="1">
      <c r="A581" s="64" t="s">
        <v>196</v>
      </c>
      <c r="B581" s="64" t="s">
        <v>193</v>
      </c>
      <c r="C581" s="220"/>
      <c r="D581" s="64" t="s">
        <v>7</v>
      </c>
      <c r="E581" s="221">
        <v>46182.0</v>
      </c>
      <c r="F581" s="213">
        <f t="shared" si="1"/>
        <v>9</v>
      </c>
      <c r="G581" s="213">
        <f t="shared" si="2"/>
        <v>6</v>
      </c>
      <c r="H581" s="213">
        <f t="shared" si="3"/>
        <v>2026</v>
      </c>
      <c r="I581" s="214">
        <v>6.0</v>
      </c>
      <c r="J581" s="222">
        <v>2026.0</v>
      </c>
      <c r="K581" s="223"/>
      <c r="L581" s="223">
        <v>21.4</v>
      </c>
      <c r="M581" s="32">
        <v>2.0</v>
      </c>
      <c r="N581" s="217">
        <f t="shared" si="88"/>
        <v>42.8</v>
      </c>
      <c r="O581" s="87"/>
      <c r="P581" s="87" t="s">
        <v>1369</v>
      </c>
      <c r="Q581" s="225"/>
    </row>
    <row r="582" ht="15.75" hidden="1" customHeight="1">
      <c r="A582" s="64" t="s">
        <v>196</v>
      </c>
      <c r="B582" s="64" t="s">
        <v>193</v>
      </c>
      <c r="C582" s="220"/>
      <c r="D582" s="64" t="s">
        <v>7</v>
      </c>
      <c r="E582" s="221">
        <v>46182.0</v>
      </c>
      <c r="F582" s="213">
        <f t="shared" si="1"/>
        <v>9</v>
      </c>
      <c r="G582" s="213">
        <f t="shared" si="2"/>
        <v>6</v>
      </c>
      <c r="H582" s="213">
        <f t="shared" si="3"/>
        <v>2026</v>
      </c>
      <c r="I582" s="214">
        <v>6.0</v>
      </c>
      <c r="J582" s="222">
        <v>2026.0</v>
      </c>
      <c r="K582" s="223"/>
      <c r="L582" s="223">
        <v>20.6</v>
      </c>
      <c r="M582" s="32">
        <v>1.0</v>
      </c>
      <c r="N582" s="217">
        <f t="shared" si="88"/>
        <v>20.6</v>
      </c>
      <c r="O582" s="77"/>
      <c r="P582" s="87" t="s">
        <v>1369</v>
      </c>
      <c r="Q582" s="225"/>
      <c r="V582" s="257"/>
      <c r="W582" s="257"/>
      <c r="X582" s="257"/>
      <c r="Y582" s="257"/>
      <c r="Z582" s="257"/>
      <c r="AA582" s="257"/>
      <c r="AB582" s="257"/>
      <c r="AC582" s="257"/>
      <c r="AD582" s="257"/>
      <c r="AE582" s="257"/>
      <c r="AF582" s="257"/>
      <c r="AG582" s="257"/>
      <c r="AH582" s="257"/>
    </row>
    <row r="583" ht="15.75" hidden="1" customHeight="1">
      <c r="A583" s="64" t="s">
        <v>196</v>
      </c>
      <c r="B583" s="64" t="s">
        <v>193</v>
      </c>
      <c r="C583" s="230"/>
      <c r="D583" s="64" t="s">
        <v>7</v>
      </c>
      <c r="E583" s="231">
        <v>46204.0</v>
      </c>
      <c r="F583" s="213">
        <f t="shared" si="1"/>
        <v>1</v>
      </c>
      <c r="G583" s="213">
        <f t="shared" si="2"/>
        <v>7</v>
      </c>
      <c r="H583" s="213">
        <f t="shared" si="3"/>
        <v>2026</v>
      </c>
      <c r="I583" s="306">
        <v>6.0</v>
      </c>
      <c r="J583" s="215">
        <f>H583</f>
        <v>2026</v>
      </c>
      <c r="K583" s="394"/>
      <c r="L583" s="394">
        <v>20.6</v>
      </c>
      <c r="M583" s="32">
        <v>1.0</v>
      </c>
      <c r="N583" s="236">
        <f t="shared" si="88"/>
        <v>20.6</v>
      </c>
      <c r="O583" s="233"/>
      <c r="P583" s="140"/>
      <c r="Q583" s="395"/>
    </row>
    <row r="584" ht="15.75" hidden="1" customHeight="1">
      <c r="A584" s="64" t="s">
        <v>196</v>
      </c>
      <c r="B584" s="64" t="s">
        <v>193</v>
      </c>
      <c r="C584" s="220"/>
      <c r="D584" s="64" t="s">
        <v>7</v>
      </c>
      <c r="E584" s="221">
        <v>46233.0</v>
      </c>
      <c r="F584" s="213">
        <f t="shared" si="1"/>
        <v>30</v>
      </c>
      <c r="G584" s="213">
        <f t="shared" si="2"/>
        <v>7</v>
      </c>
      <c r="H584" s="213">
        <f t="shared" si="3"/>
        <v>2026</v>
      </c>
      <c r="I584" s="214">
        <f t="shared" ref="I584:J584" si="108">G584</f>
        <v>7</v>
      </c>
      <c r="J584" s="215">
        <f t="shared" si="108"/>
        <v>2026</v>
      </c>
      <c r="K584" s="223"/>
      <c r="L584" s="223">
        <v>20.6</v>
      </c>
      <c r="M584" s="32">
        <v>1.0</v>
      </c>
      <c r="N584" s="236">
        <f t="shared" si="88"/>
        <v>20.6</v>
      </c>
      <c r="O584" s="77"/>
      <c r="P584" s="77"/>
      <c r="Q584" s="32"/>
      <c r="R584" s="32"/>
    </row>
    <row r="585" ht="15.75" hidden="1" customHeight="1">
      <c r="A585" s="64" t="s">
        <v>196</v>
      </c>
      <c r="B585" s="64" t="s">
        <v>195</v>
      </c>
      <c r="C585" s="220"/>
      <c r="D585" s="64" t="s">
        <v>7</v>
      </c>
      <c r="E585" s="221">
        <v>46146.0</v>
      </c>
      <c r="F585" s="213">
        <f t="shared" si="1"/>
        <v>4</v>
      </c>
      <c r="G585" s="213">
        <f t="shared" si="2"/>
        <v>5</v>
      </c>
      <c r="H585" s="213">
        <f t="shared" si="3"/>
        <v>2026</v>
      </c>
      <c r="I585" s="214">
        <v>5.0</v>
      </c>
      <c r="J585" s="222">
        <v>2026.0</v>
      </c>
      <c r="K585" s="223"/>
      <c r="L585" s="223">
        <v>1.4</v>
      </c>
      <c r="M585" s="32">
        <v>10.0</v>
      </c>
      <c r="N585" s="217">
        <f t="shared" si="88"/>
        <v>14</v>
      </c>
      <c r="O585" s="77"/>
      <c r="P585" s="87" t="s">
        <v>1365</v>
      </c>
      <c r="Q585" s="225"/>
      <c r="R585" s="265"/>
      <c r="S585" s="265"/>
      <c r="T585" s="265"/>
      <c r="U585" s="265"/>
      <c r="V585" s="265"/>
      <c r="W585" s="265"/>
      <c r="X585" s="265"/>
      <c r="Y585" s="265"/>
      <c r="Z585" s="265"/>
      <c r="AA585" s="265"/>
      <c r="AB585" s="265"/>
      <c r="AC585" s="265"/>
      <c r="AD585" s="265"/>
      <c r="AE585" s="265"/>
      <c r="AF585" s="265"/>
      <c r="AG585" s="265"/>
      <c r="AH585" s="265"/>
    </row>
    <row r="586" ht="15.75" hidden="1" customHeight="1">
      <c r="A586" s="64" t="s">
        <v>196</v>
      </c>
      <c r="B586" s="64" t="s">
        <v>195</v>
      </c>
      <c r="C586" s="220"/>
      <c r="D586" s="64" t="s">
        <v>7</v>
      </c>
      <c r="E586" s="221">
        <v>46182.0</v>
      </c>
      <c r="F586" s="213">
        <f t="shared" si="1"/>
        <v>9</v>
      </c>
      <c r="G586" s="213">
        <f t="shared" si="2"/>
        <v>6</v>
      </c>
      <c r="H586" s="213">
        <f t="shared" si="3"/>
        <v>2026</v>
      </c>
      <c r="I586" s="214">
        <v>6.0</v>
      </c>
      <c r="J586" s="222">
        <v>2026.0</v>
      </c>
      <c r="K586" s="223"/>
      <c r="L586" s="223">
        <v>1.4</v>
      </c>
      <c r="M586" s="32">
        <v>10.0</v>
      </c>
      <c r="N586" s="217">
        <f t="shared" si="88"/>
        <v>14</v>
      </c>
      <c r="O586" s="77"/>
      <c r="P586" s="87" t="s">
        <v>1369</v>
      </c>
      <c r="Q586" s="226"/>
    </row>
    <row r="587" ht="15.75" hidden="1" customHeight="1">
      <c r="A587" s="64" t="s">
        <v>196</v>
      </c>
      <c r="B587" s="64" t="s">
        <v>195</v>
      </c>
      <c r="C587" s="230"/>
      <c r="D587" s="64" t="s">
        <v>7</v>
      </c>
      <c r="E587" s="231">
        <v>46204.0</v>
      </c>
      <c r="F587" s="213">
        <f t="shared" si="1"/>
        <v>1</v>
      </c>
      <c r="G587" s="213">
        <f t="shared" si="2"/>
        <v>7</v>
      </c>
      <c r="H587" s="213">
        <f t="shared" si="3"/>
        <v>2026</v>
      </c>
      <c r="I587" s="306">
        <v>6.0</v>
      </c>
      <c r="J587" s="215">
        <f>H587</f>
        <v>2026</v>
      </c>
      <c r="K587" s="217"/>
      <c r="L587" s="307">
        <v>1.4</v>
      </c>
      <c r="M587" s="245">
        <v>10.0</v>
      </c>
      <c r="N587" s="236">
        <f t="shared" si="88"/>
        <v>14</v>
      </c>
      <c r="O587" s="233"/>
      <c r="P587" s="140"/>
      <c r="Q587" s="234"/>
    </row>
    <row r="588" ht="15.75" hidden="1" customHeight="1">
      <c r="A588" s="64" t="s">
        <v>204</v>
      </c>
      <c r="B588" s="64" t="s">
        <v>199</v>
      </c>
      <c r="C588" s="220"/>
      <c r="D588" s="64" t="s">
        <v>7</v>
      </c>
      <c r="E588" s="221">
        <v>46145.0</v>
      </c>
      <c r="F588" s="213">
        <f t="shared" si="1"/>
        <v>3</v>
      </c>
      <c r="G588" s="213">
        <f t="shared" si="2"/>
        <v>5</v>
      </c>
      <c r="H588" s="213">
        <f t="shared" si="3"/>
        <v>2026</v>
      </c>
      <c r="I588" s="214">
        <v>5.0</v>
      </c>
      <c r="J588" s="222">
        <v>2026.0</v>
      </c>
      <c r="K588" s="223"/>
      <c r="L588" s="223">
        <v>24.0</v>
      </c>
      <c r="M588" s="32">
        <v>1.0</v>
      </c>
      <c r="N588" s="217">
        <f t="shared" si="88"/>
        <v>24</v>
      </c>
      <c r="O588" s="77"/>
      <c r="P588" s="77"/>
      <c r="Q588" s="225"/>
    </row>
    <row r="589" ht="15.75" hidden="1" customHeight="1">
      <c r="A589" s="64" t="s">
        <v>204</v>
      </c>
      <c r="B589" s="64" t="s">
        <v>199</v>
      </c>
      <c r="C589" s="220"/>
      <c r="D589" s="64" t="s">
        <v>319</v>
      </c>
      <c r="E589" s="221">
        <v>46146.0</v>
      </c>
      <c r="F589" s="213">
        <f t="shared" si="1"/>
        <v>4</v>
      </c>
      <c r="G589" s="213">
        <f t="shared" si="2"/>
        <v>5</v>
      </c>
      <c r="H589" s="213">
        <f t="shared" si="3"/>
        <v>2026</v>
      </c>
      <c r="I589" s="214">
        <v>5.0</v>
      </c>
      <c r="J589" s="222">
        <v>2026.0</v>
      </c>
      <c r="K589" s="223"/>
      <c r="L589" s="223">
        <v>23.45</v>
      </c>
      <c r="M589" s="32">
        <v>1.0</v>
      </c>
      <c r="N589" s="217">
        <f t="shared" si="88"/>
        <v>23.45</v>
      </c>
      <c r="O589" s="77"/>
      <c r="P589" s="77"/>
      <c r="Q589" s="227"/>
    </row>
    <row r="590" ht="15.75" hidden="1" customHeight="1">
      <c r="A590" s="64" t="s">
        <v>204</v>
      </c>
      <c r="B590" s="64" t="s">
        <v>199</v>
      </c>
      <c r="C590" s="220"/>
      <c r="D590" s="64" t="s">
        <v>319</v>
      </c>
      <c r="E590" s="221">
        <v>46204.0</v>
      </c>
      <c r="F590" s="213">
        <f t="shared" si="1"/>
        <v>1</v>
      </c>
      <c r="G590" s="213">
        <f t="shared" si="2"/>
        <v>7</v>
      </c>
      <c r="H590" s="213">
        <f t="shared" si="3"/>
        <v>2026</v>
      </c>
      <c r="I590" s="214">
        <f t="shared" ref="I590:J590" si="109">G590</f>
        <v>7</v>
      </c>
      <c r="J590" s="215">
        <f t="shared" si="109"/>
        <v>2026</v>
      </c>
      <c r="K590" s="223"/>
      <c r="L590" s="223">
        <v>20.9</v>
      </c>
      <c r="M590" s="32">
        <v>1.0</v>
      </c>
      <c r="N590" s="217">
        <f t="shared" si="88"/>
        <v>20.9</v>
      </c>
      <c r="O590" s="87"/>
      <c r="P590" s="224"/>
      <c r="Q590" s="227"/>
      <c r="R590" s="259"/>
      <c r="S590" s="259"/>
      <c r="T590" s="259"/>
      <c r="U590" s="259"/>
      <c r="V590" s="259"/>
      <c r="W590" s="259"/>
      <c r="X590" s="259"/>
      <c r="Y590" s="259"/>
      <c r="Z590" s="259"/>
      <c r="AA590" s="259"/>
      <c r="AB590" s="259"/>
      <c r="AC590" s="259"/>
      <c r="AD590" s="259"/>
      <c r="AE590" s="259"/>
      <c r="AF590" s="259"/>
      <c r="AG590" s="259"/>
      <c r="AH590" s="259"/>
    </row>
    <row r="591" ht="15.75" hidden="1" customHeight="1">
      <c r="A591" s="64" t="s">
        <v>204</v>
      </c>
      <c r="B591" s="64" t="s">
        <v>199</v>
      </c>
      <c r="C591" s="220"/>
      <c r="D591" s="64" t="s">
        <v>319</v>
      </c>
      <c r="E591" s="221">
        <v>46218.0</v>
      </c>
      <c r="F591" s="213">
        <f t="shared" si="1"/>
        <v>15</v>
      </c>
      <c r="G591" s="213">
        <f t="shared" si="2"/>
        <v>7</v>
      </c>
      <c r="H591" s="213">
        <f t="shared" si="3"/>
        <v>2026</v>
      </c>
      <c r="I591" s="214">
        <f t="shared" ref="I591:J591" si="110">G591</f>
        <v>7</v>
      </c>
      <c r="J591" s="215">
        <f t="shared" si="110"/>
        <v>2026</v>
      </c>
      <c r="K591" s="223"/>
      <c r="L591" s="223">
        <v>17.45</v>
      </c>
      <c r="M591" s="32">
        <v>1.0</v>
      </c>
      <c r="N591" s="217">
        <f t="shared" si="88"/>
        <v>17.45</v>
      </c>
      <c r="O591" s="87"/>
      <c r="P591" s="87"/>
      <c r="Q591" s="225"/>
      <c r="T591" s="142"/>
      <c r="U591" s="142"/>
    </row>
    <row r="592" ht="15.75" hidden="1" customHeight="1">
      <c r="A592" s="64" t="s">
        <v>204</v>
      </c>
      <c r="B592" s="64" t="s">
        <v>199</v>
      </c>
      <c r="C592" s="220"/>
      <c r="D592" s="64" t="s">
        <v>319</v>
      </c>
      <c r="E592" s="221">
        <v>46153.0</v>
      </c>
      <c r="F592" s="213">
        <f t="shared" si="1"/>
        <v>11</v>
      </c>
      <c r="G592" s="213">
        <f t="shared" si="2"/>
        <v>5</v>
      </c>
      <c r="H592" s="213">
        <f t="shared" si="3"/>
        <v>2026</v>
      </c>
      <c r="I592" s="214">
        <v>5.0</v>
      </c>
      <c r="J592" s="222">
        <v>2026.0</v>
      </c>
      <c r="K592" s="223"/>
      <c r="L592" s="223">
        <v>10.45</v>
      </c>
      <c r="M592" s="32">
        <v>1.0</v>
      </c>
      <c r="N592" s="217">
        <f t="shared" si="88"/>
        <v>10.45</v>
      </c>
      <c r="O592" s="87"/>
      <c r="P592" s="87"/>
      <c r="Q592" s="225"/>
    </row>
    <row r="593" ht="15.75" hidden="1" customHeight="1">
      <c r="A593" s="64" t="s">
        <v>204</v>
      </c>
      <c r="B593" s="64" t="s">
        <v>199</v>
      </c>
      <c r="C593" s="220"/>
      <c r="D593" s="64" t="s">
        <v>319</v>
      </c>
      <c r="E593" s="221">
        <v>46188.0</v>
      </c>
      <c r="F593" s="213">
        <f t="shared" si="1"/>
        <v>15</v>
      </c>
      <c r="G593" s="213">
        <f t="shared" si="2"/>
        <v>6</v>
      </c>
      <c r="H593" s="213">
        <f t="shared" si="3"/>
        <v>2026</v>
      </c>
      <c r="I593" s="214">
        <v>6.0</v>
      </c>
      <c r="J593" s="222">
        <v>2026.0</v>
      </c>
      <c r="K593" s="223"/>
      <c r="L593" s="223">
        <v>9.0</v>
      </c>
      <c r="M593" s="32">
        <v>1.0</v>
      </c>
      <c r="N593" s="217">
        <f t="shared" si="88"/>
        <v>9</v>
      </c>
      <c r="O593" s="87"/>
      <c r="P593" s="224"/>
      <c r="Q593" s="225"/>
    </row>
    <row r="594" ht="15.75" hidden="1" customHeight="1">
      <c r="A594" s="64" t="s">
        <v>204</v>
      </c>
      <c r="B594" s="64" t="s">
        <v>199</v>
      </c>
      <c r="C594" s="220"/>
      <c r="D594" s="64" t="s">
        <v>319</v>
      </c>
      <c r="E594" s="221">
        <v>46162.0</v>
      </c>
      <c r="F594" s="213">
        <f t="shared" si="1"/>
        <v>20</v>
      </c>
      <c r="G594" s="213">
        <f t="shared" si="2"/>
        <v>5</v>
      </c>
      <c r="H594" s="213">
        <f t="shared" si="3"/>
        <v>2026</v>
      </c>
      <c r="I594" s="214">
        <v>5.0</v>
      </c>
      <c r="J594" s="222">
        <v>2026.0</v>
      </c>
      <c r="K594" s="223"/>
      <c r="L594" s="223">
        <v>4.2</v>
      </c>
      <c r="M594" s="32">
        <v>1.0</v>
      </c>
      <c r="N594" s="217">
        <f t="shared" si="88"/>
        <v>4.2</v>
      </c>
      <c r="O594" s="87"/>
      <c r="P594" s="87"/>
      <c r="Q594" s="226"/>
    </row>
    <row r="595" ht="15.75" hidden="1" customHeight="1">
      <c r="A595" s="64" t="s">
        <v>204</v>
      </c>
      <c r="B595" s="64" t="s">
        <v>199</v>
      </c>
      <c r="C595" s="220"/>
      <c r="D595" s="64" t="s">
        <v>319</v>
      </c>
      <c r="E595" s="221">
        <v>46189.0</v>
      </c>
      <c r="F595" s="213">
        <f t="shared" si="1"/>
        <v>16</v>
      </c>
      <c r="G595" s="213">
        <f t="shared" si="2"/>
        <v>6</v>
      </c>
      <c r="H595" s="213">
        <f t="shared" si="3"/>
        <v>2026</v>
      </c>
      <c r="I595" s="214">
        <v>6.0</v>
      </c>
      <c r="J595" s="222">
        <v>2026.0</v>
      </c>
      <c r="K595" s="223"/>
      <c r="L595" s="223">
        <v>3.99</v>
      </c>
      <c r="M595" s="32">
        <v>1.0</v>
      </c>
      <c r="N595" s="217">
        <f t="shared" si="88"/>
        <v>3.99</v>
      </c>
      <c r="O595" s="77"/>
      <c r="P595" s="77"/>
      <c r="Q595" s="226"/>
      <c r="R595" s="228"/>
      <c r="S595" s="228"/>
      <c r="T595" s="228"/>
      <c r="U595" s="228"/>
      <c r="V595" s="228"/>
      <c r="W595" s="228"/>
      <c r="X595" s="228"/>
      <c r="Y595" s="228"/>
      <c r="Z595" s="228"/>
      <c r="AA595" s="228"/>
      <c r="AB595" s="228"/>
      <c r="AC595" s="228"/>
      <c r="AD595" s="228"/>
      <c r="AE595" s="228"/>
      <c r="AF595" s="228"/>
      <c r="AG595" s="228"/>
      <c r="AH595" s="228"/>
    </row>
    <row r="596" ht="15.75" hidden="1" customHeight="1">
      <c r="A596" s="64" t="s">
        <v>204</v>
      </c>
      <c r="B596" s="64" t="s">
        <v>199</v>
      </c>
      <c r="C596" s="220"/>
      <c r="D596" s="64" t="s">
        <v>319</v>
      </c>
      <c r="E596" s="221">
        <v>46218.0</v>
      </c>
      <c r="F596" s="213">
        <f t="shared" si="1"/>
        <v>15</v>
      </c>
      <c r="G596" s="213">
        <f t="shared" si="2"/>
        <v>7</v>
      </c>
      <c r="H596" s="213">
        <f t="shared" si="3"/>
        <v>2026</v>
      </c>
      <c r="I596" s="214">
        <f t="shared" ref="I596:J596" si="111">G596</f>
        <v>7</v>
      </c>
      <c r="J596" s="215">
        <f t="shared" si="111"/>
        <v>2026</v>
      </c>
      <c r="K596" s="223"/>
      <c r="L596" s="223">
        <v>3.8</v>
      </c>
      <c r="M596" s="32">
        <v>1.0</v>
      </c>
      <c r="N596" s="217">
        <f t="shared" si="88"/>
        <v>3.8</v>
      </c>
      <c r="O596" s="87"/>
      <c r="P596" s="87"/>
      <c r="Q596" s="225"/>
    </row>
    <row r="597" ht="15.75" hidden="1" customHeight="1">
      <c r="A597" s="64" t="s">
        <v>204</v>
      </c>
      <c r="B597" s="64" t="s">
        <v>199</v>
      </c>
      <c r="C597" s="220"/>
      <c r="D597" s="64" t="s">
        <v>319</v>
      </c>
      <c r="E597" s="221">
        <v>46153.0</v>
      </c>
      <c r="F597" s="213">
        <f t="shared" si="1"/>
        <v>11</v>
      </c>
      <c r="G597" s="213">
        <f t="shared" si="2"/>
        <v>5</v>
      </c>
      <c r="H597" s="213">
        <f t="shared" si="3"/>
        <v>2026</v>
      </c>
      <c r="I597" s="214">
        <v>5.0</v>
      </c>
      <c r="J597" s="222">
        <v>2026.0</v>
      </c>
      <c r="K597" s="223"/>
      <c r="L597" s="223">
        <v>2.57</v>
      </c>
      <c r="M597" s="32">
        <v>1.0</v>
      </c>
      <c r="N597" s="217">
        <f t="shared" si="88"/>
        <v>2.57</v>
      </c>
      <c r="O597" s="87"/>
      <c r="P597" s="87"/>
      <c r="Q597" s="225"/>
    </row>
    <row r="598" ht="15.75" hidden="1" customHeight="1">
      <c r="A598" s="64" t="s">
        <v>109</v>
      </c>
      <c r="B598" s="64" t="s">
        <v>109</v>
      </c>
      <c r="C598" s="220"/>
      <c r="D598" s="64" t="s">
        <v>319</v>
      </c>
      <c r="E598" s="221">
        <v>46198.0</v>
      </c>
      <c r="F598" s="213">
        <f t="shared" si="1"/>
        <v>25</v>
      </c>
      <c r="G598" s="213">
        <f t="shared" si="2"/>
        <v>6</v>
      </c>
      <c r="H598" s="213">
        <f t="shared" si="3"/>
        <v>2026</v>
      </c>
      <c r="I598" s="214">
        <v>6.0</v>
      </c>
      <c r="J598" s="222">
        <v>2026.0</v>
      </c>
      <c r="K598" s="223"/>
      <c r="L598" s="223">
        <v>37.0</v>
      </c>
      <c r="M598" s="32">
        <v>1.0</v>
      </c>
      <c r="N598" s="217">
        <f t="shared" si="88"/>
        <v>37</v>
      </c>
      <c r="O598" s="87"/>
      <c r="P598" s="87"/>
      <c r="Q598" s="225" t="s">
        <v>1433</v>
      </c>
    </row>
    <row r="599" ht="15.75" hidden="1" customHeight="1">
      <c r="A599" s="64" t="s">
        <v>218</v>
      </c>
      <c r="B599" s="64" t="s">
        <v>46</v>
      </c>
      <c r="C599" s="220"/>
      <c r="D599" s="64" t="s">
        <v>7</v>
      </c>
      <c r="E599" s="221">
        <v>46100.0</v>
      </c>
      <c r="F599" s="213">
        <f t="shared" si="1"/>
        <v>19</v>
      </c>
      <c r="G599" s="213">
        <f t="shared" si="2"/>
        <v>3</v>
      </c>
      <c r="H599" s="213">
        <f t="shared" si="3"/>
        <v>2026</v>
      </c>
      <c r="I599" s="214">
        <v>3.0</v>
      </c>
      <c r="J599" s="222">
        <v>2026.0</v>
      </c>
      <c r="K599" s="223"/>
      <c r="L599" s="223">
        <v>9.95</v>
      </c>
      <c r="M599" s="32">
        <v>1.0</v>
      </c>
      <c r="N599" s="217">
        <f t="shared" si="88"/>
        <v>9.95</v>
      </c>
      <c r="O599" s="77"/>
      <c r="P599" s="77"/>
      <c r="Q599" s="225"/>
    </row>
    <row r="600" ht="15.75" hidden="1" customHeight="1">
      <c r="A600" s="64" t="s">
        <v>218</v>
      </c>
      <c r="B600" s="64" t="s">
        <v>46</v>
      </c>
      <c r="C600" s="220"/>
      <c r="D600" s="64" t="s">
        <v>7</v>
      </c>
      <c r="E600" s="221">
        <v>46101.0</v>
      </c>
      <c r="F600" s="213">
        <f t="shared" si="1"/>
        <v>20</v>
      </c>
      <c r="G600" s="213">
        <f t="shared" si="2"/>
        <v>3</v>
      </c>
      <c r="H600" s="213">
        <f t="shared" si="3"/>
        <v>2026</v>
      </c>
      <c r="I600" s="214">
        <v>3.0</v>
      </c>
      <c r="J600" s="222">
        <v>2026.0</v>
      </c>
      <c r="K600" s="223"/>
      <c r="L600" s="223">
        <v>7.94</v>
      </c>
      <c r="M600" s="32">
        <v>1.0</v>
      </c>
      <c r="N600" s="217">
        <f t="shared" si="88"/>
        <v>7.94</v>
      </c>
      <c r="O600" s="77"/>
      <c r="P600" s="77"/>
      <c r="Q600" s="226"/>
    </row>
    <row r="601" ht="15.75" hidden="1" customHeight="1">
      <c r="A601" s="64" t="s">
        <v>218</v>
      </c>
      <c r="B601" s="64" t="s">
        <v>46</v>
      </c>
      <c r="C601" s="220"/>
      <c r="D601" s="64" t="s">
        <v>7</v>
      </c>
      <c r="E601" s="221">
        <v>46097.0</v>
      </c>
      <c r="F601" s="213">
        <f t="shared" si="1"/>
        <v>16</v>
      </c>
      <c r="G601" s="213">
        <f t="shared" si="2"/>
        <v>3</v>
      </c>
      <c r="H601" s="213">
        <f t="shared" si="3"/>
        <v>2026</v>
      </c>
      <c r="I601" s="214">
        <v>3.0</v>
      </c>
      <c r="J601" s="222">
        <v>2026.0</v>
      </c>
      <c r="K601" s="223"/>
      <c r="L601" s="223">
        <v>4.94</v>
      </c>
      <c r="M601" s="32">
        <v>1.0</v>
      </c>
      <c r="N601" s="217">
        <f t="shared" si="88"/>
        <v>4.94</v>
      </c>
      <c r="O601" s="77"/>
      <c r="P601" s="77"/>
      <c r="Q601" s="226"/>
    </row>
    <row r="602" ht="15.75" hidden="1" customHeight="1">
      <c r="A602" s="64" t="s">
        <v>218</v>
      </c>
      <c r="B602" s="64" t="s">
        <v>46</v>
      </c>
      <c r="C602" s="220"/>
      <c r="D602" s="64" t="s">
        <v>7</v>
      </c>
      <c r="E602" s="221">
        <v>46097.0</v>
      </c>
      <c r="F602" s="213">
        <f t="shared" si="1"/>
        <v>16</v>
      </c>
      <c r="G602" s="213">
        <f t="shared" si="2"/>
        <v>3</v>
      </c>
      <c r="H602" s="213">
        <f t="shared" si="3"/>
        <v>2026</v>
      </c>
      <c r="I602" s="214">
        <v>3.0</v>
      </c>
      <c r="J602" s="222">
        <v>2026.0</v>
      </c>
      <c r="K602" s="223"/>
      <c r="L602" s="223">
        <v>3.95</v>
      </c>
      <c r="M602" s="32">
        <v>1.0</v>
      </c>
      <c r="N602" s="217">
        <f t="shared" si="88"/>
        <v>3.95</v>
      </c>
      <c r="O602" s="77"/>
      <c r="P602" s="77"/>
      <c r="Q602" s="225"/>
    </row>
    <row r="603" ht="15.75" hidden="1" customHeight="1">
      <c r="A603" s="64" t="s">
        <v>218</v>
      </c>
      <c r="B603" s="64" t="s">
        <v>46</v>
      </c>
      <c r="C603" s="220"/>
      <c r="D603" s="64" t="s">
        <v>7</v>
      </c>
      <c r="E603" s="221">
        <v>46101.0</v>
      </c>
      <c r="F603" s="213">
        <f t="shared" si="1"/>
        <v>20</v>
      </c>
      <c r="G603" s="213">
        <f t="shared" si="2"/>
        <v>3</v>
      </c>
      <c r="H603" s="213">
        <f t="shared" si="3"/>
        <v>2026</v>
      </c>
      <c r="I603" s="214">
        <v>3.0</v>
      </c>
      <c r="J603" s="222">
        <v>2026.0</v>
      </c>
      <c r="K603" s="223"/>
      <c r="L603" s="223">
        <v>3.95</v>
      </c>
      <c r="M603" s="32">
        <v>1.0</v>
      </c>
      <c r="N603" s="217">
        <f t="shared" si="88"/>
        <v>3.95</v>
      </c>
      <c r="O603" s="77"/>
      <c r="P603" s="77"/>
      <c r="Q603" s="226"/>
    </row>
    <row r="604" ht="15.75" hidden="1" customHeight="1">
      <c r="A604" s="35" t="s">
        <v>218</v>
      </c>
      <c r="B604" s="64" t="s">
        <v>46</v>
      </c>
      <c r="C604" s="403"/>
      <c r="D604" s="64" t="s">
        <v>7</v>
      </c>
      <c r="E604" s="221">
        <v>46097.0</v>
      </c>
      <c r="F604" s="213">
        <f t="shared" si="1"/>
        <v>16</v>
      </c>
      <c r="G604" s="213">
        <f t="shared" si="2"/>
        <v>3</v>
      </c>
      <c r="H604" s="213">
        <f t="shared" si="3"/>
        <v>2026</v>
      </c>
      <c r="I604" s="214">
        <v>3.0</v>
      </c>
      <c r="J604" s="222">
        <v>2026.0</v>
      </c>
      <c r="K604" s="223"/>
      <c r="L604" s="223">
        <v>3.93</v>
      </c>
      <c r="M604" s="32">
        <v>1.0</v>
      </c>
      <c r="N604" s="217">
        <f t="shared" si="88"/>
        <v>3.93</v>
      </c>
      <c r="O604" s="77"/>
      <c r="P604" s="77"/>
      <c r="Q604" s="226"/>
    </row>
    <row r="605" ht="15.75" hidden="1" customHeight="1">
      <c r="A605" s="35" t="s">
        <v>218</v>
      </c>
      <c r="B605" s="35" t="s">
        <v>46</v>
      </c>
      <c r="C605" s="403"/>
      <c r="D605" s="64" t="s">
        <v>319</v>
      </c>
      <c r="E605" s="221">
        <v>46211.0</v>
      </c>
      <c r="F605" s="213">
        <f t="shared" si="1"/>
        <v>8</v>
      </c>
      <c r="G605" s="213">
        <f t="shared" si="2"/>
        <v>7</v>
      </c>
      <c r="H605" s="213">
        <f t="shared" si="3"/>
        <v>2026</v>
      </c>
      <c r="I605" s="214">
        <f t="shared" ref="I605:J605" si="112">G605</f>
        <v>7</v>
      </c>
      <c r="J605" s="215">
        <f t="shared" si="112"/>
        <v>2026</v>
      </c>
      <c r="K605" s="223"/>
      <c r="L605" s="50">
        <v>13.0</v>
      </c>
      <c r="M605" s="32">
        <v>1.0</v>
      </c>
      <c r="N605" s="236">
        <f t="shared" si="88"/>
        <v>13</v>
      </c>
      <c r="O605" s="87"/>
      <c r="P605" s="87"/>
      <c r="Q605" s="404"/>
    </row>
    <row r="606" ht="15.75" hidden="1" customHeight="1">
      <c r="A606" s="35" t="s">
        <v>216</v>
      </c>
      <c r="B606" s="64" t="s">
        <v>165</v>
      </c>
      <c r="C606" s="403"/>
      <c r="D606" s="64" t="s">
        <v>7</v>
      </c>
      <c r="E606" s="221">
        <v>46174.0</v>
      </c>
      <c r="F606" s="213">
        <f t="shared" si="1"/>
        <v>1</v>
      </c>
      <c r="G606" s="213">
        <f t="shared" si="2"/>
        <v>6</v>
      </c>
      <c r="H606" s="213">
        <f t="shared" si="3"/>
        <v>2026</v>
      </c>
      <c r="I606" s="306">
        <v>5.0</v>
      </c>
      <c r="J606" s="214">
        <v>2026.0</v>
      </c>
      <c r="K606" s="223"/>
      <c r="L606" s="223">
        <v>2410.8</v>
      </c>
      <c r="M606" s="32">
        <v>1.0</v>
      </c>
      <c r="N606" s="217">
        <f t="shared" si="88"/>
        <v>2410.8</v>
      </c>
      <c r="O606" s="87"/>
      <c r="P606" s="77"/>
      <c r="Q606" s="225"/>
    </row>
    <row r="607" ht="15.75" hidden="1" customHeight="1">
      <c r="A607" s="35" t="s">
        <v>216</v>
      </c>
      <c r="B607" s="64" t="s">
        <v>165</v>
      </c>
      <c r="C607" s="403"/>
      <c r="D607" s="64" t="s">
        <v>7</v>
      </c>
      <c r="E607" s="221">
        <v>46203.0</v>
      </c>
      <c r="F607" s="213">
        <f t="shared" si="1"/>
        <v>30</v>
      </c>
      <c r="G607" s="213">
        <f t="shared" si="2"/>
        <v>6</v>
      </c>
      <c r="H607" s="213">
        <f t="shared" si="3"/>
        <v>2026</v>
      </c>
      <c r="I607" s="306">
        <v>6.0</v>
      </c>
      <c r="J607" s="214">
        <v>2026.0</v>
      </c>
      <c r="K607" s="223"/>
      <c r="L607" s="223">
        <v>2410.8</v>
      </c>
      <c r="M607" s="32">
        <v>1.0</v>
      </c>
      <c r="N607" s="217">
        <f t="shared" si="88"/>
        <v>2410.8</v>
      </c>
      <c r="O607" s="87"/>
      <c r="P607" s="224"/>
      <c r="Q607" s="225"/>
    </row>
    <row r="608" ht="15.75" hidden="1" customHeight="1">
      <c r="A608" s="64" t="s">
        <v>216</v>
      </c>
      <c r="B608" s="64" t="s">
        <v>209</v>
      </c>
      <c r="C608" s="220"/>
      <c r="D608" s="64" t="s">
        <v>7</v>
      </c>
      <c r="E608" s="221">
        <v>46160.0</v>
      </c>
      <c r="F608" s="213">
        <f t="shared" si="1"/>
        <v>18</v>
      </c>
      <c r="G608" s="213">
        <f t="shared" si="2"/>
        <v>5</v>
      </c>
      <c r="H608" s="213">
        <f t="shared" si="3"/>
        <v>2026</v>
      </c>
      <c r="I608" s="214">
        <v>5.0</v>
      </c>
      <c r="J608" s="214">
        <v>2026.0</v>
      </c>
      <c r="K608" s="223"/>
      <c r="L608" s="223">
        <v>250.0</v>
      </c>
      <c r="M608" s="32">
        <v>1.0</v>
      </c>
      <c r="N608" s="217">
        <f t="shared" si="88"/>
        <v>250</v>
      </c>
      <c r="O608" s="87"/>
      <c r="P608" s="224"/>
      <c r="Q608" s="225"/>
    </row>
    <row r="609" ht="15.75" hidden="1" customHeight="1">
      <c r="A609" s="140" t="s">
        <v>216</v>
      </c>
      <c r="B609" s="64" t="s">
        <v>209</v>
      </c>
      <c r="C609" s="230"/>
      <c r="D609" s="140" t="s">
        <v>7</v>
      </c>
      <c r="E609" s="310">
        <v>46040.0</v>
      </c>
      <c r="F609" s="213">
        <f t="shared" si="1"/>
        <v>18</v>
      </c>
      <c r="G609" s="213">
        <f t="shared" si="2"/>
        <v>1</v>
      </c>
      <c r="H609" s="213">
        <f t="shared" si="3"/>
        <v>2026</v>
      </c>
      <c r="I609" s="322">
        <v>1.0</v>
      </c>
      <c r="J609" s="322">
        <v>2026.0</v>
      </c>
      <c r="K609" s="217"/>
      <c r="L609" s="217">
        <v>700.0</v>
      </c>
      <c r="M609" s="269">
        <v>1.0</v>
      </c>
      <c r="N609" s="217">
        <f t="shared" si="88"/>
        <v>700</v>
      </c>
      <c r="O609" s="164"/>
      <c r="Q609" s="164" t="s">
        <v>1462</v>
      </c>
    </row>
    <row r="610" ht="15.75" hidden="1" customHeight="1">
      <c r="A610" s="64" t="s">
        <v>216</v>
      </c>
      <c r="B610" s="64" t="s">
        <v>213</v>
      </c>
      <c r="C610" s="220"/>
      <c r="D610" s="64" t="s">
        <v>7</v>
      </c>
      <c r="E610" s="221">
        <v>46174.0</v>
      </c>
      <c r="F610" s="213">
        <f t="shared" si="1"/>
        <v>1</v>
      </c>
      <c r="G610" s="213">
        <f t="shared" si="2"/>
        <v>6</v>
      </c>
      <c r="H610" s="213">
        <f t="shared" si="3"/>
        <v>2026</v>
      </c>
      <c r="I610" s="306">
        <v>5.0</v>
      </c>
      <c r="J610" s="214">
        <v>2026.0</v>
      </c>
      <c r="K610" s="223"/>
      <c r="L610" s="223">
        <v>752.5</v>
      </c>
      <c r="M610" s="32">
        <v>1.0</v>
      </c>
      <c r="N610" s="217">
        <f t="shared" si="88"/>
        <v>752.5</v>
      </c>
      <c r="O610" s="87"/>
      <c r="P610" s="87"/>
      <c r="Q610" s="225"/>
    </row>
    <row r="611" ht="15.75" hidden="1" customHeight="1">
      <c r="A611" s="64" t="s">
        <v>216</v>
      </c>
      <c r="B611" s="82" t="s">
        <v>214</v>
      </c>
      <c r="C611" s="220"/>
      <c r="D611" s="82" t="s">
        <v>369</v>
      </c>
      <c r="E611" s="221">
        <v>46163.0</v>
      </c>
      <c r="F611" s="213">
        <f t="shared" si="1"/>
        <v>21</v>
      </c>
      <c r="G611" s="213">
        <f t="shared" si="2"/>
        <v>5</v>
      </c>
      <c r="H611" s="213">
        <f t="shared" si="3"/>
        <v>2026</v>
      </c>
      <c r="I611" s="214">
        <v>5.0</v>
      </c>
      <c r="J611" s="214">
        <v>2026.0</v>
      </c>
      <c r="K611" s="223"/>
      <c r="L611" s="223">
        <v>290.0</v>
      </c>
      <c r="M611" s="32">
        <v>1.0</v>
      </c>
      <c r="N611" s="217">
        <f t="shared" si="88"/>
        <v>290</v>
      </c>
      <c r="O611" s="87"/>
      <c r="P611" s="87" t="s">
        <v>1467</v>
      </c>
      <c r="Q611" s="227"/>
    </row>
    <row r="612" ht="15.75" hidden="1" customHeight="1">
      <c r="A612" s="64" t="s">
        <v>216</v>
      </c>
      <c r="B612" s="82" t="s">
        <v>214</v>
      </c>
      <c r="C612" s="220"/>
      <c r="D612" s="82" t="s">
        <v>8</v>
      </c>
      <c r="E612" s="221">
        <v>46211.0</v>
      </c>
      <c r="F612" s="213">
        <f t="shared" si="1"/>
        <v>8</v>
      </c>
      <c r="G612" s="213">
        <f t="shared" si="2"/>
        <v>7</v>
      </c>
      <c r="H612" s="213">
        <f t="shared" si="3"/>
        <v>2026</v>
      </c>
      <c r="I612" s="214">
        <f t="shared" ref="I612:J612" si="113">G612</f>
        <v>7</v>
      </c>
      <c r="J612" s="215">
        <f t="shared" si="113"/>
        <v>2026</v>
      </c>
      <c r="K612" s="223"/>
      <c r="L612" s="223">
        <v>310.0</v>
      </c>
      <c r="M612" s="32">
        <v>1.0</v>
      </c>
      <c r="N612" s="217">
        <f t="shared" si="88"/>
        <v>310</v>
      </c>
      <c r="O612" s="87"/>
      <c r="P612" s="87"/>
      <c r="Q612" s="225" t="s">
        <v>1051</v>
      </c>
      <c r="W612" s="257"/>
      <c r="X612" s="257"/>
      <c r="Y612" s="257"/>
      <c r="Z612" s="257"/>
      <c r="AA612" s="257"/>
      <c r="AB612" s="257"/>
      <c r="AC612" s="257"/>
      <c r="AD612" s="257"/>
      <c r="AE612" s="257"/>
      <c r="AF612" s="257"/>
      <c r="AG612" s="257"/>
      <c r="AH612" s="257"/>
    </row>
    <row r="613" ht="15.75" hidden="1" customHeight="1">
      <c r="A613" s="64" t="s">
        <v>216</v>
      </c>
      <c r="B613" s="82" t="s">
        <v>214</v>
      </c>
      <c r="C613" s="220"/>
      <c r="D613" s="64" t="s">
        <v>319</v>
      </c>
      <c r="E613" s="221">
        <v>46205.0</v>
      </c>
      <c r="F613" s="213">
        <f t="shared" si="1"/>
        <v>2</v>
      </c>
      <c r="G613" s="213">
        <f t="shared" si="2"/>
        <v>7</v>
      </c>
      <c r="H613" s="213">
        <f t="shared" si="3"/>
        <v>2026</v>
      </c>
      <c r="I613" s="306">
        <v>6.0</v>
      </c>
      <c r="J613" s="214">
        <v>2026.0</v>
      </c>
      <c r="K613" s="223"/>
      <c r="L613" s="223">
        <v>310.0</v>
      </c>
      <c r="M613" s="32">
        <v>1.0</v>
      </c>
      <c r="N613" s="217">
        <f t="shared" si="88"/>
        <v>310</v>
      </c>
      <c r="O613" s="77"/>
      <c r="P613" s="77"/>
      <c r="Q613" s="32" t="s">
        <v>1051</v>
      </c>
    </row>
    <row r="614" ht="15.75" hidden="1" customHeight="1">
      <c r="A614" s="64" t="s">
        <v>216</v>
      </c>
      <c r="B614" s="82" t="s">
        <v>214</v>
      </c>
      <c r="C614" s="220"/>
      <c r="D614" s="82" t="s">
        <v>8</v>
      </c>
      <c r="E614" s="231">
        <v>46229.0</v>
      </c>
      <c r="F614" s="213">
        <f t="shared" si="1"/>
        <v>26</v>
      </c>
      <c r="G614" s="213">
        <f t="shared" si="2"/>
        <v>7</v>
      </c>
      <c r="H614" s="213">
        <f t="shared" si="3"/>
        <v>2026</v>
      </c>
      <c r="I614" s="232">
        <f t="shared" ref="I614:J614" si="114">G614</f>
        <v>7</v>
      </c>
      <c r="J614" s="213">
        <f t="shared" si="114"/>
        <v>2026</v>
      </c>
      <c r="K614" s="223"/>
      <c r="L614" s="223">
        <v>325.0</v>
      </c>
      <c r="M614" s="245">
        <v>1.0</v>
      </c>
      <c r="N614" s="217">
        <f>M614*L614</f>
        <v>325</v>
      </c>
      <c r="O614" s="87"/>
      <c r="P614" s="87"/>
      <c r="Q614" s="225" t="s">
        <v>1477</v>
      </c>
    </row>
    <row r="615" ht="15.75" hidden="1" customHeight="1">
      <c r="A615" s="64" t="s">
        <v>216</v>
      </c>
      <c r="B615" s="82" t="s">
        <v>214</v>
      </c>
      <c r="C615" s="220"/>
      <c r="D615" s="82" t="s">
        <v>369</v>
      </c>
      <c r="E615" s="221">
        <v>46156.0</v>
      </c>
      <c r="F615" s="213">
        <f t="shared" si="1"/>
        <v>14</v>
      </c>
      <c r="G615" s="213">
        <f t="shared" si="2"/>
        <v>5</v>
      </c>
      <c r="H615" s="213">
        <f t="shared" si="3"/>
        <v>2026</v>
      </c>
      <c r="I615" s="214">
        <v>5.0</v>
      </c>
      <c r="J615" s="214">
        <v>2026.0</v>
      </c>
      <c r="K615" s="216"/>
      <c r="L615" s="216">
        <v>340.0</v>
      </c>
      <c r="M615" s="32">
        <v>1.0</v>
      </c>
      <c r="N615" s="217">
        <f t="shared" ref="N615:N621" si="115">L615*M615</f>
        <v>340</v>
      </c>
      <c r="O615" s="77"/>
      <c r="P615" s="87" t="s">
        <v>1467</v>
      </c>
      <c r="Q615" s="225"/>
    </row>
    <row r="616" ht="15.75" hidden="1" customHeight="1">
      <c r="A616" s="64" t="s">
        <v>216</v>
      </c>
      <c r="B616" s="82" t="s">
        <v>214</v>
      </c>
      <c r="C616" s="220"/>
      <c r="D616" s="82" t="s">
        <v>369</v>
      </c>
      <c r="E616" s="221">
        <v>46171.0</v>
      </c>
      <c r="F616" s="213">
        <f t="shared" si="1"/>
        <v>29</v>
      </c>
      <c r="G616" s="213">
        <f t="shared" si="2"/>
        <v>5</v>
      </c>
      <c r="H616" s="213">
        <f t="shared" si="3"/>
        <v>2026</v>
      </c>
      <c r="I616" s="214">
        <v>5.0</v>
      </c>
      <c r="J616" s="214">
        <v>2026.0</v>
      </c>
      <c r="K616" s="223"/>
      <c r="L616" s="223">
        <v>370.0</v>
      </c>
      <c r="M616" s="32">
        <v>1.0</v>
      </c>
      <c r="N616" s="217">
        <f t="shared" si="115"/>
        <v>370</v>
      </c>
      <c r="O616" s="87"/>
      <c r="P616" s="87" t="s">
        <v>1467</v>
      </c>
      <c r="Q616" s="405"/>
    </row>
    <row r="617" ht="15.75" hidden="1" customHeight="1">
      <c r="A617" s="64" t="s">
        <v>216</v>
      </c>
      <c r="B617" s="82" t="s">
        <v>214</v>
      </c>
      <c r="C617" s="220"/>
      <c r="D617" s="82" t="s">
        <v>8</v>
      </c>
      <c r="E617" s="221">
        <v>46198.0</v>
      </c>
      <c r="F617" s="213">
        <f t="shared" si="1"/>
        <v>25</v>
      </c>
      <c r="G617" s="213">
        <f t="shared" si="2"/>
        <v>6</v>
      </c>
      <c r="H617" s="213">
        <f t="shared" si="3"/>
        <v>2026</v>
      </c>
      <c r="I617" s="306">
        <v>6.0</v>
      </c>
      <c r="J617" s="214">
        <v>2026.0</v>
      </c>
      <c r="K617" s="223"/>
      <c r="L617" s="223">
        <v>370.0</v>
      </c>
      <c r="M617" s="32">
        <v>1.0</v>
      </c>
      <c r="N617" s="217">
        <f t="shared" si="115"/>
        <v>370</v>
      </c>
      <c r="O617" s="87"/>
      <c r="P617" s="224"/>
      <c r="Q617" s="225" t="s">
        <v>1051</v>
      </c>
      <c r="R617" s="32"/>
      <c r="S617" s="228"/>
      <c r="T617" s="228"/>
      <c r="U617" s="228"/>
      <c r="V617" s="228"/>
      <c r="W617" s="228"/>
      <c r="X617" s="228"/>
      <c r="Y617" s="228"/>
      <c r="Z617" s="228"/>
      <c r="AA617" s="228"/>
      <c r="AB617" s="228"/>
      <c r="AC617" s="228"/>
      <c r="AD617" s="228"/>
      <c r="AE617" s="228"/>
      <c r="AF617" s="228"/>
      <c r="AG617" s="228"/>
      <c r="AH617" s="228"/>
    </row>
    <row r="618" ht="15.75" hidden="1" customHeight="1">
      <c r="A618" s="64" t="s">
        <v>216</v>
      </c>
      <c r="B618" s="82" t="s">
        <v>214</v>
      </c>
      <c r="C618" s="220"/>
      <c r="D618" s="82" t="s">
        <v>8</v>
      </c>
      <c r="E618" s="221">
        <v>46233.0</v>
      </c>
      <c r="F618" s="213">
        <f t="shared" si="1"/>
        <v>30</v>
      </c>
      <c r="G618" s="213">
        <f t="shared" si="2"/>
        <v>7</v>
      </c>
      <c r="H618" s="213">
        <f t="shared" si="3"/>
        <v>2026</v>
      </c>
      <c r="I618" s="214">
        <f t="shared" ref="I618:J618" si="116">G618</f>
        <v>7</v>
      </c>
      <c r="J618" s="215">
        <f t="shared" si="116"/>
        <v>2026</v>
      </c>
      <c r="K618" s="223"/>
      <c r="L618" s="223">
        <v>370.0</v>
      </c>
      <c r="M618" s="32">
        <v>1.0</v>
      </c>
      <c r="N618" s="217">
        <f t="shared" si="115"/>
        <v>370</v>
      </c>
      <c r="O618" s="77"/>
      <c r="P618" s="77"/>
      <c r="Q618" s="32" t="s">
        <v>1051</v>
      </c>
      <c r="R618" s="32"/>
    </row>
    <row r="619" ht="15.75" hidden="1" customHeight="1">
      <c r="A619" s="64" t="s">
        <v>216</v>
      </c>
      <c r="B619" s="82" t="s">
        <v>214</v>
      </c>
      <c r="C619" s="220"/>
      <c r="D619" s="64" t="s">
        <v>319</v>
      </c>
      <c r="E619" s="221">
        <v>46177.0</v>
      </c>
      <c r="F619" s="213">
        <f t="shared" si="1"/>
        <v>4</v>
      </c>
      <c r="G619" s="213">
        <f t="shared" si="2"/>
        <v>6</v>
      </c>
      <c r="H619" s="213">
        <f t="shared" si="3"/>
        <v>2026</v>
      </c>
      <c r="I619" s="306">
        <v>6.0</v>
      </c>
      <c r="J619" s="214">
        <v>2026.0</v>
      </c>
      <c r="K619" s="223"/>
      <c r="L619" s="223">
        <v>370.0</v>
      </c>
      <c r="M619" s="32">
        <v>1.0</v>
      </c>
      <c r="N619" s="217">
        <f t="shared" si="115"/>
        <v>370</v>
      </c>
      <c r="O619" s="87"/>
      <c r="P619" s="224"/>
      <c r="Q619" s="225" t="s">
        <v>1492</v>
      </c>
    </row>
    <row r="620" ht="15.75" hidden="1" customHeight="1">
      <c r="A620" s="64" t="s">
        <v>216</v>
      </c>
      <c r="B620" s="82" t="s">
        <v>214</v>
      </c>
      <c r="C620" s="220"/>
      <c r="D620" s="64" t="s">
        <v>319</v>
      </c>
      <c r="E620" s="221">
        <v>46192.0</v>
      </c>
      <c r="F620" s="213">
        <f t="shared" si="1"/>
        <v>19</v>
      </c>
      <c r="G620" s="213">
        <f t="shared" si="2"/>
        <v>6</v>
      </c>
      <c r="H620" s="213">
        <f t="shared" si="3"/>
        <v>2026</v>
      </c>
      <c r="I620" s="306">
        <v>6.0</v>
      </c>
      <c r="J620" s="214">
        <v>2026.0</v>
      </c>
      <c r="K620" s="223"/>
      <c r="L620" s="223">
        <v>370.0</v>
      </c>
      <c r="M620" s="32">
        <v>1.0</v>
      </c>
      <c r="N620" s="217">
        <f t="shared" si="115"/>
        <v>370</v>
      </c>
      <c r="O620" s="87"/>
      <c r="P620" s="87"/>
      <c r="Q620" s="225" t="s">
        <v>1051</v>
      </c>
    </row>
    <row r="621" ht="15.75" hidden="1" customHeight="1">
      <c r="A621" s="64" t="s">
        <v>216</v>
      </c>
      <c r="B621" s="82" t="s">
        <v>214</v>
      </c>
      <c r="C621" s="220"/>
      <c r="D621" s="82" t="s">
        <v>8</v>
      </c>
      <c r="E621" s="221">
        <v>46184.0</v>
      </c>
      <c r="F621" s="213">
        <f t="shared" si="1"/>
        <v>11</v>
      </c>
      <c r="G621" s="213">
        <f t="shared" si="2"/>
        <v>6</v>
      </c>
      <c r="H621" s="213">
        <f t="shared" si="3"/>
        <v>2026</v>
      </c>
      <c r="I621" s="306">
        <v>6.0</v>
      </c>
      <c r="J621" s="306">
        <v>2026.0</v>
      </c>
      <c r="K621" s="223"/>
      <c r="L621" s="223">
        <v>380.0</v>
      </c>
      <c r="M621" s="32">
        <v>1.0</v>
      </c>
      <c r="N621" s="217">
        <f t="shared" si="115"/>
        <v>380</v>
      </c>
      <c r="O621" s="87"/>
      <c r="P621" s="224"/>
      <c r="Q621" s="225" t="s">
        <v>1497</v>
      </c>
    </row>
    <row r="622" ht="15.75" hidden="1" customHeight="1">
      <c r="A622" s="64" t="s">
        <v>216</v>
      </c>
      <c r="B622" s="82" t="s">
        <v>214</v>
      </c>
      <c r="C622" s="220"/>
      <c r="D622" s="82" t="s">
        <v>8</v>
      </c>
      <c r="E622" s="231">
        <v>46229.0</v>
      </c>
      <c r="F622" s="213">
        <f t="shared" si="1"/>
        <v>26</v>
      </c>
      <c r="G622" s="213">
        <f t="shared" si="2"/>
        <v>7</v>
      </c>
      <c r="H622" s="213">
        <f t="shared" si="3"/>
        <v>2026</v>
      </c>
      <c r="I622" s="232">
        <f t="shared" ref="I622:J622" si="117">G622</f>
        <v>7</v>
      </c>
      <c r="J622" s="213">
        <f t="shared" si="117"/>
        <v>2026</v>
      </c>
      <c r="K622" s="217"/>
      <c r="L622" s="307">
        <v>480.0</v>
      </c>
      <c r="M622" s="245">
        <v>1.0</v>
      </c>
      <c r="N622" s="217">
        <f>M622*L622</f>
        <v>480</v>
      </c>
      <c r="O622" s="87"/>
      <c r="P622" s="87"/>
      <c r="Q622" s="234" t="s">
        <v>1071</v>
      </c>
    </row>
    <row r="623" ht="15.75" hidden="1" customHeight="1">
      <c r="A623" s="82" t="s">
        <v>216</v>
      </c>
      <c r="B623" s="82" t="s">
        <v>214</v>
      </c>
      <c r="C623" s="230"/>
      <c r="D623" s="82" t="s">
        <v>8</v>
      </c>
      <c r="E623" s="231">
        <v>46229.0</v>
      </c>
      <c r="F623" s="213">
        <f t="shared" si="1"/>
        <v>26</v>
      </c>
      <c r="G623" s="213">
        <f t="shared" si="2"/>
        <v>7</v>
      </c>
      <c r="H623" s="213">
        <f t="shared" si="3"/>
        <v>2026</v>
      </c>
      <c r="I623" s="232">
        <f t="shared" ref="I623:J623" si="118">G623</f>
        <v>7</v>
      </c>
      <c r="J623" s="213">
        <f t="shared" si="118"/>
        <v>2026</v>
      </c>
      <c r="K623" s="217"/>
      <c r="L623" s="307">
        <v>370.0</v>
      </c>
      <c r="M623" s="245">
        <v>1.0</v>
      </c>
      <c r="N623" s="307">
        <v>490.0</v>
      </c>
      <c r="O623" s="233"/>
      <c r="P623" s="140"/>
      <c r="Q623" s="234" t="s">
        <v>1051</v>
      </c>
    </row>
    <row r="624" ht="15.75" hidden="1" customHeight="1">
      <c r="A624" s="64" t="s">
        <v>216</v>
      </c>
      <c r="B624" s="82" t="s">
        <v>215</v>
      </c>
      <c r="C624" s="220"/>
      <c r="D624" s="82" t="s">
        <v>8</v>
      </c>
      <c r="E624" s="221">
        <v>46220.0</v>
      </c>
      <c r="F624" s="213">
        <f t="shared" si="1"/>
        <v>17</v>
      </c>
      <c r="G624" s="213">
        <f t="shared" si="2"/>
        <v>7</v>
      </c>
      <c r="H624" s="213">
        <f t="shared" si="3"/>
        <v>2026</v>
      </c>
      <c r="I624" s="214">
        <f t="shared" ref="I624:J624" si="119">G624</f>
        <v>7</v>
      </c>
      <c r="J624" s="215">
        <f t="shared" si="119"/>
        <v>2026</v>
      </c>
      <c r="K624" s="223"/>
      <c r="L624" s="223">
        <v>20.0</v>
      </c>
      <c r="M624" s="32">
        <v>1.0</v>
      </c>
      <c r="N624" s="217">
        <f t="shared" ref="N624:N652" si="120">L624*M624</f>
        <v>20</v>
      </c>
      <c r="O624" s="87"/>
      <c r="P624" s="87"/>
      <c r="Q624" s="225" t="s">
        <v>1477</v>
      </c>
    </row>
    <row r="625" ht="15.75" hidden="1" customHeight="1">
      <c r="A625" s="64" t="s">
        <v>216</v>
      </c>
      <c r="B625" s="82" t="s">
        <v>215</v>
      </c>
      <c r="C625" s="220"/>
      <c r="D625" s="82" t="s">
        <v>8</v>
      </c>
      <c r="E625" s="221">
        <v>46184.0</v>
      </c>
      <c r="F625" s="213">
        <f t="shared" si="1"/>
        <v>11</v>
      </c>
      <c r="G625" s="213">
        <f t="shared" si="2"/>
        <v>6</v>
      </c>
      <c r="H625" s="213">
        <f t="shared" si="3"/>
        <v>2026</v>
      </c>
      <c r="I625" s="306">
        <v>6.0</v>
      </c>
      <c r="J625" s="214">
        <v>2026.0</v>
      </c>
      <c r="K625" s="223"/>
      <c r="L625" s="223">
        <v>50.0</v>
      </c>
      <c r="M625" s="32">
        <v>1.0</v>
      </c>
      <c r="N625" s="217">
        <f t="shared" si="120"/>
        <v>50</v>
      </c>
      <c r="O625" s="87"/>
      <c r="P625" s="224" t="s">
        <v>1506</v>
      </c>
      <c r="Q625" s="225" t="s">
        <v>1087</v>
      </c>
    </row>
    <row r="626" ht="15.75" hidden="1" customHeight="1">
      <c r="A626" s="82" t="s">
        <v>216</v>
      </c>
      <c r="B626" s="82" t="s">
        <v>215</v>
      </c>
      <c r="C626" s="220"/>
      <c r="D626" s="82" t="s">
        <v>369</v>
      </c>
      <c r="E626" s="221">
        <v>46156.0</v>
      </c>
      <c r="F626" s="213">
        <f t="shared" si="1"/>
        <v>14</v>
      </c>
      <c r="G626" s="213">
        <f t="shared" si="2"/>
        <v>5</v>
      </c>
      <c r="H626" s="213">
        <f t="shared" si="3"/>
        <v>2026</v>
      </c>
      <c r="I626" s="214">
        <v>5.0</v>
      </c>
      <c r="J626" s="214">
        <v>2026.0</v>
      </c>
      <c r="K626" s="223"/>
      <c r="L626" s="223">
        <v>70.0</v>
      </c>
      <c r="M626" s="32">
        <v>1.0</v>
      </c>
      <c r="N626" s="217">
        <f t="shared" si="120"/>
        <v>70</v>
      </c>
      <c r="O626" s="77"/>
      <c r="P626" s="87" t="s">
        <v>1467</v>
      </c>
      <c r="Q626" s="227"/>
    </row>
    <row r="627" ht="15.75" hidden="1" customHeight="1">
      <c r="A627" s="64" t="s">
        <v>216</v>
      </c>
      <c r="B627" s="82" t="s">
        <v>215</v>
      </c>
      <c r="C627" s="220"/>
      <c r="D627" s="82" t="s">
        <v>369</v>
      </c>
      <c r="E627" s="221">
        <v>46163.0</v>
      </c>
      <c r="F627" s="213">
        <f t="shared" si="1"/>
        <v>21</v>
      </c>
      <c r="G627" s="213">
        <f t="shared" si="2"/>
        <v>5</v>
      </c>
      <c r="H627" s="213">
        <f t="shared" si="3"/>
        <v>2026</v>
      </c>
      <c r="I627" s="214">
        <v>5.0</v>
      </c>
      <c r="J627" s="214">
        <v>2026.0</v>
      </c>
      <c r="K627" s="223"/>
      <c r="L627" s="223">
        <v>70.0</v>
      </c>
      <c r="M627" s="32">
        <v>1.0</v>
      </c>
      <c r="N627" s="217">
        <f t="shared" si="120"/>
        <v>70</v>
      </c>
      <c r="O627" s="87"/>
      <c r="P627" s="87" t="s">
        <v>1467</v>
      </c>
      <c r="Q627" s="225"/>
    </row>
    <row r="628" ht="15.75" hidden="1" customHeight="1">
      <c r="A628" s="64" t="s">
        <v>216</v>
      </c>
      <c r="B628" s="82" t="s">
        <v>215</v>
      </c>
      <c r="C628" s="220"/>
      <c r="D628" s="64" t="s">
        <v>319</v>
      </c>
      <c r="E628" s="221">
        <v>46150.0</v>
      </c>
      <c r="F628" s="213">
        <f t="shared" si="1"/>
        <v>8</v>
      </c>
      <c r="G628" s="213">
        <f t="shared" si="2"/>
        <v>5</v>
      </c>
      <c r="H628" s="213">
        <f t="shared" si="3"/>
        <v>2026</v>
      </c>
      <c r="I628" s="214">
        <v>5.0</v>
      </c>
      <c r="J628" s="214">
        <v>2026.0</v>
      </c>
      <c r="K628" s="223"/>
      <c r="L628" s="223">
        <v>70.0</v>
      </c>
      <c r="M628" s="32">
        <v>1.0</v>
      </c>
      <c r="N628" s="217">
        <f t="shared" si="120"/>
        <v>70</v>
      </c>
      <c r="O628" s="77"/>
      <c r="P628" s="77"/>
      <c r="Q628" s="225" t="s">
        <v>1512</v>
      </c>
    </row>
    <row r="629" ht="15.75" hidden="1" customHeight="1">
      <c r="A629" s="64" t="s">
        <v>216</v>
      </c>
      <c r="B629" s="82" t="s">
        <v>215</v>
      </c>
      <c r="C629" s="220"/>
      <c r="D629" s="64" t="s">
        <v>319</v>
      </c>
      <c r="E629" s="221">
        <v>46151.0</v>
      </c>
      <c r="F629" s="213">
        <f t="shared" si="1"/>
        <v>9</v>
      </c>
      <c r="G629" s="213">
        <f t="shared" si="2"/>
        <v>5</v>
      </c>
      <c r="H629" s="213">
        <f t="shared" si="3"/>
        <v>2026</v>
      </c>
      <c r="I629" s="214">
        <v>5.0</v>
      </c>
      <c r="J629" s="214">
        <v>2026.0</v>
      </c>
      <c r="K629" s="223"/>
      <c r="L629" s="223">
        <v>100.0</v>
      </c>
      <c r="M629" s="32">
        <v>1.0</v>
      </c>
      <c r="N629" s="217">
        <f t="shared" si="120"/>
        <v>100</v>
      </c>
      <c r="O629" s="77"/>
      <c r="P629" s="77"/>
      <c r="Q629" s="225" t="s">
        <v>1514</v>
      </c>
    </row>
    <row r="630" ht="15.75" hidden="1" customHeight="1">
      <c r="A630" s="64" t="s">
        <v>216</v>
      </c>
      <c r="B630" s="82" t="s">
        <v>215</v>
      </c>
      <c r="C630" s="220"/>
      <c r="D630" s="64" t="s">
        <v>319</v>
      </c>
      <c r="E630" s="221">
        <v>46211.0</v>
      </c>
      <c r="F630" s="213">
        <f t="shared" si="1"/>
        <v>8</v>
      </c>
      <c r="G630" s="213">
        <f t="shared" si="2"/>
        <v>7</v>
      </c>
      <c r="H630" s="213">
        <f t="shared" si="3"/>
        <v>2026</v>
      </c>
      <c r="I630" s="306">
        <v>6.0</v>
      </c>
      <c r="J630" s="215">
        <f>H630</f>
        <v>2026</v>
      </c>
      <c r="K630" s="223"/>
      <c r="L630" s="223">
        <v>100.0</v>
      </c>
      <c r="M630" s="32">
        <v>1.0</v>
      </c>
      <c r="N630" s="236">
        <f t="shared" si="120"/>
        <v>100</v>
      </c>
      <c r="O630" s="87"/>
      <c r="P630" s="224"/>
      <c r="Q630" s="225" t="s">
        <v>1517</v>
      </c>
    </row>
    <row r="631" ht="15.75" hidden="1" customHeight="1">
      <c r="A631" s="64" t="s">
        <v>216</v>
      </c>
      <c r="B631" s="82" t="s">
        <v>215</v>
      </c>
      <c r="C631" s="220"/>
      <c r="D631" s="82" t="s">
        <v>8</v>
      </c>
      <c r="E631" s="221">
        <v>46220.0</v>
      </c>
      <c r="F631" s="213">
        <f t="shared" si="1"/>
        <v>17</v>
      </c>
      <c r="G631" s="213">
        <f t="shared" si="2"/>
        <v>7</v>
      </c>
      <c r="H631" s="213">
        <f t="shared" si="3"/>
        <v>2026</v>
      </c>
      <c r="I631" s="214">
        <f t="shared" ref="I631:J631" si="121">G631</f>
        <v>7</v>
      </c>
      <c r="J631" s="215">
        <f t="shared" si="121"/>
        <v>2026</v>
      </c>
      <c r="K631" s="223"/>
      <c r="L631" s="223">
        <v>130.0</v>
      </c>
      <c r="M631" s="32">
        <v>1.0</v>
      </c>
      <c r="N631" s="217">
        <f t="shared" si="120"/>
        <v>130</v>
      </c>
      <c r="O631" s="87"/>
      <c r="P631" s="87"/>
      <c r="Q631" s="225" t="s">
        <v>1477</v>
      </c>
    </row>
    <row r="632" ht="15.75" hidden="1" customHeight="1">
      <c r="A632" s="64" t="s">
        <v>216</v>
      </c>
      <c r="B632" s="82" t="s">
        <v>215</v>
      </c>
      <c r="C632" s="220"/>
      <c r="D632" s="64" t="s">
        <v>319</v>
      </c>
      <c r="E632" s="221">
        <v>46211.0</v>
      </c>
      <c r="F632" s="213">
        <f t="shared" si="1"/>
        <v>8</v>
      </c>
      <c r="G632" s="213">
        <f t="shared" si="2"/>
        <v>7</v>
      </c>
      <c r="H632" s="213">
        <f t="shared" si="3"/>
        <v>2026</v>
      </c>
      <c r="I632" s="214">
        <f t="shared" ref="I632:J632" si="122">G632</f>
        <v>7</v>
      </c>
      <c r="J632" s="215">
        <f t="shared" si="122"/>
        <v>2026</v>
      </c>
      <c r="K632" s="223"/>
      <c r="L632" s="223">
        <v>200.0</v>
      </c>
      <c r="M632" s="32">
        <v>1.0</v>
      </c>
      <c r="N632" s="236">
        <f t="shared" si="120"/>
        <v>200</v>
      </c>
      <c r="O632" s="87"/>
      <c r="P632" s="87"/>
      <c r="Q632" s="225" t="s">
        <v>1522</v>
      </c>
    </row>
    <row r="633" ht="15.75" hidden="1" customHeight="1">
      <c r="A633" s="82" t="s">
        <v>216</v>
      </c>
      <c r="B633" s="82" t="s">
        <v>215</v>
      </c>
      <c r="C633" s="230"/>
      <c r="D633" s="82" t="s">
        <v>8</v>
      </c>
      <c r="E633" s="231">
        <v>46211.0</v>
      </c>
      <c r="F633" s="213">
        <f t="shared" si="1"/>
        <v>8</v>
      </c>
      <c r="G633" s="213">
        <f t="shared" si="2"/>
        <v>7</v>
      </c>
      <c r="H633" s="213">
        <f t="shared" si="3"/>
        <v>2026</v>
      </c>
      <c r="I633" s="406">
        <v>6.0</v>
      </c>
      <c r="J633" s="222">
        <v>2026.0</v>
      </c>
      <c r="K633" s="223"/>
      <c r="L633" s="223">
        <v>250.0</v>
      </c>
      <c r="M633" s="32">
        <v>1.0</v>
      </c>
      <c r="N633" s="217">
        <f t="shared" si="120"/>
        <v>250</v>
      </c>
      <c r="O633" s="233"/>
      <c r="P633" s="140"/>
      <c r="Q633" s="225" t="s">
        <v>1525</v>
      </c>
      <c r="R633" s="32"/>
    </row>
    <row r="634" ht="15.75" hidden="1" customHeight="1">
      <c r="A634" s="64" t="s">
        <v>216</v>
      </c>
      <c r="B634" s="82" t="s">
        <v>215</v>
      </c>
      <c r="C634" s="220"/>
      <c r="D634" s="82" t="s">
        <v>8</v>
      </c>
      <c r="E634" s="221">
        <v>46233.0</v>
      </c>
      <c r="F634" s="213">
        <f t="shared" si="1"/>
        <v>30</v>
      </c>
      <c r="G634" s="213">
        <f t="shared" si="2"/>
        <v>7</v>
      </c>
      <c r="H634" s="213">
        <f t="shared" si="3"/>
        <v>2026</v>
      </c>
      <c r="I634" s="214">
        <f t="shared" ref="I634:J634" si="123">G634</f>
        <v>7</v>
      </c>
      <c r="J634" s="215">
        <f t="shared" si="123"/>
        <v>2026</v>
      </c>
      <c r="K634" s="223"/>
      <c r="L634" s="223">
        <v>250.0</v>
      </c>
      <c r="M634" s="32">
        <v>1.0</v>
      </c>
      <c r="N634" s="217">
        <f t="shared" si="120"/>
        <v>250</v>
      </c>
      <c r="O634" s="77"/>
      <c r="P634" s="77"/>
      <c r="Q634" s="32" t="s">
        <v>1525</v>
      </c>
      <c r="R634" s="32"/>
    </row>
    <row r="635" ht="15.75" hidden="1" customHeight="1">
      <c r="A635" s="64" t="s">
        <v>216</v>
      </c>
      <c r="B635" s="82" t="s">
        <v>215</v>
      </c>
      <c r="C635" s="220"/>
      <c r="D635" s="82" t="s">
        <v>8</v>
      </c>
      <c r="E635" s="221">
        <v>46204.0</v>
      </c>
      <c r="F635" s="213">
        <f t="shared" si="1"/>
        <v>1</v>
      </c>
      <c r="G635" s="213">
        <f t="shared" si="2"/>
        <v>7</v>
      </c>
      <c r="H635" s="213">
        <f t="shared" si="3"/>
        <v>2026</v>
      </c>
      <c r="I635" s="306">
        <v>6.0</v>
      </c>
      <c r="J635" s="214">
        <v>2026.0</v>
      </c>
      <c r="K635" s="223"/>
      <c r="L635" s="223">
        <v>280.0</v>
      </c>
      <c r="M635" s="32">
        <v>1.0</v>
      </c>
      <c r="N635" s="217">
        <f t="shared" si="120"/>
        <v>280</v>
      </c>
      <c r="O635" s="77"/>
      <c r="P635" s="77"/>
      <c r="Q635" s="164" t="s">
        <v>1522</v>
      </c>
    </row>
    <row r="636" ht="15.75" hidden="1" customHeight="1">
      <c r="A636" s="64" t="s">
        <v>216</v>
      </c>
      <c r="B636" s="82" t="s">
        <v>215</v>
      </c>
      <c r="C636" s="220"/>
      <c r="D636" s="82" t="s">
        <v>369</v>
      </c>
      <c r="E636" s="221">
        <v>46156.0</v>
      </c>
      <c r="F636" s="213">
        <f t="shared" si="1"/>
        <v>14</v>
      </c>
      <c r="G636" s="213">
        <f t="shared" si="2"/>
        <v>5</v>
      </c>
      <c r="H636" s="213">
        <f t="shared" si="3"/>
        <v>2026</v>
      </c>
      <c r="I636" s="214">
        <v>5.0</v>
      </c>
      <c r="J636" s="214">
        <v>2026.0</v>
      </c>
      <c r="K636" s="223"/>
      <c r="L636" s="223">
        <v>370.0</v>
      </c>
      <c r="M636" s="32">
        <v>1.0</v>
      </c>
      <c r="N636" s="217">
        <f t="shared" si="120"/>
        <v>370</v>
      </c>
      <c r="O636" s="87"/>
      <c r="P636" s="87" t="s">
        <v>1467</v>
      </c>
      <c r="Q636" s="227"/>
    </row>
    <row r="637" ht="15.75" hidden="1" customHeight="1">
      <c r="A637" s="82" t="s">
        <v>216</v>
      </c>
      <c r="B637" s="82" t="s">
        <v>215</v>
      </c>
      <c r="C637" s="220"/>
      <c r="D637" s="82" t="s">
        <v>369</v>
      </c>
      <c r="E637" s="221">
        <v>46163.0</v>
      </c>
      <c r="F637" s="213">
        <f t="shared" si="1"/>
        <v>21</v>
      </c>
      <c r="G637" s="213">
        <f t="shared" si="2"/>
        <v>5</v>
      </c>
      <c r="H637" s="213">
        <f t="shared" si="3"/>
        <v>2026</v>
      </c>
      <c r="I637" s="214">
        <v>5.0</v>
      </c>
      <c r="J637" s="214">
        <v>2026.0</v>
      </c>
      <c r="K637" s="223"/>
      <c r="L637" s="223">
        <v>370.0</v>
      </c>
      <c r="M637" s="32">
        <v>1.0</v>
      </c>
      <c r="N637" s="217">
        <f t="shared" si="120"/>
        <v>370</v>
      </c>
      <c r="O637" s="77"/>
      <c r="P637" s="87" t="s">
        <v>1467</v>
      </c>
      <c r="Q637" s="226"/>
    </row>
    <row r="638" ht="15.75" hidden="1" customHeight="1">
      <c r="A638" s="64" t="s">
        <v>216</v>
      </c>
      <c r="B638" s="82" t="s">
        <v>215</v>
      </c>
      <c r="C638" s="220"/>
      <c r="D638" s="82" t="s">
        <v>8</v>
      </c>
      <c r="E638" s="221">
        <v>46220.0</v>
      </c>
      <c r="F638" s="213">
        <f t="shared" si="1"/>
        <v>17</v>
      </c>
      <c r="G638" s="213">
        <f t="shared" si="2"/>
        <v>7</v>
      </c>
      <c r="H638" s="213">
        <f t="shared" si="3"/>
        <v>2026</v>
      </c>
      <c r="I638" s="214">
        <f t="shared" ref="I638:J638" si="124">G638</f>
        <v>7</v>
      </c>
      <c r="J638" s="215">
        <f t="shared" si="124"/>
        <v>2026</v>
      </c>
      <c r="K638" s="223"/>
      <c r="L638" s="223">
        <v>370.0</v>
      </c>
      <c r="M638" s="32">
        <v>1.0</v>
      </c>
      <c r="N638" s="217">
        <f t="shared" si="120"/>
        <v>370</v>
      </c>
      <c r="O638" s="87"/>
      <c r="P638" s="87"/>
      <c r="Q638" s="225" t="s">
        <v>1074</v>
      </c>
    </row>
    <row r="639" ht="15.75" hidden="1" customHeight="1">
      <c r="A639" s="64" t="s">
        <v>216</v>
      </c>
      <c r="B639" s="82" t="s">
        <v>215</v>
      </c>
      <c r="C639" s="220"/>
      <c r="D639" s="82" t="s">
        <v>8</v>
      </c>
      <c r="E639" s="221">
        <v>46220.0</v>
      </c>
      <c r="F639" s="213">
        <f t="shared" si="1"/>
        <v>17</v>
      </c>
      <c r="G639" s="213">
        <f t="shared" si="2"/>
        <v>7</v>
      </c>
      <c r="H639" s="213">
        <f t="shared" si="3"/>
        <v>2026</v>
      </c>
      <c r="I639" s="214">
        <f t="shared" ref="I639:J639" si="125">G639</f>
        <v>7</v>
      </c>
      <c r="J639" s="215">
        <f t="shared" si="125"/>
        <v>2026</v>
      </c>
      <c r="K639" s="223"/>
      <c r="L639" s="223">
        <v>370.0</v>
      </c>
      <c r="M639" s="32">
        <v>1.0</v>
      </c>
      <c r="N639" s="217">
        <f t="shared" si="120"/>
        <v>370</v>
      </c>
      <c r="O639" s="87"/>
      <c r="P639" s="87"/>
      <c r="Q639" s="225" t="s">
        <v>1536</v>
      </c>
    </row>
    <row r="640" ht="15.75" hidden="1" customHeight="1">
      <c r="A640" s="64" t="s">
        <v>216</v>
      </c>
      <c r="B640" s="82" t="s">
        <v>215</v>
      </c>
      <c r="C640" s="220"/>
      <c r="D640" s="82" t="s">
        <v>8</v>
      </c>
      <c r="E640" s="221">
        <v>46204.0</v>
      </c>
      <c r="F640" s="213">
        <f t="shared" si="1"/>
        <v>1</v>
      </c>
      <c r="G640" s="213">
        <f t="shared" si="2"/>
        <v>7</v>
      </c>
      <c r="H640" s="213">
        <f t="shared" si="3"/>
        <v>2026</v>
      </c>
      <c r="I640" s="306">
        <v>6.0</v>
      </c>
      <c r="J640" s="214">
        <v>2026.0</v>
      </c>
      <c r="K640" s="223"/>
      <c r="L640" s="223">
        <v>400.0</v>
      </c>
      <c r="M640" s="32">
        <v>1.0</v>
      </c>
      <c r="N640" s="217">
        <f t="shared" si="120"/>
        <v>400</v>
      </c>
      <c r="O640" s="87"/>
      <c r="P640" s="87"/>
      <c r="Q640" s="164" t="s">
        <v>1071</v>
      </c>
    </row>
    <row r="641" ht="15.75" hidden="1" customHeight="1">
      <c r="A641" s="64" t="s">
        <v>216</v>
      </c>
      <c r="B641" s="82" t="s">
        <v>215</v>
      </c>
      <c r="C641" s="220"/>
      <c r="D641" s="64" t="s">
        <v>319</v>
      </c>
      <c r="E641" s="221">
        <v>46149.0</v>
      </c>
      <c r="F641" s="213">
        <f t="shared" si="1"/>
        <v>7</v>
      </c>
      <c r="G641" s="213">
        <f t="shared" si="2"/>
        <v>5</v>
      </c>
      <c r="H641" s="213">
        <f t="shared" si="3"/>
        <v>2026</v>
      </c>
      <c r="I641" s="214">
        <v>5.0</v>
      </c>
      <c r="J641" s="214">
        <v>2026.0</v>
      </c>
      <c r="K641" s="223"/>
      <c r="L641" s="223">
        <v>430.0</v>
      </c>
      <c r="M641" s="32">
        <v>1.0</v>
      </c>
      <c r="N641" s="217">
        <f t="shared" si="120"/>
        <v>430</v>
      </c>
      <c r="O641" s="77"/>
      <c r="P641" s="77"/>
      <c r="Q641" s="226"/>
    </row>
    <row r="642" ht="15.75" hidden="1" customHeight="1">
      <c r="A642" s="64" t="s">
        <v>216</v>
      </c>
      <c r="B642" s="82" t="s">
        <v>215</v>
      </c>
      <c r="C642" s="220"/>
      <c r="D642" s="82" t="s">
        <v>8</v>
      </c>
      <c r="E642" s="221">
        <v>46211.0</v>
      </c>
      <c r="F642" s="213">
        <f t="shared" si="1"/>
        <v>8</v>
      </c>
      <c r="G642" s="213">
        <f t="shared" si="2"/>
        <v>7</v>
      </c>
      <c r="H642" s="213">
        <f t="shared" si="3"/>
        <v>2026</v>
      </c>
      <c r="I642" s="214">
        <f t="shared" ref="I642:J642" si="126">G642</f>
        <v>7</v>
      </c>
      <c r="J642" s="215">
        <f t="shared" si="126"/>
        <v>2026</v>
      </c>
      <c r="K642" s="223"/>
      <c r="L642" s="223">
        <f>440</f>
        <v>440</v>
      </c>
      <c r="M642" s="32">
        <v>1.0</v>
      </c>
      <c r="N642" s="217">
        <f t="shared" si="120"/>
        <v>440</v>
      </c>
      <c r="O642" s="77"/>
      <c r="P642" s="77"/>
      <c r="Q642" s="32" t="s">
        <v>1071</v>
      </c>
      <c r="R642" s="32"/>
    </row>
    <row r="643" ht="15.75" hidden="1" customHeight="1">
      <c r="A643" s="64" t="s">
        <v>216</v>
      </c>
      <c r="B643" s="82" t="s">
        <v>215</v>
      </c>
      <c r="C643" s="220"/>
      <c r="D643" s="64" t="s">
        <v>319</v>
      </c>
      <c r="E643" s="221">
        <v>46170.0</v>
      </c>
      <c r="F643" s="213">
        <f t="shared" si="1"/>
        <v>28</v>
      </c>
      <c r="G643" s="213">
        <f t="shared" si="2"/>
        <v>5</v>
      </c>
      <c r="H643" s="213">
        <f t="shared" si="3"/>
        <v>2026</v>
      </c>
      <c r="I643" s="214">
        <v>5.0</v>
      </c>
      <c r="J643" s="214">
        <v>2026.0</v>
      </c>
      <c r="K643" s="223"/>
      <c r="L643" s="223">
        <v>450.0</v>
      </c>
      <c r="M643" s="32">
        <v>1.0</v>
      </c>
      <c r="N643" s="217">
        <f t="shared" si="120"/>
        <v>450</v>
      </c>
      <c r="O643" s="87"/>
      <c r="P643" s="87"/>
      <c r="Q643" s="225"/>
    </row>
    <row r="644" ht="15.75" hidden="1" customHeight="1">
      <c r="A644" s="64" t="s">
        <v>216</v>
      </c>
      <c r="B644" s="82" t="s">
        <v>215</v>
      </c>
      <c r="C644" s="220"/>
      <c r="D644" s="64" t="s">
        <v>319</v>
      </c>
      <c r="E644" s="221">
        <v>46177.0</v>
      </c>
      <c r="F644" s="213">
        <f t="shared" si="1"/>
        <v>4</v>
      </c>
      <c r="G644" s="213">
        <f t="shared" si="2"/>
        <v>6</v>
      </c>
      <c r="H644" s="213">
        <f t="shared" si="3"/>
        <v>2026</v>
      </c>
      <c r="I644" s="306">
        <v>6.0</v>
      </c>
      <c r="J644" s="214">
        <v>2026.0</v>
      </c>
      <c r="K644" s="223"/>
      <c r="L644" s="223">
        <v>460.0</v>
      </c>
      <c r="M644" s="32">
        <v>1.0</v>
      </c>
      <c r="N644" s="217">
        <f t="shared" si="120"/>
        <v>460</v>
      </c>
      <c r="O644" s="87"/>
      <c r="P644" s="224"/>
      <c r="Q644" s="225" t="s">
        <v>1514</v>
      </c>
    </row>
    <row r="645" ht="15.75" hidden="1" customHeight="1">
      <c r="A645" s="64" t="s">
        <v>216</v>
      </c>
      <c r="B645" s="82" t="s">
        <v>215</v>
      </c>
      <c r="C645" s="220"/>
      <c r="D645" s="82" t="s">
        <v>8</v>
      </c>
      <c r="E645" s="221">
        <v>46184.0</v>
      </c>
      <c r="F645" s="213">
        <f t="shared" si="1"/>
        <v>11</v>
      </c>
      <c r="G645" s="213">
        <f t="shared" si="2"/>
        <v>6</v>
      </c>
      <c r="H645" s="213">
        <f t="shared" si="3"/>
        <v>2026</v>
      </c>
      <c r="I645" s="306">
        <v>6.0</v>
      </c>
      <c r="J645" s="214">
        <v>2026.0</v>
      </c>
      <c r="K645" s="223"/>
      <c r="L645" s="223">
        <v>500.0</v>
      </c>
      <c r="M645" s="32">
        <v>1.0</v>
      </c>
      <c r="N645" s="217">
        <f t="shared" si="120"/>
        <v>500</v>
      </c>
      <c r="O645" s="87"/>
      <c r="P645" s="224" t="s">
        <v>1547</v>
      </c>
      <c r="Q645" s="225" t="s">
        <v>1514</v>
      </c>
      <c r="S645" s="228"/>
      <c r="T645" s="228"/>
      <c r="U645" s="228"/>
      <c r="V645" s="228"/>
      <c r="W645" s="228"/>
      <c r="X645" s="228"/>
      <c r="Y645" s="228"/>
      <c r="Z645" s="228"/>
      <c r="AA645" s="228"/>
      <c r="AB645" s="228"/>
      <c r="AC645" s="228"/>
      <c r="AD645" s="228"/>
      <c r="AE645" s="228"/>
      <c r="AF645" s="228"/>
      <c r="AG645" s="228"/>
      <c r="AH645" s="228"/>
    </row>
    <row r="646" ht="15.75" hidden="1" customHeight="1">
      <c r="A646" s="64" t="s">
        <v>216</v>
      </c>
      <c r="B646" s="82" t="s">
        <v>215</v>
      </c>
      <c r="C646" s="220"/>
      <c r="D646" s="82" t="s">
        <v>8</v>
      </c>
      <c r="E646" s="221">
        <v>46198.0</v>
      </c>
      <c r="F646" s="213">
        <f t="shared" si="1"/>
        <v>25</v>
      </c>
      <c r="G646" s="213">
        <f t="shared" si="2"/>
        <v>6</v>
      </c>
      <c r="H646" s="213">
        <f t="shared" si="3"/>
        <v>2026</v>
      </c>
      <c r="I646" s="306">
        <v>6.0</v>
      </c>
      <c r="J646" s="214">
        <v>2026.0</v>
      </c>
      <c r="K646" s="223"/>
      <c r="L646" s="223">
        <v>500.0</v>
      </c>
      <c r="M646" s="32">
        <v>1.0</v>
      </c>
      <c r="N646" s="217">
        <f t="shared" si="120"/>
        <v>500</v>
      </c>
      <c r="O646" s="87"/>
      <c r="P646" s="224"/>
      <c r="Q646" s="225" t="s">
        <v>1087</v>
      </c>
      <c r="R646" s="32"/>
      <c r="S646" s="228"/>
      <c r="T646" s="228"/>
      <c r="U646" s="228"/>
      <c r="V646" s="228"/>
      <c r="W646" s="228"/>
      <c r="X646" s="228"/>
      <c r="Y646" s="228"/>
      <c r="Z646" s="228"/>
      <c r="AA646" s="228"/>
      <c r="AB646" s="228"/>
      <c r="AC646" s="228"/>
      <c r="AD646" s="228"/>
      <c r="AE646" s="228"/>
      <c r="AF646" s="228"/>
      <c r="AG646" s="228"/>
      <c r="AH646" s="228"/>
    </row>
    <row r="647" ht="15.75" hidden="1" customHeight="1">
      <c r="A647" s="64" t="s">
        <v>216</v>
      </c>
      <c r="B647" s="82" t="s">
        <v>215</v>
      </c>
      <c r="C647" s="220"/>
      <c r="D647" s="82" t="s">
        <v>8</v>
      </c>
      <c r="E647" s="221">
        <v>46233.0</v>
      </c>
      <c r="F647" s="213">
        <f t="shared" si="1"/>
        <v>30</v>
      </c>
      <c r="G647" s="213">
        <f t="shared" si="2"/>
        <v>7</v>
      </c>
      <c r="H647" s="213">
        <f t="shared" si="3"/>
        <v>2026</v>
      </c>
      <c r="I647" s="214">
        <f t="shared" ref="I647:J647" si="127">G647</f>
        <v>7</v>
      </c>
      <c r="J647" s="215">
        <f t="shared" si="127"/>
        <v>2026</v>
      </c>
      <c r="K647" s="223"/>
      <c r="L647" s="223">
        <v>500.0</v>
      </c>
      <c r="M647" s="32">
        <v>1.0</v>
      </c>
      <c r="N647" s="217">
        <f t="shared" si="120"/>
        <v>500</v>
      </c>
      <c r="O647" s="77"/>
      <c r="P647" s="77"/>
      <c r="Q647" s="32" t="s">
        <v>1071</v>
      </c>
      <c r="R647" s="32"/>
    </row>
    <row r="648" ht="15.75" hidden="1" customHeight="1">
      <c r="A648" s="64" t="s">
        <v>216</v>
      </c>
      <c r="B648" s="82" t="s">
        <v>215</v>
      </c>
      <c r="C648" s="142"/>
      <c r="D648" s="64" t="s">
        <v>319</v>
      </c>
      <c r="E648" s="221">
        <v>46192.0</v>
      </c>
      <c r="F648" s="213">
        <f t="shared" si="1"/>
        <v>19</v>
      </c>
      <c r="G648" s="213">
        <f t="shared" si="2"/>
        <v>6</v>
      </c>
      <c r="H648" s="213">
        <f t="shared" si="3"/>
        <v>2026</v>
      </c>
      <c r="I648" s="306">
        <v>6.0</v>
      </c>
      <c r="J648" s="214">
        <v>2026.0</v>
      </c>
      <c r="K648" s="223"/>
      <c r="L648" s="223">
        <v>500.0</v>
      </c>
      <c r="M648" s="32">
        <v>1.0</v>
      </c>
      <c r="N648" s="217">
        <f t="shared" si="120"/>
        <v>500</v>
      </c>
      <c r="O648" s="87"/>
      <c r="P648" s="87"/>
      <c r="Q648" s="225" t="s">
        <v>1087</v>
      </c>
    </row>
    <row r="649" ht="15.75" hidden="1" customHeight="1">
      <c r="A649" s="64" t="s">
        <v>216</v>
      </c>
      <c r="B649" s="82" t="s">
        <v>215</v>
      </c>
      <c r="C649" s="220"/>
      <c r="D649" s="64" t="s">
        <v>7</v>
      </c>
      <c r="E649" s="221">
        <v>46174.0</v>
      </c>
      <c r="F649" s="213">
        <f t="shared" si="1"/>
        <v>1</v>
      </c>
      <c r="G649" s="213">
        <f t="shared" si="2"/>
        <v>6</v>
      </c>
      <c r="H649" s="213">
        <f t="shared" si="3"/>
        <v>2026</v>
      </c>
      <c r="I649" s="214">
        <v>5.0</v>
      </c>
      <c r="J649" s="214">
        <v>2026.0</v>
      </c>
      <c r="K649" s="223"/>
      <c r="L649" s="223">
        <v>840.27</v>
      </c>
      <c r="M649" s="32">
        <v>1.0</v>
      </c>
      <c r="N649" s="217">
        <f t="shared" si="120"/>
        <v>840.27</v>
      </c>
      <c r="O649" s="359"/>
      <c r="P649" s="307"/>
      <c r="Q649" s="225"/>
    </row>
    <row r="650" ht="15.75" hidden="1" customHeight="1">
      <c r="A650" s="64" t="s">
        <v>216</v>
      </c>
      <c r="B650" s="82" t="s">
        <v>215</v>
      </c>
      <c r="C650" s="220"/>
      <c r="D650" s="64" t="s">
        <v>7</v>
      </c>
      <c r="E650" s="221">
        <v>46233.0</v>
      </c>
      <c r="F650" s="213">
        <f t="shared" si="1"/>
        <v>30</v>
      </c>
      <c r="G650" s="213">
        <f t="shared" si="2"/>
        <v>7</v>
      </c>
      <c r="H650" s="213">
        <f t="shared" si="3"/>
        <v>2026</v>
      </c>
      <c r="I650" s="214">
        <f t="shared" ref="I650:J650" si="128">G650</f>
        <v>7</v>
      </c>
      <c r="J650" s="215">
        <f t="shared" si="128"/>
        <v>2026</v>
      </c>
      <c r="K650" s="223"/>
      <c r="L650" s="223">
        <v>1000.0</v>
      </c>
      <c r="M650" s="32">
        <v>1.0</v>
      </c>
      <c r="N650" s="236">
        <f t="shared" si="120"/>
        <v>1000</v>
      </c>
      <c r="O650" s="77"/>
      <c r="P650" s="77"/>
      <c r="Q650" s="32" t="s">
        <v>1517</v>
      </c>
      <c r="R650" s="32"/>
    </row>
    <row r="651" ht="15.75" hidden="1" customHeight="1">
      <c r="A651" s="64" t="s">
        <v>216</v>
      </c>
      <c r="B651" s="82" t="s">
        <v>215</v>
      </c>
      <c r="C651" s="220"/>
      <c r="D651" s="64" t="s">
        <v>7</v>
      </c>
      <c r="E651" s="221">
        <v>46233.0</v>
      </c>
      <c r="F651" s="213">
        <f t="shared" si="1"/>
        <v>30</v>
      </c>
      <c r="G651" s="213">
        <f t="shared" si="2"/>
        <v>7</v>
      </c>
      <c r="H651" s="213">
        <f t="shared" si="3"/>
        <v>2026</v>
      </c>
      <c r="I651" s="214">
        <f t="shared" ref="I651:J651" si="129">G651</f>
        <v>7</v>
      </c>
      <c r="J651" s="215">
        <f t="shared" si="129"/>
        <v>2026</v>
      </c>
      <c r="K651" s="223"/>
      <c r="L651" s="223">
        <v>1000.0</v>
      </c>
      <c r="M651" s="32">
        <v>1.0</v>
      </c>
      <c r="N651" s="236">
        <f t="shared" si="120"/>
        <v>1000</v>
      </c>
      <c r="O651" s="77"/>
      <c r="P651" s="77"/>
      <c r="Q651" s="32" t="s">
        <v>1558</v>
      </c>
      <c r="R651" s="32"/>
    </row>
    <row r="652" ht="15.75" hidden="1" customHeight="1">
      <c r="A652" s="64" t="s">
        <v>216</v>
      </c>
      <c r="B652" s="82" t="s">
        <v>215</v>
      </c>
      <c r="C652" s="220"/>
      <c r="D652" s="64" t="s">
        <v>7</v>
      </c>
      <c r="E652" s="221">
        <v>46209.0</v>
      </c>
      <c r="F652" s="213">
        <f t="shared" si="1"/>
        <v>6</v>
      </c>
      <c r="G652" s="213">
        <f t="shared" si="2"/>
        <v>7</v>
      </c>
      <c r="H652" s="213">
        <f t="shared" si="3"/>
        <v>2026</v>
      </c>
      <c r="I652" s="406">
        <v>6.0</v>
      </c>
      <c r="J652" s="222">
        <v>2026.0</v>
      </c>
      <c r="K652" s="223"/>
      <c r="L652" s="223">
        <v>1219.58</v>
      </c>
      <c r="M652" s="32">
        <v>1.0</v>
      </c>
      <c r="N652" s="217">
        <f t="shared" si="120"/>
        <v>1219.58</v>
      </c>
      <c r="O652" s="87"/>
      <c r="P652" s="224"/>
      <c r="Q652" s="225" t="s">
        <v>1558</v>
      </c>
      <c r="R652" s="32"/>
    </row>
    <row r="653" ht="15.75" hidden="1" customHeight="1">
      <c r="A653" s="82" t="s">
        <v>216</v>
      </c>
      <c r="B653" s="82" t="s">
        <v>215</v>
      </c>
      <c r="C653" s="230"/>
      <c r="D653" s="82" t="s">
        <v>7</v>
      </c>
      <c r="E653" s="231">
        <v>46235.0</v>
      </c>
      <c r="F653" s="213">
        <f t="shared" si="1"/>
        <v>1</v>
      </c>
      <c r="G653" s="213">
        <f t="shared" si="2"/>
        <v>8</v>
      </c>
      <c r="H653" s="213">
        <f t="shared" si="3"/>
        <v>2026</v>
      </c>
      <c r="I653" s="322">
        <v>7.0</v>
      </c>
      <c r="J653" s="213">
        <f>H653</f>
        <v>2026</v>
      </c>
      <c r="K653" s="217"/>
      <c r="L653" s="307">
        <v>2410.8</v>
      </c>
      <c r="M653" s="245">
        <v>1.0</v>
      </c>
      <c r="N653" s="217">
        <f>M653*L653</f>
        <v>2410.8</v>
      </c>
      <c r="O653" s="233"/>
      <c r="P653" s="140"/>
      <c r="Q653" s="234" t="s">
        <v>1563</v>
      </c>
    </row>
    <row r="654" ht="15.75" hidden="1" customHeight="1">
      <c r="A654" s="64"/>
      <c r="B654" s="64"/>
      <c r="C654" s="220"/>
      <c r="D654" s="64"/>
      <c r="E654" s="221"/>
      <c r="F654" s="213"/>
      <c r="G654" s="213"/>
      <c r="H654" s="213"/>
      <c r="I654" s="214"/>
      <c r="J654" s="222"/>
      <c r="K654" s="223"/>
      <c r="L654" s="223"/>
      <c r="N654" s="217"/>
      <c r="O654" s="77"/>
      <c r="P654" s="77"/>
    </row>
    <row r="655" ht="15.75" hidden="1" customHeight="1">
      <c r="A655" s="64"/>
      <c r="B655" s="64"/>
      <c r="C655" s="220"/>
      <c r="D655" s="64"/>
      <c r="E655" s="221"/>
      <c r="F655" s="213"/>
      <c r="G655" s="213"/>
      <c r="H655" s="213"/>
      <c r="I655" s="214"/>
      <c r="J655" s="222"/>
      <c r="K655" s="223"/>
      <c r="L655" s="223"/>
      <c r="N655" s="217"/>
      <c r="O655" s="87"/>
      <c r="P655" s="87"/>
      <c r="Q655" s="225"/>
    </row>
    <row r="656" ht="15.75" hidden="1" customHeight="1">
      <c r="A656" s="82"/>
      <c r="B656" s="82"/>
      <c r="C656" s="230"/>
      <c r="D656" s="140"/>
      <c r="E656" s="310"/>
      <c r="F656" s="213"/>
      <c r="G656" s="213"/>
      <c r="H656" s="213"/>
      <c r="I656" s="232"/>
      <c r="J656" s="213"/>
      <c r="K656" s="217"/>
      <c r="L656" s="217"/>
      <c r="M656" s="352"/>
      <c r="N656" s="217"/>
      <c r="O656" s="233"/>
      <c r="P656" s="140"/>
      <c r="Q656" s="234"/>
    </row>
    <row r="657" ht="15.75" hidden="1" customHeight="1">
      <c r="A657" s="82"/>
      <c r="B657" s="82"/>
      <c r="C657" s="230"/>
      <c r="D657" s="140"/>
      <c r="E657" s="310"/>
      <c r="F657" s="213"/>
      <c r="G657" s="213"/>
      <c r="H657" s="213"/>
      <c r="I657" s="232"/>
      <c r="J657" s="213"/>
      <c r="K657" s="217"/>
      <c r="L657" s="217"/>
      <c r="M657" s="352"/>
      <c r="N657" s="217"/>
      <c r="O657" s="320"/>
      <c r="P657" s="321"/>
      <c r="Q657" s="234"/>
    </row>
    <row r="658" ht="15.75" hidden="1" customHeight="1">
      <c r="A658" s="82"/>
      <c r="B658" s="82"/>
      <c r="C658" s="230"/>
      <c r="D658" s="140"/>
      <c r="E658" s="310"/>
      <c r="F658" s="213"/>
      <c r="G658" s="213"/>
      <c r="H658" s="213"/>
      <c r="I658" s="232"/>
      <c r="J658" s="213"/>
      <c r="K658" s="217"/>
      <c r="L658" s="217"/>
      <c r="M658" s="352"/>
      <c r="N658" s="217"/>
      <c r="O658" s="233"/>
      <c r="P658" s="140"/>
      <c r="Q658" s="234"/>
    </row>
    <row r="659" ht="15.75" hidden="1" customHeight="1">
      <c r="A659" s="82"/>
      <c r="B659" s="82"/>
      <c r="C659" s="230"/>
      <c r="D659" s="140"/>
      <c r="E659" s="310"/>
      <c r="F659" s="213"/>
      <c r="G659" s="213"/>
      <c r="H659" s="213"/>
      <c r="I659" s="232"/>
      <c r="J659" s="213"/>
      <c r="K659" s="217"/>
      <c r="L659" s="217"/>
      <c r="M659" s="352"/>
      <c r="N659" s="217"/>
      <c r="O659" s="320"/>
      <c r="P659" s="321"/>
      <c r="Q659" s="234"/>
    </row>
    <row r="660" ht="15.75" hidden="1" customHeight="1">
      <c r="A660" s="82"/>
      <c r="B660" s="82"/>
      <c r="C660" s="230"/>
      <c r="D660" s="140"/>
      <c r="E660" s="310"/>
      <c r="F660" s="213"/>
      <c r="G660" s="213"/>
      <c r="H660" s="213"/>
      <c r="I660" s="232"/>
      <c r="J660" s="213"/>
      <c r="K660" s="217"/>
      <c r="L660" s="217"/>
      <c r="M660" s="352"/>
      <c r="N660" s="217"/>
      <c r="O660" s="320"/>
      <c r="P660" s="321"/>
      <c r="Q660" s="234"/>
    </row>
    <row r="661" ht="15.75" hidden="1" customHeight="1">
      <c r="A661" s="64"/>
      <c r="B661" s="64"/>
      <c r="C661" s="220"/>
      <c r="D661" s="64"/>
      <c r="E661" s="221"/>
      <c r="F661" s="213"/>
      <c r="G661" s="213"/>
      <c r="H661" s="213"/>
      <c r="I661" s="232"/>
      <c r="J661" s="213"/>
      <c r="K661" s="217"/>
      <c r="L661" s="217"/>
      <c r="N661" s="217"/>
      <c r="O661" s="87"/>
      <c r="P661" s="87"/>
      <c r="Q661" s="234"/>
    </row>
    <row r="662" ht="15.75" hidden="1" customHeight="1">
      <c r="A662" s="64"/>
      <c r="B662" s="64"/>
      <c r="C662" s="220"/>
      <c r="D662" s="64"/>
      <c r="E662" s="221"/>
      <c r="F662" s="213"/>
      <c r="G662" s="213"/>
      <c r="H662" s="213"/>
      <c r="I662" s="214"/>
      <c r="J662" s="222"/>
      <c r="K662" s="223"/>
      <c r="L662" s="223"/>
      <c r="N662" s="217"/>
      <c r="O662" s="87"/>
      <c r="P662" s="87"/>
      <c r="Q662" s="225"/>
    </row>
    <row r="663" ht="15.75" hidden="1" customHeight="1">
      <c r="A663" s="64"/>
      <c r="B663" s="64"/>
      <c r="C663" s="220"/>
      <c r="D663" s="64"/>
      <c r="E663" s="221"/>
      <c r="F663" s="213"/>
      <c r="G663" s="213"/>
      <c r="H663" s="213"/>
      <c r="I663" s="214"/>
      <c r="J663" s="222"/>
      <c r="K663" s="223"/>
      <c r="L663" s="223"/>
      <c r="N663" s="217"/>
      <c r="O663" s="87"/>
      <c r="P663" s="87"/>
      <c r="Q663" s="225"/>
    </row>
    <row r="664" ht="15.75" hidden="1" customHeight="1">
      <c r="A664" s="64"/>
      <c r="B664" s="64"/>
      <c r="C664" s="220"/>
      <c r="D664" s="64"/>
      <c r="E664" s="221"/>
      <c r="F664" s="213"/>
      <c r="G664" s="213"/>
      <c r="H664" s="213"/>
      <c r="I664" s="214"/>
      <c r="J664" s="222"/>
      <c r="K664" s="223"/>
      <c r="L664" s="223"/>
      <c r="N664" s="217"/>
      <c r="O664" s="87"/>
      <c r="P664" s="87"/>
      <c r="Q664" s="225"/>
    </row>
    <row r="665" ht="15.75" hidden="1" customHeight="1">
      <c r="A665" s="64"/>
      <c r="B665" s="64"/>
      <c r="C665" s="220"/>
      <c r="D665" s="64"/>
      <c r="E665" s="221"/>
      <c r="F665" s="213"/>
      <c r="G665" s="213"/>
      <c r="H665" s="213"/>
      <c r="I665" s="214"/>
      <c r="J665" s="222"/>
      <c r="K665" s="223"/>
      <c r="L665" s="223"/>
      <c r="N665" s="217"/>
      <c r="O665" s="87"/>
      <c r="P665" s="87"/>
      <c r="Q665" s="225"/>
    </row>
    <row r="666" ht="15.75" hidden="1" customHeight="1">
      <c r="A666" s="64"/>
      <c r="B666" s="64"/>
      <c r="C666" s="220"/>
      <c r="D666" s="64"/>
      <c r="E666" s="221"/>
      <c r="F666" s="213"/>
      <c r="G666" s="213"/>
      <c r="H666" s="213"/>
      <c r="I666" s="214"/>
      <c r="J666" s="222"/>
      <c r="K666" s="223"/>
      <c r="L666" s="223"/>
      <c r="N666" s="217"/>
      <c r="O666" s="87"/>
      <c r="P666" s="87"/>
      <c r="Q666" s="225"/>
    </row>
    <row r="667" ht="15.75" hidden="1" customHeight="1">
      <c r="A667" s="64"/>
      <c r="B667" s="64"/>
      <c r="C667" s="220"/>
      <c r="D667" s="64"/>
      <c r="E667" s="221"/>
      <c r="F667" s="213"/>
      <c r="G667" s="213"/>
      <c r="H667" s="213"/>
      <c r="I667" s="214"/>
      <c r="J667" s="222"/>
      <c r="K667" s="223"/>
      <c r="L667" s="223"/>
      <c r="N667" s="217"/>
      <c r="O667" s="87"/>
      <c r="P667" s="87"/>
      <c r="Q667" s="225"/>
    </row>
    <row r="668" ht="15.75" hidden="1" customHeight="1">
      <c r="A668" s="64"/>
      <c r="B668" s="64"/>
      <c r="C668" s="220"/>
      <c r="D668" s="64"/>
      <c r="E668" s="408"/>
      <c r="F668" s="213"/>
      <c r="G668" s="213"/>
      <c r="H668" s="213"/>
      <c r="I668" s="214"/>
      <c r="J668" s="222"/>
      <c r="K668" s="223"/>
      <c r="L668" s="223"/>
      <c r="N668" s="217"/>
      <c r="O668" s="87"/>
      <c r="P668" s="87"/>
      <c r="Q668" s="225"/>
    </row>
    <row r="669" ht="15.75" hidden="1" customHeight="1">
      <c r="A669" s="64"/>
      <c r="B669" s="64"/>
      <c r="C669" s="220"/>
      <c r="D669" s="64"/>
      <c r="E669" s="221"/>
      <c r="F669" s="213"/>
      <c r="G669" s="213"/>
      <c r="H669" s="213"/>
      <c r="I669" s="214"/>
      <c r="J669" s="222"/>
      <c r="K669" s="64"/>
      <c r="L669" s="64"/>
      <c r="N669" s="217"/>
      <c r="O669" s="87"/>
      <c r="P669" s="87"/>
      <c r="Q669" s="225"/>
    </row>
    <row r="670" ht="15.75" hidden="1" customHeight="1">
      <c r="A670" s="64"/>
      <c r="B670" s="64"/>
      <c r="C670" s="220"/>
      <c r="D670" s="64"/>
      <c r="E670" s="221"/>
      <c r="F670" s="213"/>
      <c r="G670" s="213"/>
      <c r="H670" s="213"/>
      <c r="I670" s="214"/>
      <c r="J670" s="222"/>
      <c r="K670" s="223"/>
      <c r="L670" s="223"/>
      <c r="N670" s="217"/>
      <c r="O670" s="87"/>
      <c r="P670" s="87"/>
      <c r="Q670" s="225"/>
    </row>
    <row r="671" ht="15.75" hidden="1" customHeight="1">
      <c r="A671" s="64"/>
      <c r="B671" s="64"/>
      <c r="C671" s="220"/>
      <c r="D671" s="64"/>
      <c r="E671" s="221"/>
      <c r="F671" s="213"/>
      <c r="G671" s="213"/>
      <c r="H671" s="213"/>
      <c r="I671" s="214"/>
      <c r="J671" s="215"/>
      <c r="K671" s="216"/>
      <c r="L671" s="216"/>
      <c r="N671" s="217"/>
      <c r="O671" s="87"/>
      <c r="P671" s="87"/>
      <c r="Q671" s="225"/>
      <c r="T671" s="142"/>
      <c r="U671" s="142"/>
    </row>
    <row r="672" ht="15.75" hidden="1" customHeight="1">
      <c r="A672" s="64"/>
      <c r="B672" s="64"/>
      <c r="C672" s="220"/>
      <c r="D672" s="64"/>
      <c r="E672" s="221"/>
      <c r="F672" s="213"/>
      <c r="G672" s="213"/>
      <c r="H672" s="213"/>
      <c r="I672" s="214"/>
      <c r="J672" s="215"/>
      <c r="K672" s="216"/>
      <c r="L672" s="216"/>
      <c r="N672" s="217"/>
      <c r="O672" s="302"/>
      <c r="Q672" s="225"/>
    </row>
    <row r="673" ht="15.75" hidden="1" customHeight="1">
      <c r="A673" s="64"/>
      <c r="B673" s="64"/>
      <c r="C673" s="220"/>
      <c r="D673" s="64"/>
      <c r="E673" s="221"/>
      <c r="F673" s="213"/>
      <c r="G673" s="213"/>
      <c r="H673" s="213"/>
      <c r="I673" s="214"/>
      <c r="J673" s="222"/>
      <c r="K673" s="223"/>
      <c r="L673" s="223"/>
      <c r="N673" s="217"/>
      <c r="O673" s="87"/>
      <c r="P673" s="87"/>
      <c r="Q673" s="318"/>
    </row>
    <row r="674" ht="15.75" hidden="1" customHeight="1">
      <c r="A674" s="64"/>
      <c r="B674" s="64"/>
      <c r="C674" s="220"/>
      <c r="D674" s="64"/>
      <c r="E674" s="221"/>
      <c r="F674" s="213"/>
      <c r="G674" s="213"/>
      <c r="H674" s="213"/>
      <c r="I674" s="214"/>
      <c r="J674" s="215"/>
      <c r="K674" s="216"/>
      <c r="L674" s="216"/>
      <c r="N674" s="217"/>
      <c r="O674" s="87"/>
      <c r="P674" s="87"/>
      <c r="Q674" s="225"/>
    </row>
    <row r="675" ht="15.75" hidden="1" customHeight="1">
      <c r="A675" s="64"/>
      <c r="B675" s="64"/>
      <c r="C675" s="220"/>
      <c r="D675" s="64"/>
      <c r="E675" s="221"/>
      <c r="F675" s="213"/>
      <c r="G675" s="213"/>
      <c r="H675" s="213"/>
      <c r="I675" s="214"/>
      <c r="J675" s="222"/>
      <c r="K675" s="223"/>
      <c r="L675" s="223"/>
      <c r="N675" s="217"/>
      <c r="O675" s="87"/>
      <c r="P675" s="87"/>
      <c r="Q675" s="225"/>
    </row>
    <row r="676" ht="15.75" hidden="1" customHeight="1">
      <c r="A676" s="64"/>
      <c r="B676" s="64"/>
      <c r="C676" s="220"/>
      <c r="D676" s="64"/>
      <c r="E676" s="221"/>
      <c r="F676" s="213"/>
      <c r="G676" s="213"/>
      <c r="H676" s="213"/>
      <c r="I676" s="214"/>
      <c r="J676" s="222"/>
      <c r="K676" s="223"/>
      <c r="L676" s="223"/>
      <c r="N676" s="217"/>
      <c r="O676" s="87"/>
      <c r="P676" s="87"/>
      <c r="Q676" s="225"/>
    </row>
    <row r="677" ht="15.75" hidden="1" customHeight="1">
      <c r="A677" s="64"/>
      <c r="B677" s="64"/>
      <c r="C677" s="220"/>
      <c r="D677" s="64"/>
      <c r="E677" s="221"/>
      <c r="F677" s="213"/>
      <c r="G677" s="213"/>
      <c r="H677" s="213"/>
      <c r="I677" s="214"/>
      <c r="J677" s="215"/>
      <c r="K677" s="216"/>
      <c r="L677" s="216"/>
      <c r="N677" s="217"/>
      <c r="O677" s="409"/>
      <c r="P677" s="409"/>
      <c r="Q677" s="225"/>
    </row>
    <row r="678" ht="15.75" hidden="1" customHeight="1">
      <c r="A678" s="64"/>
      <c r="B678" s="64"/>
      <c r="C678" s="220"/>
      <c r="D678" s="64"/>
      <c r="E678" s="221"/>
      <c r="F678" s="213"/>
      <c r="G678" s="213"/>
      <c r="H678" s="213"/>
      <c r="I678" s="214"/>
      <c r="J678" s="215"/>
      <c r="K678" s="216"/>
      <c r="L678" s="216"/>
      <c r="N678" s="217"/>
      <c r="O678" s="87"/>
      <c r="P678" s="87"/>
      <c r="Q678" s="410"/>
    </row>
    <row r="679" ht="15.75" hidden="1" customHeight="1">
      <c r="A679" s="64"/>
      <c r="B679" s="64"/>
      <c r="C679" s="220"/>
      <c r="D679" s="64"/>
      <c r="E679" s="221"/>
      <c r="F679" s="213"/>
      <c r="G679" s="213"/>
      <c r="H679" s="213"/>
      <c r="I679" s="214"/>
      <c r="J679" s="215"/>
      <c r="K679" s="216"/>
      <c r="L679" s="216"/>
      <c r="N679" s="217"/>
      <c r="O679" s="87"/>
      <c r="P679" s="87"/>
      <c r="Q679" s="225"/>
    </row>
    <row r="680" ht="15.75" hidden="1" customHeight="1">
      <c r="A680" s="82"/>
      <c r="B680" s="82"/>
      <c r="C680" s="230"/>
      <c r="D680" s="140"/>
      <c r="E680" s="310"/>
      <c r="F680" s="213"/>
      <c r="G680" s="213"/>
      <c r="H680" s="213"/>
      <c r="I680" s="214"/>
      <c r="J680" s="215"/>
      <c r="K680" s="216"/>
      <c r="L680" s="216"/>
      <c r="M680" s="352"/>
      <c r="N680" s="217"/>
      <c r="O680" s="233"/>
      <c r="P680" s="140"/>
      <c r="Q680" s="225"/>
    </row>
    <row r="681" ht="15.75" hidden="1" customHeight="1">
      <c r="A681" s="82"/>
      <c r="B681" s="165"/>
      <c r="C681" s="230"/>
      <c r="D681" s="140"/>
      <c r="E681" s="310"/>
      <c r="F681" s="213"/>
      <c r="G681" s="213"/>
      <c r="H681" s="213"/>
      <c r="I681" s="232"/>
      <c r="J681" s="213"/>
      <c r="K681" s="217"/>
      <c r="L681" s="217"/>
      <c r="M681" s="352"/>
      <c r="N681" s="217"/>
      <c r="O681" s="233"/>
      <c r="P681" s="140"/>
      <c r="Q681" s="234"/>
    </row>
    <row r="682" ht="15.75" hidden="1" customHeight="1">
      <c r="A682" s="64"/>
      <c r="B682" s="64"/>
      <c r="C682" s="220"/>
      <c r="D682" s="64"/>
      <c r="E682" s="221"/>
      <c r="F682" s="213"/>
      <c r="G682" s="213"/>
      <c r="H682" s="213"/>
      <c r="I682" s="232"/>
      <c r="J682" s="213"/>
      <c r="K682" s="217"/>
      <c r="L682" s="217"/>
      <c r="N682" s="217"/>
      <c r="O682" s="77"/>
      <c r="P682" s="77"/>
      <c r="Q682" s="234"/>
    </row>
    <row r="683" ht="15.75" hidden="1" customHeight="1">
      <c r="A683" s="64"/>
      <c r="B683" s="64"/>
      <c r="C683" s="220"/>
      <c r="D683" s="64"/>
      <c r="E683" s="221"/>
      <c r="F683" s="213"/>
      <c r="G683" s="213"/>
      <c r="H683" s="213"/>
      <c r="I683" s="214"/>
      <c r="J683" s="215"/>
      <c r="K683" s="216"/>
      <c r="L683" s="216"/>
      <c r="N683" s="217"/>
      <c r="O683" s="77"/>
      <c r="P683" s="77"/>
      <c r="Q683" s="226"/>
    </row>
    <row r="684" ht="15.75" hidden="1" customHeight="1">
      <c r="A684" s="64"/>
      <c r="B684" s="64"/>
      <c r="C684" s="220"/>
      <c r="D684" s="64"/>
      <c r="E684" s="221"/>
      <c r="F684" s="213"/>
      <c r="G684" s="213"/>
      <c r="H684" s="213"/>
      <c r="I684" s="214"/>
      <c r="J684" s="215"/>
      <c r="K684" s="216"/>
      <c r="L684" s="216"/>
      <c r="N684" s="217"/>
      <c r="O684" s="87"/>
      <c r="P684" s="87"/>
      <c r="Q684" s="226"/>
    </row>
    <row r="685" ht="15.75" hidden="1" customHeight="1">
      <c r="A685" s="64"/>
      <c r="B685" s="64"/>
      <c r="C685" s="220"/>
      <c r="D685" s="64"/>
      <c r="E685" s="221"/>
      <c r="F685" s="213"/>
      <c r="G685" s="213"/>
      <c r="H685" s="213"/>
      <c r="I685" s="214"/>
      <c r="J685" s="215"/>
      <c r="K685" s="216"/>
      <c r="L685" s="216"/>
      <c r="N685" s="217"/>
      <c r="O685" s="87"/>
      <c r="P685" s="87"/>
      <c r="Q685" s="411"/>
    </row>
    <row r="686" ht="15.75" hidden="1" customHeight="1">
      <c r="A686" s="64"/>
      <c r="B686" s="64"/>
      <c r="C686" s="220"/>
      <c r="D686" s="64"/>
      <c r="E686" s="221"/>
      <c r="F686" s="213"/>
      <c r="G686" s="213"/>
      <c r="H686" s="213"/>
      <c r="I686" s="214"/>
      <c r="J686" s="222"/>
      <c r="K686" s="223"/>
      <c r="L686" s="223"/>
      <c r="N686" s="217"/>
      <c r="O686" s="87"/>
      <c r="P686" s="87"/>
      <c r="Q686" s="225"/>
    </row>
    <row r="687" ht="15.75" hidden="1" customHeight="1">
      <c r="A687" s="64"/>
      <c r="B687" s="64"/>
      <c r="C687" s="220"/>
      <c r="D687" s="64"/>
      <c r="E687" s="221"/>
      <c r="F687" s="213"/>
      <c r="G687" s="213"/>
      <c r="H687" s="213"/>
      <c r="I687" s="214"/>
      <c r="J687" s="215"/>
      <c r="K687" s="216"/>
      <c r="L687" s="216"/>
      <c r="N687" s="217"/>
      <c r="O687" s="87"/>
      <c r="P687" s="224"/>
      <c r="Q687" s="225"/>
    </row>
    <row r="688" ht="15.75" hidden="1" customHeight="1">
      <c r="A688" s="64"/>
      <c r="B688" s="64"/>
      <c r="C688" s="220"/>
      <c r="D688" s="64"/>
      <c r="E688" s="221"/>
      <c r="F688" s="213"/>
      <c r="G688" s="213"/>
      <c r="H688" s="213"/>
      <c r="I688" s="214"/>
      <c r="J688" s="215"/>
      <c r="K688" s="216"/>
      <c r="L688" s="216"/>
      <c r="N688" s="217"/>
      <c r="O688" s="87"/>
      <c r="P688" s="87"/>
      <c r="Q688" s="226"/>
    </row>
    <row r="689" ht="15.75" hidden="1" customHeight="1">
      <c r="A689" s="64"/>
      <c r="B689" s="64"/>
      <c r="C689" s="220"/>
      <c r="D689" s="64"/>
      <c r="E689" s="221"/>
      <c r="F689" s="213"/>
      <c r="G689" s="213"/>
      <c r="H689" s="213"/>
      <c r="I689" s="214"/>
      <c r="J689" s="215"/>
      <c r="K689" s="216"/>
      <c r="L689" s="216"/>
      <c r="N689" s="217"/>
      <c r="O689" s="87"/>
      <c r="P689" s="87"/>
      <c r="Q689" s="225"/>
    </row>
    <row r="690" ht="15.75" hidden="1" customHeight="1">
      <c r="A690" s="64"/>
      <c r="B690" s="64"/>
      <c r="C690" s="220"/>
      <c r="D690" s="64"/>
      <c r="E690" s="221"/>
      <c r="F690" s="213"/>
      <c r="G690" s="213"/>
      <c r="H690" s="213"/>
      <c r="I690" s="214"/>
      <c r="J690" s="215"/>
      <c r="K690" s="216"/>
      <c r="L690" s="216"/>
      <c r="N690" s="217"/>
      <c r="O690" s="87"/>
      <c r="P690" s="87"/>
      <c r="Q690" s="225"/>
    </row>
    <row r="691" ht="15.75" hidden="1" customHeight="1">
      <c r="A691" s="64"/>
      <c r="B691" s="64"/>
      <c r="C691" s="220"/>
      <c r="D691" s="64"/>
      <c r="E691" s="221"/>
      <c r="F691" s="213"/>
      <c r="G691" s="213"/>
      <c r="H691" s="213"/>
      <c r="I691" s="214"/>
      <c r="J691" s="222"/>
      <c r="K691" s="223"/>
      <c r="L691" s="223"/>
      <c r="N691" s="217"/>
      <c r="O691" s="87"/>
      <c r="P691" s="87"/>
      <c r="Q691" s="225"/>
    </row>
    <row r="692" ht="15.75" hidden="1" customHeight="1">
      <c r="A692" s="64"/>
      <c r="B692" s="64"/>
      <c r="C692" s="220"/>
      <c r="D692" s="64"/>
      <c r="E692" s="221"/>
      <c r="F692" s="213"/>
      <c r="G692" s="213"/>
      <c r="H692" s="213"/>
      <c r="I692" s="214"/>
      <c r="J692" s="215"/>
      <c r="K692" s="210"/>
      <c r="L692" s="210"/>
      <c r="N692" s="217"/>
      <c r="O692" s="87"/>
      <c r="P692" s="87"/>
      <c r="Q692" s="225"/>
    </row>
    <row r="693" ht="15.75" hidden="1" customHeight="1">
      <c r="A693" s="64"/>
      <c r="B693" s="64"/>
      <c r="C693" s="220"/>
      <c r="D693" s="64"/>
      <c r="E693" s="221"/>
      <c r="F693" s="213"/>
      <c r="G693" s="213"/>
      <c r="H693" s="213"/>
      <c r="I693" s="214"/>
      <c r="J693" s="215"/>
      <c r="K693" s="216"/>
      <c r="L693" s="216"/>
      <c r="N693" s="217"/>
      <c r="O693" s="87"/>
      <c r="P693" s="87"/>
      <c r="Q693" s="225"/>
    </row>
    <row r="694" ht="15.75" hidden="1" customHeight="1">
      <c r="A694" s="64"/>
      <c r="B694" s="64"/>
      <c r="C694" s="220"/>
      <c r="D694" s="64"/>
      <c r="E694" s="221"/>
      <c r="F694" s="213"/>
      <c r="G694" s="213"/>
      <c r="H694" s="213"/>
      <c r="I694" s="214"/>
      <c r="J694" s="215"/>
      <c r="K694" s="216"/>
      <c r="L694" s="216"/>
      <c r="N694" s="217"/>
      <c r="O694" s="87"/>
      <c r="P694" s="87"/>
      <c r="Q694" s="225"/>
    </row>
    <row r="695" ht="15.75" hidden="1" customHeight="1">
      <c r="A695" s="64"/>
      <c r="B695" s="64"/>
      <c r="C695" s="220"/>
      <c r="D695" s="64"/>
      <c r="E695" s="221"/>
      <c r="F695" s="213"/>
      <c r="G695" s="213"/>
      <c r="H695" s="213"/>
      <c r="I695" s="214"/>
      <c r="J695" s="215"/>
      <c r="K695" s="216"/>
      <c r="L695" s="216"/>
      <c r="N695" s="217"/>
      <c r="O695" s="87"/>
      <c r="P695" s="87"/>
      <c r="Q695" s="225"/>
    </row>
    <row r="696" ht="15.75" hidden="1" customHeight="1">
      <c r="A696" s="64"/>
      <c r="B696" s="64"/>
      <c r="C696" s="220"/>
      <c r="D696" s="64"/>
      <c r="E696" s="221"/>
      <c r="F696" s="213"/>
      <c r="G696" s="213"/>
      <c r="H696" s="213"/>
      <c r="I696" s="214"/>
      <c r="J696" s="215"/>
      <c r="K696" s="216"/>
      <c r="L696" s="216"/>
      <c r="N696" s="217"/>
      <c r="O696" s="87"/>
      <c r="P696" s="87"/>
      <c r="Q696" s="225"/>
    </row>
    <row r="697" ht="15.75" hidden="1" customHeight="1">
      <c r="A697" s="64"/>
      <c r="B697" s="64"/>
      <c r="C697" s="220"/>
      <c r="D697" s="64"/>
      <c r="E697" s="221"/>
      <c r="F697" s="213"/>
      <c r="G697" s="213"/>
      <c r="H697" s="213"/>
      <c r="I697" s="214"/>
      <c r="J697" s="215"/>
      <c r="K697" s="216"/>
      <c r="L697" s="216"/>
      <c r="N697" s="217"/>
      <c r="O697" s="87"/>
      <c r="P697" s="87"/>
      <c r="Q697" s="225"/>
    </row>
    <row r="698" ht="15.75" hidden="1" customHeight="1">
      <c r="A698" s="82"/>
      <c r="B698" s="165"/>
      <c r="C698" s="230"/>
      <c r="D698" s="140"/>
      <c r="E698" s="310"/>
      <c r="F698" s="213"/>
      <c r="G698" s="213"/>
      <c r="H698" s="213"/>
      <c r="I698" s="214"/>
      <c r="J698" s="222"/>
      <c r="K698" s="223"/>
      <c r="L698" s="223"/>
      <c r="M698" s="352"/>
      <c r="N698" s="217"/>
      <c r="O698" s="233"/>
      <c r="P698" s="140"/>
      <c r="Q698" s="225"/>
    </row>
    <row r="699" ht="15.75" hidden="1" customHeight="1">
      <c r="A699" s="142"/>
      <c r="B699" s="142"/>
      <c r="C699" s="220"/>
      <c r="D699" s="142"/>
      <c r="E699" s="220"/>
      <c r="F699" s="213"/>
      <c r="G699" s="213"/>
      <c r="H699" s="213"/>
      <c r="I699" s="232"/>
      <c r="J699" s="213"/>
      <c r="K699" s="217"/>
      <c r="L699" s="217"/>
      <c r="M699" s="142"/>
      <c r="N699" s="217"/>
      <c r="O699" s="77"/>
      <c r="P699" s="77"/>
      <c r="Q699" s="234"/>
    </row>
    <row r="700" ht="15.75" hidden="1" customHeight="1">
      <c r="A700" s="142"/>
      <c r="B700" s="142"/>
      <c r="C700" s="220"/>
      <c r="D700" s="64"/>
      <c r="E700" s="220"/>
      <c r="F700" s="213"/>
      <c r="G700" s="213"/>
      <c r="H700" s="213"/>
      <c r="I700" s="214"/>
      <c r="J700" s="222"/>
      <c r="K700" s="65"/>
      <c r="L700" s="65"/>
      <c r="M700" s="142"/>
      <c r="N700" s="217"/>
      <c r="O700" s="77"/>
      <c r="P700" s="77"/>
      <c r="Q700" s="225"/>
      <c r="T700" s="140"/>
      <c r="U700" s="140"/>
    </row>
    <row r="701" ht="15.75" hidden="1" customHeight="1">
      <c r="A701" s="142"/>
      <c r="B701" s="142"/>
      <c r="C701" s="220"/>
      <c r="D701" s="142"/>
      <c r="E701" s="220"/>
      <c r="F701" s="213"/>
      <c r="G701" s="213"/>
      <c r="H701" s="213"/>
      <c r="I701" s="214"/>
      <c r="J701" s="222"/>
      <c r="K701" s="65"/>
      <c r="L701" s="65"/>
      <c r="M701" s="142"/>
      <c r="N701" s="217"/>
      <c r="O701" s="77"/>
      <c r="P701" s="77"/>
      <c r="Q701" s="225"/>
      <c r="R701" s="259"/>
      <c r="S701" s="259"/>
      <c r="T701" s="259"/>
      <c r="U701" s="259"/>
      <c r="V701" s="259"/>
      <c r="W701" s="259"/>
      <c r="X701" s="259"/>
      <c r="Y701" s="259"/>
      <c r="Z701" s="259"/>
      <c r="AA701" s="259"/>
      <c r="AB701" s="259"/>
      <c r="AC701" s="259"/>
      <c r="AD701" s="259"/>
      <c r="AE701" s="259"/>
      <c r="AF701" s="259"/>
      <c r="AG701" s="259"/>
      <c r="AH701" s="259"/>
    </row>
    <row r="702" ht="15.75" hidden="1" customHeight="1">
      <c r="A702" s="64"/>
      <c r="B702" s="64"/>
      <c r="C702" s="220"/>
      <c r="D702" s="64"/>
      <c r="E702" s="221"/>
      <c r="F702" s="213"/>
      <c r="G702" s="213"/>
      <c r="H702" s="213"/>
      <c r="I702" s="214"/>
      <c r="J702" s="222"/>
      <c r="K702" s="65"/>
      <c r="L702" s="65"/>
      <c r="N702" s="217"/>
      <c r="O702" s="77"/>
      <c r="P702" s="77"/>
      <c r="Q702" s="225"/>
    </row>
    <row r="703" ht="15.75" hidden="1" customHeight="1">
      <c r="A703" s="142"/>
      <c r="B703" s="142"/>
      <c r="C703" s="220"/>
      <c r="D703" s="142"/>
      <c r="E703" s="220"/>
      <c r="F703" s="213"/>
      <c r="G703" s="213"/>
      <c r="H703" s="213"/>
      <c r="I703" s="214"/>
      <c r="J703" s="222"/>
      <c r="K703" s="223"/>
      <c r="L703" s="223"/>
      <c r="M703" s="142"/>
      <c r="N703" s="217"/>
      <c r="O703" s="77"/>
      <c r="P703" s="77"/>
      <c r="Q703" s="226"/>
    </row>
    <row r="704" ht="15.75" hidden="1" customHeight="1">
      <c r="A704" s="142"/>
      <c r="B704" s="142"/>
      <c r="C704" s="220"/>
      <c r="D704" s="142"/>
      <c r="E704" s="220"/>
      <c r="F704" s="213"/>
      <c r="G704" s="213"/>
      <c r="H704" s="213"/>
      <c r="I704" s="214"/>
      <c r="J704" s="222"/>
      <c r="K704" s="65"/>
      <c r="L704" s="65"/>
      <c r="M704" s="142"/>
      <c r="N704" s="217"/>
      <c r="O704" s="77"/>
      <c r="P704" s="77"/>
      <c r="Q704" s="225"/>
    </row>
    <row r="705" ht="15.75" hidden="1" customHeight="1">
      <c r="A705" s="142"/>
      <c r="B705" s="142"/>
      <c r="C705" s="220"/>
      <c r="D705" s="142"/>
      <c r="E705" s="220"/>
      <c r="F705" s="213"/>
      <c r="G705" s="213"/>
      <c r="H705" s="213"/>
      <c r="I705" s="214"/>
      <c r="J705" s="222"/>
      <c r="K705" s="65"/>
      <c r="L705" s="65"/>
      <c r="M705" s="142"/>
      <c r="N705" s="217"/>
      <c r="O705" s="77"/>
      <c r="P705" s="77"/>
      <c r="Q705" s="225"/>
    </row>
    <row r="706" ht="15.75" hidden="1" customHeight="1">
      <c r="A706" s="142"/>
      <c r="B706" s="142"/>
      <c r="C706" s="220"/>
      <c r="D706" s="142"/>
      <c r="E706" s="220"/>
      <c r="F706" s="213"/>
      <c r="G706" s="213"/>
      <c r="H706" s="213"/>
      <c r="I706" s="214"/>
      <c r="J706" s="222"/>
      <c r="K706" s="65"/>
      <c r="L706" s="65"/>
      <c r="M706" s="142"/>
      <c r="N706" s="217"/>
      <c r="O706" s="77"/>
      <c r="P706" s="77"/>
      <c r="Q706" s="225"/>
    </row>
    <row r="707" ht="15.75" hidden="1" customHeight="1">
      <c r="A707" s="64"/>
      <c r="B707" s="64"/>
      <c r="C707" s="220"/>
      <c r="D707" s="64"/>
      <c r="E707" s="221"/>
      <c r="F707" s="213"/>
      <c r="G707" s="213"/>
      <c r="H707" s="213"/>
      <c r="I707" s="214"/>
      <c r="J707" s="222"/>
      <c r="K707" s="65"/>
      <c r="L707" s="65"/>
      <c r="N707" s="217"/>
      <c r="O707" s="87"/>
      <c r="P707" s="87"/>
      <c r="Q707" s="225"/>
      <c r="T707" s="142"/>
    </row>
    <row r="708" ht="15.75" hidden="1" customHeight="1">
      <c r="A708" s="64"/>
      <c r="B708" s="64"/>
      <c r="C708" s="220"/>
      <c r="D708" s="64"/>
      <c r="E708" s="221"/>
      <c r="F708" s="213"/>
      <c r="G708" s="213"/>
      <c r="H708" s="213"/>
      <c r="I708" s="214"/>
      <c r="J708" s="222"/>
      <c r="K708" s="223"/>
      <c r="L708" s="223"/>
      <c r="N708" s="217"/>
      <c r="O708" s="77"/>
      <c r="P708" s="77"/>
      <c r="Q708" s="225"/>
    </row>
    <row r="709" ht="15.75" hidden="1" customHeight="1">
      <c r="A709" s="142"/>
      <c r="B709" s="142"/>
      <c r="C709" s="220"/>
      <c r="D709" s="142"/>
      <c r="E709" s="220"/>
      <c r="F709" s="213"/>
      <c r="G709" s="213"/>
      <c r="H709" s="213"/>
      <c r="I709" s="214"/>
      <c r="J709" s="222"/>
      <c r="K709" s="223"/>
      <c r="L709" s="223"/>
      <c r="M709" s="142"/>
      <c r="N709" s="217"/>
      <c r="O709" s="77"/>
      <c r="P709" s="77"/>
      <c r="Q709" s="226"/>
    </row>
    <row r="710" ht="15.75" hidden="1" customHeight="1">
      <c r="A710" s="142"/>
      <c r="B710" s="142"/>
      <c r="C710" s="220"/>
      <c r="D710" s="142"/>
      <c r="E710" s="220"/>
      <c r="F710" s="213"/>
      <c r="G710" s="213"/>
      <c r="H710" s="213"/>
      <c r="I710" s="214"/>
      <c r="J710" s="222"/>
      <c r="K710" s="65"/>
      <c r="L710" s="65"/>
      <c r="M710" s="142"/>
      <c r="N710" s="217"/>
      <c r="O710" s="77"/>
      <c r="P710" s="77"/>
      <c r="Q710" s="225"/>
    </row>
    <row r="711" ht="15.75" hidden="1" customHeight="1">
      <c r="A711" s="142"/>
      <c r="B711" s="142"/>
      <c r="C711" s="220"/>
      <c r="D711" s="142"/>
      <c r="E711" s="220"/>
      <c r="F711" s="213"/>
      <c r="G711" s="213"/>
      <c r="H711" s="213"/>
      <c r="I711" s="214"/>
      <c r="J711" s="222"/>
      <c r="K711" s="65"/>
      <c r="L711" s="65"/>
      <c r="M711" s="142"/>
      <c r="N711" s="217"/>
      <c r="O711" s="77"/>
      <c r="P711" s="77"/>
      <c r="Q711" s="225"/>
    </row>
    <row r="712" ht="15.75" hidden="1" customHeight="1">
      <c r="A712" s="142"/>
      <c r="B712" s="142"/>
      <c r="C712" s="220"/>
      <c r="D712" s="142"/>
      <c r="E712" s="220"/>
      <c r="F712" s="213"/>
      <c r="G712" s="213"/>
      <c r="H712" s="213"/>
      <c r="I712" s="214"/>
      <c r="J712" s="222"/>
      <c r="K712" s="65"/>
      <c r="L712" s="65"/>
      <c r="M712" s="142"/>
      <c r="N712" s="217"/>
      <c r="O712" s="77"/>
      <c r="P712" s="77"/>
      <c r="Q712" s="225"/>
    </row>
    <row r="713" ht="15.75" hidden="1" customHeight="1">
      <c r="A713" s="142"/>
      <c r="B713" s="142"/>
      <c r="C713" s="220"/>
      <c r="D713" s="142"/>
      <c r="E713" s="220"/>
      <c r="F713" s="213"/>
      <c r="G713" s="213"/>
      <c r="H713" s="213"/>
      <c r="I713" s="214"/>
      <c r="J713" s="222"/>
      <c r="K713" s="65"/>
      <c r="L713" s="65"/>
      <c r="M713" s="142"/>
      <c r="N713" s="217"/>
      <c r="O713" s="77"/>
      <c r="P713" s="77"/>
      <c r="Q713" s="225"/>
    </row>
    <row r="714" ht="15.75" hidden="1" customHeight="1">
      <c r="A714" s="142"/>
      <c r="B714" s="142"/>
      <c r="C714" s="220"/>
      <c r="D714" s="142"/>
      <c r="E714" s="220"/>
      <c r="F714" s="213"/>
      <c r="G714" s="213"/>
      <c r="H714" s="213"/>
      <c r="I714" s="214"/>
      <c r="J714" s="222"/>
      <c r="K714" s="65"/>
      <c r="L714" s="65"/>
      <c r="M714" s="142"/>
      <c r="N714" s="217"/>
      <c r="O714" s="77"/>
      <c r="P714" s="77"/>
      <c r="Q714" s="225"/>
    </row>
    <row r="715" ht="15.75" hidden="1" customHeight="1">
      <c r="A715" s="142"/>
      <c r="B715" s="142"/>
      <c r="C715" s="220"/>
      <c r="D715" s="142"/>
      <c r="E715" s="220"/>
      <c r="F715" s="213"/>
      <c r="G715" s="213"/>
      <c r="H715" s="213"/>
      <c r="I715" s="214"/>
      <c r="J715" s="222"/>
      <c r="K715" s="65"/>
      <c r="L715" s="65"/>
      <c r="M715" s="142"/>
      <c r="N715" s="217"/>
      <c r="O715" s="77"/>
      <c r="P715" s="77"/>
      <c r="Q715" s="225"/>
    </row>
    <row r="716" ht="15.75" hidden="1" customHeight="1">
      <c r="A716" s="142"/>
      <c r="B716" s="142"/>
      <c r="C716" s="220"/>
      <c r="D716" s="142"/>
      <c r="E716" s="220"/>
      <c r="F716" s="213"/>
      <c r="G716" s="213"/>
      <c r="H716" s="213"/>
      <c r="I716" s="214"/>
      <c r="J716" s="222"/>
      <c r="K716" s="65"/>
      <c r="L716" s="65"/>
      <c r="M716" s="142"/>
      <c r="N716" s="217"/>
      <c r="O716" s="77"/>
      <c r="P716" s="77"/>
      <c r="Q716" s="225"/>
    </row>
    <row r="717" ht="15.75" hidden="1" customHeight="1">
      <c r="A717" s="142"/>
      <c r="B717" s="142"/>
      <c r="C717" s="220"/>
      <c r="D717" s="64"/>
      <c r="E717" s="220"/>
      <c r="F717" s="213"/>
      <c r="G717" s="213"/>
      <c r="H717" s="213"/>
      <c r="I717" s="214"/>
      <c r="J717" s="222"/>
      <c r="K717" s="65"/>
      <c r="L717" s="65"/>
      <c r="M717" s="142"/>
      <c r="N717" s="217"/>
      <c r="O717" s="77"/>
      <c r="P717" s="77"/>
      <c r="Q717" s="225"/>
    </row>
    <row r="718" ht="15.75" hidden="1" customHeight="1">
      <c r="A718" s="64"/>
      <c r="B718" s="64"/>
      <c r="C718" s="220"/>
      <c r="D718" s="64"/>
      <c r="E718" s="221"/>
      <c r="F718" s="213"/>
      <c r="G718" s="213"/>
      <c r="H718" s="213"/>
      <c r="I718" s="214"/>
      <c r="J718" s="222"/>
      <c r="K718" s="65"/>
      <c r="L718" s="65"/>
      <c r="N718" s="217"/>
      <c r="O718" s="87"/>
      <c r="P718" s="87"/>
      <c r="Q718" s="225"/>
    </row>
    <row r="719" ht="15.75" hidden="1" customHeight="1">
      <c r="A719" s="64"/>
      <c r="B719" s="64"/>
      <c r="C719" s="220"/>
      <c r="D719" s="64"/>
      <c r="E719" s="221"/>
      <c r="F719" s="213"/>
      <c r="G719" s="213"/>
      <c r="H719" s="213"/>
      <c r="I719" s="214"/>
      <c r="J719" s="222"/>
      <c r="K719" s="223"/>
      <c r="L719" s="223"/>
      <c r="N719" s="217"/>
      <c r="O719" s="87"/>
      <c r="P719" s="87"/>
      <c r="Q719" s="225"/>
    </row>
    <row r="720" ht="15.75" hidden="1" customHeight="1">
      <c r="A720" s="64"/>
      <c r="B720" s="64"/>
      <c r="C720" s="220"/>
      <c r="D720" s="64"/>
      <c r="E720" s="221"/>
      <c r="F720" s="213"/>
      <c r="G720" s="213"/>
      <c r="H720" s="213"/>
      <c r="I720" s="214"/>
      <c r="J720" s="222"/>
      <c r="K720" s="223"/>
      <c r="L720" s="223"/>
      <c r="N720" s="217"/>
      <c r="O720" s="87"/>
      <c r="P720" s="87"/>
      <c r="Q720" s="225"/>
    </row>
    <row r="721" ht="15.75" hidden="1" customHeight="1">
      <c r="A721" s="64"/>
      <c r="B721" s="64"/>
      <c r="C721" s="220"/>
      <c r="D721" s="64"/>
      <c r="E721" s="221"/>
      <c r="F721" s="213"/>
      <c r="G721" s="213"/>
      <c r="H721" s="213"/>
      <c r="I721" s="214"/>
      <c r="J721" s="222"/>
      <c r="K721" s="223"/>
      <c r="L721" s="223"/>
      <c r="N721" s="217"/>
      <c r="O721" s="77"/>
      <c r="P721" s="77"/>
      <c r="Q721" s="225"/>
      <c r="T721" s="142" t="s">
        <v>1641</v>
      </c>
    </row>
    <row r="722" ht="15.75" hidden="1" customHeight="1">
      <c r="A722" s="64"/>
      <c r="B722" s="64"/>
      <c r="C722" s="220"/>
      <c r="D722" s="64"/>
      <c r="E722" s="221"/>
      <c r="F722" s="213"/>
      <c r="G722" s="213"/>
      <c r="H722" s="213"/>
      <c r="I722" s="214"/>
      <c r="J722" s="222"/>
      <c r="K722" s="223"/>
      <c r="L722" s="223"/>
      <c r="N722" s="217"/>
      <c r="O722" s="77"/>
      <c r="P722" s="77"/>
      <c r="Q722" s="226"/>
    </row>
    <row r="723" ht="15.75" hidden="1" customHeight="1">
      <c r="A723" s="64"/>
      <c r="B723" s="64"/>
      <c r="C723" s="220"/>
      <c r="D723" s="64"/>
      <c r="E723" s="221"/>
      <c r="F723" s="213"/>
      <c r="G723" s="213"/>
      <c r="H723" s="213"/>
      <c r="I723" s="214"/>
      <c r="J723" s="222"/>
      <c r="K723" s="223"/>
      <c r="L723" s="223"/>
      <c r="N723" s="217"/>
      <c r="O723" s="77"/>
      <c r="P723" s="77"/>
      <c r="Q723" s="227"/>
    </row>
    <row r="724" ht="15.75" hidden="1" customHeight="1">
      <c r="A724" s="64"/>
      <c r="B724" s="64"/>
      <c r="C724" s="220"/>
      <c r="D724" s="64"/>
      <c r="E724" s="221"/>
      <c r="F724" s="213"/>
      <c r="G724" s="213"/>
      <c r="H724" s="213"/>
      <c r="I724" s="214"/>
      <c r="J724" s="222"/>
      <c r="K724" s="223"/>
      <c r="L724" s="223"/>
      <c r="N724" s="217"/>
      <c r="O724" s="77"/>
      <c r="P724" s="77"/>
      <c r="Q724" s="226"/>
      <c r="R724" s="142"/>
      <c r="S724" s="142"/>
      <c r="T724" s="142"/>
      <c r="U724" s="142"/>
    </row>
    <row r="725" ht="15.75" hidden="1" customHeight="1">
      <c r="A725" s="64"/>
      <c r="B725" s="64"/>
      <c r="C725" s="220"/>
      <c r="D725" s="64"/>
      <c r="E725" s="221"/>
      <c r="F725" s="213"/>
      <c r="G725" s="213"/>
      <c r="H725" s="213"/>
      <c r="I725" s="214"/>
      <c r="J725" s="222"/>
      <c r="K725" s="223"/>
      <c r="L725" s="223"/>
      <c r="N725" s="217"/>
      <c r="O725" s="87"/>
      <c r="P725" s="87"/>
      <c r="Q725" s="226"/>
    </row>
    <row r="726" ht="15.75" hidden="1" customHeight="1">
      <c r="A726" s="64"/>
      <c r="B726" s="64"/>
      <c r="C726" s="220"/>
      <c r="D726" s="64"/>
      <c r="E726" s="221"/>
      <c r="F726" s="213"/>
      <c r="G726" s="213"/>
      <c r="H726" s="213"/>
      <c r="I726" s="214"/>
      <c r="J726" s="222"/>
      <c r="K726" s="223"/>
      <c r="L726" s="223"/>
      <c r="N726" s="217"/>
      <c r="O726" s="87"/>
      <c r="P726" s="87"/>
      <c r="Q726" s="225"/>
    </row>
    <row r="727" ht="15.75" hidden="1" customHeight="1">
      <c r="A727" s="64"/>
      <c r="B727" s="64"/>
      <c r="C727" s="220"/>
      <c r="D727" s="64"/>
      <c r="E727" s="221"/>
      <c r="F727" s="213"/>
      <c r="G727" s="213"/>
      <c r="H727" s="213"/>
      <c r="I727" s="214"/>
      <c r="J727" s="222"/>
      <c r="K727" s="223"/>
      <c r="L727" s="223"/>
      <c r="N727" s="217"/>
      <c r="O727" s="87"/>
      <c r="P727" s="87"/>
      <c r="Q727" s="225"/>
    </row>
    <row r="728" ht="15.75" hidden="1" customHeight="1">
      <c r="A728" s="64"/>
      <c r="B728" s="64"/>
      <c r="C728" s="220"/>
      <c r="D728" s="64"/>
      <c r="E728" s="221"/>
      <c r="F728" s="213"/>
      <c r="G728" s="213"/>
      <c r="H728" s="213"/>
      <c r="I728" s="214"/>
      <c r="J728" s="222"/>
      <c r="K728" s="223"/>
      <c r="L728" s="223"/>
      <c r="N728" s="217"/>
      <c r="O728" s="87"/>
      <c r="P728" s="87"/>
      <c r="Q728" s="225"/>
    </row>
    <row r="729" ht="15.75" hidden="1" customHeight="1">
      <c r="A729" s="64"/>
      <c r="B729" s="64"/>
      <c r="C729" s="220"/>
      <c r="D729" s="64"/>
      <c r="E729" s="221"/>
      <c r="F729" s="213"/>
      <c r="G729" s="213"/>
      <c r="H729" s="213"/>
      <c r="I729" s="214"/>
      <c r="J729" s="222"/>
      <c r="K729" s="223"/>
      <c r="L729" s="223"/>
      <c r="N729" s="217"/>
      <c r="O729" s="87"/>
      <c r="P729" s="87"/>
      <c r="Q729" s="225"/>
    </row>
    <row r="730" ht="15.75" hidden="1" customHeight="1">
      <c r="A730" s="64"/>
      <c r="B730" s="64"/>
      <c r="C730" s="220"/>
      <c r="D730" s="64"/>
      <c r="E730" s="221"/>
      <c r="F730" s="213"/>
      <c r="G730" s="213"/>
      <c r="H730" s="213"/>
      <c r="I730" s="214"/>
      <c r="J730" s="222"/>
      <c r="K730" s="223"/>
      <c r="L730" s="223"/>
      <c r="N730" s="217"/>
      <c r="O730" s="87"/>
      <c r="P730" s="87"/>
      <c r="Q730" s="225"/>
    </row>
    <row r="731" ht="15.75" hidden="1" customHeight="1">
      <c r="A731" s="64"/>
      <c r="B731" s="64"/>
      <c r="C731" s="220"/>
      <c r="D731" s="64"/>
      <c r="E731" s="221"/>
      <c r="F731" s="213"/>
      <c r="G731" s="213"/>
      <c r="H731" s="213"/>
      <c r="I731" s="214"/>
      <c r="J731" s="222"/>
      <c r="K731" s="223"/>
      <c r="L731" s="223"/>
      <c r="N731" s="217"/>
      <c r="O731" s="77"/>
      <c r="P731" s="77"/>
      <c r="Q731" s="225"/>
    </row>
    <row r="732" ht="15.75" hidden="1" customHeight="1">
      <c r="A732" s="64"/>
      <c r="B732" s="64"/>
      <c r="C732" s="220"/>
      <c r="D732" s="64"/>
      <c r="E732" s="221"/>
      <c r="F732" s="213"/>
      <c r="G732" s="213"/>
      <c r="H732" s="213"/>
      <c r="I732" s="214"/>
      <c r="J732" s="222"/>
      <c r="K732" s="223"/>
      <c r="L732" s="223"/>
      <c r="N732" s="217"/>
      <c r="O732" s="87"/>
      <c r="P732" s="87"/>
      <c r="Q732" s="226"/>
      <c r="T732" s="142" t="s">
        <v>1641</v>
      </c>
    </row>
    <row r="733" ht="15.75" hidden="1" customHeight="1">
      <c r="A733" s="64"/>
      <c r="B733" s="64"/>
      <c r="C733" s="220"/>
      <c r="D733" s="64"/>
      <c r="E733" s="221"/>
      <c r="F733" s="213"/>
      <c r="G733" s="213"/>
      <c r="H733" s="213"/>
      <c r="I733" s="214"/>
      <c r="J733" s="222"/>
      <c r="K733" s="223"/>
      <c r="L733" s="223"/>
      <c r="N733" s="217"/>
      <c r="O733" s="87"/>
      <c r="P733" s="87"/>
      <c r="Q733" s="225"/>
      <c r="V733" s="140"/>
      <c r="W733" s="140"/>
      <c r="X733" s="140"/>
      <c r="Y733" s="140"/>
      <c r="Z733" s="140"/>
      <c r="AA733" s="140"/>
      <c r="AB733" s="140"/>
      <c r="AC733" s="140"/>
      <c r="AD733" s="140"/>
      <c r="AE733" s="140"/>
      <c r="AF733" s="140"/>
      <c r="AG733" s="140"/>
      <c r="AH733" s="140"/>
    </row>
    <row r="734" ht="15.75" hidden="1" customHeight="1">
      <c r="A734" s="64"/>
      <c r="B734" s="64"/>
      <c r="C734" s="220"/>
      <c r="D734" s="64"/>
      <c r="E734" s="221"/>
      <c r="F734" s="213"/>
      <c r="G734" s="213"/>
      <c r="H734" s="213"/>
      <c r="I734" s="214"/>
      <c r="J734" s="222"/>
      <c r="K734" s="223"/>
      <c r="L734" s="223"/>
      <c r="N734" s="217"/>
      <c r="O734" s="87"/>
      <c r="P734" s="87"/>
      <c r="Q734" s="225"/>
    </row>
    <row r="735" ht="15.75" hidden="1" customHeight="1">
      <c r="A735" s="64"/>
      <c r="B735" s="64"/>
      <c r="C735" s="220"/>
      <c r="D735" s="64"/>
      <c r="E735" s="221"/>
      <c r="F735" s="213"/>
      <c r="G735" s="213"/>
      <c r="H735" s="213"/>
      <c r="I735" s="214"/>
      <c r="J735" s="222"/>
      <c r="K735" s="223"/>
      <c r="L735" s="223"/>
      <c r="N735" s="217"/>
      <c r="O735" s="87"/>
      <c r="P735" s="87"/>
      <c r="Q735" s="225"/>
    </row>
    <row r="736" ht="15.75" hidden="1" customHeight="1">
      <c r="A736" s="64"/>
      <c r="B736" s="64"/>
      <c r="C736" s="220"/>
      <c r="D736" s="64"/>
      <c r="E736" s="221"/>
      <c r="F736" s="213"/>
      <c r="G736" s="213"/>
      <c r="H736" s="213"/>
      <c r="I736" s="214"/>
      <c r="J736" s="215"/>
      <c r="K736" s="210"/>
      <c r="L736" s="210"/>
      <c r="N736" s="217"/>
      <c r="O736" s="87"/>
      <c r="P736" s="87"/>
      <c r="Q736" s="225"/>
    </row>
    <row r="737" ht="15.75" hidden="1" customHeight="1">
      <c r="A737" s="64"/>
      <c r="B737" s="64"/>
      <c r="C737" s="220"/>
      <c r="D737" s="64"/>
      <c r="E737" s="221"/>
      <c r="F737" s="213"/>
      <c r="G737" s="213"/>
      <c r="H737" s="213"/>
      <c r="I737" s="214"/>
      <c r="J737" s="222"/>
      <c r="K737" s="223"/>
      <c r="L737" s="223"/>
      <c r="N737" s="217"/>
      <c r="O737" s="87"/>
      <c r="P737" s="87"/>
      <c r="Q737" s="225"/>
    </row>
    <row r="738" ht="15.75" hidden="1" customHeight="1">
      <c r="A738" s="64"/>
      <c r="B738" s="64"/>
      <c r="C738" s="220"/>
      <c r="D738" s="64"/>
      <c r="E738" s="221"/>
      <c r="F738" s="213"/>
      <c r="G738" s="213"/>
      <c r="H738" s="213"/>
      <c r="I738" s="214"/>
      <c r="J738" s="215"/>
      <c r="K738" s="216"/>
      <c r="L738" s="216"/>
      <c r="N738" s="217"/>
      <c r="O738" s="87"/>
      <c r="P738" s="87"/>
      <c r="Q738" s="225"/>
    </row>
    <row r="739" ht="15.75" hidden="1" customHeight="1">
      <c r="A739" s="64"/>
      <c r="B739" s="64"/>
      <c r="C739" s="220"/>
      <c r="D739" s="64"/>
      <c r="E739" s="221"/>
      <c r="F739" s="213"/>
      <c r="G739" s="213"/>
      <c r="H739" s="213"/>
      <c r="I739" s="214"/>
      <c r="J739" s="215"/>
      <c r="K739" s="216"/>
      <c r="L739" s="216"/>
      <c r="N739" s="217"/>
      <c r="O739" s="87"/>
      <c r="P739" s="87"/>
      <c r="Q739" s="225"/>
    </row>
    <row r="740" ht="15.75" hidden="1" customHeight="1">
      <c r="A740" s="64"/>
      <c r="B740" s="64"/>
      <c r="C740" s="220"/>
      <c r="D740" s="64"/>
      <c r="E740" s="221"/>
      <c r="F740" s="213"/>
      <c r="G740" s="213"/>
      <c r="H740" s="213"/>
      <c r="I740" s="214"/>
      <c r="J740" s="215"/>
      <c r="K740" s="216"/>
      <c r="L740" s="216"/>
      <c r="N740" s="217"/>
      <c r="O740" s="414"/>
      <c r="P740" s="414"/>
      <c r="Q740" s="225"/>
    </row>
    <row r="741" ht="15.75" hidden="1" customHeight="1">
      <c r="A741" s="64"/>
      <c r="B741" s="64"/>
      <c r="C741" s="220"/>
      <c r="D741" s="64"/>
      <c r="E741" s="221"/>
      <c r="F741" s="213"/>
      <c r="G741" s="213"/>
      <c r="H741" s="213"/>
      <c r="I741" s="214"/>
      <c r="J741" s="222"/>
      <c r="K741" s="223"/>
      <c r="L741" s="223"/>
      <c r="N741" s="217"/>
      <c r="O741" s="77"/>
      <c r="P741" s="77"/>
      <c r="Q741" s="415"/>
    </row>
    <row r="742" ht="15.75" hidden="1" customHeight="1">
      <c r="A742" s="64"/>
      <c r="B742" s="64"/>
      <c r="C742" s="220"/>
      <c r="D742" s="64"/>
      <c r="E742" s="221"/>
      <c r="F742" s="213"/>
      <c r="G742" s="213"/>
      <c r="H742" s="213"/>
      <c r="I742" s="214"/>
      <c r="J742" s="222"/>
      <c r="K742" s="223"/>
      <c r="L742" s="223"/>
      <c r="N742" s="217"/>
      <c r="O742" s="416"/>
      <c r="P742" s="417"/>
      <c r="Q742" s="226"/>
    </row>
    <row r="743" ht="15.75" hidden="1" customHeight="1">
      <c r="A743" s="64"/>
      <c r="B743" s="64"/>
      <c r="C743" s="220"/>
      <c r="D743" s="64"/>
      <c r="E743" s="221"/>
      <c r="F743" s="213"/>
      <c r="G743" s="213"/>
      <c r="H743" s="213"/>
      <c r="I743" s="214"/>
      <c r="J743" s="222"/>
      <c r="K743" s="223"/>
      <c r="L743" s="223"/>
      <c r="N743" s="217"/>
      <c r="O743" s="87"/>
      <c r="P743" s="87"/>
      <c r="Q743" s="226"/>
    </row>
    <row r="744" ht="15.75" hidden="1" customHeight="1">
      <c r="A744" s="64"/>
      <c r="B744" s="64"/>
      <c r="C744" s="142"/>
      <c r="D744" s="64"/>
      <c r="E744" s="221"/>
      <c r="F744" s="213"/>
      <c r="G744" s="213"/>
      <c r="H744" s="213"/>
      <c r="I744" s="214"/>
      <c r="J744" s="222"/>
      <c r="K744" s="223"/>
      <c r="L744" s="223"/>
      <c r="N744" s="217"/>
      <c r="O744" s="87"/>
      <c r="P744" s="87"/>
      <c r="Q744" s="225"/>
    </row>
    <row r="745" ht="15.75" hidden="1" customHeight="1">
      <c r="A745" s="64"/>
      <c r="B745" s="64"/>
      <c r="C745" s="220"/>
      <c r="D745" s="64"/>
      <c r="E745" s="221"/>
      <c r="F745" s="213"/>
      <c r="G745" s="213"/>
      <c r="H745" s="213"/>
      <c r="I745" s="214"/>
      <c r="J745" s="222"/>
      <c r="K745" s="223"/>
      <c r="L745" s="223"/>
      <c r="N745" s="217"/>
      <c r="O745" s="87"/>
      <c r="P745" s="87"/>
      <c r="Q745" s="225"/>
    </row>
    <row r="746" ht="15.75" hidden="1" customHeight="1">
      <c r="A746" s="64"/>
      <c r="B746" s="64"/>
      <c r="C746" s="220"/>
      <c r="D746" s="64"/>
      <c r="E746" s="221"/>
      <c r="F746" s="213"/>
      <c r="G746" s="213"/>
      <c r="H746" s="213"/>
      <c r="I746" s="214"/>
      <c r="J746" s="222"/>
      <c r="K746" s="223"/>
      <c r="L746" s="223"/>
      <c r="N746" s="217"/>
      <c r="O746" s="87"/>
      <c r="P746" s="87"/>
      <c r="Q746" s="225"/>
    </row>
    <row r="747" ht="15.75" hidden="1" customHeight="1">
      <c r="A747" s="64"/>
      <c r="B747" s="64"/>
      <c r="C747" s="220"/>
      <c r="D747" s="64"/>
      <c r="E747" s="221"/>
      <c r="F747" s="213"/>
      <c r="G747" s="213"/>
      <c r="H747" s="213"/>
      <c r="I747" s="214"/>
      <c r="J747" s="215"/>
      <c r="K747" s="216"/>
      <c r="L747" s="216"/>
      <c r="N747" s="217"/>
      <c r="O747" s="414"/>
      <c r="P747" s="414"/>
      <c r="Q747" s="225"/>
    </row>
    <row r="748" ht="15.75" hidden="1" customHeight="1">
      <c r="A748" s="64"/>
      <c r="B748" s="64"/>
      <c r="C748" s="220"/>
      <c r="D748" s="64"/>
      <c r="E748" s="221"/>
      <c r="F748" s="213"/>
      <c r="G748" s="213"/>
      <c r="H748" s="213"/>
      <c r="I748" s="214"/>
      <c r="J748" s="222"/>
      <c r="K748" s="223"/>
      <c r="L748" s="223"/>
      <c r="N748" s="217"/>
      <c r="O748" s="87"/>
      <c r="P748" s="87"/>
      <c r="Q748" s="415"/>
    </row>
    <row r="749" ht="15.75" hidden="1" customHeight="1">
      <c r="A749" s="64"/>
      <c r="B749" s="64"/>
      <c r="C749" s="220"/>
      <c r="D749" s="64"/>
      <c r="E749" s="221"/>
      <c r="F749" s="213"/>
      <c r="G749" s="213"/>
      <c r="H749" s="213"/>
      <c r="I749" s="214"/>
      <c r="J749" s="215"/>
      <c r="K749" s="216"/>
      <c r="L749" s="216"/>
      <c r="N749" s="217"/>
      <c r="O749" s="414"/>
      <c r="P749" s="414"/>
      <c r="Q749" s="225"/>
    </row>
    <row r="750" ht="15.75" hidden="1" customHeight="1">
      <c r="A750" s="64"/>
      <c r="B750" s="64"/>
      <c r="C750" s="220"/>
      <c r="D750" s="64"/>
      <c r="E750" s="221"/>
      <c r="F750" s="213"/>
      <c r="G750" s="213"/>
      <c r="H750" s="213"/>
      <c r="I750" s="214"/>
      <c r="J750" s="222"/>
      <c r="K750" s="223"/>
      <c r="L750" s="223"/>
      <c r="N750" s="217"/>
      <c r="O750" s="87"/>
      <c r="P750" s="87"/>
      <c r="Q750" s="415"/>
    </row>
    <row r="751" ht="15.75" hidden="1" customHeight="1">
      <c r="A751" s="64"/>
      <c r="B751" s="64"/>
      <c r="C751" s="220"/>
      <c r="D751" s="64"/>
      <c r="E751" s="221"/>
      <c r="F751" s="213"/>
      <c r="G751" s="213"/>
      <c r="H751" s="213"/>
      <c r="I751" s="214"/>
      <c r="J751" s="215"/>
      <c r="K751" s="216"/>
      <c r="L751" s="216"/>
      <c r="N751" s="217"/>
      <c r="O751" s="87"/>
      <c r="P751" s="87"/>
      <c r="Q751" s="225"/>
    </row>
    <row r="752" ht="15.75" hidden="1" customHeight="1">
      <c r="A752" s="64"/>
      <c r="B752" s="64"/>
      <c r="C752" s="220"/>
      <c r="D752" s="64"/>
      <c r="E752" s="221"/>
      <c r="F752" s="213"/>
      <c r="G752" s="213"/>
      <c r="H752" s="213"/>
      <c r="I752" s="214"/>
      <c r="J752" s="215"/>
      <c r="K752" s="216"/>
      <c r="L752" s="216"/>
      <c r="N752" s="217"/>
      <c r="O752" s="87"/>
      <c r="P752" s="87"/>
      <c r="Q752" s="225"/>
    </row>
    <row r="753" ht="15.75" hidden="1" customHeight="1">
      <c r="A753" s="64"/>
      <c r="B753" s="64"/>
      <c r="C753" s="220"/>
      <c r="D753" s="64"/>
      <c r="E753" s="221"/>
      <c r="F753" s="213"/>
      <c r="G753" s="213"/>
      <c r="H753" s="213"/>
      <c r="I753" s="214"/>
      <c r="J753" s="215"/>
      <c r="K753" s="216"/>
      <c r="L753" s="216"/>
      <c r="N753" s="217"/>
      <c r="O753" s="87"/>
      <c r="P753" s="87"/>
      <c r="Q753" s="225"/>
    </row>
    <row r="754" ht="15.75" hidden="1" customHeight="1">
      <c r="A754" s="64"/>
      <c r="B754" s="64"/>
      <c r="C754" s="220"/>
      <c r="D754" s="64"/>
      <c r="E754" s="221"/>
      <c r="F754" s="213"/>
      <c r="G754" s="213"/>
      <c r="H754" s="213"/>
      <c r="I754" s="214"/>
      <c r="J754" s="215"/>
      <c r="K754" s="216"/>
      <c r="L754" s="216"/>
      <c r="N754" s="217"/>
      <c r="O754" s="87"/>
      <c r="P754" s="224"/>
      <c r="Q754" s="225"/>
    </row>
    <row r="755" ht="15.75" hidden="1" customHeight="1">
      <c r="A755" s="64"/>
      <c r="B755" s="64"/>
      <c r="C755" s="220"/>
      <c r="D755" s="64"/>
      <c r="E755" s="221"/>
      <c r="F755" s="213"/>
      <c r="G755" s="213"/>
      <c r="H755" s="213"/>
      <c r="I755" s="214"/>
      <c r="J755" s="215"/>
      <c r="K755" s="216"/>
      <c r="L755" s="216"/>
      <c r="N755" s="217"/>
      <c r="O755" s="87"/>
      <c r="P755" s="87"/>
      <c r="Q755" s="226"/>
    </row>
    <row r="756" ht="15.75" hidden="1" customHeight="1">
      <c r="A756" s="64"/>
      <c r="B756" s="64"/>
      <c r="C756" s="220"/>
      <c r="D756" s="64"/>
      <c r="E756" s="221"/>
      <c r="F756" s="213"/>
      <c r="G756" s="213"/>
      <c r="H756" s="213"/>
      <c r="I756" s="214"/>
      <c r="J756" s="215"/>
      <c r="K756" s="216"/>
      <c r="L756" s="216"/>
      <c r="N756" s="217"/>
      <c r="O756" s="87"/>
      <c r="P756" s="87"/>
      <c r="Q756" s="225"/>
    </row>
    <row r="757" ht="15.75" hidden="1" customHeight="1">
      <c r="A757" s="64"/>
      <c r="B757" s="64"/>
      <c r="C757" s="220"/>
      <c r="D757" s="64"/>
      <c r="E757" s="221"/>
      <c r="F757" s="213"/>
      <c r="G757" s="213"/>
      <c r="H757" s="213"/>
      <c r="I757" s="214"/>
      <c r="J757" s="215"/>
      <c r="K757" s="216"/>
      <c r="L757" s="216"/>
      <c r="N757" s="217"/>
      <c r="O757" s="87"/>
      <c r="P757" s="87"/>
      <c r="Q757" s="225"/>
    </row>
    <row r="758" ht="15.75" hidden="1" customHeight="1">
      <c r="A758" s="64"/>
      <c r="B758" s="64"/>
      <c r="C758" s="220"/>
      <c r="D758" s="64"/>
      <c r="E758" s="221"/>
      <c r="F758" s="213"/>
      <c r="G758" s="213"/>
      <c r="H758" s="213"/>
      <c r="I758" s="214"/>
      <c r="J758" s="215"/>
      <c r="K758" s="216"/>
      <c r="L758" s="216"/>
      <c r="N758" s="217"/>
      <c r="O758" s="87"/>
      <c r="P758" s="87"/>
      <c r="Q758" s="225"/>
    </row>
    <row r="759" ht="15.75" hidden="1" customHeight="1">
      <c r="A759" s="64"/>
      <c r="B759" s="64"/>
      <c r="C759" s="220"/>
      <c r="D759" s="64"/>
      <c r="E759" s="221"/>
      <c r="F759" s="213"/>
      <c r="G759" s="213"/>
      <c r="H759" s="213"/>
      <c r="I759" s="214"/>
      <c r="J759" s="215"/>
      <c r="K759" s="216"/>
      <c r="L759" s="216"/>
      <c r="N759" s="217"/>
      <c r="O759" s="77"/>
      <c r="P759" s="77"/>
      <c r="Q759" s="225"/>
    </row>
    <row r="760" ht="15.75" hidden="1" customHeight="1">
      <c r="A760" s="64"/>
      <c r="B760" s="64"/>
      <c r="C760" s="220"/>
      <c r="D760" s="64"/>
      <c r="E760" s="221"/>
      <c r="F760" s="213"/>
      <c r="G760" s="213"/>
      <c r="H760" s="213"/>
      <c r="I760" s="214"/>
      <c r="J760" s="222"/>
      <c r="K760" s="223"/>
      <c r="L760" s="223"/>
      <c r="N760" s="217"/>
      <c r="O760" s="77"/>
      <c r="P760" s="77"/>
      <c r="Q760" s="226"/>
    </row>
    <row r="761" ht="15.75" hidden="1" customHeight="1">
      <c r="A761" s="64"/>
      <c r="B761" s="64"/>
      <c r="C761" s="220"/>
      <c r="D761" s="64"/>
      <c r="E761" s="221"/>
      <c r="F761" s="213"/>
      <c r="G761" s="213"/>
      <c r="H761" s="213"/>
      <c r="I761" s="214"/>
      <c r="J761" s="222"/>
      <c r="K761" s="223"/>
      <c r="L761" s="223"/>
      <c r="N761" s="217"/>
      <c r="O761" s="87"/>
      <c r="P761" s="87"/>
      <c r="Q761" s="225"/>
      <c r="R761" s="259"/>
      <c r="S761" s="259"/>
      <c r="T761" s="259"/>
      <c r="U761" s="259"/>
      <c r="V761" s="259"/>
      <c r="W761" s="259"/>
      <c r="X761" s="259"/>
      <c r="Y761" s="259"/>
      <c r="Z761" s="259"/>
      <c r="AA761" s="259"/>
      <c r="AB761" s="259"/>
      <c r="AC761" s="259"/>
      <c r="AD761" s="259"/>
      <c r="AE761" s="259"/>
      <c r="AF761" s="259"/>
      <c r="AG761" s="259"/>
      <c r="AH761" s="259"/>
    </row>
    <row r="762" ht="15.75" hidden="1" customHeight="1">
      <c r="A762" s="64"/>
      <c r="B762" s="64"/>
      <c r="C762" s="220"/>
      <c r="D762" s="64"/>
      <c r="E762" s="221"/>
      <c r="F762" s="213"/>
      <c r="G762" s="213"/>
      <c r="H762" s="213"/>
      <c r="I762" s="214"/>
      <c r="J762" s="215"/>
      <c r="K762" s="216"/>
      <c r="L762" s="216"/>
      <c r="N762" s="217"/>
      <c r="O762" s="87"/>
      <c r="P762" s="87"/>
      <c r="Q762" s="225"/>
    </row>
    <row r="763" ht="15.75" hidden="1" customHeight="1">
      <c r="A763" s="64"/>
      <c r="B763" s="64"/>
      <c r="C763" s="220"/>
      <c r="D763" s="64"/>
      <c r="E763" s="221"/>
      <c r="F763" s="213"/>
      <c r="G763" s="213"/>
      <c r="H763" s="213"/>
      <c r="I763" s="214"/>
      <c r="J763" s="215"/>
      <c r="K763" s="216"/>
      <c r="L763" s="216"/>
      <c r="N763" s="217"/>
      <c r="O763" s="87"/>
      <c r="P763" s="87"/>
      <c r="Q763" s="225"/>
    </row>
    <row r="764" ht="15.75" hidden="1" customHeight="1">
      <c r="A764" s="64"/>
      <c r="B764" s="64"/>
      <c r="C764" s="220"/>
      <c r="D764" s="64"/>
      <c r="E764" s="221"/>
      <c r="F764" s="213"/>
      <c r="G764" s="213"/>
      <c r="H764" s="213"/>
      <c r="I764" s="214"/>
      <c r="J764" s="215"/>
      <c r="K764" s="216"/>
      <c r="L764" s="216"/>
      <c r="N764" s="217"/>
      <c r="O764" s="77"/>
      <c r="P764" s="77"/>
      <c r="Q764" s="225"/>
    </row>
    <row r="765" ht="15.75" hidden="1" customHeight="1">
      <c r="A765" s="64"/>
      <c r="B765" s="64"/>
      <c r="C765" s="220"/>
      <c r="D765" s="64"/>
      <c r="E765" s="221"/>
      <c r="F765" s="213"/>
      <c r="G765" s="213"/>
      <c r="H765" s="213"/>
      <c r="I765" s="214"/>
      <c r="J765" s="215"/>
      <c r="K765" s="216"/>
      <c r="L765" s="216"/>
      <c r="N765" s="217"/>
      <c r="O765" s="416"/>
      <c r="P765" s="417"/>
      <c r="Q765" s="226"/>
    </row>
    <row r="766" ht="15.75" hidden="1" customHeight="1">
      <c r="A766" s="64"/>
      <c r="B766" s="64"/>
      <c r="C766" s="220"/>
      <c r="D766" s="64"/>
      <c r="E766" s="221"/>
      <c r="F766" s="213"/>
      <c r="G766" s="213"/>
      <c r="H766" s="213"/>
      <c r="I766" s="214"/>
      <c r="J766" s="215"/>
      <c r="K766" s="216"/>
      <c r="L766" s="216"/>
      <c r="N766" s="217"/>
      <c r="O766" s="77"/>
      <c r="P766" s="77"/>
      <c r="Q766" s="225"/>
    </row>
    <row r="767" ht="15.75" hidden="1" customHeight="1">
      <c r="A767" s="64"/>
      <c r="B767" s="87"/>
      <c r="C767" s="220"/>
      <c r="D767" s="64"/>
      <c r="E767" s="221"/>
      <c r="F767" s="213"/>
      <c r="G767" s="213"/>
      <c r="H767" s="213"/>
      <c r="I767" s="214"/>
      <c r="J767" s="215"/>
      <c r="K767" s="216"/>
      <c r="L767" s="216"/>
      <c r="N767" s="217"/>
      <c r="O767" s="77"/>
      <c r="P767" s="77"/>
      <c r="Q767" s="226"/>
    </row>
    <row r="768" ht="15.75" hidden="1" customHeight="1">
      <c r="A768" s="64"/>
      <c r="B768" s="64"/>
      <c r="C768" s="220"/>
      <c r="D768" s="64"/>
      <c r="E768" s="221"/>
      <c r="F768" s="213"/>
      <c r="G768" s="213"/>
      <c r="H768" s="213"/>
      <c r="I768" s="214"/>
      <c r="J768" s="222"/>
      <c r="K768" s="223"/>
      <c r="L768" s="223"/>
      <c r="N768" s="217"/>
      <c r="O768" s="87"/>
      <c r="P768" s="87"/>
      <c r="Q768" s="226"/>
      <c r="R768" s="142"/>
      <c r="S768" s="142"/>
    </row>
    <row r="769" ht="15.75" hidden="1" customHeight="1">
      <c r="A769" s="64"/>
      <c r="B769" s="64"/>
      <c r="C769" s="220"/>
      <c r="D769" s="64"/>
      <c r="E769" s="221"/>
      <c r="F769" s="213"/>
      <c r="G769" s="213"/>
      <c r="H769" s="213"/>
      <c r="I769" s="214"/>
      <c r="J769" s="222"/>
      <c r="K769" s="223"/>
      <c r="L769" s="223"/>
      <c r="N769" s="217"/>
      <c r="O769" s="87"/>
      <c r="P769" s="87"/>
      <c r="Q769" s="225"/>
    </row>
    <row r="770" ht="15.75" hidden="1" customHeight="1">
      <c r="A770" s="64"/>
      <c r="B770" s="64"/>
      <c r="C770" s="220"/>
      <c r="D770" s="64"/>
      <c r="E770" s="221"/>
      <c r="F770" s="213"/>
      <c r="G770" s="213"/>
      <c r="H770" s="213"/>
      <c r="I770" s="214"/>
      <c r="J770" s="222"/>
      <c r="K770" s="223"/>
      <c r="L770" s="223"/>
      <c r="N770" s="217"/>
      <c r="O770" s="87"/>
      <c r="P770" s="87"/>
      <c r="Q770" s="225"/>
    </row>
    <row r="771" ht="15.75" hidden="1" customHeight="1">
      <c r="A771" s="64"/>
      <c r="B771" s="64"/>
      <c r="C771" s="220"/>
      <c r="D771" s="64"/>
      <c r="E771" s="221"/>
      <c r="F771" s="213"/>
      <c r="G771" s="213"/>
      <c r="H771" s="213"/>
      <c r="I771" s="214"/>
      <c r="J771" s="222"/>
      <c r="K771" s="223"/>
      <c r="L771" s="223"/>
      <c r="N771" s="217"/>
      <c r="O771" s="87"/>
      <c r="P771" s="87"/>
      <c r="Q771" s="225"/>
      <c r="T771" s="142"/>
      <c r="U771" s="142"/>
    </row>
    <row r="772" ht="15.75" hidden="1" customHeight="1">
      <c r="A772" s="64"/>
      <c r="B772" s="64"/>
      <c r="C772" s="220"/>
      <c r="D772" s="64"/>
      <c r="E772" s="221"/>
      <c r="F772" s="213"/>
      <c r="G772" s="213"/>
      <c r="H772" s="213"/>
      <c r="I772" s="214"/>
      <c r="J772" s="222"/>
      <c r="K772" s="223"/>
      <c r="L772" s="223"/>
      <c r="N772" s="217"/>
      <c r="O772" s="87"/>
      <c r="P772" s="87"/>
      <c r="Q772" s="225"/>
    </row>
    <row r="773" ht="15.75" hidden="1" customHeight="1">
      <c r="A773" s="64"/>
      <c r="B773" s="64"/>
      <c r="C773" s="220"/>
      <c r="D773" s="64"/>
      <c r="E773" s="221"/>
      <c r="F773" s="213"/>
      <c r="G773" s="213"/>
      <c r="H773" s="213"/>
      <c r="I773" s="214"/>
      <c r="J773" s="222"/>
      <c r="K773" s="223"/>
      <c r="L773" s="223"/>
      <c r="N773" s="217"/>
      <c r="O773" s="87"/>
      <c r="P773" s="87"/>
      <c r="Q773" s="225"/>
    </row>
    <row r="774" ht="15.75" hidden="1" customHeight="1">
      <c r="A774" s="64"/>
      <c r="B774" s="64"/>
      <c r="C774" s="220"/>
      <c r="D774" s="64"/>
      <c r="E774" s="221"/>
      <c r="F774" s="213"/>
      <c r="G774" s="213"/>
      <c r="H774" s="213"/>
      <c r="I774" s="214"/>
      <c r="J774" s="222"/>
      <c r="K774" s="223"/>
      <c r="L774" s="223"/>
      <c r="N774" s="217"/>
      <c r="O774" s="87"/>
      <c r="P774" s="87"/>
      <c r="Q774" s="225"/>
      <c r="V774" s="257"/>
      <c r="W774" s="257"/>
      <c r="X774" s="257"/>
      <c r="Y774" s="257"/>
      <c r="Z774" s="257"/>
      <c r="AA774" s="257"/>
      <c r="AB774" s="257"/>
      <c r="AC774" s="257"/>
      <c r="AD774" s="257"/>
      <c r="AE774" s="257"/>
      <c r="AF774" s="257"/>
      <c r="AG774" s="257"/>
      <c r="AH774" s="257"/>
    </row>
    <row r="775" ht="15.75" hidden="1" customHeight="1">
      <c r="A775" s="64"/>
      <c r="B775" s="64"/>
      <c r="C775" s="220"/>
      <c r="D775" s="64"/>
      <c r="E775" s="221"/>
      <c r="F775" s="213"/>
      <c r="G775" s="213"/>
      <c r="H775" s="213"/>
      <c r="I775" s="214"/>
      <c r="J775" s="222"/>
      <c r="K775" s="223"/>
      <c r="L775" s="223"/>
      <c r="N775" s="217"/>
      <c r="O775" s="87"/>
      <c r="P775" s="87"/>
      <c r="Q775" s="225"/>
    </row>
    <row r="776" ht="15.75" hidden="1" customHeight="1">
      <c r="A776" s="418"/>
      <c r="B776" s="418"/>
      <c r="C776" s="419"/>
      <c r="D776" s="418"/>
      <c r="E776" s="420"/>
      <c r="F776" s="421"/>
      <c r="G776" s="421"/>
      <c r="H776" s="421"/>
      <c r="I776" s="214"/>
      <c r="J776" s="222"/>
      <c r="K776" s="223"/>
      <c r="L776" s="223"/>
      <c r="M776" s="422"/>
      <c r="N776" s="423"/>
      <c r="O776" s="416"/>
      <c r="P776" s="417"/>
      <c r="Q776" s="225"/>
    </row>
    <row r="777" ht="15.75" hidden="1" customHeight="1">
      <c r="A777" s="64"/>
      <c r="B777" s="64"/>
      <c r="C777" s="220"/>
      <c r="D777" s="64"/>
      <c r="E777" s="221"/>
      <c r="F777" s="213"/>
      <c r="G777" s="213"/>
      <c r="H777" s="213"/>
      <c r="I777" s="214"/>
      <c r="J777" s="424"/>
      <c r="K777" s="425"/>
      <c r="L777" s="425"/>
      <c r="N777" s="236"/>
      <c r="O777" s="87"/>
      <c r="P777" s="224"/>
      <c r="Q777" s="426"/>
    </row>
    <row r="778" ht="15.75" hidden="1" customHeight="1">
      <c r="A778" s="64"/>
      <c r="B778" s="64"/>
      <c r="C778" s="220"/>
      <c r="D778" s="64"/>
      <c r="E778" s="221"/>
      <c r="F778" s="213"/>
      <c r="G778" s="213"/>
      <c r="H778" s="213"/>
      <c r="I778" s="214"/>
      <c r="J778" s="222"/>
      <c r="K778" s="223"/>
      <c r="L778" s="223"/>
      <c r="N778" s="217"/>
      <c r="O778" s="87"/>
      <c r="P778" s="224"/>
      <c r="Q778" s="225"/>
    </row>
    <row r="779" ht="15.75" hidden="1" customHeight="1">
      <c r="A779" s="64"/>
      <c r="B779" s="64"/>
      <c r="C779" s="220"/>
      <c r="D779" s="64"/>
      <c r="E779" s="221"/>
      <c r="F779" s="213"/>
      <c r="G779" s="213"/>
      <c r="H779" s="213"/>
      <c r="I779" s="214"/>
      <c r="J779" s="222"/>
      <c r="K779" s="223"/>
      <c r="L779" s="223"/>
      <c r="M779" s="427"/>
      <c r="N779" s="217"/>
      <c r="O779" s="77"/>
      <c r="P779" s="77"/>
      <c r="Q779" s="225"/>
    </row>
    <row r="780" ht="15.75" hidden="1" customHeight="1">
      <c r="A780" s="64"/>
      <c r="B780" s="64"/>
      <c r="C780" s="220"/>
      <c r="D780" s="64"/>
      <c r="E780" s="221"/>
      <c r="F780" s="213"/>
      <c r="G780" s="213"/>
      <c r="H780" s="213"/>
      <c r="I780" s="214"/>
      <c r="J780" s="215"/>
      <c r="K780" s="216"/>
      <c r="L780" s="216"/>
      <c r="M780" s="427"/>
      <c r="N780" s="217"/>
      <c r="O780" s="87"/>
      <c r="P780" s="87"/>
      <c r="Q780" s="226"/>
      <c r="V780" s="140"/>
      <c r="W780" s="140"/>
      <c r="X780" s="140"/>
      <c r="Y780" s="140"/>
      <c r="Z780" s="140"/>
      <c r="AA780" s="140"/>
      <c r="AB780" s="140"/>
      <c r="AC780" s="140"/>
      <c r="AD780" s="140"/>
      <c r="AE780" s="140"/>
      <c r="AF780" s="140"/>
      <c r="AG780" s="140"/>
      <c r="AH780" s="140"/>
    </row>
    <row r="781" ht="15.75" hidden="1" customHeight="1">
      <c r="A781" s="64"/>
      <c r="B781" s="64"/>
      <c r="C781" s="220"/>
      <c r="D781" s="64"/>
      <c r="E781" s="221"/>
      <c r="F781" s="213"/>
      <c r="G781" s="213"/>
      <c r="H781" s="213"/>
      <c r="I781" s="214"/>
      <c r="J781" s="215"/>
      <c r="K781" s="216"/>
      <c r="L781" s="216"/>
      <c r="M781" s="427"/>
      <c r="N781" s="217"/>
      <c r="O781" s="77"/>
      <c r="P781" s="77"/>
      <c r="Q781" s="225"/>
      <c r="R781" s="32"/>
      <c r="V781" s="142"/>
      <c r="W781" s="142"/>
      <c r="X781" s="142"/>
      <c r="Y781" s="142"/>
      <c r="Z781" s="142"/>
      <c r="AA781" s="142"/>
      <c r="AB781" s="142"/>
      <c r="AC781" s="142"/>
      <c r="AD781" s="142"/>
      <c r="AE781" s="142"/>
      <c r="AF781" s="142"/>
      <c r="AG781" s="142"/>
      <c r="AH781" s="142"/>
    </row>
    <row r="782" ht="15.75" hidden="1" customHeight="1">
      <c r="A782" s="82"/>
      <c r="B782" s="64"/>
      <c r="C782" s="220"/>
      <c r="D782" s="64"/>
      <c r="E782" s="221"/>
      <c r="F782" s="213"/>
      <c r="G782" s="213"/>
      <c r="H782" s="213"/>
      <c r="I782" s="214"/>
      <c r="J782" s="215"/>
      <c r="K782" s="216"/>
      <c r="L782" s="216"/>
      <c r="N782" s="217"/>
      <c r="O782" s="77"/>
      <c r="P782" s="77"/>
      <c r="Q782" s="226"/>
    </row>
    <row r="783" ht="15.75" hidden="1" customHeight="1">
      <c r="A783" s="82"/>
      <c r="B783" s="64"/>
      <c r="C783" s="220"/>
      <c r="D783" s="64"/>
      <c r="E783" s="221"/>
      <c r="F783" s="213"/>
      <c r="G783" s="213"/>
      <c r="H783" s="213"/>
      <c r="I783" s="214"/>
      <c r="J783" s="222"/>
      <c r="K783" s="223"/>
      <c r="L783" s="223"/>
      <c r="N783" s="217"/>
      <c r="O783" s="77"/>
      <c r="P783" s="77"/>
      <c r="Q783" s="226"/>
    </row>
    <row r="784" ht="15.75" hidden="1" customHeight="1">
      <c r="A784" s="64"/>
      <c r="B784" s="64"/>
      <c r="C784" s="220"/>
      <c r="D784" s="64"/>
      <c r="E784" s="221"/>
      <c r="F784" s="213"/>
      <c r="G784" s="213"/>
      <c r="H784" s="213"/>
      <c r="I784" s="214"/>
      <c r="J784" s="222"/>
      <c r="K784" s="223"/>
      <c r="L784" s="223"/>
      <c r="M784" s="427"/>
      <c r="N784" s="217"/>
      <c r="O784" s="87"/>
      <c r="P784" s="87"/>
      <c r="Q784" s="226"/>
    </row>
    <row r="785" ht="15.75" hidden="1" customHeight="1">
      <c r="A785" s="64"/>
      <c r="B785" s="64"/>
      <c r="C785" s="220"/>
      <c r="D785" s="64"/>
      <c r="E785" s="221"/>
      <c r="F785" s="213"/>
      <c r="G785" s="213"/>
      <c r="H785" s="213"/>
      <c r="I785" s="214"/>
      <c r="J785" s="215"/>
      <c r="K785" s="216"/>
      <c r="L785" s="216"/>
      <c r="N785" s="217"/>
      <c r="O785" s="87"/>
      <c r="P785" s="87"/>
      <c r="Q785" s="225"/>
    </row>
    <row r="786" ht="15.75" hidden="1" customHeight="1">
      <c r="A786" s="64"/>
      <c r="B786" s="64"/>
      <c r="C786" s="220"/>
      <c r="D786" s="64"/>
      <c r="E786" s="221"/>
      <c r="F786" s="213"/>
      <c r="G786" s="213"/>
      <c r="H786" s="213"/>
      <c r="I786" s="214"/>
      <c r="J786" s="222"/>
      <c r="K786" s="223"/>
      <c r="L786" s="223"/>
      <c r="N786" s="217"/>
      <c r="O786" s="87"/>
      <c r="P786" s="87"/>
      <c r="Q786" s="411"/>
    </row>
    <row r="787" ht="15.75" hidden="1" customHeight="1">
      <c r="A787" s="64"/>
      <c r="B787" s="64"/>
      <c r="C787" s="220"/>
      <c r="D787" s="64"/>
      <c r="E787" s="221"/>
      <c r="F787" s="213"/>
      <c r="G787" s="213"/>
      <c r="H787" s="213"/>
      <c r="I787" s="214"/>
      <c r="J787" s="222"/>
      <c r="K787" s="223"/>
      <c r="L787" s="223"/>
      <c r="N787" s="217"/>
      <c r="O787" s="87"/>
      <c r="P787" s="87"/>
      <c r="Q787" s="225"/>
    </row>
    <row r="788" ht="15.75" hidden="1" customHeight="1">
      <c r="A788" s="64"/>
      <c r="B788" s="64"/>
      <c r="C788" s="220"/>
      <c r="D788" s="64"/>
      <c r="E788" s="221"/>
      <c r="F788" s="213"/>
      <c r="G788" s="213"/>
      <c r="H788" s="213"/>
      <c r="I788" s="214"/>
      <c r="J788" s="222"/>
      <c r="K788" s="223"/>
      <c r="L788" s="223"/>
      <c r="N788" s="217"/>
      <c r="O788" s="87"/>
      <c r="P788" s="87"/>
      <c r="Q788" s="225"/>
    </row>
    <row r="789" ht="15.75" hidden="1" customHeight="1">
      <c r="A789" s="64"/>
      <c r="B789" s="64"/>
      <c r="C789" s="220"/>
      <c r="D789" s="64"/>
      <c r="E789" s="221"/>
      <c r="F789" s="213"/>
      <c r="G789" s="213"/>
      <c r="H789" s="213"/>
      <c r="I789" s="214"/>
      <c r="J789" s="222"/>
      <c r="K789" s="223"/>
      <c r="L789" s="223"/>
      <c r="N789" s="217"/>
      <c r="O789" s="87"/>
      <c r="P789" s="87"/>
      <c r="Q789" s="225"/>
    </row>
    <row r="790" ht="15.75" hidden="1" customHeight="1">
      <c r="A790" s="64"/>
      <c r="B790" s="64"/>
      <c r="C790" s="220"/>
      <c r="D790" s="64"/>
      <c r="E790" s="221"/>
      <c r="F790" s="213"/>
      <c r="G790" s="213"/>
      <c r="H790" s="213"/>
      <c r="I790" s="214"/>
      <c r="J790" s="215"/>
      <c r="K790" s="216"/>
      <c r="L790" s="216"/>
      <c r="N790" s="217"/>
      <c r="O790" s="87"/>
      <c r="P790" s="87"/>
      <c r="Q790" s="225"/>
    </row>
    <row r="791" ht="15.75" hidden="1" customHeight="1">
      <c r="A791" s="64"/>
      <c r="B791" s="64"/>
      <c r="C791" s="220"/>
      <c r="D791" s="64"/>
      <c r="E791" s="221"/>
      <c r="F791" s="213"/>
      <c r="G791" s="213"/>
      <c r="H791" s="213"/>
      <c r="I791" s="214"/>
      <c r="J791" s="215"/>
      <c r="K791" s="216"/>
      <c r="L791" s="216"/>
      <c r="N791" s="217"/>
      <c r="O791" s="87"/>
      <c r="P791" s="87"/>
      <c r="Q791" s="225"/>
    </row>
    <row r="792" ht="15.75" hidden="1" customHeight="1">
      <c r="A792" s="64"/>
      <c r="B792" s="64"/>
      <c r="C792" s="220"/>
      <c r="D792" s="64"/>
      <c r="E792" s="221"/>
      <c r="F792" s="213"/>
      <c r="G792" s="213"/>
      <c r="H792" s="213"/>
      <c r="I792" s="214"/>
      <c r="J792" s="215"/>
      <c r="K792" s="216"/>
      <c r="L792" s="216"/>
      <c r="N792" s="217"/>
      <c r="O792" s="428"/>
      <c r="P792" s="428"/>
      <c r="Q792" s="225"/>
      <c r="R792" s="259"/>
      <c r="S792" s="259"/>
      <c r="T792" s="259"/>
      <c r="U792" s="259"/>
      <c r="V792" s="259"/>
      <c r="W792" s="259"/>
      <c r="X792" s="259"/>
      <c r="Y792" s="259"/>
      <c r="Z792" s="259"/>
      <c r="AA792" s="259"/>
      <c r="AB792" s="259"/>
      <c r="AC792" s="259"/>
      <c r="AD792" s="259"/>
      <c r="AE792" s="259"/>
      <c r="AF792" s="259"/>
      <c r="AG792" s="259"/>
      <c r="AH792" s="259"/>
    </row>
    <row r="793" ht="15.75" hidden="1" customHeight="1">
      <c r="A793" s="64"/>
      <c r="B793" s="64"/>
      <c r="C793" s="220"/>
      <c r="D793" s="64"/>
      <c r="E793" s="221"/>
      <c r="F793" s="213"/>
      <c r="G793" s="213"/>
      <c r="H793" s="213"/>
      <c r="I793" s="214"/>
      <c r="J793" s="222"/>
      <c r="K793" s="223"/>
      <c r="L793" s="223"/>
      <c r="N793" s="217"/>
      <c r="O793" s="302"/>
      <c r="Q793" s="225"/>
    </row>
    <row r="794" ht="15.75" hidden="1" customHeight="1">
      <c r="A794" s="64"/>
      <c r="B794" s="64"/>
      <c r="C794" s="220"/>
      <c r="D794" s="64"/>
      <c r="E794" s="221"/>
      <c r="F794" s="213"/>
      <c r="G794" s="213"/>
      <c r="H794" s="213"/>
      <c r="I794" s="214"/>
      <c r="J794" s="222"/>
      <c r="K794" s="223"/>
      <c r="L794" s="223"/>
      <c r="N794" s="217"/>
      <c r="O794" s="87"/>
      <c r="P794" s="87"/>
      <c r="Q794" s="234"/>
    </row>
    <row r="795" ht="15.75" hidden="1" customHeight="1">
      <c r="A795" s="64"/>
      <c r="B795" s="64"/>
      <c r="C795" s="220"/>
      <c r="D795" s="64"/>
      <c r="E795" s="221"/>
      <c r="F795" s="213"/>
      <c r="G795" s="213"/>
      <c r="H795" s="213"/>
      <c r="I795" s="214"/>
      <c r="J795" s="222"/>
      <c r="K795" s="223"/>
      <c r="L795" s="223"/>
      <c r="N795" s="217"/>
      <c r="O795" s="87"/>
      <c r="P795" s="87"/>
      <c r="Q795" s="225"/>
    </row>
    <row r="796" ht="15.75" hidden="1" customHeight="1">
      <c r="A796" s="64"/>
      <c r="B796" s="64"/>
      <c r="C796" s="220"/>
      <c r="D796" s="64"/>
      <c r="E796" s="221"/>
      <c r="F796" s="213"/>
      <c r="G796" s="213"/>
      <c r="H796" s="213"/>
      <c r="I796" s="214"/>
      <c r="J796" s="222"/>
      <c r="K796" s="223"/>
      <c r="L796" s="223"/>
      <c r="N796" s="217"/>
      <c r="O796" s="87"/>
      <c r="P796" s="87"/>
      <c r="Q796" s="225"/>
    </row>
    <row r="797" ht="15.75" hidden="1" customHeight="1">
      <c r="A797" s="64"/>
      <c r="B797" s="64"/>
      <c r="C797" s="220"/>
      <c r="D797" s="64"/>
      <c r="E797" s="221"/>
      <c r="F797" s="213"/>
      <c r="G797" s="213"/>
      <c r="H797" s="213"/>
      <c r="I797" s="214"/>
      <c r="J797" s="222"/>
      <c r="K797" s="223"/>
      <c r="L797" s="223"/>
      <c r="N797" s="217"/>
      <c r="O797" s="87"/>
      <c r="P797" s="87"/>
      <c r="Q797" s="225"/>
    </row>
    <row r="798" ht="15.75" hidden="1" customHeight="1">
      <c r="A798" s="64"/>
      <c r="B798" s="64"/>
      <c r="C798" s="220"/>
      <c r="D798" s="64"/>
      <c r="E798" s="221"/>
      <c r="F798" s="213"/>
      <c r="G798" s="213"/>
      <c r="H798" s="213"/>
      <c r="I798" s="214"/>
      <c r="J798" s="222"/>
      <c r="K798" s="223"/>
      <c r="L798" s="223"/>
      <c r="N798" s="217"/>
      <c r="O798" s="87"/>
      <c r="P798" s="87"/>
      <c r="Q798" s="225"/>
    </row>
    <row r="799" ht="15.75" hidden="1" customHeight="1">
      <c r="A799" s="64"/>
      <c r="B799" s="64"/>
      <c r="C799" s="220"/>
      <c r="D799" s="64"/>
      <c r="E799" s="221"/>
      <c r="F799" s="213"/>
      <c r="G799" s="213"/>
      <c r="H799" s="213"/>
      <c r="I799" s="214"/>
      <c r="J799" s="222"/>
      <c r="K799" s="223"/>
      <c r="L799" s="223"/>
      <c r="N799" s="217"/>
      <c r="O799" s="87"/>
      <c r="P799" s="87"/>
      <c r="Q799" s="225"/>
    </row>
    <row r="800" ht="15.75" hidden="1" customHeight="1">
      <c r="A800" s="64"/>
      <c r="B800" s="64"/>
      <c r="C800" s="220"/>
      <c r="D800" s="64"/>
      <c r="E800" s="221"/>
      <c r="F800" s="213"/>
      <c r="G800" s="213"/>
      <c r="H800" s="213"/>
      <c r="I800" s="214"/>
      <c r="J800" s="222"/>
      <c r="K800" s="223"/>
      <c r="L800" s="223"/>
      <c r="N800" s="217"/>
      <c r="O800" s="87"/>
      <c r="P800" s="87"/>
      <c r="Q800" s="225"/>
    </row>
    <row r="801" ht="15.75" hidden="1" customHeight="1">
      <c r="A801" s="64"/>
      <c r="B801" s="64"/>
      <c r="C801" s="220"/>
      <c r="D801" s="64"/>
      <c r="E801" s="221"/>
      <c r="F801" s="213"/>
      <c r="G801" s="213"/>
      <c r="H801" s="213"/>
      <c r="I801" s="214"/>
      <c r="J801" s="222"/>
      <c r="K801" s="223"/>
      <c r="L801" s="223"/>
      <c r="N801" s="217"/>
      <c r="O801" s="87"/>
      <c r="P801" s="87"/>
      <c r="Q801" s="225"/>
    </row>
    <row r="802" ht="15.75" hidden="1" customHeight="1">
      <c r="A802" s="64"/>
      <c r="B802" s="64"/>
      <c r="C802" s="220"/>
      <c r="D802" s="64"/>
      <c r="E802" s="221"/>
      <c r="F802" s="213"/>
      <c r="G802" s="213"/>
      <c r="H802" s="213"/>
      <c r="I802" s="214"/>
      <c r="J802" s="222"/>
      <c r="K802" s="223"/>
      <c r="L802" s="223"/>
      <c r="N802" s="217"/>
      <c r="O802" s="87"/>
      <c r="P802" s="87"/>
      <c r="Q802" s="225"/>
    </row>
    <row r="803" ht="15.75" hidden="1" customHeight="1">
      <c r="A803" s="64"/>
      <c r="B803" s="64"/>
      <c r="C803" s="220"/>
      <c r="D803" s="64"/>
      <c r="E803" s="221"/>
      <c r="F803" s="213"/>
      <c r="G803" s="213"/>
      <c r="H803" s="213"/>
      <c r="I803" s="214"/>
      <c r="J803" s="222"/>
      <c r="K803" s="223"/>
      <c r="L803" s="223"/>
      <c r="N803" s="217"/>
      <c r="O803" s="87"/>
      <c r="P803" s="87"/>
      <c r="Q803" s="225"/>
    </row>
    <row r="804" ht="15.75" hidden="1" customHeight="1">
      <c r="A804" s="64"/>
      <c r="B804" s="64"/>
      <c r="C804" s="220"/>
      <c r="D804" s="64"/>
      <c r="E804" s="221"/>
      <c r="F804" s="213"/>
      <c r="G804" s="213"/>
      <c r="H804" s="213"/>
      <c r="I804" s="214"/>
      <c r="J804" s="222"/>
      <c r="K804" s="223"/>
      <c r="L804" s="223"/>
      <c r="N804" s="217"/>
      <c r="O804" s="87"/>
      <c r="P804" s="87"/>
      <c r="Q804" s="225"/>
    </row>
    <row r="805" ht="15.75" hidden="1" customHeight="1">
      <c r="A805" s="64"/>
      <c r="B805" s="64"/>
      <c r="C805" s="220"/>
      <c r="D805" s="64"/>
      <c r="E805" s="221"/>
      <c r="F805" s="213"/>
      <c r="G805" s="213"/>
      <c r="H805" s="213"/>
      <c r="I805" s="214"/>
      <c r="J805" s="222"/>
      <c r="K805" s="223"/>
      <c r="L805" s="223"/>
      <c r="N805" s="217"/>
      <c r="O805" s="302"/>
      <c r="Q805" s="225"/>
    </row>
    <row r="806" ht="15.75" hidden="1" customHeight="1">
      <c r="A806" s="64"/>
      <c r="B806" s="64"/>
      <c r="C806" s="220"/>
      <c r="D806" s="64"/>
      <c r="E806" s="221"/>
      <c r="F806" s="213"/>
      <c r="G806" s="213"/>
      <c r="H806" s="213"/>
      <c r="I806" s="214"/>
      <c r="J806" s="222"/>
      <c r="K806" s="223"/>
      <c r="L806" s="223"/>
      <c r="N806" s="217"/>
      <c r="O806" s="87"/>
      <c r="P806" s="87"/>
      <c r="Q806" s="430"/>
    </row>
    <row r="807" ht="15.75" hidden="1" customHeight="1">
      <c r="A807" s="64"/>
      <c r="B807" s="64"/>
      <c r="C807" s="220"/>
      <c r="D807" s="64"/>
      <c r="E807" s="221"/>
      <c r="F807" s="213"/>
      <c r="G807" s="213"/>
      <c r="H807" s="213"/>
      <c r="I807" s="214"/>
      <c r="J807" s="215"/>
      <c r="K807" s="216"/>
      <c r="L807" s="216"/>
      <c r="N807" s="217"/>
      <c r="O807" s="87"/>
      <c r="P807" s="87"/>
      <c r="Q807" s="431"/>
      <c r="T807" s="432"/>
      <c r="U807" s="432"/>
    </row>
    <row r="808" ht="15.75" hidden="1" customHeight="1">
      <c r="A808" s="64"/>
      <c r="B808" s="64"/>
      <c r="C808" s="220"/>
      <c r="D808" s="64"/>
      <c r="E808" s="221"/>
      <c r="F808" s="213"/>
      <c r="G808" s="213"/>
      <c r="H808" s="213"/>
      <c r="I808" s="214"/>
      <c r="J808" s="215"/>
      <c r="K808" s="216"/>
      <c r="L808" s="216"/>
      <c r="N808" s="217"/>
      <c r="O808" s="87"/>
      <c r="P808" s="87"/>
      <c r="Q808" s="411"/>
    </row>
    <row r="809" ht="15.75" hidden="1" customHeight="1">
      <c r="A809" s="64"/>
      <c r="B809" s="64"/>
      <c r="C809" s="220"/>
      <c r="D809" s="64"/>
      <c r="E809" s="221"/>
      <c r="F809" s="213"/>
      <c r="G809" s="213"/>
      <c r="H809" s="213"/>
      <c r="I809" s="214"/>
      <c r="J809" s="222"/>
      <c r="K809" s="223"/>
      <c r="L809" s="223"/>
      <c r="N809" s="217"/>
      <c r="O809" s="87"/>
      <c r="P809" s="87"/>
      <c r="Q809" s="225"/>
    </row>
    <row r="810" ht="15.75" hidden="1" customHeight="1">
      <c r="A810" s="64"/>
      <c r="B810" s="64"/>
      <c r="C810" s="220"/>
      <c r="D810" s="64"/>
      <c r="E810" s="221"/>
      <c r="F810" s="213"/>
      <c r="G810" s="213"/>
      <c r="H810" s="213"/>
      <c r="I810" s="214"/>
      <c r="J810" s="215"/>
      <c r="K810" s="216"/>
      <c r="L810" s="216"/>
      <c r="N810" s="217"/>
      <c r="O810" s="87"/>
      <c r="P810" s="87"/>
      <c r="Q810" s="225"/>
      <c r="V810" s="257"/>
      <c r="W810" s="257"/>
      <c r="X810" s="257"/>
      <c r="Y810" s="257"/>
      <c r="Z810" s="257"/>
      <c r="AA810" s="257"/>
      <c r="AB810" s="257"/>
      <c r="AC810" s="257"/>
      <c r="AD810" s="257"/>
      <c r="AE810" s="257"/>
      <c r="AF810" s="257"/>
      <c r="AG810" s="257"/>
      <c r="AH810" s="257"/>
    </row>
    <row r="811" ht="15.75" hidden="1" customHeight="1">
      <c r="A811" s="64"/>
      <c r="B811" s="64"/>
      <c r="C811" s="220"/>
      <c r="D811" s="64"/>
      <c r="E811" s="221"/>
      <c r="F811" s="213"/>
      <c r="G811" s="213"/>
      <c r="H811" s="213"/>
      <c r="I811" s="214"/>
      <c r="J811" s="215"/>
      <c r="K811" s="216"/>
      <c r="L811" s="216"/>
      <c r="N811" s="217"/>
      <c r="O811" s="87"/>
      <c r="P811" s="87"/>
      <c r="Q811" s="225"/>
    </row>
    <row r="812" ht="15.75" hidden="1" customHeight="1">
      <c r="A812" s="64"/>
      <c r="B812" s="64"/>
      <c r="C812" s="220"/>
      <c r="D812" s="64"/>
      <c r="E812" s="221"/>
      <c r="F812" s="213"/>
      <c r="G812" s="213"/>
      <c r="H812" s="213"/>
      <c r="I812" s="214"/>
      <c r="J812" s="215"/>
      <c r="K812" s="216"/>
      <c r="L812" s="216"/>
      <c r="N812" s="217"/>
      <c r="O812" s="87"/>
      <c r="P812" s="87"/>
      <c r="Q812" s="225"/>
    </row>
    <row r="813" ht="15.75" hidden="1" customHeight="1">
      <c r="A813" s="64"/>
      <c r="B813" s="64"/>
      <c r="C813" s="220"/>
      <c r="D813" s="64"/>
      <c r="E813" s="221"/>
      <c r="F813" s="213"/>
      <c r="G813" s="213"/>
      <c r="H813" s="213"/>
      <c r="I813" s="214"/>
      <c r="J813" s="215"/>
      <c r="K813" s="216"/>
      <c r="L813" s="216"/>
      <c r="N813" s="217"/>
      <c r="O813" s="87"/>
      <c r="P813" s="87"/>
      <c r="Q813" s="225"/>
    </row>
    <row r="814" ht="15.75" hidden="1" customHeight="1">
      <c r="A814" s="64"/>
      <c r="B814" s="64"/>
      <c r="C814" s="220"/>
      <c r="D814" s="64"/>
      <c r="E814" s="221"/>
      <c r="F814" s="213"/>
      <c r="G814" s="213"/>
      <c r="H814" s="213"/>
      <c r="I814" s="214"/>
      <c r="J814" s="215"/>
      <c r="K814" s="216"/>
      <c r="L814" s="216"/>
      <c r="M814" s="427"/>
      <c r="N814" s="217"/>
      <c r="O814" s="87"/>
      <c r="P814" s="224"/>
      <c r="Q814" s="225"/>
      <c r="R814" s="140"/>
      <c r="S814" s="140"/>
    </row>
    <row r="815" ht="15.75" hidden="1" customHeight="1">
      <c r="A815" s="64"/>
      <c r="B815" s="64"/>
      <c r="C815" s="220"/>
      <c r="D815" s="64"/>
      <c r="E815" s="221"/>
      <c r="F815" s="213"/>
      <c r="G815" s="213"/>
      <c r="H815" s="213"/>
      <c r="I815" s="214"/>
      <c r="J815" s="222"/>
      <c r="K815" s="223"/>
      <c r="L815" s="223"/>
      <c r="M815" s="427"/>
      <c r="N815" s="217"/>
      <c r="O815" s="87"/>
      <c r="P815" s="224"/>
      <c r="Q815" s="225"/>
      <c r="R815" s="140"/>
      <c r="S815" s="140"/>
    </row>
    <row r="816" ht="15.75" hidden="1" customHeight="1">
      <c r="A816" s="64"/>
      <c r="B816" s="64"/>
      <c r="C816" s="220"/>
      <c r="D816" s="64"/>
      <c r="E816" s="221"/>
      <c r="F816" s="213"/>
      <c r="G816" s="213"/>
      <c r="H816" s="213"/>
      <c r="I816" s="214"/>
      <c r="J816" s="222"/>
      <c r="K816" s="223"/>
      <c r="L816" s="223"/>
      <c r="N816" s="217"/>
      <c r="O816" s="87"/>
      <c r="P816" s="224"/>
      <c r="Q816" s="225"/>
    </row>
    <row r="817" ht="15.75" hidden="1" customHeight="1">
      <c r="A817" s="64"/>
      <c r="B817" s="64"/>
      <c r="C817" s="220"/>
      <c r="D817" s="64"/>
      <c r="E817" s="221"/>
      <c r="F817" s="213"/>
      <c r="G817" s="213"/>
      <c r="H817" s="213"/>
      <c r="I817" s="214"/>
      <c r="J817" s="222"/>
      <c r="K817" s="223"/>
      <c r="L817" s="223"/>
      <c r="N817" s="217"/>
      <c r="O817" s="87"/>
      <c r="P817" s="224"/>
      <c r="Q817" s="225"/>
    </row>
    <row r="818" ht="15.75" hidden="1" customHeight="1">
      <c r="A818" s="64"/>
      <c r="B818" s="64"/>
      <c r="C818" s="220"/>
      <c r="D818" s="64"/>
      <c r="E818" s="221"/>
      <c r="F818" s="213"/>
      <c r="G818" s="213"/>
      <c r="H818" s="213"/>
      <c r="I818" s="214"/>
      <c r="J818" s="215"/>
      <c r="K818" s="216"/>
      <c r="L818" s="216"/>
      <c r="N818" s="217"/>
      <c r="O818" s="87"/>
      <c r="P818" s="224"/>
      <c r="Q818" s="226"/>
    </row>
    <row r="819" ht="15.75" hidden="1" customHeight="1">
      <c r="A819" s="64"/>
      <c r="B819" s="64"/>
      <c r="C819" s="220"/>
      <c r="D819" s="64"/>
      <c r="E819" s="221"/>
      <c r="F819" s="213"/>
      <c r="G819" s="213"/>
      <c r="H819" s="213"/>
      <c r="I819" s="214"/>
      <c r="J819" s="215"/>
      <c r="K819" s="216"/>
      <c r="L819" s="216"/>
      <c r="N819" s="217"/>
      <c r="O819" s="416"/>
      <c r="P819" s="417"/>
      <c r="Q819" s="226"/>
    </row>
    <row r="820" ht="15.75" hidden="1" customHeight="1">
      <c r="A820" s="64"/>
      <c r="B820" s="64"/>
      <c r="C820" s="220"/>
      <c r="D820" s="64"/>
      <c r="E820" s="221"/>
      <c r="F820" s="213"/>
      <c r="G820" s="213"/>
      <c r="H820" s="213"/>
      <c r="I820" s="214"/>
      <c r="J820" s="215"/>
      <c r="K820" s="216"/>
      <c r="L820" s="216"/>
      <c r="N820" s="217"/>
      <c r="O820" s="416"/>
      <c r="P820" s="417"/>
      <c r="Q820" s="226"/>
    </row>
    <row r="821" ht="15.75" hidden="1" customHeight="1">
      <c r="A821" s="64"/>
      <c r="B821" s="64"/>
      <c r="C821" s="220"/>
      <c r="D821" s="64"/>
      <c r="E821" s="221"/>
      <c r="F821" s="213"/>
      <c r="G821" s="213"/>
      <c r="H821" s="213"/>
      <c r="I821" s="214"/>
      <c r="J821" s="222"/>
      <c r="K821" s="223"/>
      <c r="L821" s="223"/>
      <c r="N821" s="217"/>
      <c r="O821" s="87"/>
      <c r="P821" s="224"/>
      <c r="Q821" s="225"/>
    </row>
    <row r="822" ht="15.75" hidden="1" customHeight="1">
      <c r="A822" s="64"/>
      <c r="B822" s="64"/>
      <c r="C822" s="220"/>
      <c r="D822" s="64"/>
      <c r="E822" s="221"/>
      <c r="F822" s="213"/>
      <c r="G822" s="213"/>
      <c r="H822" s="213"/>
      <c r="I822" s="214"/>
      <c r="J822" s="222"/>
      <c r="K822" s="223"/>
      <c r="L822" s="223"/>
      <c r="N822" s="217"/>
      <c r="O822" s="87"/>
      <c r="P822" s="87"/>
      <c r="Q822" s="226"/>
    </row>
    <row r="823" ht="15.75" hidden="1" customHeight="1">
      <c r="A823" s="64"/>
      <c r="B823" s="64"/>
      <c r="C823" s="220"/>
      <c r="D823" s="64"/>
      <c r="E823" s="221"/>
      <c r="F823" s="213"/>
      <c r="G823" s="213"/>
      <c r="H823" s="213"/>
      <c r="I823" s="214"/>
      <c r="J823" s="222"/>
      <c r="K823" s="223"/>
      <c r="L823" s="223"/>
      <c r="N823" s="217"/>
      <c r="O823" s="77"/>
      <c r="P823" s="77"/>
      <c r="Q823" s="225"/>
    </row>
    <row r="824" ht="15.75" hidden="1" customHeight="1">
      <c r="A824" s="64"/>
      <c r="B824" s="64"/>
      <c r="C824" s="220"/>
      <c r="D824" s="64"/>
      <c r="E824" s="221"/>
      <c r="F824" s="213"/>
      <c r="G824" s="213"/>
      <c r="H824" s="213"/>
      <c r="I824" s="214"/>
      <c r="J824" s="222"/>
      <c r="K824" s="223"/>
      <c r="L824" s="223"/>
      <c r="N824" s="217"/>
      <c r="O824" s="77"/>
      <c r="P824" s="77"/>
      <c r="Q824" s="226"/>
    </row>
    <row r="825" ht="15.75" hidden="1" customHeight="1">
      <c r="A825" s="64"/>
      <c r="B825" s="64"/>
      <c r="C825" s="220"/>
      <c r="D825" s="64"/>
      <c r="E825" s="221"/>
      <c r="F825" s="213"/>
      <c r="G825" s="213"/>
      <c r="H825" s="213"/>
      <c r="I825" s="214"/>
      <c r="J825" s="222"/>
      <c r="K825" s="64"/>
      <c r="L825" s="64"/>
      <c r="N825" s="217"/>
      <c r="O825" s="77"/>
      <c r="P825" s="77"/>
      <c r="Q825" s="226"/>
    </row>
    <row r="826" ht="15.75" hidden="1" customHeight="1">
      <c r="A826" s="64"/>
      <c r="B826" s="64"/>
      <c r="C826" s="220"/>
      <c r="D826" s="64"/>
      <c r="E826" s="221"/>
      <c r="F826" s="213"/>
      <c r="G826" s="213"/>
      <c r="H826" s="213"/>
      <c r="I826" s="214"/>
      <c r="J826" s="215"/>
      <c r="K826" s="216"/>
      <c r="L826" s="216"/>
      <c r="N826" s="217"/>
      <c r="O826" s="87"/>
      <c r="P826" s="87"/>
      <c r="Q826" s="226"/>
    </row>
    <row r="827" ht="15.75" hidden="1" customHeight="1">
      <c r="A827" s="64"/>
      <c r="B827" s="64"/>
      <c r="C827" s="220"/>
      <c r="D827" s="64"/>
      <c r="E827" s="221"/>
      <c r="F827" s="213"/>
      <c r="G827" s="213"/>
      <c r="H827" s="213"/>
      <c r="I827" s="214"/>
      <c r="J827" s="222"/>
      <c r="K827" s="223"/>
      <c r="L827" s="223"/>
      <c r="N827" s="217"/>
      <c r="O827" s="77"/>
      <c r="P827" s="77"/>
      <c r="Q827" s="225"/>
    </row>
    <row r="828" ht="15.75" hidden="1" customHeight="1">
      <c r="A828" s="64"/>
      <c r="B828" s="64"/>
      <c r="C828" s="220"/>
      <c r="D828" s="64"/>
      <c r="E828" s="221"/>
      <c r="F828" s="213"/>
      <c r="G828" s="213"/>
      <c r="H828" s="213"/>
      <c r="I828" s="214"/>
      <c r="J828" s="215"/>
      <c r="K828" s="216"/>
      <c r="L828" s="216"/>
      <c r="N828" s="217"/>
      <c r="O828" s="87"/>
      <c r="P828" s="87"/>
      <c r="Q828" s="226"/>
    </row>
    <row r="829" ht="15.75" hidden="1" customHeight="1">
      <c r="A829" s="64"/>
      <c r="B829" s="64"/>
      <c r="C829" s="220"/>
      <c r="D829" s="64"/>
      <c r="E829" s="221"/>
      <c r="F829" s="213"/>
      <c r="G829" s="213"/>
      <c r="H829" s="213"/>
      <c r="I829" s="214"/>
      <c r="J829" s="222"/>
      <c r="K829" s="223"/>
      <c r="L829" s="223"/>
      <c r="N829" s="217"/>
      <c r="O829" s="77"/>
      <c r="P829" s="77"/>
      <c r="Q829" s="225"/>
    </row>
    <row r="830" ht="15.75" hidden="1" customHeight="1">
      <c r="A830" s="64"/>
      <c r="B830" s="64"/>
      <c r="C830" s="142"/>
      <c r="D830" s="64"/>
      <c r="E830" s="221"/>
      <c r="F830" s="213"/>
      <c r="G830" s="213"/>
      <c r="H830" s="213"/>
      <c r="I830" s="214"/>
      <c r="J830" s="215"/>
      <c r="K830" s="216"/>
      <c r="L830" s="216"/>
      <c r="N830" s="217"/>
      <c r="O830" s="77"/>
      <c r="P830" s="77"/>
      <c r="Q830" s="226"/>
    </row>
    <row r="831" ht="15.75" hidden="1" customHeight="1">
      <c r="A831" s="64"/>
      <c r="B831" s="64"/>
      <c r="C831" s="220"/>
      <c r="D831" s="64"/>
      <c r="E831" s="221"/>
      <c r="F831" s="213"/>
      <c r="G831" s="213"/>
      <c r="H831" s="213"/>
      <c r="I831" s="214"/>
      <c r="J831" s="215"/>
      <c r="K831" s="216"/>
      <c r="L831" s="216"/>
      <c r="N831" s="217"/>
      <c r="O831" s="77"/>
      <c r="P831" s="77"/>
      <c r="Q831" s="226"/>
    </row>
    <row r="832" ht="15.75" hidden="1" customHeight="1">
      <c r="A832" s="64"/>
      <c r="B832" s="64"/>
      <c r="C832" s="220"/>
      <c r="D832" s="64"/>
      <c r="E832" s="221"/>
      <c r="F832" s="213"/>
      <c r="G832" s="213"/>
      <c r="H832" s="213"/>
      <c r="I832" s="214"/>
      <c r="J832" s="215"/>
      <c r="K832" s="216"/>
      <c r="L832" s="216"/>
      <c r="N832" s="217"/>
      <c r="O832" s="77"/>
      <c r="P832" s="77"/>
      <c r="Q832" s="227"/>
    </row>
    <row r="833" ht="15.75" hidden="1" customHeight="1">
      <c r="A833" s="64"/>
      <c r="B833" s="64"/>
      <c r="C833" s="220"/>
      <c r="D833" s="64"/>
      <c r="E833" s="221"/>
      <c r="F833" s="213"/>
      <c r="G833" s="213"/>
      <c r="H833" s="213"/>
      <c r="I833" s="214"/>
      <c r="J833" s="215"/>
      <c r="K833" s="216"/>
      <c r="L833" s="216"/>
      <c r="N833" s="217"/>
      <c r="O833" s="87"/>
      <c r="P833" s="87"/>
      <c r="Q833" s="227"/>
    </row>
    <row r="834" ht="15.75" hidden="1" customHeight="1">
      <c r="A834" s="390"/>
      <c r="B834" s="390"/>
      <c r="C834" s="391"/>
      <c r="D834" s="390"/>
      <c r="E834" s="434"/>
      <c r="F834" s="435"/>
      <c r="G834" s="435"/>
      <c r="H834" s="435"/>
      <c r="I834" s="214"/>
      <c r="J834" s="222"/>
      <c r="K834" s="223"/>
      <c r="L834" s="223"/>
      <c r="M834" s="436"/>
      <c r="N834" s="437"/>
      <c r="O834" s="416"/>
      <c r="P834" s="417"/>
      <c r="Q834" s="225"/>
    </row>
    <row r="835" ht="15.75" hidden="1" customHeight="1">
      <c r="A835" s="418"/>
      <c r="B835" s="418"/>
      <c r="C835" s="419"/>
      <c r="D835" s="418"/>
      <c r="E835" s="420"/>
      <c r="F835" s="421"/>
      <c r="G835" s="421"/>
      <c r="H835" s="421"/>
      <c r="I835" s="214"/>
      <c r="J835" s="438"/>
      <c r="K835" s="394"/>
      <c r="L835" s="394"/>
      <c r="M835" s="422"/>
      <c r="N835" s="423"/>
      <c r="O835" s="416"/>
      <c r="P835" s="417"/>
      <c r="Q835" s="439"/>
      <c r="R835" s="259"/>
      <c r="S835" s="259"/>
      <c r="T835" s="259"/>
      <c r="U835" s="259"/>
      <c r="V835" s="259"/>
      <c r="W835" s="259"/>
      <c r="X835" s="259"/>
      <c r="Y835" s="259"/>
      <c r="Z835" s="259"/>
      <c r="AA835" s="259"/>
      <c r="AB835" s="259"/>
      <c r="AC835" s="259"/>
      <c r="AD835" s="259"/>
      <c r="AE835" s="259"/>
      <c r="AF835" s="259"/>
      <c r="AG835" s="259"/>
      <c r="AH835" s="259"/>
    </row>
    <row r="836" ht="15.75" hidden="1" customHeight="1">
      <c r="A836" s="64"/>
      <c r="B836" s="64"/>
      <c r="C836" s="220"/>
      <c r="D836" s="64"/>
      <c r="E836" s="221"/>
      <c r="F836" s="213"/>
      <c r="G836" s="213"/>
      <c r="H836" s="213"/>
      <c r="I836" s="214"/>
      <c r="J836" s="424"/>
      <c r="K836" s="425"/>
      <c r="L836" s="425"/>
      <c r="N836" s="236"/>
      <c r="O836" s="87"/>
      <c r="P836" s="224"/>
      <c r="Q836" s="440"/>
    </row>
    <row r="837" ht="15.75" hidden="1" customHeight="1">
      <c r="A837" s="64"/>
      <c r="B837" s="64"/>
      <c r="C837" s="220"/>
      <c r="D837" s="64"/>
      <c r="E837" s="221"/>
      <c r="F837" s="213"/>
      <c r="G837" s="213"/>
      <c r="H837" s="213"/>
      <c r="I837" s="214"/>
      <c r="J837" s="222"/>
      <c r="K837" s="223"/>
      <c r="L837" s="223"/>
      <c r="N837" s="236"/>
      <c r="O837" s="87"/>
      <c r="P837" s="224"/>
      <c r="Q837" s="234"/>
    </row>
    <row r="838" ht="15.75" hidden="1" customHeight="1">
      <c r="A838" s="140"/>
      <c r="B838" s="82"/>
      <c r="C838" s="230"/>
      <c r="D838" s="140"/>
      <c r="E838" s="310"/>
      <c r="F838" s="213"/>
      <c r="G838" s="213"/>
      <c r="H838" s="213"/>
      <c r="I838" s="214"/>
      <c r="J838" s="222"/>
      <c r="K838" s="223"/>
      <c r="L838" s="223"/>
      <c r="M838" s="427"/>
      <c r="N838" s="217"/>
      <c r="O838" s="87"/>
      <c r="P838" s="224"/>
      <c r="Q838" s="225"/>
    </row>
    <row r="839" ht="15.75" hidden="1" customHeight="1">
      <c r="A839" s="64"/>
      <c r="B839" s="64"/>
      <c r="C839" s="220"/>
      <c r="D839" s="64"/>
      <c r="E839" s="221"/>
      <c r="F839" s="213"/>
      <c r="G839" s="213"/>
      <c r="H839" s="213"/>
      <c r="I839" s="214"/>
      <c r="J839" s="215"/>
      <c r="K839" s="216"/>
      <c r="L839" s="216"/>
      <c r="N839" s="217"/>
      <c r="O839" s="87"/>
      <c r="P839" s="224"/>
      <c r="Q839" s="225"/>
    </row>
    <row r="840" ht="15.75" hidden="1" customHeight="1">
      <c r="A840" s="64"/>
      <c r="B840" s="64"/>
      <c r="C840" s="220"/>
      <c r="D840" s="64"/>
      <c r="E840" s="221"/>
      <c r="F840" s="213"/>
      <c r="G840" s="213"/>
      <c r="H840" s="213"/>
      <c r="I840" s="214"/>
      <c r="J840" s="222"/>
      <c r="K840" s="64"/>
      <c r="L840" s="64"/>
      <c r="N840" s="217"/>
      <c r="O840" s="87"/>
      <c r="P840" s="224"/>
    </row>
    <row r="841" ht="15.75" hidden="1" customHeight="1">
      <c r="A841" s="64"/>
      <c r="B841" s="64"/>
      <c r="C841" s="220"/>
      <c r="D841" s="64"/>
      <c r="E841" s="221"/>
      <c r="F841" s="213"/>
      <c r="G841" s="213"/>
      <c r="H841" s="213"/>
      <c r="I841" s="214"/>
      <c r="J841" s="222"/>
      <c r="K841" s="64"/>
      <c r="L841" s="64"/>
      <c r="N841" s="217"/>
      <c r="O841" s="87"/>
      <c r="P841" s="224"/>
      <c r="Q841" s="225"/>
    </row>
    <row r="842" ht="15.75" hidden="1" customHeight="1">
      <c r="A842" s="64"/>
      <c r="B842" s="64"/>
      <c r="C842" s="220"/>
      <c r="D842" s="64"/>
      <c r="E842" s="221"/>
      <c r="F842" s="213"/>
      <c r="G842" s="213"/>
      <c r="H842" s="213"/>
      <c r="I842" s="214"/>
      <c r="J842" s="222"/>
      <c r="K842" s="64"/>
      <c r="L842" s="64"/>
      <c r="M842" s="427"/>
      <c r="N842" s="217"/>
      <c r="O842" s="87"/>
      <c r="P842" s="224"/>
      <c r="Q842" s="225"/>
    </row>
    <row r="843" ht="15.75" hidden="1" customHeight="1">
      <c r="A843" s="64"/>
      <c r="B843" s="64"/>
      <c r="C843" s="220"/>
      <c r="D843" s="64"/>
      <c r="E843" s="221"/>
      <c r="F843" s="213"/>
      <c r="G843" s="213"/>
      <c r="H843" s="213"/>
      <c r="I843" s="214"/>
      <c r="J843" s="222"/>
      <c r="K843" s="223"/>
      <c r="L843" s="223"/>
      <c r="M843" s="427"/>
      <c r="N843" s="217"/>
      <c r="O843" s="87"/>
      <c r="P843" s="224"/>
      <c r="Q843" s="225"/>
    </row>
    <row r="844" ht="15.75" hidden="1" customHeight="1">
      <c r="A844" s="64"/>
      <c r="B844" s="64"/>
      <c r="C844" s="220"/>
      <c r="D844" s="64"/>
      <c r="E844" s="221"/>
      <c r="F844" s="213"/>
      <c r="G844" s="213"/>
      <c r="H844" s="213"/>
      <c r="I844" s="214"/>
      <c r="J844" s="222"/>
      <c r="K844" s="223"/>
      <c r="L844" s="223"/>
      <c r="N844" s="217"/>
      <c r="O844" s="87"/>
      <c r="P844" s="87"/>
      <c r="Q844" s="225"/>
    </row>
    <row r="845" ht="15.75" hidden="1" customHeight="1">
      <c r="A845" s="64"/>
      <c r="B845" s="64"/>
      <c r="C845" s="220"/>
      <c r="D845" s="64"/>
      <c r="E845" s="221"/>
      <c r="F845" s="213"/>
      <c r="G845" s="213"/>
      <c r="H845" s="213"/>
      <c r="I845" s="214"/>
      <c r="J845" s="222"/>
      <c r="K845" s="223"/>
      <c r="L845" s="223"/>
      <c r="N845" s="217"/>
      <c r="O845" s="87"/>
      <c r="P845" s="224"/>
      <c r="Q845" s="225"/>
    </row>
    <row r="846" ht="15.75" hidden="1" customHeight="1">
      <c r="A846" s="64"/>
      <c r="B846" s="64"/>
      <c r="C846" s="220"/>
      <c r="D846" s="64"/>
      <c r="E846" s="221"/>
      <c r="F846" s="213"/>
      <c r="G846" s="213"/>
      <c r="H846" s="213"/>
      <c r="I846" s="214"/>
      <c r="J846" s="222"/>
      <c r="K846" s="223"/>
      <c r="L846" s="223"/>
      <c r="M846" s="427"/>
      <c r="N846" s="217"/>
      <c r="O846" s="87"/>
      <c r="P846" s="224"/>
      <c r="Q846" s="225"/>
    </row>
    <row r="847" ht="15.75" hidden="1" customHeight="1">
      <c r="A847" s="64"/>
      <c r="B847" s="64"/>
      <c r="C847" s="220"/>
      <c r="D847" s="64"/>
      <c r="E847" s="221"/>
      <c r="F847" s="213"/>
      <c r="G847" s="213"/>
      <c r="H847" s="213"/>
      <c r="I847" s="214"/>
      <c r="J847" s="222"/>
      <c r="K847" s="223"/>
      <c r="L847" s="223"/>
      <c r="N847" s="217"/>
      <c r="O847" s="87"/>
      <c r="P847" s="224"/>
      <c r="Q847" s="225"/>
    </row>
    <row r="848" ht="15.75" hidden="1" customHeight="1">
      <c r="A848" s="64"/>
      <c r="B848" s="64"/>
      <c r="C848" s="220"/>
      <c r="D848" s="64"/>
      <c r="E848" s="221"/>
      <c r="F848" s="213"/>
      <c r="G848" s="213"/>
      <c r="H848" s="213"/>
      <c r="I848" s="214"/>
      <c r="J848" s="222"/>
      <c r="K848" s="223"/>
      <c r="L848" s="223"/>
      <c r="N848" s="217"/>
      <c r="O848" s="87"/>
      <c r="P848" s="87"/>
      <c r="Q848" s="225"/>
    </row>
    <row r="849" ht="15.75" hidden="1" customHeight="1">
      <c r="A849" s="64"/>
      <c r="B849" s="64"/>
      <c r="C849" s="220"/>
      <c r="D849" s="64"/>
      <c r="E849" s="221"/>
      <c r="F849" s="213"/>
      <c r="G849" s="213"/>
      <c r="H849" s="213"/>
      <c r="I849" s="214"/>
      <c r="J849" s="222"/>
      <c r="K849" s="223"/>
      <c r="L849" s="223"/>
      <c r="N849" s="217"/>
      <c r="O849" s="87"/>
      <c r="P849" s="224"/>
      <c r="Q849" s="225"/>
      <c r="R849" s="140"/>
      <c r="S849" s="140"/>
    </row>
    <row r="850" ht="15.75" hidden="1" customHeight="1">
      <c r="A850" s="64"/>
      <c r="B850" s="64"/>
      <c r="C850" s="220"/>
      <c r="D850" s="64"/>
      <c r="E850" s="221"/>
      <c r="F850" s="213"/>
      <c r="G850" s="213"/>
      <c r="H850" s="213"/>
      <c r="I850" s="214"/>
      <c r="J850" s="222"/>
      <c r="K850" s="223"/>
      <c r="L850" s="223"/>
      <c r="M850" s="64"/>
      <c r="N850" s="217"/>
      <c r="O850" s="87"/>
      <c r="P850" s="87"/>
      <c r="Q850" s="226"/>
    </row>
    <row r="851" ht="15.75" hidden="1" customHeight="1">
      <c r="A851" s="64"/>
      <c r="B851" s="64"/>
      <c r="C851" s="220"/>
      <c r="D851" s="64"/>
      <c r="E851" s="221"/>
      <c r="F851" s="213"/>
      <c r="G851" s="213"/>
      <c r="H851" s="213"/>
      <c r="I851" s="214"/>
      <c r="J851" s="222"/>
      <c r="K851" s="223"/>
      <c r="L851" s="223"/>
      <c r="N851" s="217"/>
      <c r="O851" s="77"/>
      <c r="P851" s="77"/>
      <c r="Q851" s="225"/>
    </row>
    <row r="852" ht="15.75" hidden="1" customHeight="1">
      <c r="A852" s="64"/>
      <c r="B852" s="64"/>
      <c r="C852" s="220"/>
      <c r="D852" s="64"/>
      <c r="E852" s="221"/>
      <c r="F852" s="213"/>
      <c r="G852" s="213"/>
      <c r="H852" s="213"/>
      <c r="I852" s="214"/>
      <c r="J852" s="222"/>
      <c r="K852" s="223"/>
      <c r="L852" s="223"/>
      <c r="N852" s="217"/>
      <c r="O852" s="77"/>
      <c r="P852" s="77"/>
      <c r="Q852" s="226"/>
    </row>
    <row r="853" ht="15.75" hidden="1" customHeight="1">
      <c r="A853" s="64"/>
      <c r="B853" s="64"/>
      <c r="C853" s="220"/>
      <c r="D853" s="64"/>
      <c r="E853" s="221"/>
      <c r="F853" s="213"/>
      <c r="G853" s="213"/>
      <c r="H853" s="213"/>
      <c r="I853" s="214"/>
      <c r="J853" s="222"/>
      <c r="K853" s="223"/>
      <c r="L853" s="223"/>
      <c r="N853" s="217"/>
      <c r="O853" s="77"/>
      <c r="P853" s="77"/>
      <c r="Q853" s="226"/>
    </row>
    <row r="854" ht="15.75" hidden="1" customHeight="1">
      <c r="A854" s="64"/>
      <c r="B854" s="64"/>
      <c r="C854" s="220"/>
      <c r="D854" s="64"/>
      <c r="E854" s="221"/>
      <c r="F854" s="213"/>
      <c r="G854" s="213"/>
      <c r="H854" s="213"/>
      <c r="I854" s="214"/>
      <c r="J854" s="222"/>
      <c r="K854" s="223"/>
      <c r="L854" s="223"/>
      <c r="N854" s="217"/>
      <c r="O854" s="77"/>
      <c r="P854" s="77"/>
      <c r="Q854" s="226"/>
    </row>
    <row r="855" ht="15.75" hidden="1" customHeight="1">
      <c r="A855" s="64"/>
      <c r="B855" s="64"/>
      <c r="C855" s="220"/>
      <c r="D855" s="64"/>
      <c r="E855" s="221"/>
      <c r="F855" s="213"/>
      <c r="G855" s="213"/>
      <c r="H855" s="213"/>
      <c r="I855" s="214"/>
      <c r="J855" s="222"/>
      <c r="K855" s="223"/>
      <c r="L855" s="223"/>
      <c r="N855" s="217"/>
      <c r="O855" s="77"/>
      <c r="P855" s="77"/>
      <c r="Q855" s="227"/>
    </row>
    <row r="856" ht="15.75" hidden="1" customHeight="1">
      <c r="A856" s="64"/>
      <c r="B856" s="64"/>
      <c r="C856" s="220"/>
      <c r="D856" s="64"/>
      <c r="E856" s="221"/>
      <c r="F856" s="213"/>
      <c r="G856" s="213"/>
      <c r="H856" s="213"/>
      <c r="I856" s="214"/>
      <c r="J856" s="222"/>
      <c r="K856" s="223"/>
      <c r="L856" s="223"/>
      <c r="N856" s="217"/>
      <c r="O856" s="77"/>
      <c r="P856" s="77"/>
      <c r="Q856" s="226"/>
      <c r="V856" s="140"/>
      <c r="W856" s="140"/>
      <c r="X856" s="140"/>
      <c r="Y856" s="140"/>
      <c r="Z856" s="140"/>
      <c r="AA856" s="140"/>
      <c r="AB856" s="140"/>
      <c r="AC856" s="140"/>
      <c r="AD856" s="140"/>
      <c r="AE856" s="140"/>
      <c r="AF856" s="140"/>
      <c r="AG856" s="140"/>
      <c r="AH856" s="140"/>
    </row>
    <row r="857" ht="15.75" hidden="1" customHeight="1">
      <c r="A857" s="64"/>
      <c r="B857" s="64"/>
      <c r="C857" s="220"/>
      <c r="D857" s="64"/>
      <c r="E857" s="221"/>
      <c r="F857" s="213"/>
      <c r="G857" s="213"/>
      <c r="H857" s="213"/>
      <c r="I857" s="214"/>
      <c r="J857" s="222"/>
      <c r="K857" s="223"/>
      <c r="L857" s="223"/>
      <c r="N857" s="217"/>
      <c r="O857" s="77"/>
      <c r="P857" s="77"/>
      <c r="Q857" s="227"/>
    </row>
    <row r="858" ht="15.75" hidden="1" customHeight="1">
      <c r="A858" s="390"/>
      <c r="B858" s="390"/>
      <c r="C858" s="391"/>
      <c r="D858" s="390"/>
      <c r="E858" s="434"/>
      <c r="F858" s="435"/>
      <c r="G858" s="435"/>
      <c r="H858" s="435"/>
      <c r="I858" s="214"/>
      <c r="J858" s="222"/>
      <c r="K858" s="223"/>
      <c r="L858" s="223"/>
      <c r="M858" s="436"/>
      <c r="N858" s="437"/>
      <c r="O858" s="332"/>
      <c r="P858" s="332"/>
      <c r="Q858" s="226"/>
      <c r="R858" s="259"/>
      <c r="S858" s="259"/>
      <c r="T858" s="259"/>
      <c r="U858" s="259"/>
      <c r="V858" s="259"/>
      <c r="W858" s="259"/>
      <c r="X858" s="259"/>
      <c r="Y858" s="259"/>
      <c r="Z858" s="259"/>
      <c r="AA858" s="259"/>
      <c r="AB858" s="259"/>
      <c r="AC858" s="259"/>
      <c r="AD858" s="259"/>
      <c r="AE858" s="259"/>
      <c r="AF858" s="259"/>
      <c r="AG858" s="259"/>
      <c r="AH858" s="259"/>
    </row>
    <row r="859" ht="15.75" hidden="1" customHeight="1">
      <c r="A859" s="390"/>
      <c r="B859" s="390"/>
      <c r="C859" s="391"/>
      <c r="D859" s="390"/>
      <c r="E859" s="434"/>
      <c r="F859" s="435"/>
      <c r="G859" s="435"/>
      <c r="H859" s="435"/>
      <c r="I859" s="214"/>
      <c r="J859" s="438"/>
      <c r="K859" s="394"/>
      <c r="L859" s="394"/>
      <c r="M859" s="436"/>
      <c r="N859" s="437"/>
      <c r="O859" s="87"/>
      <c r="P859" s="87"/>
      <c r="Q859" s="439"/>
    </row>
    <row r="860" ht="15.75" hidden="1" customHeight="1">
      <c r="A860" s="64"/>
      <c r="B860" s="64"/>
      <c r="C860" s="220"/>
      <c r="D860" s="64"/>
      <c r="E860" s="221"/>
      <c r="F860" s="213"/>
      <c r="G860" s="213"/>
      <c r="H860" s="213"/>
      <c r="I860" s="214"/>
      <c r="J860" s="438"/>
      <c r="K860" s="394"/>
      <c r="L860" s="394"/>
      <c r="N860" s="217"/>
      <c r="O860" s="77"/>
      <c r="P860" s="77"/>
      <c r="Q860" s="439"/>
    </row>
    <row r="861" ht="15.75" hidden="1" customHeight="1">
      <c r="A861" s="390"/>
      <c r="B861" s="390"/>
      <c r="C861" s="391"/>
      <c r="D861" s="390"/>
      <c r="E861" s="434"/>
      <c r="F861" s="435"/>
      <c r="G861" s="435"/>
      <c r="H861" s="435"/>
      <c r="I861" s="214"/>
      <c r="J861" s="222"/>
      <c r="K861" s="223"/>
      <c r="L861" s="223"/>
      <c r="M861" s="436"/>
      <c r="N861" s="437"/>
      <c r="O861" s="332"/>
      <c r="P861" s="332"/>
      <c r="Q861" s="226"/>
    </row>
    <row r="862" ht="15.75" hidden="1" customHeight="1">
      <c r="A862" s="390"/>
      <c r="B862" s="390"/>
      <c r="C862" s="391"/>
      <c r="D862" s="390"/>
      <c r="E862" s="434"/>
      <c r="F862" s="435"/>
      <c r="G862" s="435"/>
      <c r="H862" s="435"/>
      <c r="I862" s="214"/>
      <c r="J862" s="438"/>
      <c r="K862" s="394"/>
      <c r="L862" s="394"/>
      <c r="M862" s="436"/>
      <c r="N862" s="437"/>
      <c r="O862" s="332"/>
      <c r="P862" s="332"/>
      <c r="Q862" s="439"/>
    </row>
    <row r="863" ht="15.75" hidden="1" customHeight="1">
      <c r="A863" s="390"/>
      <c r="B863" s="390"/>
      <c r="C863" s="391"/>
      <c r="D863" s="390"/>
      <c r="E863" s="434"/>
      <c r="F863" s="435"/>
      <c r="G863" s="435"/>
      <c r="H863" s="435"/>
      <c r="I863" s="214"/>
      <c r="J863" s="438"/>
      <c r="K863" s="394"/>
      <c r="L863" s="394"/>
      <c r="M863" s="436"/>
      <c r="N863" s="437"/>
      <c r="O863" s="332"/>
      <c r="P863" s="332"/>
      <c r="Q863" s="439"/>
    </row>
    <row r="864" ht="15.75" hidden="1" customHeight="1">
      <c r="A864" s="64"/>
      <c r="B864" s="64"/>
      <c r="C864" s="220"/>
      <c r="D864" s="64"/>
      <c r="E864" s="221"/>
      <c r="F864" s="213"/>
      <c r="G864" s="213"/>
      <c r="H864" s="213"/>
      <c r="I864" s="214"/>
      <c r="J864" s="438"/>
      <c r="K864" s="394"/>
      <c r="L864" s="394"/>
      <c r="N864" s="217"/>
      <c r="O864" s="87"/>
      <c r="P864" s="87"/>
      <c r="Q864" s="439"/>
    </row>
    <row r="865" ht="15.75" hidden="1" customHeight="1">
      <c r="A865" s="64"/>
      <c r="B865" s="64"/>
      <c r="C865" s="220"/>
      <c r="D865" s="64"/>
      <c r="E865" s="221"/>
      <c r="F865" s="213"/>
      <c r="G865" s="213"/>
      <c r="H865" s="213"/>
      <c r="I865" s="214"/>
      <c r="J865" s="222"/>
      <c r="K865" s="223"/>
      <c r="L865" s="223"/>
      <c r="N865" s="217"/>
      <c r="O865" s="77"/>
      <c r="P865" s="77"/>
      <c r="Q865" s="225"/>
    </row>
    <row r="866" ht="15.75" hidden="1" customHeight="1">
      <c r="A866" s="64"/>
      <c r="B866" s="64"/>
      <c r="C866" s="220"/>
      <c r="D866" s="64"/>
      <c r="E866" s="221"/>
      <c r="F866" s="213"/>
      <c r="G866" s="213"/>
      <c r="H866" s="213"/>
      <c r="I866" s="456"/>
      <c r="J866" s="457"/>
      <c r="K866" s="458"/>
      <c r="L866" s="458"/>
      <c r="N866" s="217"/>
      <c r="O866" s="87"/>
      <c r="P866" s="87"/>
      <c r="Q866" s="226"/>
    </row>
    <row r="867" ht="15.75" hidden="1" customHeight="1">
      <c r="A867" s="390"/>
      <c r="B867" s="390"/>
      <c r="C867" s="391"/>
      <c r="D867" s="390"/>
      <c r="E867" s="434"/>
      <c r="F867" s="435"/>
      <c r="G867" s="435"/>
      <c r="H867" s="435"/>
      <c r="I867" s="214"/>
      <c r="J867" s="215"/>
      <c r="K867" s="216"/>
      <c r="L867" s="216"/>
      <c r="M867" s="436"/>
      <c r="N867" s="437"/>
      <c r="O867" s="332"/>
      <c r="P867" s="332"/>
      <c r="Q867" s="225"/>
    </row>
    <row r="868" ht="15.75" hidden="1" customHeight="1">
      <c r="A868" s="390"/>
      <c r="B868" s="390"/>
      <c r="C868" s="391"/>
      <c r="D868" s="390"/>
      <c r="E868" s="434"/>
      <c r="F868" s="435"/>
      <c r="G868" s="435"/>
      <c r="H868" s="435"/>
      <c r="I868" s="214"/>
      <c r="J868" s="438"/>
      <c r="K868" s="394"/>
      <c r="L868" s="394"/>
      <c r="M868" s="436"/>
      <c r="N868" s="437"/>
      <c r="O868" s="332"/>
      <c r="P868" s="332"/>
      <c r="Q868" s="439"/>
    </row>
    <row r="869" ht="15.75" hidden="1" customHeight="1">
      <c r="A869" s="334"/>
      <c r="B869" s="334"/>
      <c r="C869" s="335"/>
      <c r="D869" s="334"/>
      <c r="E869" s="336"/>
      <c r="F869" s="337"/>
      <c r="G869" s="337"/>
      <c r="H869" s="337"/>
      <c r="I869" s="214"/>
      <c r="J869" s="438"/>
      <c r="K869" s="394"/>
      <c r="L869" s="394"/>
      <c r="M869" s="264"/>
      <c r="N869" s="341"/>
      <c r="O869" s="342"/>
      <c r="P869" s="459"/>
      <c r="Q869" s="439"/>
    </row>
    <row r="870" ht="15.75" hidden="1" customHeight="1">
      <c r="A870" s="64"/>
      <c r="B870" s="64"/>
      <c r="C870" s="220"/>
      <c r="D870" s="64"/>
      <c r="E870" s="221"/>
      <c r="F870" s="213"/>
      <c r="G870" s="213"/>
      <c r="H870" s="213"/>
      <c r="I870" s="214"/>
      <c r="J870" s="338"/>
      <c r="K870" s="339"/>
      <c r="L870" s="339"/>
      <c r="N870" s="217"/>
      <c r="O870" s="77"/>
      <c r="P870" s="77"/>
      <c r="Q870" s="343"/>
    </row>
    <row r="871" ht="15.75" hidden="1" customHeight="1">
      <c r="A871" s="64"/>
      <c r="B871" s="64"/>
      <c r="C871" s="220"/>
      <c r="D871" s="64"/>
      <c r="E871" s="221"/>
      <c r="F871" s="213"/>
      <c r="G871" s="213"/>
      <c r="H871" s="213"/>
      <c r="I871" s="214"/>
      <c r="J871" s="222"/>
      <c r="K871" s="223"/>
      <c r="L871" s="223"/>
      <c r="N871" s="217"/>
      <c r="O871" s="87"/>
      <c r="P871" s="87"/>
      <c r="Q871" s="226"/>
    </row>
    <row r="872" ht="15.75" hidden="1" customHeight="1">
      <c r="A872" s="64"/>
      <c r="B872" s="64"/>
      <c r="C872" s="220"/>
      <c r="D872" s="64"/>
      <c r="E872" s="221"/>
      <c r="F872" s="213"/>
      <c r="G872" s="213"/>
      <c r="H872" s="213"/>
      <c r="I872" s="214"/>
      <c r="J872" s="215"/>
      <c r="K872" s="216"/>
      <c r="L872" s="216"/>
      <c r="N872" s="217"/>
      <c r="O872" s="87"/>
      <c r="P872" s="224"/>
      <c r="Q872" s="225"/>
    </row>
    <row r="873" ht="15.75" hidden="1" customHeight="1">
      <c r="A873" s="64"/>
      <c r="B873" s="64"/>
      <c r="C873" s="220"/>
      <c r="D873" s="64"/>
      <c r="E873" s="221"/>
      <c r="F873" s="213"/>
      <c r="G873" s="213"/>
      <c r="H873" s="213"/>
      <c r="I873" s="214"/>
      <c r="J873" s="222"/>
      <c r="K873" s="223"/>
      <c r="L873" s="223"/>
      <c r="N873" s="217"/>
      <c r="O873" s="77"/>
      <c r="P873" s="77"/>
      <c r="Q873" s="226"/>
      <c r="T873" s="142"/>
      <c r="U873" s="142"/>
    </row>
    <row r="874" ht="15.75" hidden="1" customHeight="1">
      <c r="A874" s="64"/>
      <c r="B874" s="64"/>
      <c r="C874" s="220"/>
      <c r="D874" s="64"/>
      <c r="E874" s="221"/>
      <c r="F874" s="213"/>
      <c r="G874" s="213"/>
      <c r="H874" s="213"/>
      <c r="I874" s="214"/>
      <c r="J874" s="222"/>
      <c r="K874" s="223"/>
      <c r="L874" s="223"/>
      <c r="N874" s="217"/>
      <c r="O874" s="87"/>
      <c r="P874" s="224"/>
      <c r="Q874" s="226"/>
    </row>
    <row r="875" ht="15.75" hidden="1" customHeight="1">
      <c r="A875" s="64"/>
      <c r="B875" s="64"/>
      <c r="C875" s="220"/>
      <c r="D875" s="64"/>
      <c r="E875" s="221"/>
      <c r="F875" s="213"/>
      <c r="G875" s="213"/>
      <c r="H875" s="213"/>
      <c r="I875" s="214"/>
      <c r="J875" s="222"/>
      <c r="K875" s="223"/>
      <c r="L875" s="223"/>
      <c r="N875" s="217"/>
      <c r="O875" s="87"/>
      <c r="P875" s="87"/>
      <c r="Q875" s="226"/>
    </row>
    <row r="876" ht="15.75" hidden="1" customHeight="1">
      <c r="A876" s="64"/>
      <c r="B876" s="64"/>
      <c r="C876" s="220"/>
      <c r="D876" s="64"/>
      <c r="E876" s="221"/>
      <c r="F876" s="213"/>
      <c r="G876" s="213"/>
      <c r="H876" s="213"/>
      <c r="I876" s="214"/>
      <c r="J876" s="222"/>
      <c r="K876" s="223"/>
      <c r="L876" s="223"/>
      <c r="N876" s="217"/>
      <c r="O876" s="87"/>
      <c r="P876" s="224"/>
      <c r="Q876" s="225"/>
    </row>
    <row r="877" ht="15.75" hidden="1" customHeight="1">
      <c r="A877" s="64"/>
      <c r="B877" s="64"/>
      <c r="C877" s="220"/>
      <c r="D877" s="64"/>
      <c r="E877" s="221"/>
      <c r="F877" s="213"/>
      <c r="G877" s="213"/>
      <c r="H877" s="213"/>
      <c r="I877" s="214"/>
      <c r="J877" s="222"/>
      <c r="K877" s="223"/>
      <c r="L877" s="223"/>
      <c r="N877" s="217"/>
      <c r="O877" s="87"/>
      <c r="P877" s="224"/>
      <c r="Q877" s="226"/>
    </row>
    <row r="878" ht="15.75" hidden="1" customHeight="1">
      <c r="A878" s="64"/>
      <c r="B878" s="64"/>
      <c r="C878" s="220"/>
      <c r="D878" s="64"/>
      <c r="E878" s="221"/>
      <c r="F878" s="213"/>
      <c r="G878" s="213"/>
      <c r="H878" s="213"/>
      <c r="I878" s="214"/>
      <c r="J878" s="222"/>
      <c r="K878" s="223"/>
      <c r="L878" s="223"/>
      <c r="N878" s="217"/>
      <c r="O878" s="87"/>
      <c r="P878" s="87"/>
      <c r="Q878" s="226"/>
    </row>
    <row r="879" ht="15.75" hidden="1" customHeight="1">
      <c r="A879" s="64"/>
      <c r="B879" s="64"/>
      <c r="C879" s="220"/>
      <c r="D879" s="64"/>
      <c r="E879" s="221"/>
      <c r="F879" s="213"/>
      <c r="G879" s="213"/>
      <c r="H879" s="213"/>
      <c r="I879" s="214"/>
      <c r="J879" s="222"/>
      <c r="K879" s="223"/>
      <c r="L879" s="223"/>
      <c r="N879" s="217"/>
      <c r="O879" s="87"/>
      <c r="P879" s="87"/>
      <c r="Q879" s="225"/>
    </row>
    <row r="880" ht="15.75" hidden="1" customHeight="1">
      <c r="A880" s="64"/>
      <c r="B880" s="64"/>
      <c r="C880" s="220"/>
      <c r="D880" s="64"/>
      <c r="E880" s="221"/>
      <c r="F880" s="213"/>
      <c r="G880" s="213"/>
      <c r="H880" s="213"/>
      <c r="I880" s="214"/>
      <c r="J880" s="222"/>
      <c r="K880" s="223"/>
      <c r="L880" s="223"/>
      <c r="N880" s="217"/>
      <c r="O880" s="87"/>
      <c r="P880" s="87"/>
      <c r="Q880" s="225"/>
    </row>
    <row r="881" ht="15.75" hidden="1" customHeight="1">
      <c r="A881" s="64"/>
      <c r="B881" s="64"/>
      <c r="C881" s="220"/>
      <c r="D881" s="64"/>
      <c r="E881" s="221"/>
      <c r="F881" s="213"/>
      <c r="G881" s="213"/>
      <c r="H881" s="213"/>
      <c r="I881" s="214"/>
      <c r="J881" s="222"/>
      <c r="K881" s="223"/>
      <c r="L881" s="223"/>
      <c r="N881" s="217"/>
      <c r="O881" s="77"/>
      <c r="P881" s="77"/>
      <c r="Q881" s="225"/>
    </row>
    <row r="882" ht="15.75" hidden="1" customHeight="1">
      <c r="A882" s="64"/>
      <c r="B882" s="87"/>
      <c r="C882" s="220"/>
      <c r="D882" s="64"/>
      <c r="E882" s="221"/>
      <c r="F882" s="213"/>
      <c r="G882" s="213"/>
      <c r="H882" s="213"/>
      <c r="I882" s="214"/>
      <c r="J882" s="222"/>
      <c r="K882" s="223"/>
      <c r="L882" s="223"/>
      <c r="N882" s="217"/>
      <c r="O882" s="77"/>
      <c r="P882" s="77"/>
      <c r="Q882" s="226"/>
    </row>
    <row r="883" ht="15.75" hidden="1" customHeight="1">
      <c r="A883" s="64"/>
      <c r="B883" s="64"/>
      <c r="C883" s="220"/>
      <c r="D883" s="64"/>
      <c r="E883" s="221"/>
      <c r="F883" s="213"/>
      <c r="G883" s="213"/>
      <c r="H883" s="213"/>
      <c r="I883" s="214"/>
      <c r="J883" s="222"/>
      <c r="K883" s="223"/>
      <c r="L883" s="223"/>
      <c r="M883" s="427"/>
      <c r="N883" s="217"/>
      <c r="O883" s="87"/>
      <c r="P883" s="224"/>
      <c r="Q883" s="227"/>
    </row>
    <row r="884" ht="15.75" hidden="1" customHeight="1">
      <c r="A884" s="64"/>
      <c r="B884" s="64"/>
      <c r="C884" s="220"/>
      <c r="D884" s="64"/>
      <c r="E884" s="221"/>
      <c r="F884" s="213"/>
      <c r="G884" s="213"/>
      <c r="H884" s="213"/>
      <c r="I884" s="214"/>
      <c r="J884" s="215"/>
      <c r="K884" s="216"/>
      <c r="L884" s="216"/>
      <c r="M884" s="427"/>
      <c r="N884" s="217"/>
      <c r="O884" s="77"/>
      <c r="P884" s="77"/>
      <c r="Q884" s="226"/>
    </row>
    <row r="885" ht="15.75" hidden="1" customHeight="1">
      <c r="A885" s="140"/>
      <c r="B885" s="82"/>
      <c r="C885" s="230"/>
      <c r="D885" s="301"/>
      <c r="E885" s="310"/>
      <c r="F885" s="213"/>
      <c r="G885" s="213"/>
      <c r="H885" s="213"/>
      <c r="I885" s="214"/>
      <c r="J885" s="215"/>
      <c r="K885" s="216"/>
      <c r="L885" s="216"/>
      <c r="M885" s="217"/>
      <c r="N885" s="217"/>
      <c r="O885" s="320"/>
      <c r="P885" s="321"/>
      <c r="Q885" s="226"/>
    </row>
    <row r="886" ht="15.75" hidden="1" customHeight="1">
      <c r="A886" s="64"/>
      <c r="B886" s="64"/>
      <c r="C886" s="220"/>
      <c r="D886" s="64"/>
      <c r="E886" s="221"/>
      <c r="F886" s="213"/>
      <c r="G886" s="213"/>
      <c r="H886" s="213"/>
      <c r="I886" s="232"/>
      <c r="J886" s="213"/>
      <c r="K886" s="217"/>
      <c r="L886" s="217"/>
      <c r="N886" s="217"/>
      <c r="O886" s="77"/>
      <c r="P886" s="77"/>
      <c r="Q886" s="234"/>
    </row>
    <row r="887" ht="15.75" hidden="1" customHeight="1">
      <c r="A887" s="64"/>
      <c r="B887" s="64"/>
      <c r="C887" s="220"/>
      <c r="D887" s="64"/>
      <c r="E887" s="221"/>
      <c r="F887" s="213"/>
      <c r="G887" s="213"/>
      <c r="H887" s="213"/>
      <c r="I887" s="214"/>
      <c r="J887" s="215"/>
      <c r="K887" s="216"/>
      <c r="L887" s="216"/>
      <c r="N887" s="217"/>
      <c r="O887" s="87"/>
      <c r="P887" s="87"/>
      <c r="Q887" s="227"/>
      <c r="T887" s="350"/>
      <c r="U887" s="350"/>
    </row>
    <row r="888" ht="15.75" hidden="1" customHeight="1">
      <c r="A888" s="64"/>
      <c r="B888" s="64"/>
      <c r="C888" s="220"/>
      <c r="D888" s="64"/>
      <c r="E888" s="221"/>
      <c r="F888" s="213"/>
      <c r="G888" s="213"/>
      <c r="H888" s="213"/>
      <c r="I888" s="214"/>
      <c r="J888" s="222"/>
      <c r="K888" s="223"/>
      <c r="L888" s="223"/>
      <c r="N888" s="217"/>
      <c r="O888" s="87"/>
      <c r="P888" s="87"/>
      <c r="Q888" s="225"/>
    </row>
    <row r="889" ht="15.75" hidden="1" customHeight="1">
      <c r="A889" s="64"/>
      <c r="B889" s="64"/>
      <c r="C889" s="220"/>
      <c r="D889" s="64"/>
      <c r="E889" s="221"/>
      <c r="F889" s="213"/>
      <c r="G889" s="213"/>
      <c r="H889" s="213"/>
      <c r="I889" s="214"/>
      <c r="J889" s="222"/>
      <c r="K889" s="223"/>
      <c r="L889" s="223"/>
      <c r="M889" s="427"/>
      <c r="N889" s="217"/>
      <c r="O889" s="77"/>
      <c r="P889" s="77"/>
      <c r="Q889" s="225"/>
    </row>
    <row r="890" ht="15.75" hidden="1" customHeight="1">
      <c r="A890" s="82"/>
      <c r="B890" s="64"/>
      <c r="C890" s="220"/>
      <c r="D890" s="64"/>
      <c r="E890" s="221"/>
      <c r="F890" s="213"/>
      <c r="G890" s="213"/>
      <c r="H890" s="213"/>
      <c r="I890" s="214"/>
      <c r="J890" s="215"/>
      <c r="K890" s="216"/>
      <c r="L890" s="216"/>
      <c r="M890" s="427"/>
      <c r="N890" s="217"/>
      <c r="O890" s="77"/>
      <c r="P890" s="77"/>
      <c r="Q890" s="226"/>
    </row>
    <row r="891" ht="15.75" hidden="1" customHeight="1">
      <c r="A891" s="82"/>
      <c r="B891" s="64"/>
      <c r="C891" s="220"/>
      <c r="D891" s="64"/>
      <c r="E891" s="221"/>
      <c r="F891" s="213"/>
      <c r="G891" s="213"/>
      <c r="H891" s="213"/>
      <c r="I891" s="214"/>
      <c r="J891" s="215"/>
      <c r="K891" s="216"/>
      <c r="L891" s="216"/>
      <c r="M891" s="427"/>
      <c r="N891" s="217"/>
      <c r="O891" s="77"/>
      <c r="P891" s="77"/>
      <c r="Q891" s="225"/>
    </row>
    <row r="892" ht="15.75" hidden="1" customHeight="1">
      <c r="A892" s="64"/>
      <c r="B892" s="64"/>
      <c r="C892" s="220"/>
      <c r="D892" s="64"/>
      <c r="E892" s="221"/>
      <c r="F892" s="213"/>
      <c r="G892" s="213"/>
      <c r="H892" s="213"/>
      <c r="I892" s="214"/>
      <c r="J892" s="215"/>
      <c r="K892" s="216"/>
      <c r="L892" s="216"/>
      <c r="M892" s="427"/>
      <c r="N892" s="217"/>
      <c r="O892" s="87"/>
      <c r="P892" s="87"/>
      <c r="Q892" s="226"/>
    </row>
    <row r="893" ht="15.75" hidden="1" customHeight="1">
      <c r="A893" s="64"/>
      <c r="B893" s="64"/>
      <c r="C893" s="220"/>
      <c r="D893" s="64"/>
      <c r="E893" s="221"/>
      <c r="F893" s="213"/>
      <c r="G893" s="213"/>
      <c r="H893" s="213"/>
      <c r="I893" s="214"/>
      <c r="J893" s="215"/>
      <c r="K893" s="216"/>
      <c r="L893" s="216"/>
      <c r="N893" s="217"/>
      <c r="O893" s="77"/>
      <c r="P893" s="77"/>
      <c r="Q893" s="227"/>
    </row>
    <row r="894" ht="15.75" hidden="1" customHeight="1">
      <c r="A894" s="64"/>
      <c r="B894" s="64"/>
      <c r="C894" s="220"/>
      <c r="D894" s="64"/>
      <c r="E894" s="221"/>
      <c r="F894" s="213"/>
      <c r="G894" s="213"/>
      <c r="H894" s="213"/>
      <c r="I894" s="214"/>
      <c r="J894" s="222"/>
      <c r="K894" s="223"/>
      <c r="L894" s="223"/>
      <c r="N894" s="217"/>
      <c r="O894" s="77"/>
      <c r="P894" s="77"/>
    </row>
    <row r="895" ht="15.75" hidden="1" customHeight="1">
      <c r="A895" s="64"/>
      <c r="B895" s="64"/>
      <c r="C895" s="220"/>
      <c r="D895" s="64"/>
      <c r="E895" s="221"/>
      <c r="F895" s="213"/>
      <c r="G895" s="213"/>
      <c r="H895" s="213"/>
      <c r="I895" s="214"/>
      <c r="J895" s="222"/>
      <c r="K895" s="223"/>
      <c r="L895" s="223"/>
      <c r="M895" s="427"/>
      <c r="N895" s="217"/>
      <c r="O895" s="87"/>
      <c r="P895" s="224"/>
      <c r="Q895" s="226"/>
    </row>
    <row r="896" ht="15.75" hidden="1" customHeight="1">
      <c r="A896" s="64"/>
      <c r="B896" s="64"/>
      <c r="C896" s="220"/>
      <c r="D896" s="64"/>
      <c r="E896" s="221"/>
      <c r="F896" s="213"/>
      <c r="G896" s="213"/>
      <c r="H896" s="213"/>
      <c r="I896" s="214"/>
      <c r="J896" s="215"/>
      <c r="K896" s="216"/>
      <c r="L896" s="216"/>
      <c r="N896" s="217"/>
      <c r="O896" s="77"/>
      <c r="P896" s="77"/>
      <c r="Q896" s="226"/>
    </row>
    <row r="897" ht="15.75" hidden="1" customHeight="1">
      <c r="A897" s="64"/>
      <c r="B897" s="64"/>
      <c r="C897" s="220"/>
      <c r="D897" s="64"/>
      <c r="E897" s="221"/>
      <c r="F897" s="213"/>
      <c r="G897" s="213"/>
      <c r="H897" s="213"/>
      <c r="I897" s="214"/>
      <c r="J897" s="222"/>
      <c r="K897" s="223"/>
      <c r="L897" s="223"/>
      <c r="N897" s="217"/>
      <c r="O897" s="77"/>
      <c r="P897" s="77"/>
    </row>
    <row r="898" ht="15.75" hidden="1" customHeight="1">
      <c r="A898" s="64"/>
      <c r="B898" s="64"/>
      <c r="C898" s="220"/>
      <c r="D898" s="64"/>
      <c r="E898" s="221"/>
      <c r="F898" s="213"/>
      <c r="G898" s="213"/>
      <c r="H898" s="213"/>
      <c r="I898" s="214"/>
      <c r="J898" s="222"/>
      <c r="K898" s="223"/>
      <c r="L898" s="223"/>
      <c r="N898" s="217"/>
      <c r="O898" s="87"/>
      <c r="P898" s="224"/>
    </row>
    <row r="899" ht="15.75" hidden="1" customHeight="1">
      <c r="A899" s="64"/>
      <c r="B899" s="64"/>
      <c r="C899" s="220"/>
      <c r="D899" s="64"/>
      <c r="E899" s="221"/>
      <c r="F899" s="213"/>
      <c r="G899" s="213"/>
      <c r="H899" s="213"/>
      <c r="I899" s="214"/>
      <c r="J899" s="222"/>
      <c r="K899" s="223"/>
      <c r="L899" s="223"/>
      <c r="M899" s="427"/>
      <c r="N899" s="217"/>
      <c r="O899" s="87"/>
      <c r="P899" s="224"/>
    </row>
    <row r="900" ht="15.75" hidden="1" customHeight="1">
      <c r="A900" s="64"/>
      <c r="B900" s="64"/>
      <c r="C900" s="220"/>
      <c r="D900" s="64"/>
      <c r="E900" s="221"/>
      <c r="F900" s="213"/>
      <c r="G900" s="213"/>
      <c r="H900" s="213"/>
      <c r="I900" s="214"/>
      <c r="J900" s="215"/>
      <c r="K900" s="216"/>
      <c r="L900" s="216"/>
      <c r="M900" s="427"/>
      <c r="N900" s="307"/>
      <c r="O900" s="87"/>
      <c r="P900" s="224"/>
      <c r="Q900" s="226"/>
    </row>
    <row r="901" ht="15.75" hidden="1" customHeight="1">
      <c r="A901" s="64"/>
      <c r="B901" s="64"/>
      <c r="C901" s="220"/>
      <c r="D901" s="64"/>
      <c r="E901" s="221"/>
      <c r="F901" s="213"/>
      <c r="G901" s="213"/>
      <c r="H901" s="213"/>
      <c r="I901" s="214"/>
      <c r="J901" s="215"/>
      <c r="K901" s="216"/>
      <c r="L901" s="216"/>
      <c r="M901" s="427"/>
      <c r="N901" s="217"/>
      <c r="O901" s="77"/>
      <c r="P901" s="77"/>
      <c r="Q901" s="226"/>
      <c r="R901" s="259"/>
      <c r="S901" s="259"/>
      <c r="T901" s="259"/>
      <c r="U901" s="259"/>
      <c r="V901" s="259"/>
      <c r="W901" s="259"/>
      <c r="X901" s="259"/>
      <c r="Y901" s="259"/>
      <c r="Z901" s="259"/>
      <c r="AA901" s="259"/>
      <c r="AB901" s="259"/>
      <c r="AC901" s="259"/>
      <c r="AD901" s="259"/>
      <c r="AE901" s="259"/>
      <c r="AF901" s="259"/>
      <c r="AG901" s="259"/>
      <c r="AH901" s="259"/>
    </row>
    <row r="902" ht="15.75" hidden="1" customHeight="1">
      <c r="A902" s="64"/>
      <c r="B902" s="64"/>
      <c r="C902" s="220"/>
      <c r="D902" s="64"/>
      <c r="E902" s="221"/>
      <c r="F902" s="213"/>
      <c r="G902" s="213"/>
      <c r="H902" s="213"/>
      <c r="I902" s="214"/>
      <c r="J902" s="215"/>
      <c r="K902" s="216"/>
      <c r="L902" s="216"/>
      <c r="N902" s="217"/>
      <c r="O902" s="77"/>
      <c r="P902" s="77"/>
      <c r="Q902" s="226"/>
    </row>
    <row r="903" ht="15.75" hidden="1" customHeight="1">
      <c r="A903" s="64"/>
      <c r="B903" s="64"/>
      <c r="C903" s="220"/>
      <c r="D903" s="64"/>
      <c r="E903" s="221"/>
      <c r="F903" s="213"/>
      <c r="G903" s="213"/>
      <c r="H903" s="213"/>
      <c r="I903" s="214"/>
      <c r="J903" s="215"/>
      <c r="K903" s="216"/>
      <c r="L903" s="216"/>
      <c r="N903" s="217"/>
      <c r="O903" s="77"/>
      <c r="P903" s="77"/>
      <c r="Q903" s="226"/>
    </row>
    <row r="904" ht="15.75" hidden="1" customHeight="1">
      <c r="A904" s="460"/>
      <c r="B904" s="390"/>
      <c r="C904" s="391"/>
      <c r="D904" s="390"/>
      <c r="E904" s="461"/>
      <c r="F904" s="435"/>
      <c r="G904" s="435"/>
      <c r="H904" s="435"/>
      <c r="I904" s="214"/>
      <c r="J904" s="215"/>
      <c r="K904" s="216"/>
      <c r="L904" s="216"/>
      <c r="M904" s="436"/>
      <c r="N904" s="437"/>
      <c r="O904" s="462"/>
      <c r="P904" s="463"/>
      <c r="Q904" s="226"/>
    </row>
    <row r="905" ht="15.75" hidden="1" customHeight="1">
      <c r="A905" s="64"/>
      <c r="B905" s="64"/>
      <c r="C905" s="220"/>
      <c r="D905" s="64"/>
      <c r="E905" s="221"/>
      <c r="F905" s="213"/>
      <c r="G905" s="213"/>
      <c r="H905" s="213"/>
      <c r="I905" s="232"/>
      <c r="J905" s="435"/>
      <c r="K905" s="437"/>
      <c r="L905" s="437"/>
      <c r="N905" s="217"/>
      <c r="O905" s="87"/>
      <c r="P905" s="224"/>
      <c r="Q905" s="464"/>
    </row>
    <row r="906" ht="15.75" hidden="1" customHeight="1">
      <c r="A906" s="64"/>
      <c r="B906" s="64"/>
      <c r="C906" s="220"/>
      <c r="D906" s="64"/>
      <c r="E906" s="221"/>
      <c r="F906" s="213"/>
      <c r="G906" s="213"/>
      <c r="H906" s="213"/>
      <c r="I906" s="214"/>
      <c r="J906" s="222"/>
      <c r="K906" s="64"/>
      <c r="L906" s="64"/>
      <c r="M906" s="427"/>
      <c r="N906" s="217"/>
      <c r="O906" s="77"/>
      <c r="P906" s="77"/>
      <c r="Q906" s="225"/>
    </row>
    <row r="907" ht="15.75" hidden="1" customHeight="1">
      <c r="A907" s="460"/>
      <c r="B907" s="390"/>
      <c r="C907" s="391"/>
      <c r="D907" s="390"/>
      <c r="E907" s="461"/>
      <c r="F907" s="435"/>
      <c r="G907" s="435"/>
      <c r="H907" s="435"/>
      <c r="I907" s="214"/>
      <c r="J907" s="215"/>
      <c r="K907" s="216"/>
      <c r="L907" s="216"/>
      <c r="M907" s="436"/>
      <c r="N907" s="437"/>
      <c r="O907" s="462"/>
      <c r="P907" s="463"/>
      <c r="Q907" s="227"/>
    </row>
    <row r="908" ht="15.75" hidden="1" customHeight="1">
      <c r="A908" s="64"/>
      <c r="B908" s="64"/>
      <c r="C908" s="220"/>
      <c r="D908" s="64"/>
      <c r="E908" s="221"/>
      <c r="F908" s="213"/>
      <c r="G908" s="213"/>
      <c r="H908" s="213"/>
      <c r="I908" s="232"/>
      <c r="J908" s="435"/>
      <c r="K908" s="437"/>
      <c r="L908" s="437"/>
      <c r="M908" s="427"/>
      <c r="N908" s="217"/>
      <c r="O908" s="77"/>
      <c r="P908" s="77"/>
      <c r="Q908" s="464"/>
    </row>
    <row r="909" ht="15.75" hidden="1" customHeight="1">
      <c r="A909" s="64"/>
      <c r="B909" s="64"/>
      <c r="C909" s="220"/>
      <c r="D909" s="64"/>
      <c r="E909" s="221"/>
      <c r="F909" s="213"/>
      <c r="G909" s="213"/>
      <c r="H909" s="213"/>
      <c r="I909" s="214"/>
      <c r="J909" s="215"/>
      <c r="K909" s="216"/>
      <c r="L909" s="216"/>
      <c r="M909" s="427"/>
      <c r="N909" s="217"/>
      <c r="O909" s="87"/>
      <c r="P909" s="224"/>
      <c r="Q909" s="227"/>
    </row>
    <row r="910" ht="15.75" hidden="1" customHeight="1">
      <c r="A910" s="465"/>
      <c r="B910" s="390"/>
      <c r="C910" s="391"/>
      <c r="D910" s="390"/>
      <c r="E910" s="461"/>
      <c r="F910" s="435"/>
      <c r="G910" s="435"/>
      <c r="H910" s="435"/>
      <c r="I910" s="214"/>
      <c r="J910" s="215"/>
      <c r="K910" s="216"/>
      <c r="L910" s="216"/>
      <c r="M910" s="436"/>
      <c r="N910" s="437"/>
      <c r="O910" s="462"/>
      <c r="P910" s="463"/>
      <c r="Q910" s="227"/>
    </row>
    <row r="911" ht="15.75" hidden="1" customHeight="1">
      <c r="A911" s="64"/>
      <c r="B911" s="64"/>
      <c r="C911" s="220"/>
      <c r="D911" s="64"/>
      <c r="E911" s="221"/>
      <c r="F911" s="213"/>
      <c r="G911" s="213"/>
      <c r="H911" s="213"/>
      <c r="I911" s="232"/>
      <c r="J911" s="435"/>
      <c r="K911" s="437"/>
      <c r="L911" s="437"/>
      <c r="N911" s="217"/>
      <c r="O911" s="87"/>
      <c r="P911" s="224"/>
      <c r="Q911" s="464"/>
    </row>
    <row r="912" ht="15.75" hidden="1" customHeight="1">
      <c r="A912" s="64"/>
      <c r="B912" s="64"/>
      <c r="C912" s="220"/>
      <c r="D912" s="64"/>
      <c r="E912" s="221"/>
      <c r="F912" s="213"/>
      <c r="G912" s="213"/>
      <c r="H912" s="213"/>
      <c r="I912" s="214"/>
      <c r="J912" s="222"/>
      <c r="K912" s="64"/>
      <c r="L912" s="64"/>
      <c r="M912" s="427"/>
      <c r="N912" s="217"/>
      <c r="O912" s="87"/>
      <c r="P912" s="224"/>
      <c r="Q912" s="225"/>
    </row>
    <row r="913" ht="15.75" hidden="1" customHeight="1">
      <c r="A913" s="64"/>
      <c r="B913" s="64"/>
      <c r="C913" s="220"/>
      <c r="D913" s="64"/>
      <c r="E913" s="221"/>
      <c r="F913" s="213"/>
      <c r="G913" s="213"/>
      <c r="H913" s="213"/>
      <c r="I913" s="214"/>
      <c r="J913" s="215"/>
      <c r="K913" s="216"/>
      <c r="L913" s="216"/>
      <c r="N913" s="217"/>
      <c r="O913" s="87"/>
      <c r="P913" s="87"/>
      <c r="Q913" s="254"/>
    </row>
    <row r="914" ht="15.75" hidden="1" customHeight="1">
      <c r="A914" s="64"/>
      <c r="B914" s="64"/>
      <c r="C914" s="220"/>
      <c r="D914" s="64"/>
      <c r="E914" s="221"/>
      <c r="F914" s="213"/>
      <c r="G914" s="213"/>
      <c r="H914" s="213"/>
      <c r="I914" s="214"/>
      <c r="J914" s="222"/>
      <c r="K914" s="223"/>
      <c r="L914" s="223"/>
      <c r="N914" s="217"/>
      <c r="O914" s="87"/>
      <c r="P914" s="87"/>
      <c r="Q914" s="225"/>
    </row>
    <row r="915" ht="15.75" hidden="1" customHeight="1">
      <c r="A915" s="64"/>
      <c r="B915" s="64"/>
      <c r="C915" s="220"/>
      <c r="D915" s="64"/>
      <c r="E915" s="221"/>
      <c r="F915" s="213"/>
      <c r="G915" s="213"/>
      <c r="H915" s="213"/>
      <c r="I915" s="214"/>
      <c r="J915" s="222"/>
      <c r="K915" s="64"/>
      <c r="L915" s="64"/>
      <c r="N915" s="217"/>
      <c r="O915" s="87"/>
      <c r="P915" s="224"/>
    </row>
    <row r="916" ht="15.75" hidden="1" customHeight="1">
      <c r="A916" s="64"/>
      <c r="B916" s="64"/>
      <c r="C916" s="220"/>
      <c r="D916" s="64"/>
      <c r="E916" s="221"/>
      <c r="F916" s="213"/>
      <c r="G916" s="213"/>
      <c r="H916" s="213"/>
      <c r="I916" s="214"/>
      <c r="J916" s="222"/>
      <c r="K916" s="64"/>
      <c r="L916" s="64"/>
      <c r="M916" s="427"/>
      <c r="N916" s="217"/>
      <c r="O916" s="77"/>
      <c r="P916" s="77"/>
      <c r="Q916" s="227"/>
    </row>
    <row r="917" ht="15.75" hidden="1" customHeight="1">
      <c r="A917" s="64"/>
      <c r="B917" s="64"/>
      <c r="C917" s="220"/>
      <c r="D917" s="64"/>
      <c r="E917" s="221"/>
      <c r="F917" s="213"/>
      <c r="G917" s="213"/>
      <c r="H917" s="213"/>
      <c r="I917" s="214"/>
      <c r="J917" s="215"/>
      <c r="K917" s="216"/>
      <c r="L917" s="216"/>
      <c r="M917" s="427"/>
      <c r="N917" s="217"/>
      <c r="O917" s="77"/>
      <c r="P917" s="77"/>
      <c r="Q917" s="227"/>
    </row>
    <row r="918" ht="15.75" hidden="1" customHeight="1">
      <c r="A918" s="64"/>
      <c r="B918" s="64"/>
      <c r="C918" s="220"/>
      <c r="D918" s="64"/>
      <c r="E918" s="221"/>
      <c r="F918" s="213"/>
      <c r="G918" s="213"/>
      <c r="H918" s="213"/>
      <c r="I918" s="214"/>
      <c r="J918" s="215"/>
      <c r="K918" s="216"/>
      <c r="L918" s="216"/>
      <c r="N918" s="217"/>
      <c r="O918" s="77"/>
      <c r="P918" s="77"/>
      <c r="Q918" s="226"/>
    </row>
    <row r="919" ht="15.75" hidden="1" customHeight="1">
      <c r="A919" s="64"/>
      <c r="B919" s="64"/>
      <c r="C919" s="220"/>
      <c r="D919" s="64"/>
      <c r="E919" s="221"/>
      <c r="F919" s="213"/>
      <c r="G919" s="213"/>
      <c r="H919" s="213"/>
      <c r="I919" s="466"/>
      <c r="J919" s="467"/>
      <c r="K919" s="468"/>
      <c r="L919" s="468"/>
      <c r="M919" s="427"/>
      <c r="N919" s="217"/>
      <c r="O919" s="87"/>
      <c r="P919" s="87"/>
      <c r="Q919" s="225"/>
    </row>
    <row r="920" ht="15.75" hidden="1" customHeight="1">
      <c r="A920" s="64"/>
      <c r="B920" s="64"/>
      <c r="C920" s="220"/>
      <c r="D920" s="64"/>
      <c r="E920" s="221"/>
      <c r="F920" s="213"/>
      <c r="G920" s="213"/>
      <c r="H920" s="213"/>
      <c r="I920" s="214"/>
      <c r="J920" s="215"/>
      <c r="K920" s="216"/>
      <c r="L920" s="216"/>
      <c r="M920" s="427"/>
      <c r="N920" s="217"/>
      <c r="O920" s="77"/>
      <c r="P920" s="77"/>
      <c r="Q920" s="226"/>
    </row>
    <row r="921" ht="15.75" hidden="1" customHeight="1">
      <c r="A921" s="64"/>
      <c r="B921" s="64"/>
      <c r="C921" s="220"/>
      <c r="D921" s="64"/>
      <c r="E921" s="221"/>
      <c r="F921" s="213"/>
      <c r="G921" s="213"/>
      <c r="H921" s="213"/>
      <c r="I921" s="214"/>
      <c r="J921" s="215"/>
      <c r="K921" s="216"/>
      <c r="L921" s="216"/>
      <c r="M921" s="427"/>
      <c r="N921" s="217"/>
      <c r="O921" s="87"/>
      <c r="P921" s="87"/>
      <c r="Q921" s="227"/>
    </row>
    <row r="922" ht="15.75" hidden="1" customHeight="1">
      <c r="A922" s="64"/>
      <c r="B922" s="64"/>
      <c r="C922" s="220"/>
      <c r="D922" s="64"/>
      <c r="E922" s="221"/>
      <c r="F922" s="213"/>
      <c r="G922" s="213"/>
      <c r="H922" s="213"/>
      <c r="I922" s="214"/>
      <c r="J922" s="215"/>
      <c r="K922" s="216"/>
      <c r="L922" s="216"/>
      <c r="M922" s="427"/>
      <c r="N922" s="217"/>
      <c r="O922" s="77"/>
      <c r="P922" s="77"/>
      <c r="Q922" s="226"/>
    </row>
    <row r="923" ht="15.75" hidden="1" customHeight="1">
      <c r="A923" s="64"/>
      <c r="B923" s="64"/>
      <c r="C923" s="220"/>
      <c r="D923" s="64"/>
      <c r="E923" s="221"/>
      <c r="F923" s="213"/>
      <c r="G923" s="213"/>
      <c r="H923" s="213"/>
      <c r="I923" s="214"/>
      <c r="J923" s="215"/>
      <c r="K923" s="216"/>
      <c r="L923" s="216"/>
      <c r="M923" s="427"/>
      <c r="N923" s="217"/>
      <c r="O923" s="87"/>
      <c r="P923" s="87"/>
      <c r="Q923" s="225"/>
    </row>
    <row r="924" ht="15.75" hidden="1" customHeight="1">
      <c r="A924" s="64"/>
      <c r="B924" s="64"/>
      <c r="C924" s="220"/>
      <c r="D924" s="64"/>
      <c r="E924" s="221"/>
      <c r="F924" s="213"/>
      <c r="G924" s="213"/>
      <c r="H924" s="213"/>
      <c r="I924" s="214"/>
      <c r="J924" s="215"/>
      <c r="K924" s="216"/>
      <c r="L924" s="216"/>
      <c r="M924" s="427"/>
      <c r="N924" s="217"/>
      <c r="O924" s="77"/>
      <c r="P924" s="77"/>
      <c r="Q924" s="226"/>
    </row>
    <row r="925" ht="15.75" hidden="1" customHeight="1">
      <c r="A925" s="64"/>
      <c r="B925" s="64"/>
      <c r="C925" s="220"/>
      <c r="D925" s="64"/>
      <c r="E925" s="221"/>
      <c r="F925" s="213"/>
      <c r="G925" s="213"/>
      <c r="H925" s="213"/>
      <c r="I925" s="214"/>
      <c r="J925" s="215"/>
      <c r="K925" s="216"/>
      <c r="L925" s="216"/>
      <c r="M925" s="427"/>
      <c r="N925" s="217"/>
      <c r="O925" s="87"/>
      <c r="P925" s="87"/>
      <c r="Q925" s="225"/>
    </row>
    <row r="926" ht="15.75" hidden="1" customHeight="1">
      <c r="A926" s="64"/>
      <c r="B926" s="64"/>
      <c r="C926" s="220"/>
      <c r="D926" s="64"/>
      <c r="E926" s="221"/>
      <c r="F926" s="213"/>
      <c r="G926" s="213"/>
      <c r="H926" s="213"/>
      <c r="I926" s="214"/>
      <c r="J926" s="215"/>
      <c r="K926" s="216"/>
      <c r="L926" s="216"/>
      <c r="M926" s="427"/>
      <c r="N926" s="217"/>
      <c r="O926" s="87"/>
      <c r="P926" s="87"/>
      <c r="Q926" s="225"/>
    </row>
    <row r="927" ht="15.75" hidden="1" customHeight="1">
      <c r="A927" s="64"/>
      <c r="B927" s="64"/>
      <c r="C927" s="220"/>
      <c r="D927" s="64"/>
      <c r="E927" s="221"/>
      <c r="F927" s="213"/>
      <c r="G927" s="213"/>
      <c r="H927" s="213"/>
      <c r="I927" s="214"/>
      <c r="J927" s="215"/>
      <c r="K927" s="216"/>
      <c r="L927" s="216"/>
      <c r="M927" s="427"/>
      <c r="N927" s="217"/>
      <c r="O927" s="77"/>
      <c r="P927" s="77"/>
      <c r="Q927" s="225"/>
    </row>
    <row r="928" ht="15.75" hidden="1" customHeight="1">
      <c r="A928" s="64"/>
      <c r="B928" s="64"/>
      <c r="C928" s="220"/>
      <c r="D928" s="64"/>
      <c r="E928" s="221"/>
      <c r="F928" s="213"/>
      <c r="G928" s="213"/>
      <c r="H928" s="213"/>
      <c r="I928" s="214"/>
      <c r="J928" s="215"/>
      <c r="K928" s="216"/>
      <c r="L928" s="216"/>
      <c r="M928" s="427"/>
      <c r="N928" s="217"/>
      <c r="O928" s="87"/>
      <c r="P928" s="87"/>
      <c r="Q928" s="225"/>
    </row>
    <row r="929" ht="15.75" hidden="1" customHeight="1">
      <c r="A929" s="64"/>
      <c r="B929" s="64"/>
      <c r="C929" s="220"/>
      <c r="D929" s="64"/>
      <c r="E929" s="221"/>
      <c r="F929" s="213"/>
      <c r="G929" s="213"/>
      <c r="H929" s="213"/>
      <c r="I929" s="214"/>
      <c r="J929" s="215"/>
      <c r="K929" s="216"/>
      <c r="L929" s="216"/>
      <c r="M929" s="427"/>
      <c r="N929" s="217"/>
      <c r="O929" s="87"/>
      <c r="P929" s="87"/>
      <c r="Q929" s="225"/>
    </row>
    <row r="930" ht="15.75" hidden="1" customHeight="1">
      <c r="A930" s="64"/>
      <c r="B930" s="64"/>
      <c r="C930" s="220"/>
      <c r="D930" s="64"/>
      <c r="E930" s="221"/>
      <c r="F930" s="213"/>
      <c r="G930" s="213"/>
      <c r="H930" s="213"/>
      <c r="I930" s="214"/>
      <c r="J930" s="215"/>
      <c r="K930" s="216"/>
      <c r="L930" s="216"/>
      <c r="M930" s="427"/>
      <c r="N930" s="217"/>
      <c r="O930" s="87"/>
      <c r="P930" s="87"/>
      <c r="Q930" s="225"/>
    </row>
    <row r="931" ht="15.75" hidden="1" customHeight="1">
      <c r="A931" s="64"/>
      <c r="B931" s="64"/>
      <c r="C931" s="220"/>
      <c r="D931" s="64"/>
      <c r="E931" s="221"/>
      <c r="F931" s="213"/>
      <c r="G931" s="213"/>
      <c r="H931" s="213"/>
      <c r="I931" s="214"/>
      <c r="J931" s="215"/>
      <c r="K931" s="216"/>
      <c r="L931" s="216"/>
      <c r="M931" s="427"/>
      <c r="N931" s="217"/>
      <c r="O931" s="87"/>
      <c r="P931" s="87"/>
      <c r="Q931" s="225"/>
    </row>
    <row r="932" ht="15.75" hidden="1" customHeight="1">
      <c r="A932" s="64"/>
      <c r="B932" s="64"/>
      <c r="C932" s="220"/>
      <c r="D932" s="64"/>
      <c r="E932" s="221"/>
      <c r="F932" s="213"/>
      <c r="G932" s="213"/>
      <c r="H932" s="213"/>
      <c r="I932" s="214"/>
      <c r="J932" s="215"/>
      <c r="K932" s="216"/>
      <c r="L932" s="216"/>
      <c r="M932" s="427"/>
      <c r="N932" s="217"/>
      <c r="O932" s="87"/>
      <c r="P932" s="87"/>
      <c r="Q932" s="225"/>
    </row>
    <row r="933" ht="15.75" hidden="1" customHeight="1">
      <c r="A933" s="64"/>
      <c r="B933" s="64"/>
      <c r="C933" s="220"/>
      <c r="D933" s="64"/>
      <c r="E933" s="221"/>
      <c r="F933" s="213"/>
      <c r="G933" s="213"/>
      <c r="H933" s="213"/>
      <c r="I933" s="214"/>
      <c r="J933" s="215"/>
      <c r="K933" s="216"/>
      <c r="L933" s="216"/>
      <c r="M933" s="427"/>
      <c r="N933" s="217"/>
      <c r="O933" s="87"/>
      <c r="P933" s="87"/>
      <c r="Q933" s="225"/>
    </row>
    <row r="934" ht="15.75" hidden="1" customHeight="1">
      <c r="A934" s="35"/>
      <c r="B934" s="64"/>
      <c r="C934" s="220"/>
      <c r="D934" s="64"/>
      <c r="E934" s="297"/>
      <c r="F934" s="213"/>
      <c r="G934" s="213"/>
      <c r="H934" s="213"/>
      <c r="I934" s="214"/>
      <c r="J934" s="215"/>
      <c r="K934" s="216"/>
      <c r="L934" s="216"/>
      <c r="M934" s="469"/>
      <c r="N934" s="217"/>
      <c r="O934" s="87"/>
      <c r="P934" s="470"/>
      <c r="Q934" s="225"/>
    </row>
    <row r="935" ht="15.75" hidden="1" customHeight="1">
      <c r="A935" s="35"/>
      <c r="B935" s="104"/>
      <c r="C935" s="220"/>
      <c r="D935" s="64"/>
      <c r="E935" s="297"/>
      <c r="F935" s="213"/>
      <c r="G935" s="213"/>
      <c r="H935" s="213"/>
      <c r="I935" s="214"/>
      <c r="J935" s="215"/>
      <c r="K935" s="216"/>
      <c r="L935" s="471"/>
      <c r="M935" s="472"/>
      <c r="N935" s="217"/>
      <c r="O935" s="77"/>
      <c r="P935" s="473"/>
      <c r="Q935" s="404"/>
    </row>
    <row r="936" ht="15.75" hidden="1" customHeight="1">
      <c r="A936" s="35"/>
      <c r="B936" s="64"/>
      <c r="C936" s="220"/>
      <c r="D936" s="64"/>
      <c r="E936" s="297"/>
      <c r="F936" s="213"/>
      <c r="G936" s="213"/>
      <c r="H936" s="213"/>
      <c r="I936" s="214"/>
      <c r="J936" s="222"/>
      <c r="K936" s="223"/>
      <c r="L936" s="50"/>
      <c r="M936" s="469"/>
      <c r="N936" s="217"/>
      <c r="O936" s="87"/>
      <c r="P936" s="470"/>
      <c r="Q936" s="474"/>
    </row>
    <row r="937" ht="15.75" hidden="1" customHeight="1">
      <c r="A937" s="35"/>
      <c r="B937" s="64"/>
      <c r="C937" s="220"/>
      <c r="D937" s="64"/>
      <c r="E937" s="297"/>
      <c r="F937" s="213"/>
      <c r="G937" s="213"/>
      <c r="H937" s="213"/>
      <c r="I937" s="214"/>
      <c r="J937" s="215"/>
      <c r="K937" s="216"/>
      <c r="L937" s="471"/>
      <c r="M937" s="469"/>
      <c r="N937" s="341"/>
      <c r="O937" s="87"/>
      <c r="P937" s="470"/>
      <c r="Q937" s="404"/>
    </row>
    <row r="938" ht="15.75" hidden="1" customHeight="1">
      <c r="A938" s="64"/>
      <c r="B938" s="64"/>
      <c r="C938" s="220"/>
      <c r="D938" s="64"/>
      <c r="E938" s="221"/>
      <c r="F938" s="213"/>
      <c r="G938" s="213"/>
      <c r="H938" s="213"/>
      <c r="I938" s="214"/>
      <c r="J938" s="215"/>
      <c r="K938" s="216"/>
      <c r="L938" s="471"/>
      <c r="M938" s="427"/>
      <c r="N938" s="341"/>
      <c r="O938" s="87"/>
      <c r="P938" s="87"/>
      <c r="Q938" s="404"/>
    </row>
    <row r="939" ht="15.75" hidden="1" customHeight="1">
      <c r="A939" s="64"/>
      <c r="B939" s="64"/>
      <c r="C939" s="220"/>
      <c r="D939" s="64"/>
      <c r="E939" s="221"/>
      <c r="F939" s="213"/>
      <c r="G939" s="213"/>
      <c r="H939" s="213"/>
      <c r="I939" s="214"/>
      <c r="J939" s="215"/>
      <c r="K939" s="216"/>
      <c r="L939" s="216"/>
      <c r="M939" s="427"/>
      <c r="N939" s="341"/>
      <c r="O939" s="87"/>
      <c r="P939" s="470"/>
      <c r="Q939" s="225"/>
    </row>
    <row r="940" ht="15.75" hidden="1" customHeight="1">
      <c r="A940" s="64"/>
      <c r="B940" s="64"/>
      <c r="C940" s="220"/>
      <c r="D940" s="64"/>
      <c r="E940" s="221"/>
      <c r="F940" s="213"/>
      <c r="G940" s="213"/>
      <c r="H940" s="213"/>
      <c r="I940" s="214"/>
      <c r="J940" s="215"/>
      <c r="K940" s="216"/>
      <c r="L940" s="216"/>
      <c r="M940" s="427"/>
      <c r="N940" s="341"/>
      <c r="O940" s="87"/>
      <c r="P940" s="87"/>
      <c r="Q940" s="225"/>
    </row>
    <row r="941" ht="15.75" hidden="1" customHeight="1">
      <c r="A941" s="64"/>
      <c r="B941" s="64"/>
      <c r="C941" s="220"/>
      <c r="D941" s="64"/>
      <c r="E941" s="221"/>
      <c r="F941" s="213"/>
      <c r="G941" s="213"/>
      <c r="H941" s="213"/>
      <c r="I941" s="214"/>
      <c r="J941" s="215"/>
      <c r="K941" s="216"/>
      <c r="L941" s="216"/>
      <c r="M941" s="427"/>
      <c r="N941" s="217"/>
      <c r="O941" s="87"/>
      <c r="P941" s="87"/>
      <c r="Q941" s="225"/>
    </row>
    <row r="942" ht="15.75" hidden="1" customHeight="1">
      <c r="A942" s="64"/>
      <c r="B942" s="64"/>
      <c r="C942" s="220"/>
      <c r="D942" s="64"/>
      <c r="E942" s="221"/>
      <c r="F942" s="213"/>
      <c r="G942" s="213"/>
      <c r="H942" s="213"/>
      <c r="I942" s="214"/>
      <c r="J942" s="215"/>
      <c r="K942" s="216"/>
      <c r="L942" s="216"/>
      <c r="M942" s="32"/>
      <c r="N942" s="217"/>
      <c r="O942" s="87"/>
      <c r="P942" s="87"/>
      <c r="Q942" s="225"/>
      <c r="R942" s="265"/>
      <c r="S942" s="265"/>
      <c r="T942" s="265"/>
      <c r="U942" s="265"/>
      <c r="V942" s="265"/>
      <c r="W942" s="265"/>
      <c r="X942" s="265"/>
      <c r="Y942" s="265"/>
      <c r="Z942" s="265"/>
      <c r="AA942" s="265"/>
      <c r="AB942" s="265"/>
      <c r="AC942" s="265"/>
      <c r="AD942" s="265"/>
      <c r="AE942" s="265"/>
      <c r="AF942" s="265"/>
      <c r="AG942" s="265"/>
      <c r="AH942" s="265"/>
    </row>
    <row r="943" ht="15.75" hidden="1" customHeight="1">
      <c r="A943" s="64"/>
      <c r="B943" s="64"/>
      <c r="C943" s="220"/>
      <c r="D943" s="64"/>
      <c r="E943" s="221"/>
      <c r="F943" s="213"/>
      <c r="G943" s="213"/>
      <c r="H943" s="213"/>
      <c r="I943" s="214"/>
      <c r="J943" s="222"/>
      <c r="K943" s="223"/>
      <c r="L943" s="223"/>
      <c r="M943" s="427"/>
      <c r="N943" s="217"/>
      <c r="O943" s="87"/>
      <c r="P943" s="87"/>
      <c r="Q943" s="226"/>
      <c r="R943" s="265"/>
      <c r="S943" s="265"/>
      <c r="T943" s="371"/>
      <c r="U943" s="265"/>
      <c r="V943" s="265"/>
      <c r="W943" s="265"/>
      <c r="X943" s="265"/>
      <c r="Y943" s="265"/>
      <c r="Z943" s="265"/>
      <c r="AA943" s="265"/>
      <c r="AB943" s="265"/>
      <c r="AC943" s="265"/>
      <c r="AD943" s="265"/>
      <c r="AE943" s="265"/>
      <c r="AF943" s="265"/>
      <c r="AG943" s="265"/>
      <c r="AH943" s="265"/>
    </row>
    <row r="944" ht="15.75" hidden="1" customHeight="1">
      <c r="A944" s="64"/>
      <c r="B944" s="64"/>
      <c r="C944" s="220"/>
      <c r="D944" s="64"/>
      <c r="E944" s="221"/>
      <c r="F944" s="213"/>
      <c r="G944" s="213"/>
      <c r="H944" s="213"/>
      <c r="I944" s="214"/>
      <c r="J944" s="215"/>
      <c r="K944" s="216"/>
      <c r="L944" s="216"/>
      <c r="M944" s="427"/>
      <c r="N944" s="217"/>
      <c r="O944" s="87"/>
      <c r="P944" s="87"/>
      <c r="Q944" s="225"/>
      <c r="R944" s="265"/>
      <c r="S944" s="265"/>
      <c r="T944" s="265"/>
      <c r="U944" s="265"/>
      <c r="V944" s="265"/>
      <c r="W944" s="265"/>
      <c r="X944" s="265"/>
      <c r="Y944" s="265"/>
      <c r="Z944" s="265"/>
      <c r="AA944" s="265"/>
      <c r="AB944" s="265"/>
      <c r="AC944" s="265"/>
      <c r="AD944" s="265"/>
      <c r="AE944" s="265"/>
      <c r="AF944" s="265"/>
      <c r="AG944" s="265"/>
      <c r="AH944" s="265"/>
    </row>
    <row r="945" ht="15.75" hidden="1" customHeight="1">
      <c r="A945" s="64"/>
      <c r="B945" s="64"/>
      <c r="C945" s="220"/>
      <c r="D945" s="64"/>
      <c r="E945" s="221"/>
      <c r="F945" s="213"/>
      <c r="G945" s="213"/>
      <c r="H945" s="213"/>
      <c r="I945" s="214"/>
      <c r="J945" s="215"/>
      <c r="K945" s="216"/>
      <c r="L945" s="216"/>
      <c r="M945" s="427"/>
      <c r="N945" s="341"/>
      <c r="O945" s="87"/>
      <c r="P945" s="87"/>
      <c r="Q945" s="225"/>
    </row>
    <row r="946" ht="15.75" hidden="1" customHeight="1">
      <c r="A946" s="64"/>
      <c r="B946" s="64"/>
      <c r="C946" s="220"/>
      <c r="D946" s="64"/>
      <c r="E946" s="221"/>
      <c r="F946" s="213"/>
      <c r="G946" s="213"/>
      <c r="H946" s="213"/>
      <c r="I946" s="214"/>
      <c r="J946" s="222"/>
      <c r="K946" s="223"/>
      <c r="L946" s="223"/>
      <c r="M946" s="427"/>
      <c r="N946" s="341"/>
      <c r="O946" s="87"/>
      <c r="P946" s="87"/>
      <c r="Q946" s="225"/>
    </row>
    <row r="947" ht="15.75" hidden="1" customHeight="1">
      <c r="A947" s="64"/>
      <c r="B947" s="64"/>
      <c r="C947" s="220"/>
      <c r="D947" s="64"/>
      <c r="E947" s="221"/>
      <c r="F947" s="213"/>
      <c r="G947" s="213"/>
      <c r="H947" s="213"/>
      <c r="I947" s="214"/>
      <c r="J947" s="215"/>
      <c r="K947" s="216"/>
      <c r="L947" s="216"/>
      <c r="M947" s="427"/>
      <c r="N947" s="341"/>
      <c r="O947" s="87"/>
      <c r="P947" s="87"/>
      <c r="Q947" s="225"/>
      <c r="R947" s="265"/>
      <c r="S947" s="265"/>
      <c r="T947" s="265"/>
      <c r="U947" s="265"/>
      <c r="V947" s="265"/>
      <c r="W947" s="265"/>
      <c r="X947" s="265"/>
      <c r="Y947" s="265"/>
      <c r="Z947" s="265"/>
      <c r="AA947" s="265"/>
      <c r="AB947" s="265"/>
      <c r="AC947" s="265"/>
      <c r="AD947" s="265"/>
      <c r="AE947" s="265"/>
      <c r="AF947" s="265"/>
      <c r="AG947" s="265"/>
      <c r="AH947" s="265"/>
    </row>
    <row r="948" ht="15.75" hidden="1" customHeight="1">
      <c r="A948" s="64"/>
      <c r="B948" s="64"/>
      <c r="C948" s="220"/>
      <c r="D948" s="64"/>
      <c r="E948" s="221"/>
      <c r="F948" s="213"/>
      <c r="G948" s="213"/>
      <c r="H948" s="213"/>
      <c r="I948" s="214"/>
      <c r="J948" s="215"/>
      <c r="K948" s="216"/>
      <c r="L948" s="216"/>
      <c r="M948" s="427"/>
      <c r="N948" s="341"/>
      <c r="O948" s="87"/>
      <c r="P948" s="87"/>
      <c r="Q948" s="225"/>
    </row>
    <row r="949" ht="15.75" hidden="1" customHeight="1">
      <c r="A949" s="64"/>
      <c r="B949" s="64"/>
      <c r="C949" s="220"/>
      <c r="D949" s="64"/>
      <c r="E949" s="221"/>
      <c r="F949" s="213"/>
      <c r="G949" s="213"/>
      <c r="H949" s="213"/>
      <c r="I949" s="214"/>
      <c r="J949" s="222"/>
      <c r="K949" s="223"/>
      <c r="L949" s="223"/>
      <c r="M949" s="427"/>
      <c r="N949" s="341"/>
      <c r="O949" s="87"/>
      <c r="P949" s="87"/>
      <c r="Q949" s="225"/>
    </row>
    <row r="950" ht="15.75" hidden="1" customHeight="1">
      <c r="A950" s="82"/>
      <c r="B950" s="64"/>
      <c r="C950" s="220"/>
      <c r="D950" s="64"/>
      <c r="E950" s="310"/>
      <c r="F950" s="213"/>
      <c r="G950" s="213"/>
      <c r="H950" s="213"/>
      <c r="I950" s="214"/>
      <c r="J950" s="222"/>
      <c r="K950" s="223"/>
      <c r="L950" s="223"/>
      <c r="M950" s="269"/>
      <c r="N950" s="217"/>
      <c r="O950" s="311"/>
      <c r="P950" s="82"/>
      <c r="Q950" s="225"/>
    </row>
    <row r="951" ht="15.75" hidden="1" customHeight="1">
      <c r="A951" s="64"/>
      <c r="B951" s="64"/>
      <c r="C951" s="220"/>
      <c r="D951" s="64"/>
      <c r="E951" s="221"/>
      <c r="F951" s="213"/>
      <c r="G951" s="213"/>
      <c r="H951" s="213"/>
      <c r="I951" s="232"/>
      <c r="J951" s="213"/>
      <c r="K951" s="217"/>
      <c r="L951" s="217"/>
      <c r="N951" s="217"/>
      <c r="O951" s="77"/>
      <c r="P951" s="77"/>
      <c r="Q951" s="321"/>
    </row>
    <row r="952" ht="15.75" hidden="1" customHeight="1">
      <c r="A952" s="82"/>
      <c r="B952" s="64"/>
      <c r="C952" s="220"/>
      <c r="D952" s="64"/>
      <c r="E952" s="310"/>
      <c r="F952" s="213"/>
      <c r="G952" s="213"/>
      <c r="H952" s="213"/>
      <c r="I952" s="214"/>
      <c r="J952" s="222"/>
      <c r="K952" s="223"/>
      <c r="L952" s="223"/>
      <c r="M952" s="269"/>
      <c r="N952" s="217"/>
      <c r="O952" s="311"/>
      <c r="P952" s="82"/>
      <c r="Q952" s="225"/>
    </row>
    <row r="953" ht="15.75" hidden="1" customHeight="1">
      <c r="A953" s="82"/>
      <c r="B953" s="64"/>
      <c r="C953" s="220"/>
      <c r="D953" s="64"/>
      <c r="E953" s="231"/>
      <c r="F953" s="213"/>
      <c r="G953" s="213"/>
      <c r="H953" s="213"/>
      <c r="I953" s="232"/>
      <c r="J953" s="213"/>
      <c r="K953" s="217"/>
      <c r="L953" s="217"/>
      <c r="M953" s="269"/>
      <c r="N953" s="217"/>
      <c r="O953" s="479"/>
      <c r="P953" s="164"/>
      <c r="Q953" s="321"/>
    </row>
    <row r="954" ht="15.75" hidden="1" customHeight="1">
      <c r="A954" s="164"/>
      <c r="B954" s="64"/>
      <c r="C954" s="220"/>
      <c r="D954" s="64"/>
      <c r="E954" s="231"/>
      <c r="F954" s="213"/>
      <c r="G954" s="213"/>
      <c r="H954" s="213"/>
      <c r="I954" s="232"/>
      <c r="J954" s="213"/>
      <c r="K954" s="217"/>
      <c r="L954" s="217"/>
      <c r="M954" s="269"/>
      <c r="N954" s="217"/>
      <c r="O954" s="479"/>
      <c r="P954" s="164"/>
      <c r="Q954" s="321"/>
    </row>
    <row r="955" ht="15.75" hidden="1" customHeight="1">
      <c r="A955" s="82"/>
      <c r="B955" s="64"/>
      <c r="C955" s="220"/>
      <c r="D955" s="64"/>
      <c r="E955" s="310"/>
      <c r="F955" s="213"/>
      <c r="G955" s="213"/>
      <c r="H955" s="213"/>
      <c r="I955" s="232"/>
      <c r="J955" s="213"/>
      <c r="K955" s="217"/>
      <c r="L955" s="217"/>
      <c r="M955" s="269"/>
      <c r="N955" s="217"/>
      <c r="O955" s="479"/>
      <c r="P955" s="164"/>
      <c r="Q955" s="321"/>
    </row>
    <row r="956" ht="15.75" hidden="1" customHeight="1">
      <c r="A956" s="64"/>
      <c r="B956" s="64"/>
      <c r="C956" s="220"/>
      <c r="D956" s="64"/>
      <c r="E956" s="221"/>
      <c r="F956" s="213"/>
      <c r="G956" s="213"/>
      <c r="H956" s="213"/>
      <c r="I956" s="232"/>
      <c r="J956" s="213"/>
      <c r="K956" s="217"/>
      <c r="L956" s="217"/>
      <c r="M956" s="427"/>
      <c r="N956" s="217"/>
      <c r="O956" s="87"/>
      <c r="P956" s="224"/>
      <c r="Q956" s="321"/>
    </row>
    <row r="957" ht="15.75" hidden="1" customHeight="1">
      <c r="A957" s="82"/>
      <c r="B957" s="64"/>
      <c r="C957" s="220"/>
      <c r="D957" s="64"/>
      <c r="E957" s="310"/>
      <c r="F957" s="213"/>
      <c r="G957" s="213"/>
      <c r="H957" s="213"/>
      <c r="I957" s="214"/>
      <c r="J957" s="378"/>
      <c r="K957" s="379"/>
      <c r="L957" s="379"/>
      <c r="M957" s="269"/>
      <c r="N957" s="217"/>
      <c r="O957" s="87"/>
      <c r="P957" s="224"/>
      <c r="Q957" s="225"/>
    </row>
    <row r="958" ht="15.75" hidden="1" customHeight="1">
      <c r="A958" s="64"/>
      <c r="B958" s="64"/>
      <c r="C958" s="220"/>
      <c r="D958" s="64"/>
      <c r="E958" s="221"/>
      <c r="F958" s="213"/>
      <c r="G958" s="213"/>
      <c r="H958" s="213"/>
      <c r="I958" s="232"/>
      <c r="J958" s="213"/>
      <c r="K958" s="217"/>
      <c r="L958" s="217"/>
      <c r="N958" s="217"/>
      <c r="O958" s="77"/>
      <c r="P958" s="77"/>
      <c r="Q958" s="321"/>
    </row>
    <row r="959" ht="15.75" hidden="1" customHeight="1">
      <c r="A959" s="64"/>
      <c r="B959" s="64"/>
      <c r="C959" s="220"/>
      <c r="D959" s="64"/>
      <c r="E959" s="221"/>
      <c r="F959" s="213"/>
      <c r="G959" s="213"/>
      <c r="H959" s="213"/>
      <c r="I959" s="214"/>
      <c r="J959" s="480"/>
      <c r="K959" s="481"/>
      <c r="L959" s="481"/>
      <c r="N959" s="217"/>
      <c r="O959" s="77"/>
      <c r="P959" s="77"/>
    </row>
    <row r="960" ht="15.75" hidden="1" customHeight="1">
      <c r="A960" s="64"/>
      <c r="B960" s="64"/>
      <c r="C960" s="220"/>
      <c r="D960" s="64"/>
      <c r="E960" s="221"/>
      <c r="F960" s="213"/>
      <c r="G960" s="213"/>
      <c r="H960" s="213"/>
      <c r="I960" s="214"/>
      <c r="J960" s="222"/>
      <c r="K960" s="223"/>
      <c r="L960" s="223"/>
      <c r="N960" s="217"/>
      <c r="O960" s="77"/>
      <c r="P960" s="77"/>
      <c r="Q960" s="225"/>
    </row>
    <row r="961" ht="15.75" hidden="1" customHeight="1">
      <c r="A961" s="64"/>
      <c r="B961" s="64"/>
      <c r="C961" s="220"/>
      <c r="D961" s="64"/>
      <c r="E961" s="221"/>
      <c r="F961" s="213"/>
      <c r="G961" s="213"/>
      <c r="H961" s="213"/>
      <c r="I961" s="214"/>
      <c r="J961" s="222"/>
      <c r="K961" s="223"/>
      <c r="L961" s="223"/>
      <c r="M961" s="427"/>
      <c r="N961" s="217"/>
      <c r="O961" s="87"/>
      <c r="P961" s="87"/>
      <c r="Q961" s="227"/>
    </row>
    <row r="962" ht="15.75" hidden="1" customHeight="1">
      <c r="A962" s="64"/>
      <c r="B962" s="64"/>
      <c r="C962" s="220"/>
      <c r="D962" s="64"/>
      <c r="E962" s="221"/>
      <c r="F962" s="213"/>
      <c r="G962" s="213"/>
      <c r="H962" s="213"/>
      <c r="I962" s="214"/>
      <c r="J962" s="378"/>
      <c r="K962" s="379"/>
      <c r="L962" s="379"/>
      <c r="N962" s="217"/>
      <c r="O962" s="77"/>
      <c r="P962" s="77"/>
      <c r="Q962" s="225"/>
      <c r="R962" s="142"/>
      <c r="S962" s="142"/>
    </row>
    <row r="963" ht="15.75" hidden="1" customHeight="1">
      <c r="A963" s="64"/>
      <c r="B963" s="64"/>
      <c r="C963" s="220"/>
      <c r="D963" s="64"/>
      <c r="E963" s="221"/>
      <c r="F963" s="213"/>
      <c r="G963" s="213"/>
      <c r="H963" s="213"/>
      <c r="I963" s="214"/>
      <c r="J963" s="378"/>
      <c r="K963" s="379"/>
      <c r="L963" s="379"/>
      <c r="N963" s="217"/>
      <c r="O963" s="77"/>
      <c r="P963" s="77"/>
      <c r="Q963" s="225"/>
    </row>
    <row r="964" ht="15.75" hidden="1" customHeight="1">
      <c r="A964" s="64"/>
      <c r="B964" s="104"/>
      <c r="C964" s="220"/>
      <c r="D964" s="64"/>
      <c r="E964" s="221"/>
      <c r="F964" s="213"/>
      <c r="G964" s="213"/>
      <c r="H964" s="213"/>
      <c r="I964" s="214"/>
      <c r="J964" s="378"/>
      <c r="K964" s="379"/>
      <c r="L964" s="379"/>
      <c r="N964" s="217"/>
      <c r="O964" s="87"/>
      <c r="P964" s="87"/>
      <c r="Q964" s="227"/>
      <c r="R964" s="142"/>
      <c r="S964" s="142"/>
    </row>
    <row r="965" ht="15.75" hidden="1" customHeight="1">
      <c r="A965" s="64"/>
      <c r="B965" s="64"/>
      <c r="C965" s="220"/>
      <c r="D965" s="64"/>
      <c r="E965" s="221"/>
      <c r="F965" s="213"/>
      <c r="G965" s="213"/>
      <c r="H965" s="213"/>
      <c r="I965" s="214"/>
      <c r="J965" s="222"/>
      <c r="K965" s="223"/>
      <c r="L965" s="223"/>
      <c r="N965" s="217"/>
      <c r="O965" s="87"/>
      <c r="P965" s="87"/>
      <c r="Q965" s="227"/>
    </row>
    <row r="966" ht="15.75" hidden="1" customHeight="1">
      <c r="A966" s="64"/>
      <c r="B966" s="64"/>
      <c r="C966" s="220"/>
      <c r="D966" s="64"/>
      <c r="E966" s="221"/>
      <c r="F966" s="213"/>
      <c r="G966" s="213"/>
      <c r="H966" s="213"/>
      <c r="I966" s="214"/>
      <c r="J966" s="222"/>
      <c r="K966" s="223"/>
      <c r="L966" s="223"/>
      <c r="M966" s="427"/>
      <c r="N966" s="217"/>
      <c r="O966" s="87"/>
      <c r="P966" s="87"/>
    </row>
    <row r="967" ht="15.75" hidden="1" customHeight="1">
      <c r="A967" s="64"/>
      <c r="B967" s="64"/>
      <c r="C967" s="220"/>
      <c r="D967" s="64"/>
      <c r="E967" s="221"/>
      <c r="F967" s="213"/>
      <c r="G967" s="213"/>
      <c r="H967" s="213"/>
      <c r="I967" s="214"/>
      <c r="J967" s="378"/>
      <c r="K967" s="379"/>
      <c r="L967" s="379"/>
      <c r="N967" s="217"/>
      <c r="O967" s="77"/>
      <c r="P967" s="77"/>
      <c r="Q967" s="225"/>
    </row>
    <row r="968" ht="15.75" hidden="1" customHeight="1">
      <c r="A968" s="64"/>
      <c r="B968" s="64"/>
      <c r="C968" s="220"/>
      <c r="D968" s="64"/>
      <c r="E968" s="221"/>
      <c r="F968" s="213"/>
      <c r="G968" s="213"/>
      <c r="H968" s="213"/>
      <c r="I968" s="214"/>
      <c r="J968" s="215"/>
      <c r="K968" s="216"/>
      <c r="L968" s="216"/>
      <c r="N968" s="217"/>
      <c r="O968" s="77"/>
      <c r="P968" s="77"/>
      <c r="Q968" s="225"/>
    </row>
    <row r="969" ht="15.75" hidden="1" customHeight="1">
      <c r="A969" s="64"/>
      <c r="B969" s="64"/>
      <c r="C969" s="220"/>
      <c r="D969" s="64"/>
      <c r="E969" s="221"/>
      <c r="F969" s="213"/>
      <c r="G969" s="213"/>
      <c r="H969" s="213"/>
      <c r="I969" s="214"/>
      <c r="J969" s="222"/>
      <c r="K969" s="223"/>
      <c r="L969" s="223"/>
      <c r="N969" s="217"/>
      <c r="O969" s="77"/>
      <c r="P969" s="77"/>
      <c r="Q969" s="225"/>
    </row>
    <row r="970" ht="15.75" hidden="1" customHeight="1">
      <c r="A970" s="64"/>
      <c r="B970" s="64"/>
      <c r="C970" s="220"/>
      <c r="D970" s="64"/>
      <c r="E970" s="221"/>
      <c r="F970" s="213"/>
      <c r="G970" s="213"/>
      <c r="H970" s="213"/>
      <c r="I970" s="214"/>
      <c r="J970" s="222"/>
      <c r="K970" s="223"/>
      <c r="L970" s="223"/>
      <c r="N970" s="217"/>
      <c r="O970" s="77"/>
      <c r="P970" s="77"/>
      <c r="Q970" s="225"/>
    </row>
    <row r="971" ht="15.75" hidden="1" customHeight="1">
      <c r="A971" s="64"/>
      <c r="B971" s="64"/>
      <c r="C971" s="220"/>
      <c r="D971" s="64"/>
      <c r="E971" s="221"/>
      <c r="F971" s="213"/>
      <c r="G971" s="213"/>
      <c r="H971" s="213"/>
      <c r="I971" s="214"/>
      <c r="J971" s="222"/>
      <c r="K971" s="223"/>
      <c r="L971" s="223"/>
      <c r="N971" s="217"/>
      <c r="O971" s="77"/>
      <c r="P971" s="77"/>
      <c r="Q971" s="225"/>
    </row>
    <row r="972" ht="15.75" hidden="1" customHeight="1">
      <c r="A972" s="64"/>
      <c r="B972" s="64"/>
      <c r="C972" s="220"/>
      <c r="D972" s="64"/>
      <c r="E972" s="221"/>
      <c r="F972" s="213"/>
      <c r="G972" s="213"/>
      <c r="H972" s="213"/>
      <c r="I972" s="214"/>
      <c r="J972" s="222"/>
      <c r="K972" s="223"/>
      <c r="L972" s="223"/>
      <c r="N972" s="307"/>
      <c r="O972" s="77"/>
      <c r="P972" s="77"/>
      <c r="Q972" s="225"/>
    </row>
    <row r="973" ht="15.75" hidden="1" customHeight="1">
      <c r="A973" s="64"/>
      <c r="B973" s="64"/>
      <c r="C973" s="220"/>
      <c r="D973" s="64"/>
      <c r="E973" s="221"/>
      <c r="F973" s="213"/>
      <c r="G973" s="213"/>
      <c r="H973" s="213"/>
      <c r="I973" s="214"/>
      <c r="J973" s="222"/>
      <c r="K973" s="223"/>
      <c r="L973" s="223"/>
      <c r="N973" s="217"/>
      <c r="O973" s="87"/>
      <c r="P973" s="87"/>
    </row>
    <row r="974" ht="15.75" hidden="1" customHeight="1">
      <c r="A974" s="64"/>
      <c r="B974" s="64"/>
      <c r="C974" s="220"/>
      <c r="D974" s="64"/>
      <c r="E974" s="221"/>
      <c r="F974" s="213"/>
      <c r="G974" s="213"/>
      <c r="H974" s="213"/>
      <c r="I974" s="214"/>
      <c r="J974" s="222"/>
      <c r="K974" s="223"/>
      <c r="L974" s="223"/>
      <c r="N974" s="217"/>
      <c r="O974" s="77"/>
      <c r="P974" s="77"/>
      <c r="Q974" s="227"/>
      <c r="R974" s="142"/>
      <c r="S974" s="142"/>
      <c r="T974" s="142"/>
      <c r="U974" s="142"/>
      <c r="V974" s="142"/>
      <c r="W974" s="142"/>
      <c r="X974" s="142"/>
      <c r="Y974" s="142"/>
      <c r="Z974" s="142"/>
      <c r="AA974" s="142"/>
      <c r="AB974" s="142"/>
      <c r="AC974" s="142"/>
      <c r="AD974" s="142"/>
      <c r="AE974" s="142"/>
      <c r="AF974" s="142"/>
      <c r="AG974" s="142"/>
      <c r="AH974" s="142"/>
    </row>
    <row r="975" ht="15.75" hidden="1" customHeight="1">
      <c r="A975" s="64"/>
      <c r="B975" s="64"/>
      <c r="C975" s="220"/>
      <c r="D975" s="64"/>
      <c r="E975" s="221"/>
      <c r="F975" s="213"/>
      <c r="G975" s="213"/>
      <c r="H975" s="213"/>
      <c r="I975" s="214"/>
      <c r="J975" s="222"/>
      <c r="K975" s="223"/>
      <c r="L975" s="223"/>
      <c r="N975" s="217"/>
      <c r="O975" s="77"/>
      <c r="P975" s="77"/>
      <c r="Q975" s="225"/>
    </row>
    <row r="976" ht="15.75" hidden="1" customHeight="1">
      <c r="A976" s="64"/>
      <c r="B976" s="64"/>
      <c r="C976" s="220"/>
      <c r="D976" s="64"/>
      <c r="E976" s="221"/>
      <c r="F976" s="213"/>
      <c r="G976" s="213"/>
      <c r="H976" s="213"/>
      <c r="I976" s="214"/>
      <c r="J976" s="222"/>
      <c r="K976" s="223"/>
      <c r="L976" s="223"/>
      <c r="N976" s="217"/>
      <c r="O976" s="77"/>
      <c r="P976" s="77"/>
      <c r="Q976" s="225"/>
    </row>
    <row r="977" ht="15.75" hidden="1" customHeight="1">
      <c r="A977" s="64"/>
      <c r="B977" s="64"/>
      <c r="C977" s="220"/>
      <c r="D977" s="64"/>
      <c r="E977" s="221"/>
      <c r="F977" s="213"/>
      <c r="G977" s="213"/>
      <c r="H977" s="213"/>
      <c r="I977" s="214"/>
      <c r="J977" s="222"/>
      <c r="K977" s="223"/>
      <c r="L977" s="223"/>
      <c r="N977" s="437"/>
      <c r="O977" s="77"/>
      <c r="P977" s="77"/>
      <c r="Q977" s="225"/>
    </row>
    <row r="978" ht="15.75" hidden="1" customHeight="1">
      <c r="A978" s="64"/>
      <c r="B978" s="64"/>
      <c r="C978" s="220"/>
      <c r="D978" s="64"/>
      <c r="E978" s="221"/>
      <c r="F978" s="213"/>
      <c r="G978" s="213"/>
      <c r="H978" s="213"/>
      <c r="I978" s="214"/>
      <c r="J978" s="222"/>
      <c r="K978" s="64"/>
      <c r="L978" s="64"/>
      <c r="N978" s="217"/>
      <c r="O978" s="87"/>
      <c r="P978" s="87"/>
      <c r="Q978" s="226"/>
    </row>
    <row r="979" ht="15.75" hidden="1" customHeight="1">
      <c r="A979" s="64"/>
      <c r="B979" s="64"/>
      <c r="C979" s="220"/>
      <c r="D979" s="64"/>
      <c r="E979" s="221"/>
      <c r="F979" s="213"/>
      <c r="G979" s="213"/>
      <c r="H979" s="213"/>
      <c r="I979" s="214"/>
      <c r="J979" s="222"/>
      <c r="K979" s="223"/>
      <c r="L979" s="223"/>
      <c r="N979" s="217"/>
      <c r="O979" s="77"/>
      <c r="P979" s="77"/>
      <c r="Q979" s="227"/>
    </row>
    <row r="980" ht="15.75" hidden="1" customHeight="1">
      <c r="A980" s="64"/>
      <c r="B980" s="64"/>
      <c r="C980" s="220"/>
      <c r="D980" s="64"/>
      <c r="E980" s="221"/>
      <c r="F980" s="213"/>
      <c r="G980" s="213"/>
      <c r="H980" s="213"/>
      <c r="I980" s="214"/>
      <c r="J980" s="222"/>
      <c r="K980" s="223"/>
      <c r="L980" s="223"/>
      <c r="N980" s="217"/>
      <c r="O980" s="77"/>
      <c r="P980" s="77"/>
    </row>
    <row r="981" ht="15.75" hidden="1" customHeight="1">
      <c r="A981" s="64"/>
      <c r="B981" s="64"/>
      <c r="C981" s="220"/>
      <c r="D981" s="64"/>
      <c r="E981" s="221"/>
      <c r="F981" s="213"/>
      <c r="G981" s="213"/>
      <c r="H981" s="213"/>
      <c r="I981" s="214"/>
      <c r="J981" s="222"/>
      <c r="K981" s="223"/>
      <c r="L981" s="223"/>
      <c r="N981" s="217"/>
      <c r="O981" s="77"/>
      <c r="P981" s="77"/>
      <c r="Q981" s="225"/>
    </row>
    <row r="982" ht="15.75" hidden="1" customHeight="1">
      <c r="A982" s="64"/>
      <c r="B982" s="64"/>
      <c r="C982" s="220"/>
      <c r="D982" s="64"/>
      <c r="E982" s="221"/>
      <c r="F982" s="213"/>
      <c r="G982" s="213"/>
      <c r="H982" s="213"/>
      <c r="I982" s="214"/>
      <c r="J982" s="222"/>
      <c r="K982" s="223"/>
      <c r="L982" s="223"/>
      <c r="N982" s="217"/>
      <c r="O982" s="77"/>
      <c r="P982" s="77"/>
      <c r="Q982" s="225"/>
    </row>
    <row r="983" ht="15.75" hidden="1" customHeight="1">
      <c r="A983" s="64"/>
      <c r="B983" s="64"/>
      <c r="C983" s="220"/>
      <c r="D983" s="64"/>
      <c r="E983" s="221"/>
      <c r="F983" s="213"/>
      <c r="G983" s="213"/>
      <c r="H983" s="213"/>
      <c r="I983" s="214"/>
      <c r="J983" s="222"/>
      <c r="K983" s="223"/>
      <c r="L983" s="223"/>
      <c r="N983" s="217"/>
      <c r="O983" s="77"/>
      <c r="P983" s="77"/>
      <c r="Q983" s="225"/>
      <c r="R983" s="142"/>
      <c r="S983" s="142"/>
      <c r="T983" s="142"/>
      <c r="U983" s="142"/>
      <c r="V983" s="142"/>
      <c r="W983" s="142"/>
      <c r="X983" s="142"/>
      <c r="Y983" s="142"/>
      <c r="Z983" s="142"/>
      <c r="AA983" s="142"/>
      <c r="AB983" s="142"/>
      <c r="AC983" s="142"/>
      <c r="AD983" s="142"/>
      <c r="AE983" s="142"/>
      <c r="AF983" s="142"/>
      <c r="AG983" s="142"/>
      <c r="AH983" s="142"/>
    </row>
    <row r="984" ht="15.75" hidden="1" customHeight="1">
      <c r="A984" s="64"/>
      <c r="B984" s="64"/>
      <c r="C984" s="220"/>
      <c r="D984" s="64"/>
      <c r="E984" s="221"/>
      <c r="F984" s="213"/>
      <c r="G984" s="213"/>
      <c r="H984" s="213"/>
      <c r="I984" s="214"/>
      <c r="J984" s="222"/>
      <c r="K984" s="223"/>
      <c r="L984" s="223"/>
      <c r="M984" s="64"/>
      <c r="N984" s="217"/>
      <c r="O984" s="77"/>
      <c r="P984" s="77"/>
      <c r="Q984" s="225"/>
      <c r="R984" s="265"/>
      <c r="S984" s="265"/>
      <c r="T984" s="265"/>
      <c r="U984" s="265"/>
      <c r="V984" s="265"/>
      <c r="W984" s="265"/>
      <c r="X984" s="265"/>
      <c r="Y984" s="265"/>
      <c r="Z984" s="265"/>
      <c r="AA984" s="265"/>
      <c r="AB984" s="265"/>
      <c r="AC984" s="265"/>
      <c r="AD984" s="265"/>
      <c r="AE984" s="265"/>
      <c r="AF984" s="265"/>
      <c r="AG984" s="265"/>
      <c r="AH984" s="265"/>
    </row>
    <row r="985" ht="15.75" hidden="1" customHeight="1">
      <c r="A985" s="64"/>
      <c r="B985" s="64"/>
      <c r="C985" s="220"/>
      <c r="D985" s="64"/>
      <c r="E985" s="221"/>
      <c r="F985" s="213"/>
      <c r="G985" s="213"/>
      <c r="H985" s="213"/>
      <c r="I985" s="214"/>
      <c r="J985" s="222"/>
      <c r="K985" s="223"/>
      <c r="L985" s="223"/>
      <c r="N985" s="217"/>
      <c r="O985" s="87"/>
      <c r="P985" s="87"/>
      <c r="Q985" s="225"/>
    </row>
    <row r="986" ht="15.75" hidden="1" customHeight="1">
      <c r="A986" s="64"/>
      <c r="B986" s="64"/>
      <c r="C986" s="220"/>
      <c r="D986" s="64"/>
      <c r="E986" s="221"/>
      <c r="F986" s="213"/>
      <c r="G986" s="213"/>
      <c r="H986" s="213"/>
      <c r="I986" s="214"/>
      <c r="J986" s="222"/>
      <c r="K986" s="223"/>
      <c r="L986" s="223"/>
      <c r="N986" s="217"/>
      <c r="O986" s="77"/>
      <c r="P986" s="77"/>
      <c r="Q986" s="227"/>
    </row>
    <row r="987" ht="15.75" hidden="1" customHeight="1">
      <c r="A987" s="64"/>
      <c r="B987" s="64"/>
      <c r="C987" s="220"/>
      <c r="D987" s="64"/>
      <c r="E987" s="221"/>
      <c r="F987" s="213"/>
      <c r="G987" s="213"/>
      <c r="H987" s="213"/>
      <c r="I987" s="214"/>
      <c r="J987" s="222"/>
      <c r="K987" s="223"/>
      <c r="L987" s="223"/>
      <c r="N987" s="217"/>
      <c r="O987" s="77"/>
      <c r="P987" s="77"/>
      <c r="Q987" s="225"/>
      <c r="R987" s="142"/>
      <c r="S987" s="142"/>
      <c r="T987" s="142"/>
      <c r="U987" s="142"/>
      <c r="V987" s="142"/>
      <c r="W987" s="142"/>
      <c r="X987" s="142"/>
      <c r="Y987" s="142"/>
      <c r="Z987" s="142"/>
      <c r="AA987" s="142"/>
      <c r="AB987" s="142"/>
      <c r="AC987" s="142"/>
      <c r="AD987" s="142"/>
      <c r="AE987" s="142"/>
      <c r="AF987" s="142"/>
      <c r="AG987" s="142"/>
      <c r="AH987" s="142"/>
    </row>
    <row r="988" ht="15.75" hidden="1" customHeight="1">
      <c r="A988" s="64"/>
      <c r="B988" s="64"/>
      <c r="C988" s="220"/>
      <c r="D988" s="64"/>
      <c r="E988" s="221"/>
      <c r="F988" s="213"/>
      <c r="G988" s="213"/>
      <c r="H988" s="213"/>
      <c r="I988" s="214"/>
      <c r="J988" s="222"/>
      <c r="K988" s="223"/>
      <c r="L988" s="223"/>
      <c r="N988" s="217"/>
      <c r="O988" s="77"/>
      <c r="P988" s="77"/>
      <c r="Q988" s="225"/>
    </row>
    <row r="989" ht="15.75" hidden="1" customHeight="1">
      <c r="A989" s="64"/>
      <c r="B989" s="64"/>
      <c r="C989" s="220"/>
      <c r="D989" s="64"/>
      <c r="E989" s="221"/>
      <c r="F989" s="213"/>
      <c r="G989" s="213"/>
      <c r="H989" s="213"/>
      <c r="I989" s="214"/>
      <c r="J989" s="222"/>
      <c r="K989" s="223"/>
      <c r="L989" s="223"/>
      <c r="N989" s="217"/>
      <c r="O989" s="77"/>
      <c r="P989" s="77"/>
      <c r="Q989" s="487"/>
    </row>
    <row r="990" ht="15.75" hidden="1" customHeight="1">
      <c r="A990" s="64"/>
      <c r="B990" s="64"/>
      <c r="C990" s="220"/>
      <c r="D990" s="64"/>
      <c r="E990" s="221"/>
      <c r="F990" s="213"/>
      <c r="G990" s="213"/>
      <c r="H990" s="213"/>
      <c r="I990" s="214"/>
      <c r="J990" s="222"/>
      <c r="K990" s="223"/>
      <c r="L990" s="223"/>
      <c r="N990" s="217"/>
      <c r="O990" s="77"/>
      <c r="P990" s="77"/>
      <c r="Q990" s="225"/>
    </row>
    <row r="991" ht="15.75" hidden="1" customHeight="1">
      <c r="A991" s="64"/>
      <c r="B991" s="64"/>
      <c r="C991" s="220"/>
      <c r="D991" s="64"/>
      <c r="E991" s="221"/>
      <c r="F991" s="213"/>
      <c r="G991" s="213"/>
      <c r="H991" s="213"/>
      <c r="I991" s="214"/>
      <c r="J991" s="222"/>
      <c r="K991" s="223"/>
      <c r="L991" s="223"/>
      <c r="N991" s="217"/>
      <c r="O991" s="87"/>
      <c r="P991" s="87"/>
      <c r="Q991" s="225"/>
    </row>
    <row r="992" ht="15.75" hidden="1" customHeight="1">
      <c r="A992" s="64"/>
      <c r="B992" s="64"/>
      <c r="C992" s="220"/>
      <c r="D992" s="64"/>
      <c r="E992" s="221"/>
      <c r="F992" s="213"/>
      <c r="G992" s="213"/>
      <c r="H992" s="213"/>
      <c r="I992" s="214"/>
      <c r="J992" s="222"/>
      <c r="K992" s="223"/>
      <c r="L992" s="223"/>
      <c r="N992" s="217"/>
      <c r="O992" s="87"/>
      <c r="P992" s="87"/>
      <c r="Q992" s="227"/>
    </row>
    <row r="993" ht="15.75" hidden="1" customHeight="1">
      <c r="A993" s="64"/>
      <c r="B993" s="104"/>
      <c r="C993" s="220"/>
      <c r="D993" s="64"/>
      <c r="E993" s="221"/>
      <c r="F993" s="213"/>
      <c r="G993" s="213"/>
      <c r="H993" s="213"/>
      <c r="I993" s="214"/>
      <c r="J993" s="222"/>
      <c r="K993" s="223"/>
      <c r="L993" s="223"/>
      <c r="N993" s="217"/>
      <c r="O993" s="87"/>
      <c r="P993" s="87"/>
    </row>
    <row r="994" ht="15.75" hidden="1" customHeight="1">
      <c r="A994" s="64"/>
      <c r="B994" s="64"/>
      <c r="C994" s="220"/>
      <c r="D994" s="64"/>
      <c r="E994" s="221"/>
      <c r="F994" s="213"/>
      <c r="G994" s="213"/>
      <c r="H994" s="213"/>
      <c r="I994" s="214"/>
      <c r="J994" s="222"/>
      <c r="K994" s="223"/>
      <c r="L994" s="223"/>
      <c r="N994" s="217"/>
      <c r="O994" s="77"/>
      <c r="P994" s="77"/>
      <c r="Q994" s="227"/>
    </row>
    <row r="995" ht="15.75" hidden="1" customHeight="1">
      <c r="A995" s="64"/>
      <c r="B995" s="64"/>
      <c r="C995" s="220"/>
      <c r="D995" s="64"/>
      <c r="E995" s="221"/>
      <c r="F995" s="213"/>
      <c r="G995" s="213"/>
      <c r="H995" s="213"/>
      <c r="I995" s="214"/>
      <c r="J995" s="222"/>
      <c r="K995" s="223"/>
      <c r="L995" s="223"/>
      <c r="N995" s="217"/>
      <c r="O995" s="77"/>
      <c r="P995" s="77"/>
      <c r="Q995" s="225"/>
      <c r="R995" s="265"/>
      <c r="S995" s="265"/>
      <c r="T995" s="265"/>
      <c r="U995" s="265"/>
      <c r="V995" s="265"/>
      <c r="W995" s="265"/>
      <c r="X995" s="265"/>
      <c r="Y995" s="265"/>
      <c r="Z995" s="265"/>
      <c r="AA995" s="265"/>
      <c r="AB995" s="265"/>
      <c r="AC995" s="265"/>
      <c r="AD995" s="265"/>
      <c r="AE995" s="265"/>
      <c r="AF995" s="265"/>
      <c r="AG995" s="265"/>
      <c r="AH995" s="265"/>
    </row>
    <row r="996" ht="15.75" hidden="1" customHeight="1">
      <c r="A996" s="64"/>
      <c r="B996" s="64"/>
      <c r="C996" s="220"/>
      <c r="D996" s="64"/>
      <c r="E996" s="221"/>
      <c r="F996" s="213"/>
      <c r="G996" s="213"/>
      <c r="H996" s="213"/>
      <c r="I996" s="214"/>
      <c r="J996" s="222"/>
      <c r="K996" s="223"/>
      <c r="L996" s="223"/>
      <c r="N996" s="217"/>
      <c r="O996" s="87"/>
      <c r="P996" s="87"/>
      <c r="Q996" s="225"/>
    </row>
    <row r="997" ht="15.75" hidden="1" customHeight="1">
      <c r="A997" s="64"/>
      <c r="B997" s="64"/>
      <c r="C997" s="220"/>
      <c r="D997" s="64"/>
      <c r="E997" s="221"/>
      <c r="F997" s="213"/>
      <c r="G997" s="213"/>
      <c r="H997" s="213"/>
      <c r="I997" s="214"/>
      <c r="J997" s="222"/>
      <c r="K997" s="223"/>
      <c r="L997" s="223"/>
      <c r="N997" s="217"/>
      <c r="O997" s="87"/>
      <c r="P997" s="87"/>
      <c r="Q997" s="227"/>
    </row>
    <row r="998" ht="15.75" hidden="1" customHeight="1">
      <c r="A998" s="64"/>
      <c r="B998" s="64"/>
      <c r="C998" s="220"/>
      <c r="D998" s="64"/>
      <c r="E998" s="221"/>
      <c r="F998" s="213"/>
      <c r="G998" s="213"/>
      <c r="H998" s="213"/>
      <c r="I998" s="214"/>
      <c r="J998" s="222"/>
      <c r="K998" s="223"/>
      <c r="L998" s="223"/>
      <c r="N998" s="217"/>
      <c r="O998" s="77"/>
      <c r="P998" s="77"/>
      <c r="Q998" s="225"/>
    </row>
    <row r="999" ht="15.75" hidden="1" customHeight="1">
      <c r="A999" s="64"/>
      <c r="B999" s="64"/>
      <c r="C999" s="220"/>
      <c r="D999" s="64"/>
      <c r="E999" s="221"/>
      <c r="F999" s="213"/>
      <c r="G999" s="213"/>
      <c r="H999" s="213"/>
      <c r="I999" s="214"/>
      <c r="J999" s="222"/>
      <c r="K999" s="223"/>
      <c r="L999" s="223"/>
      <c r="N999" s="217"/>
      <c r="O999" s="77"/>
      <c r="P999" s="77"/>
      <c r="Q999" s="227"/>
    </row>
    <row r="1000" ht="15.75" hidden="1" customHeight="1">
      <c r="A1000" s="64"/>
      <c r="B1000" s="64"/>
      <c r="C1000" s="220"/>
      <c r="D1000" s="64"/>
      <c r="E1000" s="221"/>
      <c r="F1000" s="213"/>
      <c r="G1000" s="213"/>
      <c r="H1000" s="213"/>
      <c r="I1000" s="214"/>
      <c r="J1000" s="222"/>
      <c r="K1000" s="223"/>
      <c r="L1000" s="223"/>
      <c r="N1000" s="217"/>
      <c r="O1000" s="77"/>
      <c r="P1000" s="77"/>
      <c r="Q1000" s="225"/>
    </row>
    <row r="1001" ht="15.75" hidden="1" customHeight="1">
      <c r="A1001" s="64"/>
      <c r="B1001" s="64"/>
      <c r="C1001" s="220"/>
      <c r="D1001" s="64"/>
      <c r="E1001" s="221"/>
      <c r="F1001" s="213"/>
      <c r="G1001" s="213"/>
      <c r="H1001" s="213"/>
      <c r="I1001" s="214"/>
      <c r="J1001" s="222"/>
      <c r="K1001" s="223"/>
      <c r="L1001" s="223"/>
      <c r="N1001" s="217"/>
      <c r="O1001" s="77"/>
      <c r="P1001" s="77"/>
      <c r="Q1001" s="225"/>
    </row>
    <row r="1002" ht="15.75" hidden="1" customHeight="1">
      <c r="A1002" s="64"/>
      <c r="B1002" s="64"/>
      <c r="C1002" s="220"/>
      <c r="D1002" s="64"/>
      <c r="E1002" s="221"/>
      <c r="F1002" s="213"/>
      <c r="G1002" s="213"/>
      <c r="H1002" s="213"/>
      <c r="I1002" s="214"/>
      <c r="J1002" s="222"/>
      <c r="K1002" s="223"/>
      <c r="L1002" s="223"/>
      <c r="N1002" s="217"/>
      <c r="O1002" s="77"/>
      <c r="P1002" s="77"/>
      <c r="Q1002" s="225"/>
    </row>
    <row r="1003" ht="15.75" hidden="1" customHeight="1">
      <c r="A1003" s="64"/>
      <c r="B1003" s="64"/>
      <c r="C1003" s="220"/>
      <c r="D1003" s="64"/>
      <c r="E1003" s="221"/>
      <c r="F1003" s="213"/>
      <c r="G1003" s="213"/>
      <c r="H1003" s="213"/>
      <c r="I1003" s="214"/>
      <c r="J1003" s="222"/>
      <c r="K1003" s="223"/>
      <c r="L1003" s="223"/>
      <c r="N1003" s="217"/>
      <c r="O1003" s="77"/>
      <c r="P1003" s="77"/>
      <c r="Q1003" s="225"/>
    </row>
    <row r="1004" ht="15.75" hidden="1" customHeight="1">
      <c r="A1004" s="64"/>
      <c r="B1004" s="64"/>
      <c r="C1004" s="220"/>
      <c r="D1004" s="64"/>
      <c r="E1004" s="221"/>
      <c r="F1004" s="213"/>
      <c r="G1004" s="213"/>
      <c r="H1004" s="213"/>
      <c r="I1004" s="214"/>
      <c r="J1004" s="222"/>
      <c r="K1004" s="223"/>
      <c r="L1004" s="223"/>
      <c r="N1004" s="217"/>
      <c r="O1004" s="87"/>
      <c r="P1004" s="87"/>
      <c r="Q1004" s="225"/>
    </row>
    <row r="1005" ht="15.75" hidden="1" customHeight="1">
      <c r="A1005" s="64"/>
      <c r="B1005" s="64"/>
      <c r="C1005" s="220"/>
      <c r="D1005" s="64"/>
      <c r="E1005" s="221"/>
      <c r="F1005" s="213"/>
      <c r="G1005" s="213"/>
      <c r="H1005" s="213"/>
      <c r="I1005" s="214"/>
      <c r="J1005" s="222"/>
      <c r="K1005" s="223"/>
      <c r="L1005" s="223"/>
      <c r="N1005" s="217"/>
      <c r="O1005" s="87"/>
      <c r="P1005" s="87"/>
      <c r="Q1005" s="227"/>
    </row>
    <row r="1006" ht="15.75" hidden="1" customHeight="1">
      <c r="A1006" s="64"/>
      <c r="B1006" s="64"/>
      <c r="C1006" s="220"/>
      <c r="D1006" s="64"/>
      <c r="E1006" s="221"/>
      <c r="F1006" s="213"/>
      <c r="G1006" s="213"/>
      <c r="H1006" s="213"/>
      <c r="I1006" s="214"/>
      <c r="J1006" s="222"/>
      <c r="K1006" s="223"/>
      <c r="L1006" s="223"/>
      <c r="N1006" s="217"/>
      <c r="O1006" s="77"/>
      <c r="P1006" s="77"/>
      <c r="Q1006" s="226"/>
    </row>
    <row r="1007" ht="15.75" hidden="1" customHeight="1">
      <c r="A1007" s="64"/>
      <c r="B1007" s="64"/>
      <c r="C1007" s="220"/>
      <c r="D1007" s="64"/>
      <c r="E1007" s="221"/>
      <c r="F1007" s="213"/>
      <c r="G1007" s="213"/>
      <c r="H1007" s="213"/>
      <c r="I1007" s="214"/>
      <c r="J1007" s="222"/>
      <c r="K1007" s="64"/>
      <c r="L1007" s="64"/>
      <c r="N1007" s="217"/>
      <c r="O1007" s="77"/>
      <c r="P1007" s="77"/>
      <c r="Q1007" s="225"/>
    </row>
    <row r="1008" ht="15.75" hidden="1" customHeight="1">
      <c r="A1008" s="64"/>
      <c r="B1008" s="64"/>
      <c r="C1008" s="220"/>
      <c r="D1008" s="64"/>
      <c r="E1008" s="221"/>
      <c r="F1008" s="213"/>
      <c r="G1008" s="213"/>
      <c r="H1008" s="213"/>
      <c r="I1008" s="214"/>
      <c r="J1008" s="222"/>
      <c r="K1008" s="223"/>
      <c r="L1008" s="223"/>
      <c r="N1008" s="217"/>
      <c r="O1008" s="77"/>
      <c r="P1008" s="77"/>
      <c r="Q1008" s="225"/>
      <c r="R1008" s="142"/>
      <c r="S1008" s="142"/>
      <c r="T1008" s="142"/>
      <c r="U1008" s="142"/>
      <c r="V1008" s="142"/>
      <c r="W1008" s="142"/>
      <c r="X1008" s="142"/>
      <c r="Y1008" s="142"/>
      <c r="Z1008" s="142"/>
      <c r="AA1008" s="142"/>
      <c r="AB1008" s="142"/>
      <c r="AC1008" s="142"/>
      <c r="AD1008" s="142"/>
      <c r="AE1008" s="142"/>
      <c r="AF1008" s="142"/>
      <c r="AG1008" s="142"/>
      <c r="AH1008" s="142"/>
    </row>
    <row r="1009" ht="15.75" hidden="1" customHeight="1">
      <c r="A1009" s="64"/>
      <c r="B1009" s="64"/>
      <c r="C1009" s="220"/>
      <c r="D1009" s="64"/>
      <c r="E1009" s="221"/>
      <c r="F1009" s="213"/>
      <c r="G1009" s="213"/>
      <c r="H1009" s="213"/>
      <c r="I1009" s="214"/>
      <c r="J1009" s="222"/>
      <c r="K1009" s="223"/>
      <c r="L1009" s="223"/>
      <c r="N1009" s="217"/>
      <c r="O1009" s="77"/>
      <c r="P1009" s="77"/>
      <c r="Q1009" s="225"/>
    </row>
    <row r="1010" ht="15.75" hidden="1" customHeight="1">
      <c r="A1010" s="64"/>
      <c r="B1010" s="64"/>
      <c r="C1010" s="220"/>
      <c r="D1010" s="64"/>
      <c r="E1010" s="221"/>
      <c r="F1010" s="213"/>
      <c r="G1010" s="213"/>
      <c r="H1010" s="213"/>
      <c r="I1010" s="214"/>
      <c r="J1010" s="222"/>
      <c r="K1010" s="223"/>
      <c r="L1010" s="223"/>
      <c r="N1010" s="217"/>
      <c r="O1010" s="77"/>
      <c r="P1010" s="77"/>
      <c r="Q1010" s="225"/>
      <c r="R1010" s="142"/>
      <c r="S1010" s="142"/>
      <c r="T1010" s="142"/>
      <c r="U1010" s="142"/>
      <c r="V1010" s="142"/>
      <c r="W1010" s="142"/>
      <c r="X1010" s="142"/>
      <c r="Y1010" s="142"/>
      <c r="Z1010" s="142"/>
      <c r="AA1010" s="142"/>
      <c r="AB1010" s="142"/>
      <c r="AC1010" s="142"/>
      <c r="AD1010" s="142"/>
      <c r="AE1010" s="142"/>
      <c r="AF1010" s="142"/>
      <c r="AG1010" s="142"/>
      <c r="AH1010" s="142"/>
    </row>
    <row r="1011" ht="15.75" hidden="1" customHeight="1">
      <c r="A1011" s="64"/>
      <c r="B1011" s="64"/>
      <c r="C1011" s="220"/>
      <c r="D1011" s="64"/>
      <c r="E1011" s="221"/>
      <c r="F1011" s="213"/>
      <c r="G1011" s="213"/>
      <c r="H1011" s="213"/>
      <c r="I1011" s="214"/>
      <c r="J1011" s="222"/>
      <c r="K1011" s="223"/>
      <c r="L1011" s="223"/>
      <c r="N1011" s="217"/>
      <c r="O1011" s="77"/>
      <c r="P1011" s="77"/>
      <c r="Q1011" s="225"/>
      <c r="W1011" s="142"/>
      <c r="X1011" s="142"/>
      <c r="Y1011" s="142"/>
      <c r="Z1011" s="142"/>
      <c r="AA1011" s="142"/>
      <c r="AB1011" s="142"/>
      <c r="AC1011" s="142"/>
      <c r="AD1011" s="142"/>
      <c r="AE1011" s="142"/>
    </row>
    <row r="1012" ht="15.75" hidden="1" customHeight="1">
      <c r="A1012" s="64"/>
      <c r="B1012" s="64"/>
      <c r="C1012" s="220"/>
      <c r="D1012" s="64"/>
      <c r="E1012" s="221"/>
      <c r="F1012" s="213"/>
      <c r="G1012" s="213"/>
      <c r="H1012" s="213"/>
      <c r="I1012" s="214"/>
      <c r="J1012" s="222"/>
      <c r="K1012" s="223"/>
      <c r="L1012" s="223"/>
      <c r="N1012" s="217"/>
      <c r="O1012" s="77"/>
      <c r="P1012" s="77"/>
      <c r="Q1012" s="225"/>
      <c r="AF1012" s="142"/>
      <c r="AG1012" s="142"/>
      <c r="AH1012" s="142"/>
    </row>
    <row r="1013" ht="15.75" hidden="1" customHeight="1">
      <c r="A1013" s="64"/>
      <c r="B1013" s="64"/>
      <c r="C1013" s="220"/>
      <c r="D1013" s="64"/>
      <c r="E1013" s="221"/>
      <c r="F1013" s="213"/>
      <c r="G1013" s="213"/>
      <c r="H1013" s="213"/>
      <c r="I1013" s="214"/>
      <c r="J1013" s="222"/>
      <c r="K1013" s="223"/>
      <c r="L1013" s="223"/>
      <c r="N1013" s="217"/>
      <c r="O1013" s="77"/>
      <c r="P1013" s="77"/>
      <c r="Q1013" s="225"/>
    </row>
    <row r="1014" ht="15.75" hidden="1" customHeight="1">
      <c r="A1014" s="64"/>
      <c r="B1014" s="64"/>
      <c r="C1014" s="220"/>
      <c r="D1014" s="64"/>
      <c r="E1014" s="221"/>
      <c r="F1014" s="213"/>
      <c r="G1014" s="213"/>
      <c r="H1014" s="213"/>
      <c r="I1014" s="214"/>
      <c r="J1014" s="222"/>
      <c r="K1014" s="223"/>
      <c r="L1014" s="223"/>
      <c r="N1014" s="217"/>
      <c r="O1014" s="77"/>
      <c r="P1014" s="77"/>
      <c r="Q1014" s="225"/>
    </row>
    <row r="1015" ht="15.75" hidden="1" customHeight="1">
      <c r="A1015" s="64"/>
      <c r="B1015" s="64"/>
      <c r="C1015" s="220"/>
      <c r="D1015" s="64"/>
      <c r="E1015" s="221"/>
      <c r="F1015" s="213"/>
      <c r="G1015" s="213"/>
      <c r="H1015" s="213"/>
      <c r="I1015" s="214"/>
      <c r="J1015" s="222"/>
      <c r="K1015" s="223"/>
      <c r="L1015" s="223"/>
      <c r="N1015" s="217"/>
      <c r="O1015" s="87"/>
      <c r="P1015" s="87"/>
      <c r="Q1015" s="227"/>
    </row>
    <row r="1016" ht="15.75" hidden="1" customHeight="1">
      <c r="A1016" s="64"/>
      <c r="B1016" s="64"/>
      <c r="C1016" s="220"/>
      <c r="D1016" s="64"/>
      <c r="E1016" s="221"/>
      <c r="F1016" s="213"/>
      <c r="G1016" s="213"/>
      <c r="H1016" s="213"/>
      <c r="I1016" s="214"/>
      <c r="J1016" s="222"/>
      <c r="K1016" s="223"/>
      <c r="L1016" s="223"/>
      <c r="N1016" s="217"/>
      <c r="O1016" s="77"/>
      <c r="P1016" s="77"/>
      <c r="Q1016" s="227"/>
    </row>
    <row r="1017" ht="15.75" hidden="1" customHeight="1">
      <c r="A1017" s="64"/>
      <c r="B1017" s="64"/>
      <c r="C1017" s="220"/>
      <c r="D1017" s="64"/>
      <c r="E1017" s="221"/>
      <c r="F1017" s="213"/>
      <c r="G1017" s="213"/>
      <c r="H1017" s="213"/>
      <c r="I1017" s="214"/>
      <c r="J1017" s="222"/>
      <c r="K1017" s="223"/>
      <c r="L1017" s="223"/>
      <c r="N1017" s="217"/>
      <c r="O1017" s="77"/>
      <c r="P1017" s="77"/>
      <c r="Q1017" s="225"/>
    </row>
    <row r="1018" ht="15.75" hidden="1" customHeight="1">
      <c r="A1018" s="64"/>
      <c r="B1018" s="64"/>
      <c r="C1018" s="220"/>
      <c r="D1018" s="64"/>
      <c r="E1018" s="221"/>
      <c r="F1018" s="213"/>
      <c r="G1018" s="213"/>
      <c r="H1018" s="213"/>
      <c r="I1018" s="214"/>
      <c r="J1018" s="222"/>
      <c r="K1018" s="223"/>
      <c r="L1018" s="223"/>
      <c r="N1018" s="307"/>
      <c r="O1018" s="77"/>
      <c r="P1018" s="77"/>
      <c r="Q1018" s="225"/>
    </row>
    <row r="1019" ht="15.75" hidden="1" customHeight="1">
      <c r="A1019" s="64"/>
      <c r="B1019" s="64"/>
      <c r="C1019" s="220"/>
      <c r="D1019" s="64"/>
      <c r="E1019" s="221"/>
      <c r="F1019" s="213"/>
      <c r="G1019" s="213"/>
      <c r="H1019" s="213"/>
      <c r="I1019" s="214"/>
      <c r="J1019" s="222"/>
      <c r="K1019" s="65"/>
      <c r="L1019" s="65"/>
      <c r="N1019" s="217"/>
      <c r="O1019" s="77"/>
      <c r="P1019" s="77"/>
      <c r="Q1019" s="225"/>
    </row>
    <row r="1020" ht="15.75" hidden="1" customHeight="1">
      <c r="A1020" s="64"/>
      <c r="B1020" s="64"/>
      <c r="C1020" s="220"/>
      <c r="D1020" s="64"/>
      <c r="E1020" s="221"/>
      <c r="F1020" s="213"/>
      <c r="G1020" s="213"/>
      <c r="H1020" s="213"/>
      <c r="I1020" s="214"/>
      <c r="J1020" s="222"/>
      <c r="K1020" s="223"/>
      <c r="L1020" s="223"/>
      <c r="N1020" s="217"/>
      <c r="O1020" s="77"/>
      <c r="P1020" s="77"/>
      <c r="Q1020" s="225"/>
    </row>
    <row r="1021" ht="15.75" hidden="1" customHeight="1">
      <c r="A1021" s="64"/>
      <c r="B1021" s="64"/>
      <c r="C1021" s="220"/>
      <c r="D1021" s="64"/>
      <c r="E1021" s="221"/>
      <c r="F1021" s="213"/>
      <c r="G1021" s="213"/>
      <c r="H1021" s="213"/>
      <c r="I1021" s="214"/>
      <c r="J1021" s="222"/>
      <c r="K1021" s="223"/>
      <c r="L1021" s="223"/>
      <c r="N1021" s="217"/>
      <c r="O1021" s="77"/>
      <c r="P1021" s="77"/>
      <c r="Q1021" s="225"/>
    </row>
    <row r="1022" ht="15.75" hidden="1" customHeight="1">
      <c r="A1022" s="64"/>
      <c r="B1022" s="64"/>
      <c r="C1022" s="220"/>
      <c r="D1022" s="64"/>
      <c r="E1022" s="221"/>
      <c r="F1022" s="213"/>
      <c r="G1022" s="213"/>
      <c r="H1022" s="213"/>
      <c r="I1022" s="214"/>
      <c r="J1022" s="222"/>
      <c r="K1022" s="223"/>
      <c r="L1022" s="223"/>
      <c r="N1022" s="217"/>
      <c r="O1022" s="77"/>
      <c r="P1022" s="77"/>
      <c r="Q1022" s="225"/>
    </row>
    <row r="1023" ht="15.75" hidden="1" customHeight="1">
      <c r="A1023" s="64"/>
      <c r="B1023" s="64"/>
      <c r="C1023" s="220"/>
      <c r="D1023" s="64"/>
      <c r="E1023" s="221"/>
      <c r="F1023" s="213"/>
      <c r="G1023" s="213"/>
      <c r="H1023" s="213"/>
      <c r="I1023" s="214"/>
      <c r="J1023" s="222"/>
      <c r="K1023" s="223"/>
      <c r="L1023" s="223"/>
      <c r="N1023" s="217"/>
      <c r="O1023" s="77"/>
      <c r="P1023" s="77"/>
      <c r="Q1023" s="227"/>
    </row>
    <row r="1024" ht="15.75" hidden="1" customHeight="1">
      <c r="A1024" s="64"/>
      <c r="B1024" s="64"/>
      <c r="C1024" s="220"/>
      <c r="D1024" s="64"/>
      <c r="E1024" s="221"/>
      <c r="F1024" s="213"/>
      <c r="G1024" s="213"/>
      <c r="H1024" s="213"/>
      <c r="I1024" s="214"/>
      <c r="J1024" s="222"/>
      <c r="K1024" s="223"/>
      <c r="L1024" s="223"/>
      <c r="N1024" s="307"/>
      <c r="O1024" s="77"/>
      <c r="P1024" s="77"/>
      <c r="Q1024" s="225"/>
    </row>
    <row r="1025" ht="15.75" hidden="1" customHeight="1">
      <c r="A1025" s="64"/>
      <c r="B1025" s="64"/>
      <c r="C1025" s="220"/>
      <c r="D1025" s="64"/>
      <c r="E1025" s="221"/>
      <c r="F1025" s="213"/>
      <c r="G1025" s="213"/>
      <c r="H1025" s="213"/>
      <c r="I1025" s="214"/>
      <c r="J1025" s="222"/>
      <c r="K1025" s="223"/>
      <c r="L1025" s="223"/>
      <c r="N1025" s="217"/>
      <c r="O1025" s="77"/>
      <c r="P1025" s="77"/>
      <c r="Q1025" s="225"/>
    </row>
    <row r="1026" ht="15.75" hidden="1" customHeight="1">
      <c r="A1026" s="64"/>
      <c r="B1026" s="64"/>
      <c r="C1026" s="220"/>
      <c r="D1026" s="64"/>
      <c r="E1026" s="221"/>
      <c r="F1026" s="213"/>
      <c r="G1026" s="213"/>
      <c r="H1026" s="213"/>
      <c r="I1026" s="214"/>
      <c r="J1026" s="222"/>
      <c r="K1026" s="223"/>
      <c r="L1026" s="223"/>
      <c r="N1026" s="217"/>
      <c r="O1026" s="77"/>
      <c r="P1026" s="77"/>
      <c r="Q1026" s="225"/>
    </row>
    <row r="1027" ht="15.75" hidden="1" customHeight="1">
      <c r="A1027" s="64"/>
      <c r="B1027" s="64"/>
      <c r="C1027" s="220"/>
      <c r="D1027" s="64"/>
      <c r="E1027" s="221"/>
      <c r="F1027" s="213"/>
      <c r="G1027" s="213"/>
      <c r="H1027" s="213"/>
      <c r="I1027" s="214"/>
      <c r="J1027" s="222"/>
      <c r="K1027" s="223"/>
      <c r="L1027" s="223"/>
      <c r="N1027" s="217"/>
      <c r="O1027" s="77"/>
      <c r="P1027" s="77"/>
      <c r="Q1027" s="225"/>
    </row>
    <row r="1028" ht="15.75" hidden="1" customHeight="1">
      <c r="A1028" s="64"/>
      <c r="B1028" s="64"/>
      <c r="C1028" s="220"/>
      <c r="D1028" s="64"/>
      <c r="E1028" s="221"/>
      <c r="F1028" s="213"/>
      <c r="G1028" s="213"/>
      <c r="H1028" s="213"/>
      <c r="I1028" s="214"/>
      <c r="J1028" s="222"/>
      <c r="K1028" s="223"/>
      <c r="L1028" s="223"/>
      <c r="N1028" s="217"/>
      <c r="O1028" s="77"/>
      <c r="P1028" s="77"/>
      <c r="Q1028" s="225"/>
    </row>
    <row r="1029" ht="15.75" hidden="1" customHeight="1">
      <c r="A1029" s="64"/>
      <c r="B1029" s="64"/>
      <c r="C1029" s="220"/>
      <c r="D1029" s="64"/>
      <c r="E1029" s="221"/>
      <c r="F1029" s="213"/>
      <c r="G1029" s="213"/>
      <c r="H1029" s="213"/>
      <c r="I1029" s="214"/>
      <c r="J1029" s="222"/>
      <c r="K1029" s="223"/>
      <c r="L1029" s="223"/>
      <c r="N1029" s="217"/>
      <c r="O1029" s="77"/>
      <c r="P1029" s="77"/>
      <c r="Q1029" s="225"/>
    </row>
    <row r="1030" ht="15.75" hidden="1" customHeight="1">
      <c r="A1030" s="64"/>
      <c r="B1030" s="64"/>
      <c r="C1030" s="220"/>
      <c r="D1030" s="64"/>
      <c r="E1030" s="221"/>
      <c r="F1030" s="213"/>
      <c r="G1030" s="213"/>
      <c r="H1030" s="213"/>
      <c r="I1030" s="214"/>
      <c r="J1030" s="222"/>
      <c r="K1030" s="223"/>
      <c r="L1030" s="223"/>
      <c r="N1030" s="217"/>
      <c r="O1030" s="77"/>
      <c r="P1030" s="77"/>
      <c r="Q1030" s="225"/>
    </row>
    <row r="1031" ht="15.75" hidden="1" customHeight="1">
      <c r="A1031" s="64"/>
      <c r="B1031" s="64"/>
      <c r="C1031" s="220"/>
      <c r="D1031" s="64"/>
      <c r="E1031" s="221"/>
      <c r="F1031" s="213"/>
      <c r="G1031" s="213"/>
      <c r="H1031" s="213"/>
      <c r="I1031" s="214"/>
      <c r="J1031" s="222"/>
      <c r="K1031" s="223"/>
      <c r="L1031" s="223"/>
      <c r="N1031" s="217"/>
      <c r="O1031" s="77"/>
      <c r="P1031" s="77"/>
      <c r="Q1031" s="225"/>
    </row>
    <row r="1032" ht="15.75" hidden="1" customHeight="1">
      <c r="A1032" s="64"/>
      <c r="B1032" s="64"/>
      <c r="C1032" s="220"/>
      <c r="D1032" s="64"/>
      <c r="E1032" s="221"/>
      <c r="F1032" s="213"/>
      <c r="G1032" s="213"/>
      <c r="H1032" s="213"/>
      <c r="I1032" s="214"/>
      <c r="J1032" s="222"/>
      <c r="K1032" s="223"/>
      <c r="L1032" s="223"/>
      <c r="N1032" s="217"/>
      <c r="O1032" s="77"/>
      <c r="P1032" s="77"/>
      <c r="Q1032" s="225"/>
    </row>
    <row r="1033" ht="15.75" hidden="1" customHeight="1">
      <c r="A1033" s="64"/>
      <c r="B1033" s="64"/>
      <c r="C1033" s="220"/>
      <c r="D1033" s="64"/>
      <c r="E1033" s="221"/>
      <c r="F1033" s="213"/>
      <c r="G1033" s="213"/>
      <c r="H1033" s="213"/>
      <c r="I1033" s="214"/>
      <c r="J1033" s="222"/>
      <c r="K1033" s="223"/>
      <c r="L1033" s="223"/>
      <c r="N1033" s="307"/>
      <c r="O1033" s="77"/>
      <c r="P1033" s="77"/>
      <c r="Q1033" s="225"/>
    </row>
    <row r="1034" ht="15.75" hidden="1" customHeight="1">
      <c r="A1034" s="64"/>
      <c r="B1034" s="64"/>
      <c r="C1034" s="220"/>
      <c r="D1034" s="64"/>
      <c r="E1034" s="221"/>
      <c r="F1034" s="213"/>
      <c r="G1034" s="213"/>
      <c r="H1034" s="213"/>
      <c r="I1034" s="214"/>
      <c r="J1034" s="222"/>
      <c r="K1034" s="223"/>
      <c r="L1034" s="223"/>
      <c r="N1034" s="217"/>
      <c r="O1034" s="77"/>
      <c r="P1034" s="77"/>
      <c r="Q1034" s="225"/>
    </row>
    <row r="1035" ht="15.75" hidden="1" customHeight="1">
      <c r="A1035" s="64"/>
      <c r="B1035" s="64"/>
      <c r="C1035" s="220"/>
      <c r="D1035" s="64"/>
      <c r="E1035" s="221"/>
      <c r="F1035" s="213"/>
      <c r="G1035" s="213"/>
      <c r="H1035" s="213"/>
      <c r="I1035" s="214"/>
      <c r="J1035" s="222"/>
      <c r="K1035" s="223"/>
      <c r="L1035" s="223"/>
      <c r="N1035" s="217"/>
      <c r="O1035" s="77"/>
      <c r="P1035" s="77"/>
      <c r="Q1035" s="225"/>
    </row>
    <row r="1036" ht="15.75" hidden="1" customHeight="1">
      <c r="A1036" s="64"/>
      <c r="B1036" s="64"/>
      <c r="C1036" s="220"/>
      <c r="D1036" s="64"/>
      <c r="E1036" s="221"/>
      <c r="F1036" s="213"/>
      <c r="G1036" s="213"/>
      <c r="H1036" s="213"/>
      <c r="I1036" s="214"/>
      <c r="J1036" s="222"/>
      <c r="K1036" s="223"/>
      <c r="L1036" s="223"/>
      <c r="N1036" s="217"/>
      <c r="O1036" s="77"/>
      <c r="P1036" s="77"/>
      <c r="Q1036" s="225"/>
    </row>
    <row r="1037" ht="15.75" hidden="1" customHeight="1">
      <c r="A1037" s="64"/>
      <c r="B1037" s="64"/>
      <c r="C1037" s="220"/>
      <c r="D1037" s="64"/>
      <c r="E1037" s="221"/>
      <c r="F1037" s="213"/>
      <c r="G1037" s="213"/>
      <c r="H1037" s="213"/>
      <c r="I1037" s="214"/>
      <c r="J1037" s="222"/>
      <c r="K1037" s="223"/>
      <c r="L1037" s="223"/>
      <c r="N1037" s="217"/>
      <c r="O1037" s="87"/>
      <c r="P1037" s="87"/>
      <c r="Q1037" s="227"/>
    </row>
    <row r="1038" ht="15.75" hidden="1" customHeight="1">
      <c r="A1038" s="64"/>
      <c r="B1038" s="64"/>
      <c r="C1038" s="220"/>
      <c r="D1038" s="64"/>
      <c r="E1038" s="221"/>
      <c r="F1038" s="213"/>
      <c r="G1038" s="213"/>
      <c r="H1038" s="213"/>
      <c r="I1038" s="214"/>
      <c r="J1038" s="222"/>
      <c r="K1038" s="223"/>
      <c r="L1038" s="223"/>
      <c r="N1038" s="217"/>
      <c r="O1038" s="77"/>
      <c r="P1038" s="77"/>
      <c r="Q1038" s="227"/>
    </row>
    <row r="1039" ht="15.75" hidden="1" customHeight="1">
      <c r="A1039" s="64"/>
      <c r="B1039" s="64"/>
      <c r="C1039" s="220"/>
      <c r="D1039" s="64"/>
      <c r="E1039" s="221"/>
      <c r="F1039" s="213"/>
      <c r="G1039" s="213"/>
      <c r="H1039" s="213"/>
      <c r="I1039" s="214"/>
      <c r="J1039" s="222"/>
      <c r="K1039" s="223"/>
      <c r="L1039" s="223"/>
      <c r="N1039" s="217"/>
      <c r="O1039" s="77"/>
      <c r="P1039" s="77"/>
      <c r="Q1039" s="225"/>
    </row>
    <row r="1040" ht="15.75" hidden="1" customHeight="1">
      <c r="A1040" s="64"/>
      <c r="B1040" s="64"/>
      <c r="C1040" s="220"/>
      <c r="D1040" s="64"/>
      <c r="E1040" s="221"/>
      <c r="F1040" s="213"/>
      <c r="G1040" s="213"/>
      <c r="H1040" s="213"/>
      <c r="I1040" s="214"/>
      <c r="J1040" s="222"/>
      <c r="K1040" s="223"/>
      <c r="L1040" s="223"/>
      <c r="N1040" s="217"/>
      <c r="O1040" s="77"/>
      <c r="P1040" s="77"/>
      <c r="Q1040" s="227"/>
    </row>
    <row r="1041" ht="15.75" hidden="1" customHeight="1">
      <c r="A1041" s="64"/>
      <c r="B1041" s="64"/>
      <c r="C1041" s="220"/>
      <c r="D1041" s="64"/>
      <c r="E1041" s="221"/>
      <c r="F1041" s="213"/>
      <c r="G1041" s="213"/>
      <c r="H1041" s="213"/>
      <c r="I1041" s="214"/>
      <c r="J1041" s="222"/>
      <c r="K1041" s="223"/>
      <c r="L1041" s="223"/>
      <c r="N1041" s="217"/>
      <c r="O1041" s="77"/>
      <c r="P1041" s="77"/>
      <c r="Q1041" s="225"/>
      <c r="R1041" s="142"/>
      <c r="S1041" s="142"/>
      <c r="T1041" s="142"/>
      <c r="U1041" s="142"/>
      <c r="V1041" s="142"/>
      <c r="W1041" s="142"/>
      <c r="X1041" s="142"/>
      <c r="Y1041" s="142"/>
      <c r="Z1041" s="142"/>
      <c r="AA1041" s="142"/>
      <c r="AB1041" s="142"/>
      <c r="AC1041" s="142"/>
      <c r="AD1041" s="142"/>
      <c r="AE1041" s="142"/>
      <c r="AF1041" s="142"/>
      <c r="AG1041" s="142"/>
      <c r="AH1041" s="142"/>
    </row>
    <row r="1042" ht="15.75" hidden="1" customHeight="1">
      <c r="A1042" s="64"/>
      <c r="B1042" s="64"/>
      <c r="C1042" s="220"/>
      <c r="D1042" s="64"/>
      <c r="E1042" s="221"/>
      <c r="F1042" s="213"/>
      <c r="G1042" s="213"/>
      <c r="H1042" s="213"/>
      <c r="I1042" s="214"/>
      <c r="J1042" s="222"/>
      <c r="K1042" s="223"/>
      <c r="L1042" s="223"/>
      <c r="N1042" s="217"/>
      <c r="O1042" s="77"/>
      <c r="P1042" s="77"/>
      <c r="Q1042" s="225"/>
    </row>
    <row r="1043" ht="15.75" hidden="1" customHeight="1">
      <c r="A1043" s="64"/>
      <c r="B1043" s="64"/>
      <c r="C1043" s="220"/>
      <c r="D1043" s="64"/>
      <c r="E1043" s="221"/>
      <c r="F1043" s="213"/>
      <c r="G1043" s="213"/>
      <c r="H1043" s="213"/>
      <c r="I1043" s="214"/>
      <c r="J1043" s="222"/>
      <c r="K1043" s="223"/>
      <c r="L1043" s="223"/>
      <c r="N1043" s="217"/>
      <c r="O1043" s="77"/>
      <c r="P1043" s="77"/>
      <c r="Q1043" s="225"/>
    </row>
    <row r="1044" ht="15.75" hidden="1" customHeight="1">
      <c r="A1044" s="64"/>
      <c r="B1044" s="64"/>
      <c r="C1044" s="220"/>
      <c r="D1044" s="64"/>
      <c r="E1044" s="221"/>
      <c r="F1044" s="213"/>
      <c r="G1044" s="213"/>
      <c r="H1044" s="213"/>
      <c r="I1044" s="214"/>
      <c r="J1044" s="222"/>
      <c r="K1044" s="223"/>
      <c r="L1044" s="223"/>
      <c r="N1044" s="217"/>
      <c r="O1044" s="77"/>
      <c r="P1044" s="77"/>
      <c r="Q1044" s="225"/>
    </row>
    <row r="1045" ht="15.75" hidden="1" customHeight="1">
      <c r="A1045" s="64"/>
      <c r="B1045" s="64"/>
      <c r="C1045" s="220"/>
      <c r="D1045" s="64"/>
      <c r="E1045" s="221"/>
      <c r="F1045" s="213"/>
      <c r="G1045" s="213"/>
      <c r="H1045" s="213"/>
      <c r="I1045" s="214"/>
      <c r="J1045" s="222"/>
      <c r="K1045" s="223"/>
      <c r="L1045" s="223"/>
      <c r="N1045" s="217"/>
      <c r="O1045" s="77"/>
      <c r="P1045" s="77"/>
      <c r="Q1045" s="225"/>
    </row>
    <row r="1046" ht="15.75" hidden="1" customHeight="1">
      <c r="A1046" s="64"/>
      <c r="B1046" s="64"/>
      <c r="C1046" s="220"/>
      <c r="D1046" s="64"/>
      <c r="E1046" s="221"/>
      <c r="F1046" s="213"/>
      <c r="G1046" s="213"/>
      <c r="H1046" s="213"/>
      <c r="I1046" s="214"/>
      <c r="J1046" s="222"/>
      <c r="K1046" s="223"/>
      <c r="L1046" s="223"/>
      <c r="N1046" s="217"/>
      <c r="O1046" s="77"/>
      <c r="P1046" s="77"/>
      <c r="Q1046" s="225"/>
    </row>
    <row r="1047" ht="15.75" hidden="1" customHeight="1">
      <c r="A1047" s="64"/>
      <c r="B1047" s="64"/>
      <c r="C1047" s="220"/>
      <c r="D1047" s="64"/>
      <c r="E1047" s="221"/>
      <c r="F1047" s="213"/>
      <c r="G1047" s="213"/>
      <c r="H1047" s="213"/>
      <c r="I1047" s="214"/>
      <c r="J1047" s="222"/>
      <c r="K1047" s="223"/>
      <c r="L1047" s="223"/>
      <c r="N1047" s="217"/>
      <c r="O1047" s="77"/>
      <c r="P1047" s="77"/>
      <c r="Q1047" s="225"/>
    </row>
    <row r="1048" ht="15.75" hidden="1" customHeight="1">
      <c r="A1048" s="64"/>
      <c r="B1048" s="64"/>
      <c r="C1048" s="220"/>
      <c r="D1048" s="64"/>
      <c r="E1048" s="221"/>
      <c r="F1048" s="213"/>
      <c r="G1048" s="213"/>
      <c r="H1048" s="213"/>
      <c r="I1048" s="214"/>
      <c r="J1048" s="222"/>
      <c r="K1048" s="223"/>
      <c r="L1048" s="223"/>
      <c r="N1048" s="217"/>
      <c r="O1048" s="77"/>
      <c r="P1048" s="77"/>
      <c r="Q1048" s="225"/>
    </row>
    <row r="1049" ht="15.75" hidden="1" customHeight="1">
      <c r="A1049" s="64"/>
      <c r="B1049" s="64"/>
      <c r="C1049" s="220"/>
      <c r="D1049" s="64"/>
      <c r="E1049" s="221"/>
      <c r="F1049" s="213"/>
      <c r="G1049" s="213"/>
      <c r="H1049" s="213"/>
      <c r="I1049" s="214"/>
      <c r="J1049" s="222"/>
      <c r="K1049" s="223"/>
      <c r="L1049" s="223"/>
      <c r="N1049" s="217"/>
      <c r="O1049" s="77"/>
      <c r="P1049" s="77"/>
      <c r="Q1049" s="227"/>
    </row>
    <row r="1050" ht="15.75" hidden="1" customHeight="1">
      <c r="A1050" s="64"/>
      <c r="B1050" s="64"/>
      <c r="C1050" s="220"/>
      <c r="D1050" s="64"/>
      <c r="E1050" s="221"/>
      <c r="F1050" s="213"/>
      <c r="G1050" s="213"/>
      <c r="H1050" s="213"/>
      <c r="I1050" s="214"/>
      <c r="J1050" s="222"/>
      <c r="K1050" s="223"/>
      <c r="L1050" s="223"/>
      <c r="N1050" s="217"/>
      <c r="O1050" s="77"/>
      <c r="P1050" s="77"/>
      <c r="Q1050" s="225"/>
    </row>
    <row r="1051" ht="15.75" hidden="1" customHeight="1">
      <c r="A1051" s="64"/>
      <c r="B1051" s="64"/>
      <c r="C1051" s="220"/>
      <c r="D1051" s="64"/>
      <c r="E1051" s="221"/>
      <c r="F1051" s="213"/>
      <c r="G1051" s="213"/>
      <c r="H1051" s="213"/>
      <c r="I1051" s="214"/>
      <c r="J1051" s="222"/>
      <c r="K1051" s="223"/>
      <c r="L1051" s="223"/>
      <c r="N1051" s="217"/>
      <c r="O1051" s="77"/>
      <c r="P1051" s="77"/>
      <c r="Q1051" s="227"/>
    </row>
    <row r="1052" ht="15.75" hidden="1" customHeight="1">
      <c r="A1052" s="64"/>
      <c r="B1052" s="64"/>
      <c r="C1052" s="220"/>
      <c r="D1052" s="64"/>
      <c r="E1052" s="221"/>
      <c r="F1052" s="213"/>
      <c r="G1052" s="213"/>
      <c r="H1052" s="213"/>
      <c r="I1052" s="214"/>
      <c r="J1052" s="222"/>
      <c r="K1052" s="223"/>
      <c r="L1052" s="223"/>
      <c r="N1052" s="217"/>
      <c r="O1052" s="77"/>
      <c r="P1052" s="77"/>
      <c r="Q1052" s="225"/>
    </row>
    <row r="1053" ht="15.75" hidden="1" customHeight="1">
      <c r="A1053" s="64"/>
      <c r="B1053" s="64"/>
      <c r="C1053" s="220"/>
      <c r="D1053" s="64"/>
      <c r="E1053" s="221"/>
      <c r="F1053" s="213"/>
      <c r="G1053" s="213"/>
      <c r="H1053" s="213"/>
      <c r="I1053" s="214"/>
      <c r="J1053" s="222"/>
      <c r="K1053" s="223"/>
      <c r="L1053" s="223"/>
      <c r="N1053" s="217"/>
      <c r="O1053" s="77"/>
      <c r="P1053" s="77"/>
      <c r="Q1053" s="225"/>
    </row>
    <row r="1054" ht="15.0" hidden="1" customHeight="1">
      <c r="A1054" s="64"/>
      <c r="B1054" s="64"/>
      <c r="C1054" s="220"/>
      <c r="D1054" s="64"/>
      <c r="E1054" s="221"/>
      <c r="F1054" s="213"/>
      <c r="G1054" s="213"/>
      <c r="H1054" s="213"/>
      <c r="I1054" s="214"/>
      <c r="J1054" s="222"/>
      <c r="K1054" s="223"/>
      <c r="L1054" s="223"/>
      <c r="N1054" s="217"/>
      <c r="O1054" s="77"/>
      <c r="P1054" s="77"/>
      <c r="Q1054" s="227"/>
      <c r="R1054" s="142"/>
      <c r="S1054" s="142"/>
      <c r="T1054" s="142"/>
      <c r="U1054" s="142"/>
      <c r="V1054" s="142"/>
      <c r="W1054" s="142"/>
      <c r="X1054" s="142"/>
      <c r="Y1054" s="142"/>
      <c r="Z1054" s="142"/>
      <c r="AA1054" s="142"/>
      <c r="AB1054" s="142"/>
      <c r="AC1054" s="142"/>
      <c r="AD1054" s="142"/>
      <c r="AE1054" s="142"/>
      <c r="AF1054" s="142"/>
      <c r="AG1054" s="142"/>
      <c r="AH1054" s="142"/>
    </row>
    <row r="1055" ht="15.75" hidden="1" customHeight="1">
      <c r="A1055" s="493"/>
      <c r="B1055" s="493"/>
      <c r="C1055" s="494"/>
      <c r="D1055" s="493"/>
      <c r="E1055" s="495"/>
      <c r="F1055" s="496"/>
      <c r="G1055" s="496"/>
      <c r="H1055" s="496"/>
      <c r="I1055" s="214"/>
      <c r="J1055" s="222"/>
      <c r="K1055" s="223"/>
      <c r="L1055" s="223"/>
      <c r="M1055" s="497"/>
      <c r="N1055" s="236"/>
      <c r="O1055" s="498"/>
      <c r="P1055" s="498"/>
    </row>
    <row r="1056" ht="15.75" hidden="1" customHeight="1">
      <c r="A1056" s="64"/>
      <c r="B1056" s="390"/>
      <c r="C1056" s="391"/>
      <c r="D1056" s="390"/>
      <c r="E1056" s="434"/>
      <c r="F1056" s="435"/>
      <c r="G1056" s="435"/>
      <c r="H1056" s="435"/>
      <c r="I1056" s="214"/>
      <c r="J1056" s="499"/>
      <c r="K1056" s="500"/>
      <c r="L1056" s="500"/>
      <c r="M1056" s="436"/>
      <c r="N1056" s="236"/>
      <c r="O1056" s="332"/>
      <c r="P1056" s="332"/>
      <c r="Q1056" s="501"/>
    </row>
    <row r="1057" ht="15.75" hidden="1" customHeight="1">
      <c r="A1057" s="142"/>
      <c r="B1057" s="142"/>
      <c r="C1057" s="220"/>
      <c r="D1057" s="142"/>
      <c r="E1057" s="220"/>
      <c r="F1057" s="213"/>
      <c r="G1057" s="213"/>
      <c r="H1057" s="213"/>
      <c r="I1057" s="214"/>
      <c r="J1057" s="222"/>
      <c r="K1057" s="65"/>
      <c r="L1057" s="65"/>
      <c r="M1057" s="142"/>
      <c r="N1057" s="217"/>
      <c r="O1057" s="77"/>
      <c r="P1057" s="195"/>
      <c r="Q1057" s="227"/>
    </row>
    <row r="1058" ht="15.75" hidden="1" customHeight="1">
      <c r="A1058" s="142"/>
      <c r="B1058" s="142"/>
      <c r="C1058" s="220"/>
      <c r="D1058" s="142"/>
      <c r="E1058" s="220"/>
      <c r="F1058" s="213"/>
      <c r="G1058" s="213"/>
      <c r="H1058" s="213"/>
      <c r="I1058" s="214"/>
      <c r="J1058" s="222"/>
      <c r="K1058" s="65"/>
      <c r="L1058" s="65"/>
      <c r="M1058" s="142"/>
      <c r="N1058" s="217"/>
      <c r="O1058" s="77"/>
      <c r="P1058" s="195"/>
      <c r="Q1058" s="227"/>
    </row>
    <row r="1059" ht="15.75" hidden="1" customHeight="1">
      <c r="A1059" s="142"/>
      <c r="B1059" s="142"/>
      <c r="C1059" s="220"/>
      <c r="D1059" s="142"/>
      <c r="E1059" s="220"/>
      <c r="F1059" s="213"/>
      <c r="G1059" s="213"/>
      <c r="H1059" s="213"/>
      <c r="I1059" s="214"/>
      <c r="J1059" s="222"/>
      <c r="K1059" s="65"/>
      <c r="L1059" s="65"/>
      <c r="M1059" s="142"/>
      <c r="N1059" s="217"/>
      <c r="O1059" s="77"/>
      <c r="P1059" s="195"/>
      <c r="Q1059" s="227"/>
    </row>
    <row r="1060" ht="15.75" hidden="1" customHeight="1">
      <c r="A1060" s="142"/>
      <c r="B1060" s="142"/>
      <c r="C1060" s="220"/>
      <c r="D1060" s="142"/>
      <c r="E1060" s="220"/>
      <c r="F1060" s="213"/>
      <c r="G1060" s="213"/>
      <c r="H1060" s="213"/>
      <c r="I1060" s="214"/>
      <c r="J1060" s="222"/>
      <c r="K1060" s="65"/>
      <c r="L1060" s="65"/>
      <c r="M1060" s="142"/>
      <c r="N1060" s="217"/>
      <c r="O1060" s="77"/>
      <c r="P1060" s="195"/>
      <c r="Q1060" s="227"/>
    </row>
    <row r="1061" ht="15.75" hidden="1" customHeight="1">
      <c r="A1061" s="142"/>
      <c r="B1061" s="142"/>
      <c r="C1061" s="220"/>
      <c r="D1061" s="142"/>
      <c r="E1061" s="220"/>
      <c r="F1061" s="213"/>
      <c r="G1061" s="213"/>
      <c r="H1061" s="213"/>
      <c r="I1061" s="214"/>
      <c r="J1061" s="222"/>
      <c r="K1061" s="65"/>
      <c r="L1061" s="65"/>
      <c r="M1061" s="142"/>
      <c r="N1061" s="217"/>
      <c r="O1061" s="77"/>
      <c r="P1061" s="195"/>
      <c r="Q1061" s="227"/>
      <c r="R1061" s="142"/>
      <c r="S1061" s="142"/>
      <c r="T1061" s="142"/>
      <c r="U1061" s="142"/>
      <c r="V1061" s="142"/>
      <c r="W1061" s="142"/>
      <c r="X1061" s="142"/>
      <c r="Y1061" s="142"/>
      <c r="Z1061" s="142"/>
      <c r="AA1061" s="142"/>
      <c r="AB1061" s="142"/>
      <c r="AC1061" s="142"/>
      <c r="AD1061" s="142"/>
      <c r="AE1061" s="142"/>
      <c r="AF1061" s="142"/>
      <c r="AG1061" s="142"/>
      <c r="AH1061" s="142"/>
    </row>
    <row r="1062" ht="15.75" hidden="1" customHeight="1">
      <c r="A1062" s="142"/>
      <c r="B1062" s="142"/>
      <c r="C1062" s="220"/>
      <c r="D1062" s="142"/>
      <c r="E1062" s="220"/>
      <c r="F1062" s="213"/>
      <c r="G1062" s="213"/>
      <c r="H1062" s="213"/>
      <c r="I1062" s="214"/>
      <c r="J1062" s="222"/>
      <c r="K1062" s="65"/>
      <c r="L1062" s="65"/>
      <c r="M1062" s="142"/>
      <c r="N1062" s="217"/>
      <c r="O1062" s="77"/>
      <c r="P1062" s="195"/>
      <c r="Q1062" s="227"/>
      <c r="R1062" s="142"/>
      <c r="S1062" s="142"/>
      <c r="T1062" s="142"/>
      <c r="U1062" s="142"/>
      <c r="V1062" s="142"/>
      <c r="W1062" s="142"/>
      <c r="X1062" s="142"/>
      <c r="Y1062" s="142"/>
      <c r="Z1062" s="142"/>
      <c r="AA1062" s="142"/>
      <c r="AB1062" s="142"/>
      <c r="AC1062" s="142"/>
      <c r="AD1062" s="142"/>
      <c r="AE1062" s="142"/>
      <c r="AF1062" s="142"/>
      <c r="AG1062" s="142"/>
      <c r="AH1062" s="142"/>
    </row>
    <row r="1063" ht="15.75" hidden="1" customHeight="1">
      <c r="A1063" s="142"/>
      <c r="B1063" s="142"/>
      <c r="C1063" s="220"/>
      <c r="D1063" s="142"/>
      <c r="E1063" s="220"/>
      <c r="F1063" s="213"/>
      <c r="G1063" s="213"/>
      <c r="H1063" s="213"/>
      <c r="I1063" s="214"/>
      <c r="J1063" s="222"/>
      <c r="K1063" s="65"/>
      <c r="L1063" s="65"/>
      <c r="N1063" s="217"/>
      <c r="O1063" s="77"/>
      <c r="P1063" s="195"/>
      <c r="Q1063" s="227"/>
    </row>
    <row r="1064" ht="15.75" hidden="1" customHeight="1">
      <c r="A1064" s="142"/>
      <c r="B1064" s="142"/>
      <c r="C1064" s="220"/>
      <c r="D1064" s="142"/>
      <c r="E1064" s="220"/>
      <c r="F1064" s="213"/>
      <c r="G1064" s="213"/>
      <c r="H1064" s="213"/>
      <c r="I1064" s="214"/>
      <c r="J1064" s="222"/>
      <c r="K1064" s="65"/>
      <c r="L1064" s="65"/>
      <c r="M1064" s="142"/>
      <c r="N1064" s="217"/>
      <c r="O1064" s="77"/>
      <c r="P1064" s="195"/>
      <c r="Q1064" s="227"/>
    </row>
    <row r="1065" ht="15.75" hidden="1" customHeight="1">
      <c r="A1065" s="142"/>
      <c r="B1065" s="142"/>
      <c r="C1065" s="220"/>
      <c r="D1065" s="142"/>
      <c r="E1065" s="220"/>
      <c r="F1065" s="213"/>
      <c r="G1065" s="213"/>
      <c r="H1065" s="213"/>
      <c r="I1065" s="214"/>
      <c r="J1065" s="222"/>
      <c r="K1065" s="65"/>
      <c r="L1065" s="65"/>
      <c r="N1065" s="217"/>
      <c r="O1065" s="77"/>
      <c r="P1065" s="195"/>
      <c r="Q1065" s="227"/>
      <c r="T1065" s="142"/>
    </row>
    <row r="1066" ht="15.75" hidden="1" customHeight="1">
      <c r="A1066" s="142"/>
      <c r="B1066" s="142"/>
      <c r="C1066" s="220"/>
      <c r="D1066" s="142"/>
      <c r="E1066" s="220"/>
      <c r="F1066" s="213"/>
      <c r="G1066" s="213"/>
      <c r="H1066" s="213"/>
      <c r="I1066" s="214"/>
      <c r="J1066" s="222"/>
      <c r="K1066" s="65"/>
      <c r="L1066" s="65"/>
      <c r="N1066" s="217"/>
      <c r="O1066" s="77"/>
      <c r="P1066" s="195"/>
      <c r="Q1066" s="227"/>
      <c r="T1066" s="142"/>
    </row>
    <row r="1067" ht="15.75" hidden="1" customHeight="1">
      <c r="A1067" s="142"/>
      <c r="B1067" s="142"/>
      <c r="C1067" s="220"/>
      <c r="D1067" s="142"/>
      <c r="E1067" s="220"/>
      <c r="F1067" s="213"/>
      <c r="G1067" s="213"/>
      <c r="H1067" s="213"/>
      <c r="I1067" s="214"/>
      <c r="J1067" s="222"/>
      <c r="K1067" s="65"/>
      <c r="L1067" s="65"/>
      <c r="M1067" s="142"/>
      <c r="N1067" s="217"/>
      <c r="O1067" s="77"/>
      <c r="P1067" s="195"/>
      <c r="Q1067" s="227"/>
    </row>
    <row r="1068" ht="15.75" hidden="1" customHeight="1">
      <c r="A1068" s="142"/>
      <c r="B1068" s="142"/>
      <c r="C1068" s="220"/>
      <c r="D1068" s="142"/>
      <c r="E1068" s="220"/>
      <c r="F1068" s="213"/>
      <c r="G1068" s="213"/>
      <c r="H1068" s="213"/>
      <c r="I1068" s="214"/>
      <c r="J1068" s="222"/>
      <c r="K1068" s="65"/>
      <c r="L1068" s="65"/>
      <c r="N1068" s="217"/>
      <c r="O1068" s="77"/>
      <c r="P1068" s="195"/>
      <c r="Q1068" s="227"/>
    </row>
    <row r="1069" ht="15.75" hidden="1" customHeight="1">
      <c r="A1069" s="142"/>
      <c r="B1069" s="142"/>
      <c r="C1069" s="220"/>
      <c r="D1069" s="142"/>
      <c r="E1069" s="220"/>
      <c r="F1069" s="213"/>
      <c r="G1069" s="213"/>
      <c r="H1069" s="213"/>
      <c r="I1069" s="214"/>
      <c r="J1069" s="222"/>
      <c r="K1069" s="65"/>
      <c r="L1069" s="65"/>
      <c r="N1069" s="217"/>
      <c r="O1069" s="77"/>
      <c r="P1069" s="195"/>
      <c r="Q1069" s="227"/>
      <c r="T1069" s="142"/>
    </row>
    <row r="1070" ht="15.75" hidden="1" customHeight="1">
      <c r="A1070" s="142"/>
      <c r="B1070" s="142"/>
      <c r="C1070" s="220"/>
      <c r="D1070" s="142"/>
      <c r="E1070" s="220"/>
      <c r="F1070" s="213"/>
      <c r="G1070" s="213"/>
      <c r="H1070" s="213"/>
      <c r="I1070" s="214"/>
      <c r="J1070" s="222"/>
      <c r="K1070" s="65"/>
      <c r="L1070" s="65"/>
      <c r="M1070" s="142"/>
      <c r="N1070" s="217"/>
      <c r="O1070" s="77"/>
      <c r="P1070" s="195"/>
      <c r="Q1070" s="227"/>
      <c r="T1070" s="142"/>
    </row>
    <row r="1071" ht="15.75" hidden="1" customHeight="1">
      <c r="A1071" s="142"/>
      <c r="B1071" s="142"/>
      <c r="C1071" s="220"/>
      <c r="D1071" s="142"/>
      <c r="E1071" s="220"/>
      <c r="F1071" s="213"/>
      <c r="G1071" s="213"/>
      <c r="H1071" s="213"/>
      <c r="I1071" s="214"/>
      <c r="J1071" s="222"/>
      <c r="K1071" s="65"/>
      <c r="L1071" s="65"/>
      <c r="M1071" s="142"/>
      <c r="N1071" s="217"/>
      <c r="O1071" s="77"/>
      <c r="P1071" s="195"/>
      <c r="Q1071" s="227"/>
    </row>
    <row r="1072" ht="15.75" hidden="1" customHeight="1">
      <c r="A1072" s="142"/>
      <c r="B1072" s="142"/>
      <c r="C1072" s="220"/>
      <c r="D1072" s="142"/>
      <c r="E1072" s="220"/>
      <c r="F1072" s="213"/>
      <c r="G1072" s="213"/>
      <c r="H1072" s="213"/>
      <c r="I1072" s="214"/>
      <c r="J1072" s="222"/>
      <c r="K1072" s="65"/>
      <c r="L1072" s="65"/>
      <c r="N1072" s="217"/>
      <c r="O1072" s="77"/>
      <c r="P1072" s="195"/>
      <c r="Q1072" s="227"/>
      <c r="T1072" s="142"/>
    </row>
    <row r="1073" ht="15.75" hidden="1" customHeight="1">
      <c r="A1073" s="142"/>
      <c r="B1073" s="142"/>
      <c r="C1073" s="220"/>
      <c r="D1073" s="142"/>
      <c r="E1073" s="220"/>
      <c r="F1073" s="213"/>
      <c r="G1073" s="213"/>
      <c r="H1073" s="213"/>
      <c r="I1073" s="214"/>
      <c r="J1073" s="222"/>
      <c r="K1073" s="65"/>
      <c r="L1073" s="65"/>
      <c r="M1073" s="142"/>
      <c r="N1073" s="217"/>
      <c r="O1073" s="77"/>
      <c r="P1073" s="195"/>
      <c r="Q1073" s="227"/>
    </row>
    <row r="1074" ht="15.75" hidden="1" customHeight="1">
      <c r="A1074" s="142"/>
      <c r="B1074" s="142"/>
      <c r="C1074" s="220"/>
      <c r="D1074" s="142"/>
      <c r="E1074" s="220"/>
      <c r="F1074" s="213"/>
      <c r="G1074" s="213"/>
      <c r="H1074" s="213"/>
      <c r="I1074" s="214"/>
      <c r="J1074" s="222"/>
      <c r="K1074" s="65"/>
      <c r="L1074" s="65"/>
      <c r="M1074" s="142"/>
      <c r="N1074" s="217"/>
      <c r="O1074" s="77"/>
      <c r="P1074" s="195"/>
      <c r="Q1074" s="227"/>
    </row>
    <row r="1075" ht="15.75" hidden="1" customHeight="1">
      <c r="A1075" s="142"/>
      <c r="B1075" s="142"/>
      <c r="C1075" s="220"/>
      <c r="D1075" s="142"/>
      <c r="E1075" s="220"/>
      <c r="F1075" s="213"/>
      <c r="G1075" s="213"/>
      <c r="H1075" s="213"/>
      <c r="I1075" s="214"/>
      <c r="J1075" s="222"/>
      <c r="K1075" s="65"/>
      <c r="L1075" s="65"/>
      <c r="N1075" s="217"/>
      <c r="O1075" s="77"/>
      <c r="P1075" s="195"/>
      <c r="Q1075" s="227"/>
      <c r="T1075" s="142"/>
    </row>
    <row r="1076" ht="15.75" hidden="1" customHeight="1">
      <c r="A1076" s="142"/>
      <c r="B1076" s="142"/>
      <c r="C1076" s="220"/>
      <c r="D1076" s="142"/>
      <c r="E1076" s="220"/>
      <c r="F1076" s="213"/>
      <c r="G1076" s="213"/>
      <c r="H1076" s="213"/>
      <c r="I1076" s="214"/>
      <c r="J1076" s="222"/>
      <c r="K1076" s="65"/>
      <c r="L1076" s="65"/>
      <c r="N1076" s="217"/>
      <c r="O1076" s="77"/>
      <c r="P1076" s="195"/>
      <c r="Q1076" s="227"/>
    </row>
    <row r="1077" ht="15.75" hidden="1" customHeight="1">
      <c r="A1077" s="142"/>
      <c r="B1077" s="142"/>
      <c r="C1077" s="220"/>
      <c r="D1077" s="142"/>
      <c r="E1077" s="220"/>
      <c r="F1077" s="213"/>
      <c r="G1077" s="213"/>
      <c r="H1077" s="213"/>
      <c r="I1077" s="214"/>
      <c r="J1077" s="222"/>
      <c r="K1077" s="65"/>
      <c r="L1077" s="65"/>
      <c r="N1077" s="217"/>
      <c r="O1077" s="77"/>
      <c r="P1077" s="195"/>
      <c r="Q1077" s="227"/>
      <c r="T1077" s="142"/>
    </row>
    <row r="1078" ht="15.75" hidden="1" customHeight="1">
      <c r="A1078" s="142"/>
      <c r="B1078" s="142"/>
      <c r="C1078" s="220"/>
      <c r="D1078" s="142"/>
      <c r="E1078" s="220"/>
      <c r="F1078" s="213"/>
      <c r="G1078" s="213"/>
      <c r="H1078" s="213"/>
      <c r="I1078" s="214"/>
      <c r="J1078" s="222"/>
      <c r="K1078" s="65"/>
      <c r="L1078" s="65"/>
      <c r="N1078" s="217"/>
      <c r="O1078" s="77"/>
      <c r="P1078" s="195"/>
      <c r="Q1078" s="227"/>
      <c r="T1078" s="142"/>
    </row>
    <row r="1079" ht="15.75" hidden="1" customHeight="1">
      <c r="A1079" s="142"/>
      <c r="B1079" s="142"/>
      <c r="C1079" s="220"/>
      <c r="D1079" s="142"/>
      <c r="E1079" s="220"/>
      <c r="F1079" s="213"/>
      <c r="G1079" s="213"/>
      <c r="H1079" s="213"/>
      <c r="I1079" s="214"/>
      <c r="J1079" s="222"/>
      <c r="K1079" s="65"/>
      <c r="L1079" s="65"/>
      <c r="M1079" s="142"/>
      <c r="N1079" s="217"/>
      <c r="O1079" s="77"/>
      <c r="P1079" s="195"/>
      <c r="Q1079" s="227"/>
      <c r="R1079" s="142"/>
      <c r="S1079" s="142"/>
      <c r="T1079" s="142"/>
      <c r="U1079" s="142"/>
    </row>
    <row r="1080" ht="15.75" hidden="1" customHeight="1">
      <c r="A1080" s="142"/>
      <c r="B1080" s="142"/>
      <c r="C1080" s="220"/>
      <c r="D1080" s="142"/>
      <c r="E1080" s="220"/>
      <c r="F1080" s="213"/>
      <c r="G1080" s="213"/>
      <c r="H1080" s="213"/>
      <c r="I1080" s="214"/>
      <c r="J1080" s="222"/>
      <c r="K1080" s="65"/>
      <c r="L1080" s="65"/>
      <c r="N1080" s="217"/>
      <c r="O1080" s="77"/>
      <c r="P1080" s="195"/>
      <c r="Q1080" s="77"/>
      <c r="T1080" s="142"/>
    </row>
    <row r="1081" ht="15.75" hidden="1" customHeight="1">
      <c r="A1081" s="142"/>
      <c r="B1081" s="142"/>
      <c r="C1081" s="220"/>
      <c r="D1081" s="142"/>
      <c r="E1081" s="220"/>
      <c r="F1081" s="213"/>
      <c r="G1081" s="213"/>
      <c r="H1081" s="213"/>
      <c r="I1081" s="214"/>
      <c r="J1081" s="222"/>
      <c r="K1081" s="65"/>
      <c r="L1081" s="65"/>
      <c r="N1081" s="217"/>
      <c r="O1081" s="77"/>
      <c r="P1081" s="195"/>
      <c r="Q1081" s="77"/>
      <c r="T1081" s="142"/>
    </row>
    <row r="1082" ht="15.75" hidden="1" customHeight="1">
      <c r="A1082" s="142"/>
      <c r="B1082" s="142"/>
      <c r="C1082" s="220"/>
      <c r="D1082" s="142"/>
      <c r="E1082" s="220"/>
      <c r="F1082" s="213"/>
      <c r="G1082" s="213"/>
      <c r="H1082" s="213"/>
      <c r="I1082" s="214"/>
      <c r="J1082" s="222"/>
      <c r="K1082" s="65"/>
      <c r="L1082" s="65"/>
      <c r="N1082" s="217"/>
      <c r="O1082" s="77"/>
      <c r="P1082" s="195"/>
      <c r="Q1082" s="77"/>
      <c r="T1082" s="142"/>
    </row>
    <row r="1083" ht="15.75" hidden="1" customHeight="1">
      <c r="A1083" s="142"/>
      <c r="B1083" s="142"/>
      <c r="C1083" s="220"/>
      <c r="D1083" s="142"/>
      <c r="E1083" s="220"/>
      <c r="F1083" s="213"/>
      <c r="G1083" s="213"/>
      <c r="H1083" s="213"/>
      <c r="I1083" s="214"/>
      <c r="J1083" s="222"/>
      <c r="K1083" s="65"/>
      <c r="L1083" s="65"/>
      <c r="N1083" s="217"/>
      <c r="O1083" s="77"/>
      <c r="P1083" s="195"/>
      <c r="Q1083" s="77"/>
      <c r="T1083" s="142"/>
    </row>
    <row r="1084" ht="15.75" hidden="1" customHeight="1">
      <c r="A1084" s="142"/>
      <c r="B1084" s="142"/>
      <c r="C1084" s="220"/>
      <c r="D1084" s="142"/>
      <c r="E1084" s="220"/>
      <c r="F1084" s="213"/>
      <c r="G1084" s="213"/>
      <c r="H1084" s="213"/>
      <c r="I1084" s="214"/>
      <c r="J1084" s="222"/>
      <c r="K1084" s="65"/>
      <c r="L1084" s="65"/>
      <c r="N1084" s="217"/>
      <c r="O1084" s="77"/>
      <c r="P1084" s="195"/>
      <c r="Q1084" s="77"/>
      <c r="T1084" s="142"/>
    </row>
    <row r="1085" ht="15.75" hidden="1" customHeight="1">
      <c r="A1085" s="142"/>
      <c r="B1085" s="142"/>
      <c r="C1085" s="220"/>
      <c r="D1085" s="142"/>
      <c r="E1085" s="220"/>
      <c r="F1085" s="213"/>
      <c r="G1085" s="213"/>
      <c r="H1085" s="213"/>
      <c r="I1085" s="214"/>
      <c r="J1085" s="222"/>
      <c r="K1085" s="65"/>
      <c r="L1085" s="65"/>
      <c r="N1085" s="217"/>
      <c r="O1085" s="77"/>
      <c r="P1085" s="195"/>
      <c r="Q1085" s="77"/>
      <c r="T1085" s="142"/>
    </row>
    <row r="1086" ht="15.75" hidden="1" customHeight="1">
      <c r="A1086" s="142"/>
      <c r="B1086" s="142"/>
      <c r="C1086" s="220"/>
      <c r="D1086" s="142"/>
      <c r="E1086" s="220"/>
      <c r="F1086" s="213"/>
      <c r="G1086" s="213"/>
      <c r="H1086" s="213"/>
      <c r="I1086" s="214"/>
      <c r="J1086" s="222"/>
      <c r="K1086" s="65"/>
      <c r="L1086" s="65"/>
      <c r="N1086" s="217"/>
      <c r="O1086" s="77"/>
      <c r="P1086" s="195"/>
      <c r="Q1086" s="77"/>
      <c r="T1086" s="142"/>
    </row>
    <row r="1087" ht="15.75" hidden="1" customHeight="1">
      <c r="A1087" s="142"/>
      <c r="B1087" s="142"/>
      <c r="C1087" s="220"/>
      <c r="D1087" s="142"/>
      <c r="E1087" s="220"/>
      <c r="F1087" s="213"/>
      <c r="G1087" s="213"/>
      <c r="H1087" s="213"/>
      <c r="I1087" s="214"/>
      <c r="J1087" s="222"/>
      <c r="K1087" s="65"/>
      <c r="L1087" s="65"/>
      <c r="N1087" s="217"/>
      <c r="O1087" s="77"/>
      <c r="P1087" s="195"/>
      <c r="Q1087" s="77"/>
      <c r="T1087" s="142"/>
    </row>
    <row r="1088" ht="15.75" hidden="1" customHeight="1">
      <c r="A1088" s="142"/>
      <c r="B1088" s="142"/>
      <c r="C1088" s="220"/>
      <c r="D1088" s="142"/>
      <c r="E1088" s="220"/>
      <c r="F1088" s="213"/>
      <c r="G1088" s="213"/>
      <c r="H1088" s="213"/>
      <c r="I1088" s="214"/>
      <c r="J1088" s="222"/>
      <c r="K1088" s="65"/>
      <c r="L1088" s="65"/>
      <c r="N1088" s="217"/>
      <c r="O1088" s="77"/>
      <c r="P1088" s="195"/>
      <c r="Q1088" s="77"/>
    </row>
    <row r="1089" ht="15.75" hidden="1" customHeight="1">
      <c r="A1089" s="142"/>
      <c r="B1089" s="142"/>
      <c r="C1089" s="220"/>
      <c r="D1089" s="142"/>
      <c r="E1089" s="220"/>
      <c r="F1089" s="213"/>
      <c r="G1089" s="213"/>
      <c r="H1089" s="213"/>
      <c r="I1089" s="214"/>
      <c r="J1089" s="222"/>
      <c r="K1089" s="65"/>
      <c r="L1089" s="65"/>
      <c r="M1089" s="142"/>
      <c r="N1089" s="217"/>
      <c r="O1089" s="77"/>
      <c r="P1089" s="195"/>
      <c r="Q1089" s="77"/>
      <c r="R1089" s="142"/>
      <c r="S1089" s="142"/>
      <c r="T1089" s="142"/>
      <c r="U1089" s="142"/>
      <c r="V1089" s="142"/>
      <c r="W1089" s="142"/>
      <c r="X1089" s="142"/>
      <c r="Y1089" s="142"/>
      <c r="Z1089" s="142"/>
      <c r="AA1089" s="142"/>
      <c r="AB1089" s="142"/>
      <c r="AC1089" s="142"/>
      <c r="AD1089" s="142"/>
      <c r="AE1089" s="142"/>
      <c r="AF1089" s="142"/>
      <c r="AG1089" s="142"/>
      <c r="AH1089" s="142"/>
    </row>
    <row r="1090" ht="15.75" hidden="1" customHeight="1">
      <c r="A1090" s="142"/>
      <c r="B1090" s="142"/>
      <c r="C1090" s="220"/>
      <c r="D1090" s="142"/>
      <c r="E1090" s="220"/>
      <c r="F1090" s="213"/>
      <c r="G1090" s="213"/>
      <c r="H1090" s="213"/>
      <c r="I1090" s="214"/>
      <c r="J1090" s="222"/>
      <c r="K1090" s="65"/>
      <c r="L1090" s="65"/>
      <c r="N1090" s="217"/>
      <c r="O1090" s="77"/>
      <c r="P1090" s="195"/>
      <c r="Q1090" s="77"/>
    </row>
    <row r="1091" ht="15.75" hidden="1" customHeight="1">
      <c r="A1091" s="142"/>
      <c r="B1091" s="142"/>
      <c r="C1091" s="220"/>
      <c r="D1091" s="142"/>
      <c r="E1091" s="220"/>
      <c r="F1091" s="213"/>
      <c r="G1091" s="213"/>
      <c r="H1091" s="213"/>
      <c r="I1091" s="214"/>
      <c r="J1091" s="222"/>
      <c r="K1091" s="65"/>
      <c r="L1091" s="65"/>
      <c r="N1091" s="217"/>
      <c r="O1091" s="77"/>
      <c r="P1091" s="195"/>
      <c r="Q1091" s="77"/>
    </row>
    <row r="1092" ht="15.75" hidden="1" customHeight="1">
      <c r="A1092" s="142"/>
      <c r="B1092" s="142"/>
      <c r="C1092" s="220"/>
      <c r="D1092" s="142"/>
      <c r="E1092" s="220"/>
      <c r="F1092" s="213"/>
      <c r="G1092" s="213"/>
      <c r="H1092" s="213"/>
      <c r="I1092" s="214"/>
      <c r="J1092" s="222"/>
      <c r="K1092" s="65"/>
      <c r="L1092" s="65"/>
      <c r="N1092" s="217"/>
      <c r="O1092" s="77"/>
      <c r="P1092" s="195"/>
      <c r="Q1092" s="77"/>
    </row>
    <row r="1093" ht="15.75" hidden="1" customHeight="1">
      <c r="A1093" s="142"/>
      <c r="B1093" s="142"/>
      <c r="C1093" s="220"/>
      <c r="D1093" s="142"/>
      <c r="E1093" s="220"/>
      <c r="F1093" s="213"/>
      <c r="G1093" s="213"/>
      <c r="H1093" s="213"/>
      <c r="I1093" s="214"/>
      <c r="J1093" s="222"/>
      <c r="K1093" s="65"/>
      <c r="L1093" s="65"/>
      <c r="N1093" s="217"/>
      <c r="O1093" s="77"/>
      <c r="P1093" s="195"/>
      <c r="Q1093" s="77"/>
    </row>
    <row r="1094" ht="15.75" hidden="1" customHeight="1">
      <c r="A1094" s="142"/>
      <c r="B1094" s="142"/>
      <c r="C1094" s="220"/>
      <c r="D1094" s="142"/>
      <c r="E1094" s="220"/>
      <c r="F1094" s="213"/>
      <c r="G1094" s="213"/>
      <c r="H1094" s="213"/>
      <c r="I1094" s="214"/>
      <c r="J1094" s="222"/>
      <c r="K1094" s="65"/>
      <c r="L1094" s="65"/>
      <c r="N1094" s="217"/>
      <c r="O1094" s="77"/>
      <c r="P1094" s="195"/>
      <c r="Q1094" s="77"/>
    </row>
    <row r="1095" ht="15.75" hidden="1" customHeight="1">
      <c r="A1095" s="142"/>
      <c r="B1095" s="142"/>
      <c r="C1095" s="220"/>
      <c r="D1095" s="142"/>
      <c r="E1095" s="220"/>
      <c r="F1095" s="213"/>
      <c r="G1095" s="213"/>
      <c r="H1095" s="213"/>
      <c r="I1095" s="214"/>
      <c r="J1095" s="222"/>
      <c r="K1095" s="65"/>
      <c r="L1095" s="65"/>
      <c r="N1095" s="217"/>
      <c r="O1095" s="77"/>
      <c r="P1095" s="195"/>
      <c r="Q1095" s="77"/>
    </row>
    <row r="1096" ht="15.75" hidden="1" customHeight="1">
      <c r="A1096" s="142"/>
      <c r="B1096" s="142"/>
      <c r="C1096" s="220"/>
      <c r="D1096" s="142"/>
      <c r="E1096" s="220"/>
      <c r="F1096" s="213"/>
      <c r="G1096" s="213"/>
      <c r="H1096" s="213"/>
      <c r="I1096" s="214"/>
      <c r="J1096" s="222"/>
      <c r="K1096" s="65"/>
      <c r="L1096" s="65"/>
      <c r="N1096" s="217"/>
      <c r="O1096" s="77"/>
      <c r="P1096" s="195"/>
      <c r="Q1096" s="77"/>
    </row>
    <row r="1097" ht="15.75" hidden="1" customHeight="1">
      <c r="A1097" s="142"/>
      <c r="B1097" s="142"/>
      <c r="C1097" s="220"/>
      <c r="D1097" s="142"/>
      <c r="E1097" s="220"/>
      <c r="F1097" s="213"/>
      <c r="G1097" s="213"/>
      <c r="H1097" s="213"/>
      <c r="I1097" s="214"/>
      <c r="J1097" s="222"/>
      <c r="K1097" s="65"/>
      <c r="L1097" s="65"/>
      <c r="N1097" s="217"/>
      <c r="O1097" s="77"/>
      <c r="P1097" s="195"/>
      <c r="Q1097" s="77"/>
    </row>
    <row r="1098" ht="15.75" hidden="1" customHeight="1">
      <c r="A1098" s="142"/>
      <c r="B1098" s="142"/>
      <c r="C1098" s="220"/>
      <c r="D1098" s="142"/>
      <c r="E1098" s="220"/>
      <c r="F1098" s="213"/>
      <c r="G1098" s="213"/>
      <c r="H1098" s="213"/>
      <c r="I1098" s="214"/>
      <c r="J1098" s="222"/>
      <c r="K1098" s="65"/>
      <c r="L1098" s="65"/>
      <c r="N1098" s="217"/>
      <c r="O1098" s="77"/>
      <c r="P1098" s="195"/>
      <c r="Q1098" s="77"/>
    </row>
    <row r="1099" ht="15.75" hidden="1" customHeight="1">
      <c r="A1099" s="142"/>
      <c r="B1099" s="142"/>
      <c r="C1099" s="220"/>
      <c r="D1099" s="142"/>
      <c r="E1099" s="220"/>
      <c r="F1099" s="213"/>
      <c r="G1099" s="213"/>
      <c r="H1099" s="213"/>
      <c r="I1099" s="214"/>
      <c r="J1099" s="222"/>
      <c r="K1099" s="65"/>
      <c r="L1099" s="65"/>
      <c r="N1099" s="217"/>
      <c r="O1099" s="77"/>
      <c r="P1099" s="195"/>
      <c r="Q1099" s="77"/>
    </row>
    <row r="1100" ht="15.75" hidden="1" customHeight="1">
      <c r="A1100" s="142"/>
      <c r="B1100" s="142"/>
      <c r="C1100" s="220"/>
      <c r="D1100" s="142"/>
      <c r="E1100" s="220"/>
      <c r="F1100" s="213"/>
      <c r="G1100" s="213"/>
      <c r="H1100" s="213"/>
      <c r="I1100" s="214"/>
      <c r="J1100" s="222"/>
      <c r="K1100" s="65"/>
      <c r="L1100" s="65"/>
      <c r="N1100" s="217"/>
      <c r="O1100" s="77"/>
      <c r="P1100" s="195"/>
      <c r="Q1100" s="77"/>
    </row>
    <row r="1101" ht="15.75" hidden="1" customHeight="1">
      <c r="A1101" s="142"/>
      <c r="B1101" s="142"/>
      <c r="C1101" s="220"/>
      <c r="D1101" s="142"/>
      <c r="E1101" s="220"/>
      <c r="F1101" s="213"/>
      <c r="G1101" s="213"/>
      <c r="H1101" s="213"/>
      <c r="I1101" s="214"/>
      <c r="J1101" s="222"/>
      <c r="K1101" s="65"/>
      <c r="L1101" s="65"/>
      <c r="N1101" s="217"/>
      <c r="O1101" s="77"/>
      <c r="P1101" s="195"/>
      <c r="Q1101" s="77"/>
    </row>
    <row r="1102" ht="15.75" hidden="1" customHeight="1">
      <c r="A1102" s="142"/>
      <c r="B1102" s="142"/>
      <c r="C1102" s="220"/>
      <c r="D1102" s="142"/>
      <c r="E1102" s="220"/>
      <c r="F1102" s="213"/>
      <c r="G1102" s="213"/>
      <c r="H1102" s="213"/>
      <c r="I1102" s="214"/>
      <c r="J1102" s="222"/>
      <c r="K1102" s="65"/>
      <c r="L1102" s="65"/>
      <c r="N1102" s="217"/>
      <c r="O1102" s="77"/>
      <c r="P1102" s="195"/>
      <c r="Q1102" s="77"/>
    </row>
    <row r="1103" ht="15.75" hidden="1" customHeight="1">
      <c r="A1103" s="142"/>
      <c r="B1103" s="142"/>
      <c r="C1103" s="220"/>
      <c r="D1103" s="142"/>
      <c r="E1103" s="220"/>
      <c r="F1103" s="213"/>
      <c r="G1103" s="213"/>
      <c r="H1103" s="213"/>
      <c r="I1103" s="214"/>
      <c r="J1103" s="222"/>
      <c r="K1103" s="65"/>
      <c r="L1103" s="65"/>
      <c r="N1103" s="217"/>
      <c r="O1103" s="77"/>
      <c r="P1103" s="195"/>
      <c r="Q1103" s="77"/>
    </row>
    <row r="1104" ht="15.75" hidden="1" customHeight="1">
      <c r="A1104" s="142"/>
      <c r="B1104" s="142"/>
      <c r="C1104" s="220"/>
      <c r="D1104" s="142"/>
      <c r="E1104" s="220"/>
      <c r="F1104" s="213"/>
      <c r="G1104" s="213"/>
      <c r="H1104" s="213"/>
      <c r="I1104" s="214"/>
      <c r="J1104" s="222"/>
      <c r="K1104" s="65"/>
      <c r="L1104" s="65"/>
      <c r="N1104" s="217"/>
      <c r="O1104" s="77"/>
      <c r="P1104" s="195"/>
      <c r="Q1104" s="77"/>
    </row>
    <row r="1105" ht="15.75" hidden="1" customHeight="1">
      <c r="A1105" s="142"/>
      <c r="B1105" s="142"/>
      <c r="C1105" s="220"/>
      <c r="D1105" s="142"/>
      <c r="E1105" s="220"/>
      <c r="F1105" s="213"/>
      <c r="G1105" s="213"/>
      <c r="H1105" s="213"/>
      <c r="I1105" s="214"/>
      <c r="J1105" s="222"/>
      <c r="K1105" s="65"/>
      <c r="L1105" s="65"/>
      <c r="M1105" s="142"/>
      <c r="N1105" s="217"/>
      <c r="O1105" s="77"/>
      <c r="P1105" s="195"/>
      <c r="Q1105" s="77"/>
      <c r="R1105" s="142"/>
      <c r="S1105" s="142"/>
      <c r="T1105" s="142"/>
      <c r="U1105" s="142"/>
      <c r="V1105" s="142"/>
      <c r="W1105" s="142"/>
      <c r="X1105" s="142"/>
      <c r="Y1105" s="142"/>
      <c r="Z1105" s="142"/>
      <c r="AA1105" s="142"/>
      <c r="AB1105" s="142"/>
      <c r="AC1105" s="142"/>
      <c r="AD1105" s="142"/>
      <c r="AE1105" s="142"/>
      <c r="AF1105" s="142"/>
      <c r="AG1105" s="142"/>
      <c r="AH1105" s="142"/>
    </row>
    <row r="1106" ht="15.75" hidden="1" customHeight="1">
      <c r="A1106" s="142"/>
      <c r="B1106" s="142"/>
      <c r="C1106" s="220"/>
      <c r="D1106" s="142"/>
      <c r="E1106" s="220"/>
      <c r="F1106" s="213"/>
      <c r="G1106" s="213"/>
      <c r="H1106" s="213"/>
      <c r="I1106" s="214"/>
      <c r="J1106" s="222"/>
      <c r="K1106" s="65"/>
      <c r="L1106" s="65"/>
      <c r="M1106" s="142"/>
      <c r="N1106" s="217"/>
      <c r="O1106" s="77"/>
      <c r="P1106" s="195"/>
      <c r="Q1106" s="77"/>
      <c r="R1106" s="142"/>
      <c r="S1106" s="142"/>
      <c r="T1106" s="142"/>
      <c r="U1106" s="142"/>
      <c r="V1106" s="142"/>
      <c r="W1106" s="142"/>
      <c r="X1106" s="142"/>
      <c r="Y1106" s="142"/>
      <c r="Z1106" s="142"/>
      <c r="AA1106" s="142"/>
      <c r="AB1106" s="142"/>
      <c r="AC1106" s="142"/>
      <c r="AD1106" s="142"/>
      <c r="AE1106" s="142"/>
      <c r="AF1106" s="142"/>
      <c r="AG1106" s="142"/>
      <c r="AH1106" s="142"/>
    </row>
    <row r="1107" ht="15.75" hidden="1" customHeight="1">
      <c r="A1107" s="142"/>
      <c r="B1107" s="142"/>
      <c r="C1107" s="220"/>
      <c r="D1107" s="142"/>
      <c r="E1107" s="220"/>
      <c r="F1107" s="213"/>
      <c r="G1107" s="213"/>
      <c r="H1107" s="213"/>
      <c r="I1107" s="214"/>
      <c r="J1107" s="222"/>
      <c r="K1107" s="65"/>
      <c r="L1107" s="65"/>
      <c r="M1107" s="142"/>
      <c r="N1107" s="217"/>
      <c r="O1107" s="77"/>
      <c r="P1107" s="195"/>
      <c r="Q1107" s="77"/>
    </row>
    <row r="1108" ht="15.75" hidden="1" customHeight="1">
      <c r="A1108" s="142"/>
      <c r="B1108" s="142"/>
      <c r="C1108" s="220"/>
      <c r="D1108" s="142"/>
      <c r="E1108" s="220"/>
      <c r="F1108" s="213"/>
      <c r="G1108" s="213"/>
      <c r="H1108" s="213"/>
      <c r="I1108" s="214"/>
      <c r="J1108" s="222"/>
      <c r="K1108" s="65"/>
      <c r="L1108" s="65"/>
      <c r="M1108" s="142"/>
      <c r="N1108" s="217"/>
      <c r="O1108" s="77"/>
      <c r="P1108" s="195"/>
      <c r="Q1108" s="77"/>
    </row>
    <row r="1109" ht="15.75" hidden="1" customHeight="1">
      <c r="A1109" s="142"/>
      <c r="B1109" s="142"/>
      <c r="C1109" s="220"/>
      <c r="D1109" s="142"/>
      <c r="E1109" s="220"/>
      <c r="F1109" s="213"/>
      <c r="G1109" s="213"/>
      <c r="H1109" s="213"/>
      <c r="I1109" s="214"/>
      <c r="J1109" s="222"/>
      <c r="K1109" s="65"/>
      <c r="L1109" s="65"/>
      <c r="M1109" s="142"/>
      <c r="N1109" s="217"/>
      <c r="O1109" s="77"/>
      <c r="P1109" s="195"/>
      <c r="Q1109" s="77"/>
    </row>
    <row r="1110" ht="15.75" hidden="1" customHeight="1">
      <c r="A1110" s="142"/>
      <c r="B1110" s="142"/>
      <c r="C1110" s="220"/>
      <c r="D1110" s="142"/>
      <c r="E1110" s="220"/>
      <c r="F1110" s="213"/>
      <c r="G1110" s="213"/>
      <c r="H1110" s="213"/>
      <c r="I1110" s="214"/>
      <c r="J1110" s="222"/>
      <c r="K1110" s="65"/>
      <c r="L1110" s="65"/>
      <c r="N1110" s="217"/>
      <c r="O1110" s="77"/>
      <c r="P1110" s="195"/>
      <c r="Q1110" s="77"/>
    </row>
    <row r="1111" ht="15.75" hidden="1" customHeight="1">
      <c r="A1111" s="142"/>
      <c r="B1111" s="142"/>
      <c r="C1111" s="220"/>
      <c r="D1111" s="142"/>
      <c r="E1111" s="220"/>
      <c r="F1111" s="213"/>
      <c r="G1111" s="213"/>
      <c r="H1111" s="213"/>
      <c r="I1111" s="214"/>
      <c r="J1111" s="222"/>
      <c r="K1111" s="65"/>
      <c r="L1111" s="65"/>
      <c r="N1111" s="217"/>
      <c r="O1111" s="77"/>
      <c r="P1111" s="195"/>
      <c r="Q1111" s="77"/>
    </row>
    <row r="1112" ht="15.75" hidden="1" customHeight="1">
      <c r="A1112" s="142"/>
      <c r="B1112" s="142"/>
      <c r="C1112" s="220"/>
      <c r="D1112" s="142"/>
      <c r="E1112" s="220"/>
      <c r="F1112" s="213"/>
      <c r="G1112" s="213"/>
      <c r="H1112" s="213"/>
      <c r="I1112" s="214"/>
      <c r="J1112" s="222"/>
      <c r="K1112" s="65"/>
      <c r="L1112" s="65"/>
      <c r="N1112" s="217"/>
      <c r="O1112" s="77"/>
      <c r="P1112" s="195"/>
      <c r="Q1112" s="77"/>
    </row>
    <row r="1113" ht="15.75" hidden="1" customHeight="1">
      <c r="A1113" s="142"/>
      <c r="B1113" s="142"/>
      <c r="C1113" s="220"/>
      <c r="D1113" s="142"/>
      <c r="E1113" s="220"/>
      <c r="F1113" s="213"/>
      <c r="G1113" s="213"/>
      <c r="H1113" s="213"/>
      <c r="I1113" s="214"/>
      <c r="J1113" s="222"/>
      <c r="K1113" s="65"/>
      <c r="L1113" s="65"/>
      <c r="M1113" s="142"/>
      <c r="N1113" s="217"/>
      <c r="O1113" s="77"/>
      <c r="P1113" s="195"/>
      <c r="Q1113" s="77"/>
    </row>
    <row r="1114" ht="15.75" hidden="1" customHeight="1">
      <c r="A1114" s="142"/>
      <c r="B1114" s="142"/>
      <c r="C1114" s="220"/>
      <c r="D1114" s="142"/>
      <c r="E1114" s="220"/>
      <c r="F1114" s="213"/>
      <c r="G1114" s="213"/>
      <c r="H1114" s="213"/>
      <c r="I1114" s="214"/>
      <c r="J1114" s="222"/>
      <c r="K1114" s="65"/>
      <c r="L1114" s="65"/>
      <c r="M1114" s="142"/>
      <c r="N1114" s="217"/>
      <c r="O1114" s="77"/>
      <c r="P1114" s="195"/>
      <c r="Q1114" s="77"/>
    </row>
    <row r="1115" ht="15.75" hidden="1" customHeight="1">
      <c r="A1115" s="142"/>
      <c r="B1115" s="142"/>
      <c r="C1115" s="220"/>
      <c r="D1115" s="142"/>
      <c r="E1115" s="220"/>
      <c r="F1115" s="213"/>
      <c r="G1115" s="213"/>
      <c r="H1115" s="213"/>
      <c r="I1115" s="214"/>
      <c r="J1115" s="222"/>
      <c r="K1115" s="65"/>
      <c r="L1115" s="65"/>
      <c r="M1115" s="142"/>
      <c r="N1115" s="217"/>
      <c r="O1115" s="77"/>
      <c r="P1115" s="195"/>
      <c r="Q1115" s="77"/>
      <c r="R1115" s="142"/>
      <c r="S1115" s="142"/>
      <c r="T1115" s="142"/>
      <c r="U1115" s="142"/>
    </row>
    <row r="1116" ht="15.75" hidden="1" customHeight="1">
      <c r="A1116" s="142"/>
      <c r="B1116" s="142"/>
      <c r="C1116" s="220"/>
      <c r="D1116" s="142"/>
      <c r="E1116" s="220"/>
      <c r="F1116" s="213"/>
      <c r="G1116" s="213"/>
      <c r="H1116" s="213"/>
      <c r="I1116" s="214"/>
      <c r="J1116" s="222"/>
      <c r="K1116" s="65"/>
      <c r="L1116" s="65"/>
      <c r="N1116" s="217"/>
      <c r="O1116" s="77"/>
      <c r="P1116" s="195"/>
      <c r="Q1116" s="77"/>
    </row>
    <row r="1117" ht="15.75" hidden="1" customHeight="1">
      <c r="A1117" s="142"/>
      <c r="B1117" s="142"/>
      <c r="C1117" s="220"/>
      <c r="D1117" s="142"/>
      <c r="E1117" s="220"/>
      <c r="F1117" s="213"/>
      <c r="G1117" s="213"/>
      <c r="H1117" s="213"/>
      <c r="I1117" s="214"/>
      <c r="J1117" s="222"/>
      <c r="K1117" s="65"/>
      <c r="L1117" s="65"/>
      <c r="N1117" s="217"/>
      <c r="O1117" s="77"/>
      <c r="P1117" s="195"/>
      <c r="Q1117" s="77"/>
    </row>
    <row r="1118" ht="15.75" hidden="1" customHeight="1">
      <c r="A1118" s="142"/>
      <c r="B1118" s="142"/>
      <c r="C1118" s="220"/>
      <c r="D1118" s="142"/>
      <c r="E1118" s="220"/>
      <c r="F1118" s="213"/>
      <c r="G1118" s="213"/>
      <c r="H1118" s="213"/>
      <c r="I1118" s="214"/>
      <c r="J1118" s="222"/>
      <c r="K1118" s="65"/>
      <c r="L1118" s="65"/>
      <c r="N1118" s="217"/>
      <c r="O1118" s="77"/>
      <c r="P1118" s="195"/>
      <c r="Q1118" s="77"/>
    </row>
    <row r="1119" ht="15.75" hidden="1" customHeight="1">
      <c r="A1119" s="142"/>
      <c r="B1119" s="142"/>
      <c r="C1119" s="220"/>
      <c r="D1119" s="142"/>
      <c r="E1119" s="220"/>
      <c r="F1119" s="213"/>
      <c r="G1119" s="213"/>
      <c r="H1119" s="213"/>
      <c r="I1119" s="214"/>
      <c r="J1119" s="222"/>
      <c r="K1119" s="65"/>
      <c r="L1119" s="65"/>
      <c r="N1119" s="217"/>
      <c r="O1119" s="77"/>
      <c r="P1119" s="195"/>
      <c r="Q1119" s="77"/>
    </row>
    <row r="1120" ht="15.75" hidden="1" customHeight="1">
      <c r="A1120" s="142"/>
      <c r="B1120" s="142"/>
      <c r="C1120" s="220"/>
      <c r="D1120" s="142"/>
      <c r="E1120" s="220"/>
      <c r="F1120" s="213"/>
      <c r="G1120" s="213"/>
      <c r="H1120" s="213"/>
      <c r="I1120" s="214"/>
      <c r="J1120" s="222"/>
      <c r="K1120" s="65"/>
      <c r="L1120" s="65"/>
      <c r="N1120" s="217"/>
      <c r="O1120" s="77"/>
      <c r="P1120" s="195"/>
      <c r="Q1120" s="77"/>
    </row>
    <row r="1121" ht="15.75" hidden="1" customHeight="1">
      <c r="A1121" s="142"/>
      <c r="B1121" s="142"/>
      <c r="C1121" s="220"/>
      <c r="D1121" s="142"/>
      <c r="E1121" s="220"/>
      <c r="F1121" s="213"/>
      <c r="G1121" s="213"/>
      <c r="H1121" s="213"/>
      <c r="I1121" s="214"/>
      <c r="J1121" s="222"/>
      <c r="K1121" s="65"/>
      <c r="L1121" s="65"/>
      <c r="M1121" s="142"/>
      <c r="N1121" s="217"/>
      <c r="O1121" s="77"/>
      <c r="P1121" s="195"/>
      <c r="Q1121" s="77"/>
    </row>
    <row r="1122" ht="15.75" hidden="1" customHeight="1">
      <c r="A1122" s="142"/>
      <c r="B1122" s="142"/>
      <c r="C1122" s="220"/>
      <c r="D1122" s="142"/>
      <c r="E1122" s="220"/>
      <c r="F1122" s="213"/>
      <c r="G1122" s="213"/>
      <c r="H1122" s="213"/>
      <c r="I1122" s="214"/>
      <c r="J1122" s="222"/>
      <c r="K1122" s="65"/>
      <c r="L1122" s="65"/>
      <c r="M1122" s="142"/>
      <c r="N1122" s="217"/>
      <c r="O1122" s="77"/>
      <c r="P1122" s="195"/>
      <c r="Q1122" s="77"/>
    </row>
    <row r="1123" ht="15.75" hidden="1" customHeight="1">
      <c r="A1123" s="142"/>
      <c r="B1123" s="142"/>
      <c r="C1123" s="220"/>
      <c r="D1123" s="142"/>
      <c r="E1123" s="220"/>
      <c r="F1123" s="213"/>
      <c r="G1123" s="213"/>
      <c r="H1123" s="213"/>
      <c r="I1123" s="214"/>
      <c r="J1123" s="222"/>
      <c r="K1123" s="65"/>
      <c r="L1123" s="65"/>
      <c r="M1123" s="142"/>
      <c r="N1123" s="217"/>
      <c r="O1123" s="77"/>
      <c r="P1123" s="195"/>
      <c r="Q1123" s="77"/>
    </row>
    <row r="1124" ht="15.75" hidden="1" customHeight="1">
      <c r="A1124" s="142"/>
      <c r="B1124" s="142"/>
      <c r="C1124" s="220"/>
      <c r="D1124" s="142"/>
      <c r="E1124" s="220"/>
      <c r="F1124" s="213"/>
      <c r="G1124" s="213"/>
      <c r="H1124" s="213"/>
      <c r="I1124" s="214"/>
      <c r="J1124" s="222"/>
      <c r="K1124" s="65"/>
      <c r="L1124" s="65"/>
      <c r="N1124" s="217"/>
      <c r="O1124" s="77"/>
      <c r="P1124" s="195"/>
      <c r="Q1124" s="77"/>
    </row>
    <row r="1125" ht="15.75" hidden="1" customHeight="1">
      <c r="A1125" s="142"/>
      <c r="B1125" s="142"/>
      <c r="C1125" s="220"/>
      <c r="D1125" s="142"/>
      <c r="E1125" s="220"/>
      <c r="F1125" s="213"/>
      <c r="G1125" s="213"/>
      <c r="H1125" s="213"/>
      <c r="I1125" s="214"/>
      <c r="J1125" s="222"/>
      <c r="K1125" s="65"/>
      <c r="L1125" s="65"/>
      <c r="N1125" s="217"/>
      <c r="O1125" s="77"/>
      <c r="P1125" s="195"/>
      <c r="Q1125" s="77"/>
      <c r="T1125" s="142"/>
    </row>
    <row r="1126" ht="15.75" hidden="1" customHeight="1">
      <c r="A1126" s="142"/>
      <c r="B1126" s="142"/>
      <c r="C1126" s="220"/>
      <c r="D1126" s="142"/>
      <c r="E1126" s="220"/>
      <c r="F1126" s="213"/>
      <c r="G1126" s="213"/>
      <c r="H1126" s="213"/>
      <c r="I1126" s="214"/>
      <c r="J1126" s="222"/>
      <c r="K1126" s="65"/>
      <c r="L1126" s="65"/>
      <c r="M1126" s="142"/>
      <c r="N1126" s="217"/>
      <c r="O1126" s="77"/>
      <c r="P1126" s="195"/>
      <c r="Q1126" s="77"/>
      <c r="R1126" s="142"/>
      <c r="S1126" s="142"/>
      <c r="T1126" s="142"/>
      <c r="U1126" s="142"/>
      <c r="V1126" s="142"/>
      <c r="W1126" s="142"/>
      <c r="X1126" s="142"/>
      <c r="Y1126" s="142"/>
      <c r="Z1126" s="142"/>
      <c r="AA1126" s="142"/>
      <c r="AB1126" s="142"/>
      <c r="AC1126" s="142"/>
      <c r="AD1126" s="142"/>
      <c r="AE1126" s="142"/>
      <c r="AF1126" s="142"/>
      <c r="AG1126" s="142"/>
      <c r="AH1126" s="142"/>
    </row>
    <row r="1127" ht="15.75" hidden="1" customHeight="1">
      <c r="A1127" s="142"/>
      <c r="B1127" s="142"/>
      <c r="C1127" s="220"/>
      <c r="D1127" s="142"/>
      <c r="E1127" s="220"/>
      <c r="F1127" s="213"/>
      <c r="G1127" s="213"/>
      <c r="H1127" s="213"/>
      <c r="I1127" s="214"/>
      <c r="J1127" s="222"/>
      <c r="K1127" s="65"/>
      <c r="L1127" s="65"/>
      <c r="N1127" s="217"/>
      <c r="O1127" s="77"/>
      <c r="P1127" s="195"/>
      <c r="Q1127" s="77"/>
    </row>
    <row r="1128" ht="15.75" hidden="1" customHeight="1">
      <c r="A1128" s="142"/>
      <c r="B1128" s="142"/>
      <c r="C1128" s="220"/>
      <c r="D1128" s="142"/>
      <c r="E1128" s="220"/>
      <c r="F1128" s="213"/>
      <c r="G1128" s="213"/>
      <c r="H1128" s="213"/>
      <c r="I1128" s="214"/>
      <c r="J1128" s="222"/>
      <c r="K1128" s="65"/>
      <c r="L1128" s="65"/>
      <c r="M1128" s="142"/>
      <c r="N1128" s="217"/>
      <c r="O1128" s="77"/>
      <c r="P1128" s="195"/>
      <c r="Q1128" s="77"/>
    </row>
    <row r="1129" ht="15.75" hidden="1" customHeight="1">
      <c r="A1129" s="142"/>
      <c r="B1129" s="142"/>
      <c r="C1129" s="220"/>
      <c r="D1129" s="142"/>
      <c r="E1129" s="220"/>
      <c r="F1129" s="213"/>
      <c r="G1129" s="213"/>
      <c r="H1129" s="213"/>
      <c r="I1129" s="214"/>
      <c r="J1129" s="222"/>
      <c r="K1129" s="65"/>
      <c r="L1129" s="65"/>
      <c r="M1129" s="142"/>
      <c r="N1129" s="217"/>
      <c r="O1129" s="77"/>
      <c r="P1129" s="195"/>
      <c r="Q1129" s="77"/>
    </row>
    <row r="1130" ht="15.75" hidden="1" customHeight="1">
      <c r="A1130" s="142"/>
      <c r="B1130" s="142"/>
      <c r="C1130" s="220"/>
      <c r="D1130" s="142"/>
      <c r="E1130" s="220"/>
      <c r="F1130" s="213"/>
      <c r="G1130" s="213"/>
      <c r="H1130" s="213"/>
      <c r="I1130" s="214"/>
      <c r="J1130" s="222"/>
      <c r="K1130" s="65"/>
      <c r="L1130" s="65"/>
      <c r="M1130" s="142"/>
      <c r="N1130" s="217"/>
      <c r="O1130" s="77"/>
      <c r="P1130" s="195"/>
      <c r="Q1130" s="77"/>
    </row>
    <row r="1131" ht="15.75" hidden="1" customHeight="1">
      <c r="A1131" s="142"/>
      <c r="B1131" s="142"/>
      <c r="C1131" s="220"/>
      <c r="D1131" s="142"/>
      <c r="E1131" s="220"/>
      <c r="F1131" s="213"/>
      <c r="G1131" s="213"/>
      <c r="H1131" s="213"/>
      <c r="I1131" s="214"/>
      <c r="J1131" s="222"/>
      <c r="K1131" s="65"/>
      <c r="L1131" s="65"/>
      <c r="M1131" s="142"/>
      <c r="N1131" s="217"/>
      <c r="O1131" s="77"/>
      <c r="P1131" s="195"/>
      <c r="Q1131" s="77"/>
    </row>
    <row r="1132" ht="15.75" hidden="1" customHeight="1">
      <c r="A1132" s="142"/>
      <c r="B1132" s="142"/>
      <c r="C1132" s="220"/>
      <c r="D1132" s="142"/>
      <c r="E1132" s="220"/>
      <c r="F1132" s="213"/>
      <c r="G1132" s="213"/>
      <c r="H1132" s="213"/>
      <c r="I1132" s="214"/>
      <c r="J1132" s="222"/>
      <c r="K1132" s="65"/>
      <c r="L1132" s="65"/>
      <c r="M1132" s="142"/>
      <c r="N1132" s="217"/>
      <c r="O1132" s="77"/>
      <c r="P1132" s="195"/>
      <c r="Q1132" s="77"/>
      <c r="R1132" s="142"/>
      <c r="S1132" s="142"/>
      <c r="T1132" s="142"/>
      <c r="U1132" s="142"/>
      <c r="V1132" s="142"/>
      <c r="W1132" s="142"/>
      <c r="X1132" s="142"/>
      <c r="Y1132" s="142"/>
      <c r="Z1132" s="142"/>
      <c r="AA1132" s="142"/>
      <c r="AB1132" s="142"/>
      <c r="AC1132" s="142"/>
      <c r="AD1132" s="142"/>
      <c r="AE1132" s="142"/>
      <c r="AF1132" s="142"/>
      <c r="AG1132" s="142"/>
      <c r="AH1132" s="142"/>
    </row>
    <row r="1133" ht="15.75" hidden="1" customHeight="1">
      <c r="A1133" s="142"/>
      <c r="B1133" s="142"/>
      <c r="C1133" s="220"/>
      <c r="D1133" s="142"/>
      <c r="E1133" s="220"/>
      <c r="F1133" s="213"/>
      <c r="G1133" s="213"/>
      <c r="H1133" s="213"/>
      <c r="I1133" s="214"/>
      <c r="J1133" s="222"/>
      <c r="K1133" s="65"/>
      <c r="L1133" s="65"/>
      <c r="M1133" s="142"/>
      <c r="N1133" s="217"/>
      <c r="O1133" s="77"/>
      <c r="P1133" s="195"/>
      <c r="Q1133" s="77"/>
    </row>
    <row r="1134" ht="15.75" hidden="1" customHeight="1">
      <c r="A1134" s="142"/>
      <c r="B1134" s="142"/>
      <c r="C1134" s="220"/>
      <c r="D1134" s="142"/>
      <c r="E1134" s="220"/>
      <c r="F1134" s="213"/>
      <c r="G1134" s="213"/>
      <c r="H1134" s="213"/>
      <c r="I1134" s="214"/>
      <c r="J1134" s="222"/>
      <c r="K1134" s="65"/>
      <c r="L1134" s="65"/>
      <c r="M1134" s="142"/>
      <c r="N1134" s="217"/>
      <c r="O1134" s="77"/>
      <c r="P1134" s="195"/>
      <c r="Q1134" s="77"/>
    </row>
    <row r="1135" ht="15.75" hidden="1" customHeight="1">
      <c r="A1135" s="142"/>
      <c r="B1135" s="142"/>
      <c r="C1135" s="220"/>
      <c r="D1135" s="142"/>
      <c r="E1135" s="220"/>
      <c r="F1135" s="213"/>
      <c r="G1135" s="213"/>
      <c r="H1135" s="213"/>
      <c r="I1135" s="214"/>
      <c r="J1135" s="222"/>
      <c r="K1135" s="65"/>
      <c r="L1135" s="65"/>
      <c r="M1135" s="142"/>
      <c r="N1135" s="217"/>
      <c r="O1135" s="77"/>
      <c r="P1135" s="195"/>
      <c r="Q1135" s="77"/>
    </row>
    <row r="1136" ht="15.75" hidden="1" customHeight="1">
      <c r="A1136" s="142"/>
      <c r="B1136" s="142"/>
      <c r="C1136" s="220"/>
      <c r="D1136" s="142"/>
      <c r="E1136" s="220"/>
      <c r="F1136" s="213"/>
      <c r="G1136" s="213"/>
      <c r="H1136" s="213"/>
      <c r="I1136" s="214"/>
      <c r="J1136" s="222"/>
      <c r="K1136" s="65"/>
      <c r="L1136" s="65"/>
      <c r="M1136" s="142"/>
      <c r="N1136" s="217"/>
      <c r="O1136" s="77"/>
      <c r="P1136" s="195"/>
      <c r="Q1136" s="77"/>
    </row>
    <row r="1137" ht="15.75" hidden="1" customHeight="1">
      <c r="A1137" s="142"/>
      <c r="B1137" s="142"/>
      <c r="C1137" s="220"/>
      <c r="D1137" s="142"/>
      <c r="E1137" s="220"/>
      <c r="F1137" s="213"/>
      <c r="G1137" s="213"/>
      <c r="H1137" s="213"/>
      <c r="I1137" s="214"/>
      <c r="J1137" s="222"/>
      <c r="K1137" s="65"/>
      <c r="L1137" s="65"/>
      <c r="M1137" s="142"/>
      <c r="N1137" s="217"/>
      <c r="O1137" s="77"/>
      <c r="P1137" s="195"/>
      <c r="Q1137" s="77"/>
    </row>
    <row r="1138" ht="15.75" hidden="1" customHeight="1">
      <c r="A1138" s="142"/>
      <c r="B1138" s="142"/>
      <c r="C1138" s="220"/>
      <c r="D1138" s="142"/>
      <c r="E1138" s="220"/>
      <c r="F1138" s="213"/>
      <c r="G1138" s="213"/>
      <c r="H1138" s="213"/>
      <c r="I1138" s="214"/>
      <c r="J1138" s="222"/>
      <c r="K1138" s="65"/>
      <c r="L1138" s="65"/>
      <c r="M1138" s="142"/>
      <c r="N1138" s="217"/>
      <c r="O1138" s="77"/>
      <c r="P1138" s="195"/>
      <c r="Q1138" s="77"/>
    </row>
    <row r="1139" ht="15.75" hidden="1" customHeight="1">
      <c r="A1139" s="142"/>
      <c r="B1139" s="142"/>
      <c r="C1139" s="220"/>
      <c r="D1139" s="142"/>
      <c r="E1139" s="220"/>
      <c r="F1139" s="213"/>
      <c r="G1139" s="213"/>
      <c r="H1139" s="213"/>
      <c r="I1139" s="214"/>
      <c r="J1139" s="222"/>
      <c r="K1139" s="65"/>
      <c r="L1139" s="65"/>
      <c r="M1139" s="142"/>
      <c r="N1139" s="217"/>
      <c r="O1139" s="77"/>
      <c r="P1139" s="195"/>
      <c r="Q1139" s="77"/>
    </row>
    <row r="1140" ht="15.75" hidden="1" customHeight="1">
      <c r="A1140" s="142"/>
      <c r="B1140" s="142"/>
      <c r="C1140" s="220"/>
      <c r="D1140" s="142"/>
      <c r="E1140" s="220"/>
      <c r="F1140" s="213"/>
      <c r="G1140" s="213"/>
      <c r="H1140" s="213"/>
      <c r="I1140" s="214"/>
      <c r="J1140" s="222"/>
      <c r="K1140" s="65"/>
      <c r="L1140" s="65"/>
      <c r="M1140" s="142"/>
      <c r="N1140" s="217"/>
      <c r="O1140" s="77"/>
      <c r="P1140" s="195"/>
      <c r="Q1140" s="77"/>
    </row>
    <row r="1141" ht="15.75" hidden="1" customHeight="1">
      <c r="A1141" s="142"/>
      <c r="B1141" s="142"/>
      <c r="C1141" s="220"/>
      <c r="D1141" s="142"/>
      <c r="E1141" s="220"/>
      <c r="F1141" s="213"/>
      <c r="G1141" s="213"/>
      <c r="H1141" s="213"/>
      <c r="I1141" s="214"/>
      <c r="J1141" s="222"/>
      <c r="K1141" s="65"/>
      <c r="L1141" s="65"/>
      <c r="M1141" s="142"/>
      <c r="N1141" s="217"/>
      <c r="O1141" s="77"/>
      <c r="P1141" s="195"/>
      <c r="Q1141" s="77"/>
    </row>
    <row r="1142" ht="15.75" hidden="1" customHeight="1">
      <c r="A1142" s="142"/>
      <c r="B1142" s="142"/>
      <c r="C1142" s="220"/>
      <c r="D1142" s="142"/>
      <c r="E1142" s="220"/>
      <c r="F1142" s="213"/>
      <c r="G1142" s="213"/>
      <c r="H1142" s="213"/>
      <c r="I1142" s="214"/>
      <c r="J1142" s="222"/>
      <c r="K1142" s="65"/>
      <c r="L1142" s="65"/>
      <c r="M1142" s="142"/>
      <c r="N1142" s="217"/>
      <c r="O1142" s="77"/>
      <c r="P1142" s="195"/>
      <c r="Q1142" s="77"/>
    </row>
    <row r="1143" ht="15.75" hidden="1" customHeight="1">
      <c r="A1143" s="142"/>
      <c r="B1143" s="142"/>
      <c r="C1143" s="220"/>
      <c r="D1143" s="142"/>
      <c r="E1143" s="220"/>
      <c r="F1143" s="213"/>
      <c r="G1143" s="213"/>
      <c r="H1143" s="213"/>
      <c r="I1143" s="214"/>
      <c r="J1143" s="222"/>
      <c r="K1143" s="65"/>
      <c r="L1143" s="65"/>
      <c r="M1143" s="142"/>
      <c r="N1143" s="217"/>
      <c r="O1143" s="77"/>
      <c r="P1143" s="195"/>
      <c r="Q1143" s="77"/>
      <c r="R1143" s="142"/>
      <c r="S1143" s="142"/>
      <c r="T1143" s="142"/>
      <c r="U1143" s="142"/>
      <c r="V1143" s="142"/>
      <c r="W1143" s="142"/>
      <c r="X1143" s="142"/>
      <c r="Y1143" s="142"/>
      <c r="Z1143" s="142"/>
      <c r="AA1143" s="142"/>
      <c r="AB1143" s="142"/>
      <c r="AC1143" s="142"/>
      <c r="AD1143" s="142"/>
      <c r="AE1143" s="142"/>
      <c r="AF1143" s="142"/>
      <c r="AG1143" s="142"/>
      <c r="AH1143" s="142"/>
    </row>
    <row r="1144" ht="15.75" hidden="1" customHeight="1">
      <c r="A1144" s="142"/>
      <c r="B1144" s="142"/>
      <c r="C1144" s="220"/>
      <c r="D1144" s="142"/>
      <c r="E1144" s="220"/>
      <c r="F1144" s="213"/>
      <c r="G1144" s="213"/>
      <c r="H1144" s="213"/>
      <c r="I1144" s="214"/>
      <c r="J1144" s="222"/>
      <c r="K1144" s="65"/>
      <c r="L1144" s="65"/>
      <c r="M1144" s="142"/>
      <c r="N1144" s="217"/>
      <c r="O1144" s="77"/>
      <c r="P1144" s="195"/>
      <c r="Q1144" s="77"/>
    </row>
    <row r="1145" ht="15.75" hidden="1" customHeight="1">
      <c r="A1145" s="142"/>
      <c r="B1145" s="142"/>
      <c r="C1145" s="220"/>
      <c r="D1145" s="142"/>
      <c r="E1145" s="220"/>
      <c r="F1145" s="213"/>
      <c r="G1145" s="213"/>
      <c r="H1145" s="213"/>
      <c r="I1145" s="214"/>
      <c r="J1145" s="222"/>
      <c r="K1145" s="65"/>
      <c r="L1145" s="65"/>
      <c r="M1145" s="142"/>
      <c r="N1145" s="217"/>
      <c r="O1145" s="77"/>
      <c r="P1145" s="195"/>
      <c r="Q1145" s="77"/>
    </row>
    <row r="1146" ht="15.75" hidden="1" customHeight="1">
      <c r="A1146" s="142"/>
      <c r="B1146" s="142"/>
      <c r="C1146" s="220"/>
      <c r="D1146" s="142"/>
      <c r="E1146" s="220"/>
      <c r="F1146" s="213"/>
      <c r="G1146" s="213"/>
      <c r="H1146" s="213"/>
      <c r="I1146" s="214"/>
      <c r="J1146" s="222"/>
      <c r="K1146" s="65"/>
      <c r="L1146" s="65"/>
      <c r="M1146" s="142"/>
      <c r="N1146" s="217"/>
      <c r="O1146" s="77"/>
      <c r="P1146" s="195"/>
      <c r="Q1146" s="77"/>
    </row>
    <row r="1147" ht="15.75" hidden="1" customHeight="1">
      <c r="A1147" s="142"/>
      <c r="B1147" s="142"/>
      <c r="C1147" s="220"/>
      <c r="D1147" s="142"/>
      <c r="E1147" s="220"/>
      <c r="F1147" s="213"/>
      <c r="G1147" s="213"/>
      <c r="H1147" s="213"/>
      <c r="I1147" s="214"/>
      <c r="J1147" s="222"/>
      <c r="K1147" s="65"/>
      <c r="L1147" s="65"/>
      <c r="M1147" s="142"/>
      <c r="N1147" s="217"/>
      <c r="O1147" s="77"/>
      <c r="P1147" s="195"/>
      <c r="Q1147" s="77"/>
    </row>
    <row r="1148" ht="15.75" hidden="1" customHeight="1">
      <c r="A1148" s="142"/>
      <c r="B1148" s="142"/>
      <c r="C1148" s="220"/>
      <c r="D1148" s="142"/>
      <c r="E1148" s="220"/>
      <c r="F1148" s="213"/>
      <c r="G1148" s="213"/>
      <c r="H1148" s="213"/>
      <c r="I1148" s="214"/>
      <c r="J1148" s="222"/>
      <c r="K1148" s="65"/>
      <c r="L1148" s="65"/>
      <c r="M1148" s="142"/>
      <c r="N1148" s="217"/>
      <c r="O1148" s="77"/>
      <c r="P1148" s="195"/>
      <c r="Q1148" s="77"/>
    </row>
    <row r="1149" ht="15.75" hidden="1" customHeight="1">
      <c r="A1149" s="142"/>
      <c r="B1149" s="142"/>
      <c r="C1149" s="220"/>
      <c r="D1149" s="142"/>
      <c r="E1149" s="220"/>
      <c r="F1149" s="213"/>
      <c r="G1149" s="213"/>
      <c r="H1149" s="213"/>
      <c r="I1149" s="214"/>
      <c r="J1149" s="222"/>
      <c r="K1149" s="65"/>
      <c r="L1149" s="65"/>
      <c r="M1149" s="142"/>
      <c r="N1149" s="217"/>
      <c r="O1149" s="77"/>
      <c r="P1149" s="195"/>
      <c r="Q1149" s="77"/>
    </row>
    <row r="1150" ht="15.75" hidden="1" customHeight="1">
      <c r="A1150" s="142"/>
      <c r="B1150" s="142"/>
      <c r="C1150" s="220"/>
      <c r="D1150" s="142"/>
      <c r="E1150" s="220"/>
      <c r="F1150" s="213"/>
      <c r="G1150" s="213"/>
      <c r="H1150" s="213"/>
      <c r="I1150" s="214"/>
      <c r="J1150" s="222"/>
      <c r="K1150" s="65"/>
      <c r="L1150" s="65"/>
      <c r="M1150" s="142"/>
      <c r="N1150" s="217"/>
      <c r="O1150" s="77"/>
      <c r="P1150" s="195"/>
      <c r="Q1150" s="77"/>
    </row>
    <row r="1151" ht="15.75" hidden="1" customHeight="1">
      <c r="A1151" s="142"/>
      <c r="B1151" s="142"/>
      <c r="C1151" s="220"/>
      <c r="D1151" s="142"/>
      <c r="E1151" s="220"/>
      <c r="F1151" s="213"/>
      <c r="G1151" s="213"/>
      <c r="H1151" s="213"/>
      <c r="I1151" s="214"/>
      <c r="J1151" s="222"/>
      <c r="K1151" s="65"/>
      <c r="L1151" s="65"/>
      <c r="M1151" s="142"/>
      <c r="N1151" s="217"/>
      <c r="O1151" s="77"/>
      <c r="P1151" s="195"/>
      <c r="Q1151" s="77"/>
    </row>
    <row r="1152" ht="15.75" hidden="1" customHeight="1">
      <c r="A1152" s="142"/>
      <c r="B1152" s="142"/>
      <c r="C1152" s="220"/>
      <c r="D1152" s="142"/>
      <c r="E1152" s="220"/>
      <c r="F1152" s="213"/>
      <c r="G1152" s="213"/>
      <c r="H1152" s="213"/>
      <c r="I1152" s="214"/>
      <c r="J1152" s="222"/>
      <c r="K1152" s="65"/>
      <c r="L1152" s="65"/>
      <c r="M1152" s="142"/>
      <c r="N1152" s="217"/>
      <c r="O1152" s="77"/>
      <c r="P1152" s="195"/>
      <c r="Q1152" s="77"/>
    </row>
    <row r="1153" ht="15.75" hidden="1" customHeight="1">
      <c r="A1153" s="142"/>
      <c r="B1153" s="142"/>
      <c r="C1153" s="220"/>
      <c r="D1153" s="142"/>
      <c r="E1153" s="220"/>
      <c r="F1153" s="213"/>
      <c r="G1153" s="213"/>
      <c r="H1153" s="213"/>
      <c r="I1153" s="214"/>
      <c r="J1153" s="222"/>
      <c r="K1153" s="65"/>
      <c r="L1153" s="65"/>
      <c r="M1153" s="142"/>
      <c r="N1153" s="217"/>
      <c r="O1153" s="77"/>
      <c r="P1153" s="195"/>
      <c r="Q1153" s="77"/>
    </row>
    <row r="1154" ht="15.75" hidden="1" customHeight="1">
      <c r="A1154" s="142"/>
      <c r="B1154" s="142"/>
      <c r="C1154" s="220"/>
      <c r="D1154" s="142"/>
      <c r="E1154" s="220"/>
      <c r="F1154" s="213"/>
      <c r="G1154" s="213"/>
      <c r="H1154" s="213"/>
      <c r="I1154" s="214"/>
      <c r="J1154" s="222"/>
      <c r="K1154" s="65"/>
      <c r="L1154" s="65"/>
      <c r="M1154" s="142"/>
      <c r="N1154" s="217"/>
      <c r="O1154" s="77"/>
      <c r="P1154" s="195"/>
      <c r="Q1154" s="77"/>
    </row>
    <row r="1155" ht="15.75" hidden="1" customHeight="1">
      <c r="A1155" s="142"/>
      <c r="B1155" s="142"/>
      <c r="C1155" s="220"/>
      <c r="D1155" s="142"/>
      <c r="E1155" s="220"/>
      <c r="F1155" s="213"/>
      <c r="G1155" s="213"/>
      <c r="H1155" s="213"/>
      <c r="I1155" s="214"/>
      <c r="J1155" s="222"/>
      <c r="K1155" s="65"/>
      <c r="L1155" s="65"/>
      <c r="M1155" s="142"/>
      <c r="N1155" s="217"/>
      <c r="O1155" s="77"/>
      <c r="P1155" s="195"/>
      <c r="Q1155" s="77"/>
    </row>
    <row r="1156" ht="15.75" hidden="1" customHeight="1">
      <c r="A1156" s="142"/>
      <c r="B1156" s="142"/>
      <c r="C1156" s="220"/>
      <c r="D1156" s="142"/>
      <c r="E1156" s="220"/>
      <c r="F1156" s="213"/>
      <c r="G1156" s="213"/>
      <c r="H1156" s="213"/>
      <c r="I1156" s="214"/>
      <c r="J1156" s="222"/>
      <c r="K1156" s="65"/>
      <c r="L1156" s="65"/>
      <c r="M1156" s="142"/>
      <c r="N1156" s="217"/>
      <c r="O1156" s="77"/>
      <c r="P1156" s="195"/>
      <c r="Q1156" s="77"/>
    </row>
    <row r="1157" ht="15.75" hidden="1" customHeight="1">
      <c r="A1157" s="142"/>
      <c r="B1157" s="142"/>
      <c r="C1157" s="220"/>
      <c r="D1157" s="142"/>
      <c r="E1157" s="220"/>
      <c r="F1157" s="213"/>
      <c r="G1157" s="213"/>
      <c r="H1157" s="213"/>
      <c r="I1157" s="214"/>
      <c r="J1157" s="222"/>
      <c r="K1157" s="65"/>
      <c r="L1157" s="65"/>
      <c r="M1157" s="142"/>
      <c r="N1157" s="217"/>
      <c r="O1157" s="77"/>
      <c r="P1157" s="195"/>
      <c r="Q1157" s="77"/>
    </row>
    <row r="1158" ht="15.75" hidden="1" customHeight="1">
      <c r="A1158" s="142"/>
      <c r="B1158" s="142"/>
      <c r="C1158" s="220"/>
      <c r="D1158" s="142"/>
      <c r="E1158" s="220"/>
      <c r="F1158" s="213"/>
      <c r="G1158" s="213"/>
      <c r="H1158" s="213"/>
      <c r="I1158" s="214"/>
      <c r="J1158" s="222"/>
      <c r="K1158" s="65"/>
      <c r="L1158" s="65"/>
      <c r="M1158" s="142"/>
      <c r="N1158" s="217"/>
      <c r="O1158" s="77"/>
      <c r="P1158" s="195"/>
      <c r="Q1158" s="77"/>
    </row>
    <row r="1159" ht="15.75" hidden="1" customHeight="1">
      <c r="A1159" s="142"/>
      <c r="B1159" s="142"/>
      <c r="C1159" s="220"/>
      <c r="D1159" s="142"/>
      <c r="E1159" s="220"/>
      <c r="F1159" s="213"/>
      <c r="G1159" s="213"/>
      <c r="H1159" s="213"/>
      <c r="I1159" s="214"/>
      <c r="J1159" s="222"/>
      <c r="K1159" s="65"/>
      <c r="L1159" s="65"/>
      <c r="M1159" s="142"/>
      <c r="N1159" s="217"/>
      <c r="O1159" s="77"/>
      <c r="P1159" s="195"/>
      <c r="Q1159" s="77"/>
    </row>
    <row r="1160" ht="15.75" hidden="1" customHeight="1">
      <c r="A1160" s="142"/>
      <c r="B1160" s="142"/>
      <c r="C1160" s="220"/>
      <c r="D1160" s="142"/>
      <c r="E1160" s="220"/>
      <c r="F1160" s="213"/>
      <c r="G1160" s="213"/>
      <c r="H1160" s="213"/>
      <c r="I1160" s="214"/>
      <c r="J1160" s="222"/>
      <c r="K1160" s="65"/>
      <c r="L1160" s="65"/>
      <c r="M1160" s="142"/>
      <c r="N1160" s="217"/>
      <c r="O1160" s="77"/>
      <c r="P1160" s="195"/>
      <c r="Q1160" s="77"/>
    </row>
    <row r="1161" ht="15.75" hidden="1" customHeight="1">
      <c r="A1161" s="142"/>
      <c r="B1161" s="142"/>
      <c r="C1161" s="220"/>
      <c r="D1161" s="142"/>
      <c r="E1161" s="220"/>
      <c r="F1161" s="213"/>
      <c r="G1161" s="213"/>
      <c r="H1161" s="213"/>
      <c r="I1161" s="214"/>
      <c r="J1161" s="222"/>
      <c r="K1161" s="65"/>
      <c r="L1161" s="65"/>
      <c r="M1161" s="142"/>
      <c r="N1161" s="217"/>
      <c r="O1161" s="77"/>
      <c r="P1161" s="195"/>
      <c r="Q1161" s="77"/>
    </row>
    <row r="1162" ht="15.75" hidden="1" customHeight="1">
      <c r="A1162" s="142"/>
      <c r="B1162" s="142"/>
      <c r="C1162" s="220"/>
      <c r="D1162" s="142"/>
      <c r="E1162" s="220"/>
      <c r="F1162" s="213"/>
      <c r="G1162" s="213"/>
      <c r="H1162" s="213"/>
      <c r="I1162" s="214"/>
      <c r="J1162" s="222"/>
      <c r="K1162" s="65"/>
      <c r="L1162" s="65"/>
      <c r="M1162" s="142"/>
      <c r="N1162" s="217"/>
      <c r="O1162" s="77"/>
      <c r="P1162" s="195"/>
      <c r="Q1162" s="77"/>
    </row>
    <row r="1163" ht="15.75" hidden="1" customHeight="1">
      <c r="A1163" s="142"/>
      <c r="B1163" s="142"/>
      <c r="C1163" s="220"/>
      <c r="D1163" s="142"/>
      <c r="E1163" s="220"/>
      <c r="F1163" s="213"/>
      <c r="G1163" s="213"/>
      <c r="H1163" s="213"/>
      <c r="I1163" s="214"/>
      <c r="J1163" s="222"/>
      <c r="K1163" s="65"/>
      <c r="L1163" s="65"/>
      <c r="M1163" s="142"/>
      <c r="N1163" s="217"/>
      <c r="O1163" s="77"/>
      <c r="P1163" s="195"/>
      <c r="Q1163" s="77"/>
    </row>
    <row r="1164" ht="15.75" hidden="1" customHeight="1">
      <c r="A1164" s="142"/>
      <c r="B1164" s="142"/>
      <c r="C1164" s="220"/>
      <c r="D1164" s="142"/>
      <c r="E1164" s="220"/>
      <c r="F1164" s="213"/>
      <c r="G1164" s="213"/>
      <c r="H1164" s="213"/>
      <c r="I1164" s="214"/>
      <c r="J1164" s="222"/>
      <c r="K1164" s="65"/>
      <c r="L1164" s="65"/>
      <c r="M1164" s="142"/>
      <c r="N1164" s="217"/>
      <c r="O1164" s="77"/>
      <c r="P1164" s="195"/>
      <c r="Q1164" s="77"/>
    </row>
    <row r="1165" ht="15.75" hidden="1" customHeight="1">
      <c r="A1165" s="142"/>
      <c r="B1165" s="142"/>
      <c r="C1165" s="220"/>
      <c r="D1165" s="142"/>
      <c r="E1165" s="220"/>
      <c r="F1165" s="213"/>
      <c r="G1165" s="213"/>
      <c r="H1165" s="213"/>
      <c r="I1165" s="214"/>
      <c r="J1165" s="222"/>
      <c r="K1165" s="65"/>
      <c r="L1165" s="65"/>
      <c r="M1165" s="142"/>
      <c r="N1165" s="217"/>
      <c r="O1165" s="77"/>
      <c r="P1165" s="195"/>
      <c r="Q1165" s="77"/>
    </row>
    <row r="1166" ht="15.75" hidden="1" customHeight="1">
      <c r="A1166" s="142"/>
      <c r="B1166" s="77"/>
      <c r="C1166" s="220"/>
      <c r="D1166" s="142"/>
      <c r="E1166" s="220"/>
      <c r="F1166" s="213"/>
      <c r="G1166" s="213"/>
      <c r="H1166" s="213"/>
      <c r="I1166" s="214"/>
      <c r="J1166" s="222"/>
      <c r="K1166" s="65"/>
      <c r="L1166" s="65"/>
      <c r="M1166" s="142"/>
      <c r="N1166" s="217"/>
      <c r="O1166" s="77"/>
      <c r="P1166" s="195"/>
      <c r="Q1166" s="77"/>
    </row>
    <row r="1167" ht="15.75" hidden="1" customHeight="1">
      <c r="A1167" s="142"/>
      <c r="B1167" s="142"/>
      <c r="C1167" s="220"/>
      <c r="D1167" s="142"/>
      <c r="E1167" s="220"/>
      <c r="F1167" s="213"/>
      <c r="G1167" s="213"/>
      <c r="H1167" s="213"/>
      <c r="I1167" s="214"/>
      <c r="J1167" s="222"/>
      <c r="K1167" s="65"/>
      <c r="L1167" s="65"/>
      <c r="M1167" s="142"/>
      <c r="N1167" s="217"/>
      <c r="O1167" s="77"/>
      <c r="P1167" s="195"/>
      <c r="Q1167" s="77"/>
      <c r="V1167" s="142"/>
      <c r="W1167" s="142"/>
      <c r="X1167" s="142"/>
      <c r="Y1167" s="142"/>
      <c r="Z1167" s="142"/>
      <c r="AA1167" s="142"/>
      <c r="AB1167" s="142"/>
      <c r="AC1167" s="142"/>
      <c r="AD1167" s="142"/>
      <c r="AE1167" s="142"/>
      <c r="AF1167" s="142"/>
      <c r="AG1167" s="142"/>
      <c r="AH1167" s="142"/>
    </row>
    <row r="1168" ht="15.75" hidden="1" customHeight="1">
      <c r="A1168" s="142"/>
      <c r="B1168" s="142"/>
      <c r="C1168" s="220"/>
      <c r="D1168" s="142"/>
      <c r="E1168" s="220"/>
      <c r="F1168" s="213"/>
      <c r="G1168" s="213"/>
      <c r="H1168" s="213"/>
      <c r="I1168" s="214"/>
      <c r="J1168" s="222"/>
      <c r="K1168" s="65"/>
      <c r="L1168" s="65"/>
      <c r="M1168" s="142"/>
      <c r="N1168" s="217"/>
      <c r="O1168" s="77"/>
      <c r="P1168" s="195"/>
      <c r="Q1168" s="77"/>
    </row>
    <row r="1169" ht="15.75" hidden="1" customHeight="1">
      <c r="A1169" s="142"/>
      <c r="B1169" s="142"/>
      <c r="C1169" s="220"/>
      <c r="D1169" s="142"/>
      <c r="E1169" s="220"/>
      <c r="F1169" s="213"/>
      <c r="G1169" s="213"/>
      <c r="H1169" s="213"/>
      <c r="I1169" s="214"/>
      <c r="J1169" s="222"/>
      <c r="K1169" s="65"/>
      <c r="L1169" s="65"/>
      <c r="M1169" s="142"/>
      <c r="N1169" s="217"/>
      <c r="O1169" s="77"/>
      <c r="P1169" s="195"/>
      <c r="Q1169" s="77"/>
    </row>
    <row r="1170" ht="15.75" hidden="1" customHeight="1">
      <c r="A1170" s="142"/>
      <c r="B1170" s="142"/>
      <c r="C1170" s="220"/>
      <c r="D1170" s="142"/>
      <c r="E1170" s="220"/>
      <c r="F1170" s="213"/>
      <c r="G1170" s="213"/>
      <c r="H1170" s="213"/>
      <c r="I1170" s="214"/>
      <c r="J1170" s="222"/>
      <c r="K1170" s="65"/>
      <c r="L1170" s="65"/>
      <c r="M1170" s="142"/>
      <c r="N1170" s="217"/>
      <c r="O1170" s="77"/>
      <c r="P1170" s="195"/>
      <c r="Q1170" s="77"/>
    </row>
    <row r="1171" ht="15.75" hidden="1" customHeight="1">
      <c r="A1171" s="142"/>
      <c r="B1171" s="142"/>
      <c r="C1171" s="220"/>
      <c r="D1171" s="142"/>
      <c r="E1171" s="220"/>
      <c r="F1171" s="213"/>
      <c r="G1171" s="213"/>
      <c r="H1171" s="213"/>
      <c r="I1171" s="214"/>
      <c r="J1171" s="222"/>
      <c r="K1171" s="65"/>
      <c r="L1171" s="65"/>
      <c r="M1171" s="142"/>
      <c r="N1171" s="217"/>
      <c r="O1171" s="77"/>
      <c r="P1171" s="195"/>
      <c r="Q1171" s="77"/>
    </row>
    <row r="1172" ht="15.75" hidden="1" customHeight="1">
      <c r="A1172" s="142"/>
      <c r="B1172" s="142"/>
      <c r="C1172" s="220"/>
      <c r="D1172" s="142"/>
      <c r="E1172" s="220"/>
      <c r="F1172" s="213"/>
      <c r="G1172" s="213"/>
      <c r="H1172" s="213"/>
      <c r="I1172" s="214"/>
      <c r="J1172" s="222"/>
      <c r="K1172" s="65"/>
      <c r="L1172" s="65"/>
      <c r="M1172" s="142"/>
      <c r="N1172" s="217"/>
      <c r="O1172" s="77"/>
      <c r="P1172" s="195"/>
      <c r="Q1172" s="77"/>
    </row>
    <row r="1173" ht="15.75" hidden="1" customHeight="1">
      <c r="A1173" s="142"/>
      <c r="B1173" s="142"/>
      <c r="C1173" s="220"/>
      <c r="D1173" s="142"/>
      <c r="E1173" s="220"/>
      <c r="F1173" s="213"/>
      <c r="G1173" s="213"/>
      <c r="H1173" s="213"/>
      <c r="I1173" s="214"/>
      <c r="J1173" s="222"/>
      <c r="K1173" s="65"/>
      <c r="L1173" s="65"/>
      <c r="M1173" s="142"/>
      <c r="N1173" s="217"/>
      <c r="O1173" s="77"/>
      <c r="P1173" s="195"/>
      <c r="Q1173" s="77"/>
    </row>
    <row r="1174" ht="15.75" hidden="1" customHeight="1">
      <c r="A1174" s="142"/>
      <c r="B1174" s="142"/>
      <c r="C1174" s="220"/>
      <c r="D1174" s="142"/>
      <c r="E1174" s="220"/>
      <c r="F1174" s="213"/>
      <c r="G1174" s="213"/>
      <c r="H1174" s="213"/>
      <c r="I1174" s="214"/>
      <c r="J1174" s="222"/>
      <c r="K1174" s="65"/>
      <c r="L1174" s="65"/>
      <c r="M1174" s="142"/>
      <c r="N1174" s="217"/>
      <c r="O1174" s="77"/>
      <c r="P1174" s="195"/>
      <c r="Q1174" s="77"/>
    </row>
    <row r="1175" ht="15.75" hidden="1" customHeight="1">
      <c r="A1175" s="142"/>
      <c r="B1175" s="142"/>
      <c r="C1175" s="220"/>
      <c r="D1175" s="142"/>
      <c r="E1175" s="220"/>
      <c r="F1175" s="213"/>
      <c r="G1175" s="213"/>
      <c r="H1175" s="213"/>
      <c r="I1175" s="214"/>
      <c r="J1175" s="222"/>
      <c r="K1175" s="65"/>
      <c r="L1175" s="65"/>
      <c r="M1175" s="142"/>
      <c r="N1175" s="217"/>
      <c r="O1175" s="77"/>
      <c r="P1175" s="195"/>
      <c r="Q1175" s="77"/>
    </row>
    <row r="1176" ht="15.75" hidden="1" customHeight="1">
      <c r="A1176" s="142"/>
      <c r="B1176" s="142"/>
      <c r="C1176" s="220"/>
      <c r="D1176" s="142"/>
      <c r="E1176" s="220"/>
      <c r="F1176" s="213"/>
      <c r="G1176" s="213"/>
      <c r="H1176" s="213"/>
      <c r="I1176" s="214"/>
      <c r="J1176" s="222"/>
      <c r="K1176" s="65"/>
      <c r="L1176" s="65"/>
      <c r="M1176" s="142"/>
      <c r="N1176" s="217"/>
      <c r="O1176" s="77"/>
      <c r="P1176" s="195"/>
      <c r="Q1176" s="77"/>
    </row>
    <row r="1177" ht="15.75" hidden="1" customHeight="1">
      <c r="A1177" s="142"/>
      <c r="B1177" s="142"/>
      <c r="C1177" s="220"/>
      <c r="D1177" s="142"/>
      <c r="E1177" s="220"/>
      <c r="F1177" s="213"/>
      <c r="G1177" s="213"/>
      <c r="H1177" s="213"/>
      <c r="I1177" s="214"/>
      <c r="J1177" s="222"/>
      <c r="K1177" s="65"/>
      <c r="L1177" s="65"/>
      <c r="M1177" s="142"/>
      <c r="N1177" s="217"/>
      <c r="O1177" s="77"/>
      <c r="P1177" s="195"/>
      <c r="Q1177" s="77"/>
    </row>
    <row r="1178" ht="15.75" hidden="1" customHeight="1">
      <c r="A1178" s="142"/>
      <c r="B1178" s="142"/>
      <c r="C1178" s="220"/>
      <c r="D1178" s="142"/>
      <c r="E1178" s="220"/>
      <c r="F1178" s="213"/>
      <c r="G1178" s="213"/>
      <c r="H1178" s="213"/>
      <c r="I1178" s="214"/>
      <c r="J1178" s="222"/>
      <c r="K1178" s="65"/>
      <c r="L1178" s="65"/>
      <c r="N1178" s="217"/>
      <c r="O1178" s="77"/>
      <c r="P1178" s="195"/>
      <c r="Q1178" s="77"/>
    </row>
    <row r="1179" ht="15.75" hidden="1" customHeight="1">
      <c r="A1179" s="142"/>
      <c r="B1179" s="142"/>
      <c r="C1179" s="220"/>
      <c r="D1179" s="142"/>
      <c r="E1179" s="220"/>
      <c r="F1179" s="213"/>
      <c r="G1179" s="213"/>
      <c r="H1179" s="213"/>
      <c r="I1179" s="214"/>
      <c r="J1179" s="222"/>
      <c r="K1179" s="65"/>
      <c r="L1179" s="65"/>
      <c r="N1179" s="217"/>
      <c r="O1179" s="77"/>
      <c r="P1179" s="195"/>
      <c r="Q1179" s="77"/>
    </row>
    <row r="1180" ht="15.75" hidden="1" customHeight="1">
      <c r="A1180" s="142"/>
      <c r="B1180" s="142"/>
      <c r="C1180" s="220"/>
      <c r="D1180" s="142"/>
      <c r="E1180" s="220"/>
      <c r="F1180" s="213"/>
      <c r="G1180" s="213"/>
      <c r="H1180" s="213"/>
      <c r="I1180" s="214"/>
      <c r="J1180" s="222"/>
      <c r="K1180" s="65"/>
      <c r="L1180" s="65"/>
      <c r="M1180" s="142"/>
      <c r="N1180" s="217"/>
      <c r="O1180" s="77"/>
      <c r="P1180" s="195"/>
      <c r="Q1180" s="77"/>
    </row>
    <row r="1181" ht="15.75" hidden="1" customHeight="1">
      <c r="A1181" s="142"/>
      <c r="B1181" s="142"/>
      <c r="C1181" s="220"/>
      <c r="D1181" s="142"/>
      <c r="E1181" s="220"/>
      <c r="F1181" s="213"/>
      <c r="G1181" s="213"/>
      <c r="H1181" s="213"/>
      <c r="I1181" s="214"/>
      <c r="J1181" s="222"/>
      <c r="K1181" s="65"/>
      <c r="L1181" s="65"/>
      <c r="M1181" s="142"/>
      <c r="N1181" s="217"/>
      <c r="O1181" s="77"/>
      <c r="P1181" s="195"/>
      <c r="Q1181" s="77"/>
    </row>
    <row r="1182" ht="15.75" hidden="1" customHeight="1">
      <c r="A1182" s="142"/>
      <c r="B1182" s="142"/>
      <c r="C1182" s="220"/>
      <c r="D1182" s="142"/>
      <c r="E1182" s="220"/>
      <c r="F1182" s="213"/>
      <c r="G1182" s="213"/>
      <c r="H1182" s="213"/>
      <c r="I1182" s="214"/>
      <c r="J1182" s="222"/>
      <c r="K1182" s="65"/>
      <c r="L1182" s="65"/>
      <c r="M1182" s="142"/>
      <c r="N1182" s="217"/>
      <c r="O1182" s="77"/>
      <c r="P1182" s="195"/>
      <c r="Q1182" s="77"/>
    </row>
    <row r="1183" ht="15.75" hidden="1" customHeight="1">
      <c r="A1183" s="142"/>
      <c r="B1183" s="142"/>
      <c r="C1183" s="220"/>
      <c r="D1183" s="142"/>
      <c r="E1183" s="220"/>
      <c r="F1183" s="213"/>
      <c r="G1183" s="213"/>
      <c r="H1183" s="213"/>
      <c r="I1183" s="214"/>
      <c r="J1183" s="222"/>
      <c r="K1183" s="65"/>
      <c r="L1183" s="65"/>
      <c r="M1183" s="142"/>
      <c r="N1183" s="217"/>
      <c r="O1183" s="77"/>
      <c r="P1183" s="195"/>
      <c r="Q1183" s="77"/>
      <c r="AF1183" s="142"/>
      <c r="AG1183" s="142"/>
      <c r="AH1183" s="142"/>
    </row>
    <row r="1184" ht="15.75" hidden="1" customHeight="1">
      <c r="A1184" s="142"/>
      <c r="B1184" s="142"/>
      <c r="C1184" s="220"/>
      <c r="D1184" s="142"/>
      <c r="E1184" s="220"/>
      <c r="F1184" s="213"/>
      <c r="G1184" s="213"/>
      <c r="H1184" s="213"/>
      <c r="I1184" s="214"/>
      <c r="J1184" s="222"/>
      <c r="K1184" s="65"/>
      <c r="L1184" s="65"/>
      <c r="M1184" s="142"/>
      <c r="N1184" s="217"/>
      <c r="O1184" s="77"/>
      <c r="P1184" s="195"/>
      <c r="Q1184" s="77"/>
    </row>
    <row r="1185" ht="15.75" hidden="1" customHeight="1">
      <c r="A1185" s="142"/>
      <c r="B1185" s="142"/>
      <c r="C1185" s="220"/>
      <c r="D1185" s="142"/>
      <c r="E1185" s="220"/>
      <c r="F1185" s="213"/>
      <c r="G1185" s="213"/>
      <c r="H1185" s="213"/>
      <c r="I1185" s="214"/>
      <c r="J1185" s="222"/>
      <c r="K1185" s="65"/>
      <c r="L1185" s="65"/>
      <c r="M1185" s="142"/>
      <c r="N1185" s="217"/>
      <c r="O1185" s="77"/>
      <c r="P1185" s="195"/>
      <c r="Q1185" s="77"/>
    </row>
    <row r="1186" ht="15.75" hidden="1" customHeight="1">
      <c r="A1186" s="142"/>
      <c r="B1186" s="142"/>
      <c r="C1186" s="220"/>
      <c r="D1186" s="142"/>
      <c r="E1186" s="220"/>
      <c r="F1186" s="213"/>
      <c r="G1186" s="213"/>
      <c r="H1186" s="213"/>
      <c r="I1186" s="214"/>
      <c r="J1186" s="222"/>
      <c r="K1186" s="65"/>
      <c r="L1186" s="65"/>
      <c r="N1186" s="217"/>
      <c r="O1186" s="77"/>
      <c r="P1186" s="195"/>
      <c r="Q1186" s="77"/>
    </row>
    <row r="1187" ht="15.75" hidden="1" customHeight="1">
      <c r="A1187" s="142"/>
      <c r="B1187" s="142"/>
      <c r="C1187" s="220"/>
      <c r="D1187" s="142"/>
      <c r="E1187" s="220"/>
      <c r="F1187" s="213"/>
      <c r="G1187" s="213"/>
      <c r="H1187" s="213"/>
      <c r="I1187" s="214"/>
      <c r="J1187" s="222"/>
      <c r="K1187" s="65"/>
      <c r="L1187" s="65"/>
      <c r="N1187" s="217"/>
      <c r="O1187" s="77"/>
      <c r="P1187" s="195"/>
      <c r="Q1187" s="77"/>
    </row>
    <row r="1188" ht="15.75" hidden="1" customHeight="1">
      <c r="A1188" s="142"/>
      <c r="B1188" s="142"/>
      <c r="C1188" s="220"/>
      <c r="D1188" s="142"/>
      <c r="E1188" s="220"/>
      <c r="F1188" s="213"/>
      <c r="G1188" s="213"/>
      <c r="H1188" s="213"/>
      <c r="I1188" s="214"/>
      <c r="J1188" s="222"/>
      <c r="K1188" s="65"/>
      <c r="L1188" s="65"/>
      <c r="N1188" s="217"/>
      <c r="O1188" s="77"/>
      <c r="P1188" s="195"/>
      <c r="Q1188" s="77"/>
    </row>
    <row r="1189" ht="15.75" hidden="1" customHeight="1">
      <c r="A1189" s="142"/>
      <c r="B1189" s="142"/>
      <c r="C1189" s="220"/>
      <c r="D1189" s="142"/>
      <c r="E1189" s="220"/>
      <c r="F1189" s="213"/>
      <c r="G1189" s="213"/>
      <c r="H1189" s="213"/>
      <c r="I1189" s="214"/>
      <c r="J1189" s="222"/>
      <c r="K1189" s="65"/>
      <c r="L1189" s="65"/>
      <c r="N1189" s="217"/>
      <c r="O1189" s="77"/>
      <c r="P1189" s="195"/>
      <c r="Q1189" s="77"/>
    </row>
    <row r="1190" ht="15.75" hidden="1" customHeight="1">
      <c r="A1190" s="142"/>
      <c r="B1190" s="142"/>
      <c r="C1190" s="220"/>
      <c r="D1190" s="142"/>
      <c r="E1190" s="220"/>
      <c r="F1190" s="213"/>
      <c r="G1190" s="213"/>
      <c r="H1190" s="213"/>
      <c r="I1190" s="214"/>
      <c r="J1190" s="222"/>
      <c r="K1190" s="65"/>
      <c r="L1190" s="65"/>
      <c r="N1190" s="217"/>
      <c r="O1190" s="77"/>
      <c r="P1190" s="195"/>
      <c r="Q1190" s="77"/>
    </row>
    <row r="1191" ht="15.75" hidden="1" customHeight="1">
      <c r="A1191" s="142"/>
      <c r="B1191" s="142"/>
      <c r="C1191" s="220"/>
      <c r="D1191" s="142"/>
      <c r="E1191" s="220"/>
      <c r="F1191" s="213"/>
      <c r="G1191" s="213"/>
      <c r="H1191" s="213"/>
      <c r="I1191" s="214"/>
      <c r="J1191" s="222"/>
      <c r="K1191" s="65"/>
      <c r="L1191" s="65"/>
      <c r="N1191" s="217"/>
      <c r="O1191" s="77"/>
      <c r="P1191" s="195"/>
      <c r="Q1191" s="77"/>
    </row>
    <row r="1192" ht="15.75" hidden="1" customHeight="1">
      <c r="A1192" s="142"/>
      <c r="B1192" s="142"/>
      <c r="C1192" s="220"/>
      <c r="D1192" s="142"/>
      <c r="E1192" s="220"/>
      <c r="F1192" s="213"/>
      <c r="G1192" s="213"/>
      <c r="H1192" s="213"/>
      <c r="I1192" s="214"/>
      <c r="J1192" s="222"/>
      <c r="K1192" s="65"/>
      <c r="L1192" s="65"/>
      <c r="M1192" s="142"/>
      <c r="N1192" s="217"/>
      <c r="O1192" s="77"/>
      <c r="P1192" s="195"/>
      <c r="Q1192" s="77"/>
    </row>
    <row r="1193" ht="15.75" hidden="1" customHeight="1">
      <c r="A1193" s="142"/>
      <c r="B1193" s="142"/>
      <c r="C1193" s="220"/>
      <c r="D1193" s="142"/>
      <c r="E1193" s="220"/>
      <c r="F1193" s="213"/>
      <c r="G1193" s="213"/>
      <c r="H1193" s="213"/>
      <c r="I1193" s="214"/>
      <c r="J1193" s="222"/>
      <c r="K1193" s="65"/>
      <c r="L1193" s="65"/>
      <c r="M1193" s="142"/>
      <c r="N1193" s="217"/>
      <c r="O1193" s="77"/>
      <c r="P1193" s="195"/>
      <c r="Q1193" s="77"/>
    </row>
    <row r="1194" ht="15.75" hidden="1" customHeight="1">
      <c r="A1194" s="142"/>
      <c r="B1194" s="142"/>
      <c r="C1194" s="220"/>
      <c r="D1194" s="142"/>
      <c r="E1194" s="220"/>
      <c r="F1194" s="213"/>
      <c r="G1194" s="213"/>
      <c r="H1194" s="213"/>
      <c r="I1194" s="214"/>
      <c r="J1194" s="222"/>
      <c r="K1194" s="65"/>
      <c r="L1194" s="65"/>
      <c r="N1194" s="217"/>
      <c r="O1194" s="77"/>
      <c r="P1194" s="195"/>
      <c r="Q1194" s="77"/>
    </row>
    <row r="1195" ht="15.75" hidden="1" customHeight="1">
      <c r="A1195" s="142"/>
      <c r="B1195" s="142"/>
      <c r="C1195" s="220"/>
      <c r="D1195" s="142"/>
      <c r="E1195" s="220"/>
      <c r="F1195" s="213"/>
      <c r="G1195" s="213"/>
      <c r="H1195" s="213"/>
      <c r="I1195" s="214"/>
      <c r="J1195" s="222"/>
      <c r="K1195" s="142"/>
      <c r="L1195" s="142"/>
      <c r="N1195" s="217"/>
      <c r="O1195" s="77"/>
      <c r="P1195" s="195"/>
      <c r="Q1195" s="77"/>
    </row>
    <row r="1196" ht="15.75" hidden="1" customHeight="1">
      <c r="A1196" s="142"/>
      <c r="B1196" s="77"/>
      <c r="C1196" s="220"/>
      <c r="D1196" s="142"/>
      <c r="E1196" s="220"/>
      <c r="F1196" s="213"/>
      <c r="G1196" s="213"/>
      <c r="H1196" s="213"/>
      <c r="I1196" s="214"/>
      <c r="J1196" s="222"/>
      <c r="K1196" s="65"/>
      <c r="L1196" s="65"/>
      <c r="N1196" s="217"/>
      <c r="O1196" s="77"/>
      <c r="P1196" s="195"/>
      <c r="Q1196" s="77"/>
    </row>
    <row r="1197" ht="15.75" hidden="1" customHeight="1">
      <c r="A1197" s="142"/>
      <c r="B1197" s="102"/>
      <c r="C1197" s="220"/>
      <c r="D1197" s="142"/>
      <c r="E1197" s="220"/>
      <c r="F1197" s="213"/>
      <c r="G1197" s="213"/>
      <c r="H1197" s="213"/>
      <c r="I1197" s="214"/>
      <c r="J1197" s="222"/>
      <c r="K1197" s="65"/>
      <c r="L1197" s="65"/>
      <c r="N1197" s="217"/>
      <c r="O1197" s="77"/>
      <c r="P1197" s="195"/>
      <c r="Q1197" s="77"/>
    </row>
    <row r="1198" ht="15.75" hidden="1" customHeight="1">
      <c r="A1198" s="142"/>
      <c r="B1198" s="142"/>
      <c r="C1198" s="220"/>
      <c r="D1198" s="142"/>
      <c r="E1198" s="220"/>
      <c r="F1198" s="213"/>
      <c r="G1198" s="213"/>
      <c r="H1198" s="213"/>
      <c r="I1198" s="214"/>
      <c r="J1198" s="222"/>
      <c r="K1198" s="65"/>
      <c r="L1198" s="65"/>
      <c r="M1198" s="142"/>
      <c r="N1198" s="217"/>
      <c r="O1198" s="77"/>
      <c r="P1198" s="195"/>
      <c r="Q1198" s="77"/>
      <c r="R1198" s="142"/>
      <c r="S1198" s="142"/>
      <c r="T1198" s="142"/>
      <c r="U1198" s="142"/>
    </row>
    <row r="1199" ht="15.75" hidden="1" customHeight="1">
      <c r="A1199" s="142"/>
      <c r="B1199" s="142"/>
      <c r="C1199" s="220"/>
      <c r="D1199" s="142"/>
      <c r="E1199" s="220"/>
      <c r="F1199" s="213"/>
      <c r="G1199" s="213"/>
      <c r="H1199" s="213"/>
      <c r="I1199" s="214"/>
      <c r="J1199" s="222"/>
      <c r="K1199" s="65"/>
      <c r="L1199" s="65"/>
      <c r="N1199" s="217"/>
      <c r="O1199" s="77"/>
      <c r="P1199" s="195"/>
      <c r="Q1199" s="77"/>
    </row>
    <row r="1200" ht="15.75" hidden="1" customHeight="1">
      <c r="A1200" s="142"/>
      <c r="B1200" s="142"/>
      <c r="C1200" s="220"/>
      <c r="D1200" s="142"/>
      <c r="E1200" s="220"/>
      <c r="F1200" s="213"/>
      <c r="G1200" s="213"/>
      <c r="H1200" s="213"/>
      <c r="I1200" s="214"/>
      <c r="J1200" s="222"/>
      <c r="K1200" s="65"/>
      <c r="L1200" s="65"/>
      <c r="N1200" s="217"/>
      <c r="O1200" s="77"/>
      <c r="P1200" s="195"/>
      <c r="Q1200" s="77"/>
    </row>
    <row r="1201" ht="15.75" hidden="1" customHeight="1">
      <c r="A1201" s="142"/>
      <c r="B1201" s="142"/>
      <c r="C1201" s="220"/>
      <c r="D1201" s="142"/>
      <c r="E1201" s="220"/>
      <c r="F1201" s="213"/>
      <c r="G1201" s="213"/>
      <c r="H1201" s="213"/>
      <c r="I1201" s="214"/>
      <c r="J1201" s="222"/>
      <c r="K1201" s="65"/>
      <c r="L1201" s="65"/>
      <c r="N1201" s="217"/>
      <c r="O1201" s="77"/>
      <c r="P1201" s="195"/>
      <c r="Q1201" s="77"/>
    </row>
    <row r="1202" ht="15.75" hidden="1" customHeight="1">
      <c r="A1202" s="142"/>
      <c r="B1202" s="142"/>
      <c r="C1202" s="220"/>
      <c r="D1202" s="142"/>
      <c r="E1202" s="220"/>
      <c r="F1202" s="213"/>
      <c r="G1202" s="213"/>
      <c r="H1202" s="213"/>
      <c r="I1202" s="214"/>
      <c r="J1202" s="222"/>
      <c r="K1202" s="65"/>
      <c r="L1202" s="65"/>
      <c r="N1202" s="217"/>
      <c r="O1202" s="77"/>
      <c r="P1202" s="195"/>
      <c r="Q1202" s="77"/>
    </row>
    <row r="1203" ht="15.75" hidden="1" customHeight="1">
      <c r="A1203" s="142"/>
      <c r="B1203" s="142"/>
      <c r="C1203" s="220"/>
      <c r="D1203" s="142"/>
      <c r="E1203" s="220"/>
      <c r="F1203" s="213"/>
      <c r="G1203" s="213"/>
      <c r="H1203" s="213"/>
      <c r="I1203" s="214"/>
      <c r="J1203" s="222"/>
      <c r="K1203" s="65"/>
      <c r="L1203" s="65"/>
      <c r="N1203" s="217"/>
      <c r="O1203" s="77"/>
      <c r="P1203" s="195"/>
      <c r="Q1203" s="77"/>
    </row>
    <row r="1204" ht="15.75" hidden="1" customHeight="1">
      <c r="A1204" s="142"/>
      <c r="B1204" s="142"/>
      <c r="C1204" s="220"/>
      <c r="D1204" s="142"/>
      <c r="E1204" s="220"/>
      <c r="F1204" s="213"/>
      <c r="G1204" s="213"/>
      <c r="H1204" s="213"/>
      <c r="I1204" s="214"/>
      <c r="J1204" s="222"/>
      <c r="K1204" s="65"/>
      <c r="L1204" s="65"/>
      <c r="N1204" s="217"/>
      <c r="O1204" s="77"/>
      <c r="P1204" s="195"/>
      <c r="Q1204" s="77"/>
    </row>
    <row r="1205" ht="15.75" hidden="1" customHeight="1">
      <c r="A1205" s="142"/>
      <c r="B1205" s="142"/>
      <c r="C1205" s="220"/>
      <c r="D1205" s="142"/>
      <c r="E1205" s="220"/>
      <c r="F1205" s="213"/>
      <c r="G1205" s="213"/>
      <c r="H1205" s="213"/>
      <c r="I1205" s="214"/>
      <c r="J1205" s="222"/>
      <c r="K1205" s="65"/>
      <c r="L1205" s="65"/>
      <c r="N1205" s="217"/>
      <c r="O1205" s="77"/>
      <c r="P1205" s="195"/>
      <c r="Q1205" s="77"/>
    </row>
    <row r="1206" ht="15.75" hidden="1" customHeight="1">
      <c r="A1206" s="142"/>
      <c r="B1206" s="142"/>
      <c r="C1206" s="220"/>
      <c r="D1206" s="142"/>
      <c r="E1206" s="220"/>
      <c r="F1206" s="213"/>
      <c r="G1206" s="213"/>
      <c r="H1206" s="213"/>
      <c r="I1206" s="214"/>
      <c r="J1206" s="222"/>
      <c r="K1206" s="65"/>
      <c r="L1206" s="65"/>
      <c r="N1206" s="217"/>
      <c r="O1206" s="77"/>
      <c r="P1206" s="195"/>
      <c r="Q1206" s="77"/>
    </row>
    <row r="1207" ht="15.75" hidden="1" customHeight="1">
      <c r="A1207" s="142"/>
      <c r="B1207" s="142"/>
      <c r="C1207" s="220"/>
      <c r="D1207" s="142"/>
      <c r="E1207" s="220"/>
      <c r="F1207" s="213"/>
      <c r="G1207" s="213"/>
      <c r="H1207" s="213"/>
      <c r="I1207" s="214"/>
      <c r="J1207" s="222"/>
      <c r="K1207" s="65"/>
      <c r="L1207" s="65"/>
      <c r="N1207" s="217"/>
      <c r="O1207" s="77"/>
      <c r="P1207" s="195"/>
      <c r="Q1207" s="77"/>
    </row>
    <row r="1208" ht="15.75" hidden="1" customHeight="1">
      <c r="A1208" s="142"/>
      <c r="B1208" s="142"/>
      <c r="C1208" s="220"/>
      <c r="D1208" s="142"/>
      <c r="E1208" s="220"/>
      <c r="F1208" s="213"/>
      <c r="G1208" s="213"/>
      <c r="H1208" s="213"/>
      <c r="I1208" s="214"/>
      <c r="J1208" s="222"/>
      <c r="K1208" s="65"/>
      <c r="L1208" s="65"/>
      <c r="N1208" s="217"/>
      <c r="O1208" s="77"/>
      <c r="P1208" s="195"/>
      <c r="Q1208" s="77"/>
    </row>
    <row r="1209" ht="15.75" hidden="1" customHeight="1">
      <c r="A1209" s="142"/>
      <c r="B1209" s="142"/>
      <c r="C1209" s="220"/>
      <c r="D1209" s="142"/>
      <c r="E1209" s="220"/>
      <c r="F1209" s="213"/>
      <c r="G1209" s="213"/>
      <c r="H1209" s="213"/>
      <c r="I1209" s="214"/>
      <c r="J1209" s="222"/>
      <c r="K1209" s="65"/>
      <c r="L1209" s="65"/>
      <c r="N1209" s="217"/>
      <c r="O1209" s="77"/>
      <c r="P1209" s="195"/>
      <c r="Q1209" s="77"/>
    </row>
    <row r="1210" ht="15.75" hidden="1" customHeight="1">
      <c r="A1210" s="142"/>
      <c r="B1210" s="142"/>
      <c r="C1210" s="220"/>
      <c r="D1210" s="142"/>
      <c r="E1210" s="220"/>
      <c r="F1210" s="213"/>
      <c r="G1210" s="213"/>
      <c r="H1210" s="213"/>
      <c r="I1210" s="214"/>
      <c r="J1210" s="222"/>
      <c r="K1210" s="65"/>
      <c r="L1210" s="65"/>
      <c r="N1210" s="217"/>
      <c r="O1210" s="77"/>
      <c r="P1210" s="195"/>
      <c r="Q1210" s="77"/>
    </row>
    <row r="1211" ht="15.75" hidden="1" customHeight="1">
      <c r="A1211" s="142"/>
      <c r="B1211" s="142"/>
      <c r="C1211" s="220"/>
      <c r="D1211" s="142"/>
      <c r="E1211" s="220"/>
      <c r="F1211" s="213"/>
      <c r="G1211" s="213"/>
      <c r="H1211" s="213"/>
      <c r="I1211" s="214"/>
      <c r="J1211" s="222"/>
      <c r="K1211" s="65"/>
      <c r="L1211" s="65"/>
      <c r="N1211" s="217"/>
      <c r="O1211" s="77"/>
      <c r="P1211" s="195"/>
      <c r="Q1211" s="77"/>
    </row>
    <row r="1212" ht="15.75" hidden="1" customHeight="1">
      <c r="A1212" s="142"/>
      <c r="B1212" s="142"/>
      <c r="C1212" s="220"/>
      <c r="D1212" s="142"/>
      <c r="E1212" s="220"/>
      <c r="F1212" s="213"/>
      <c r="G1212" s="213"/>
      <c r="H1212" s="213"/>
      <c r="I1212" s="214"/>
      <c r="J1212" s="222"/>
      <c r="K1212" s="65"/>
      <c r="L1212" s="65"/>
      <c r="M1212" s="142"/>
      <c r="N1212" s="217"/>
      <c r="O1212" s="77"/>
      <c r="P1212" s="195"/>
      <c r="Q1212" s="77"/>
    </row>
    <row r="1213" ht="15.75" hidden="1" customHeight="1">
      <c r="A1213" s="142"/>
      <c r="B1213" s="142"/>
      <c r="C1213" s="220"/>
      <c r="D1213" s="142"/>
      <c r="E1213" s="220"/>
      <c r="F1213" s="213"/>
      <c r="G1213" s="213"/>
      <c r="H1213" s="213"/>
      <c r="I1213" s="214"/>
      <c r="J1213" s="222"/>
      <c r="K1213" s="65"/>
      <c r="L1213" s="65"/>
      <c r="N1213" s="217"/>
      <c r="O1213" s="77"/>
      <c r="P1213" s="195"/>
      <c r="Q1213" s="77"/>
    </row>
    <row r="1214" ht="15.75" hidden="1" customHeight="1">
      <c r="A1214" s="142"/>
      <c r="B1214" s="142"/>
      <c r="C1214" s="220"/>
      <c r="D1214" s="142"/>
      <c r="E1214" s="220"/>
      <c r="F1214" s="213"/>
      <c r="G1214" s="213"/>
      <c r="H1214" s="213"/>
      <c r="I1214" s="214"/>
      <c r="J1214" s="222"/>
      <c r="K1214" s="65"/>
      <c r="L1214" s="65"/>
      <c r="N1214" s="217"/>
      <c r="O1214" s="77"/>
      <c r="P1214" s="195"/>
      <c r="Q1214" s="77"/>
    </row>
    <row r="1215" ht="15.75" hidden="1" customHeight="1">
      <c r="A1215" s="142"/>
      <c r="B1215" s="142"/>
      <c r="C1215" s="220"/>
      <c r="D1215" s="142"/>
      <c r="E1215" s="220"/>
      <c r="F1215" s="213"/>
      <c r="G1215" s="213"/>
      <c r="H1215" s="213"/>
      <c r="I1215" s="214"/>
      <c r="J1215" s="222"/>
      <c r="K1215" s="65"/>
      <c r="L1215" s="65"/>
      <c r="N1215" s="217"/>
      <c r="O1215" s="77"/>
      <c r="P1215" s="195"/>
      <c r="Q1215" s="77"/>
    </row>
    <row r="1216" ht="15.75" hidden="1" customHeight="1">
      <c r="A1216" s="142"/>
      <c r="B1216" s="142"/>
      <c r="C1216" s="220"/>
      <c r="D1216" s="142"/>
      <c r="E1216" s="220"/>
      <c r="F1216" s="213"/>
      <c r="G1216" s="213"/>
      <c r="H1216" s="213"/>
      <c r="I1216" s="214"/>
      <c r="J1216" s="222"/>
      <c r="K1216" s="65"/>
      <c r="L1216" s="65"/>
      <c r="N1216" s="217"/>
      <c r="O1216" s="77"/>
      <c r="P1216" s="195"/>
      <c r="Q1216" s="77"/>
    </row>
    <row r="1217" ht="15.75" hidden="1" customHeight="1">
      <c r="A1217" s="142"/>
      <c r="B1217" s="77"/>
      <c r="C1217" s="220"/>
      <c r="D1217" s="142"/>
      <c r="E1217" s="220"/>
      <c r="F1217" s="213"/>
      <c r="G1217" s="213"/>
      <c r="H1217" s="213"/>
      <c r="I1217" s="214"/>
      <c r="J1217" s="222"/>
      <c r="K1217" s="65"/>
      <c r="L1217" s="65"/>
      <c r="N1217" s="217"/>
      <c r="O1217" s="77"/>
      <c r="P1217" s="195"/>
      <c r="Q1217" s="77"/>
    </row>
    <row r="1218" ht="15.75" hidden="1" customHeight="1">
      <c r="A1218" s="142"/>
      <c r="B1218" s="142"/>
      <c r="C1218" s="220"/>
      <c r="D1218" s="142"/>
      <c r="E1218" s="220"/>
      <c r="F1218" s="213"/>
      <c r="G1218" s="213"/>
      <c r="H1218" s="213"/>
      <c r="I1218" s="214"/>
      <c r="J1218" s="222"/>
      <c r="K1218" s="65"/>
      <c r="L1218" s="65"/>
      <c r="N1218" s="217"/>
      <c r="O1218" s="77"/>
      <c r="P1218" s="195"/>
      <c r="Q1218" s="77"/>
    </row>
    <row r="1219" ht="15.75" hidden="1" customHeight="1">
      <c r="A1219" s="142"/>
      <c r="B1219" s="142"/>
      <c r="C1219" s="220"/>
      <c r="D1219" s="142"/>
      <c r="E1219" s="220"/>
      <c r="F1219" s="213"/>
      <c r="G1219" s="213"/>
      <c r="H1219" s="213"/>
      <c r="I1219" s="214"/>
      <c r="J1219" s="222"/>
      <c r="K1219" s="65"/>
      <c r="L1219" s="65"/>
      <c r="N1219" s="217"/>
      <c r="O1219" s="77"/>
      <c r="P1219" s="195"/>
      <c r="Q1219" s="77"/>
    </row>
    <row r="1220" ht="15.75" hidden="1" customHeight="1">
      <c r="A1220" s="142"/>
      <c r="B1220" s="142"/>
      <c r="C1220" s="220"/>
      <c r="D1220" s="142"/>
      <c r="E1220" s="220"/>
      <c r="F1220" s="213"/>
      <c r="G1220" s="213"/>
      <c r="H1220" s="213"/>
      <c r="I1220" s="214"/>
      <c r="J1220" s="222"/>
      <c r="K1220" s="65"/>
      <c r="L1220" s="65"/>
      <c r="N1220" s="217"/>
      <c r="O1220" s="77"/>
      <c r="P1220" s="195"/>
      <c r="Q1220" s="77"/>
    </row>
    <row r="1221" ht="15.75" hidden="1" customHeight="1">
      <c r="A1221" s="142"/>
      <c r="B1221" s="77"/>
      <c r="C1221" s="220"/>
      <c r="D1221" s="142"/>
      <c r="E1221" s="220"/>
      <c r="F1221" s="213"/>
      <c r="G1221" s="213"/>
      <c r="H1221" s="213"/>
      <c r="I1221" s="214"/>
      <c r="J1221" s="222"/>
      <c r="K1221" s="65"/>
      <c r="L1221" s="65"/>
      <c r="N1221" s="217"/>
      <c r="O1221" s="77"/>
      <c r="P1221" s="195"/>
      <c r="Q1221" s="77"/>
      <c r="AF1221" s="142"/>
      <c r="AG1221" s="142"/>
      <c r="AH1221" s="142"/>
    </row>
    <row r="1222" ht="15.75" hidden="1" customHeight="1">
      <c r="A1222" s="142"/>
      <c r="B1222" s="142"/>
      <c r="C1222" s="220"/>
      <c r="D1222" s="142"/>
      <c r="E1222" s="220"/>
      <c r="F1222" s="213"/>
      <c r="G1222" s="213"/>
      <c r="H1222" s="213"/>
      <c r="I1222" s="214"/>
      <c r="J1222" s="222"/>
      <c r="K1222" s="65"/>
      <c r="L1222" s="65"/>
      <c r="N1222" s="217"/>
      <c r="O1222" s="77"/>
      <c r="P1222" s="195"/>
      <c r="Q1222" s="77"/>
    </row>
    <row r="1223" ht="15.75" hidden="1" customHeight="1">
      <c r="A1223" s="142"/>
      <c r="B1223" s="142"/>
      <c r="C1223" s="220"/>
      <c r="D1223" s="142"/>
      <c r="E1223" s="220"/>
      <c r="F1223" s="213"/>
      <c r="G1223" s="213"/>
      <c r="H1223" s="213"/>
      <c r="I1223" s="214"/>
      <c r="J1223" s="222"/>
      <c r="K1223" s="65"/>
      <c r="L1223" s="65"/>
      <c r="N1223" s="217"/>
      <c r="O1223" s="77"/>
      <c r="P1223" s="195"/>
      <c r="Q1223" s="77"/>
    </row>
    <row r="1224" ht="15.75" hidden="1" customHeight="1">
      <c r="A1224" s="142"/>
      <c r="B1224" s="142"/>
      <c r="C1224" s="220"/>
      <c r="D1224" s="142"/>
      <c r="E1224" s="220"/>
      <c r="F1224" s="213"/>
      <c r="G1224" s="213"/>
      <c r="H1224" s="213"/>
      <c r="I1224" s="214"/>
      <c r="J1224" s="222"/>
      <c r="K1224" s="65"/>
      <c r="L1224" s="65"/>
      <c r="N1224" s="217"/>
      <c r="O1224" s="77"/>
      <c r="P1224" s="195"/>
      <c r="Q1224" s="77"/>
    </row>
    <row r="1225" ht="15.75" hidden="1" customHeight="1">
      <c r="A1225" s="142"/>
      <c r="B1225" s="142"/>
      <c r="C1225" s="220"/>
      <c r="D1225" s="142"/>
      <c r="E1225" s="220"/>
      <c r="F1225" s="213"/>
      <c r="G1225" s="213"/>
      <c r="H1225" s="213"/>
      <c r="I1225" s="214"/>
      <c r="J1225" s="222"/>
      <c r="K1225" s="65"/>
      <c r="L1225" s="65"/>
      <c r="N1225" s="217"/>
      <c r="O1225" s="77"/>
      <c r="P1225" s="195"/>
      <c r="Q1225" s="77"/>
    </row>
    <row r="1226" ht="15.75" hidden="1" customHeight="1">
      <c r="A1226" s="142"/>
      <c r="B1226" s="142"/>
      <c r="C1226" s="220"/>
      <c r="D1226" s="142"/>
      <c r="E1226" s="220"/>
      <c r="F1226" s="213"/>
      <c r="G1226" s="213"/>
      <c r="H1226" s="213"/>
      <c r="I1226" s="214"/>
      <c r="J1226" s="222"/>
      <c r="K1226" s="65"/>
      <c r="L1226" s="65"/>
      <c r="M1226" s="142"/>
      <c r="N1226" s="217"/>
      <c r="O1226" s="77"/>
      <c r="P1226" s="195"/>
      <c r="Q1226" s="77"/>
      <c r="R1226" s="142"/>
      <c r="S1226" s="142"/>
      <c r="T1226" s="142"/>
      <c r="U1226" s="142"/>
      <c r="V1226" s="142"/>
      <c r="W1226" s="142"/>
      <c r="X1226" s="142"/>
      <c r="Y1226" s="142"/>
      <c r="Z1226" s="142"/>
      <c r="AA1226" s="142"/>
      <c r="AB1226" s="142"/>
      <c r="AC1226" s="142"/>
      <c r="AD1226" s="142"/>
      <c r="AE1226" s="142"/>
      <c r="AF1226" s="142"/>
      <c r="AG1226" s="142"/>
      <c r="AH1226" s="142"/>
    </row>
    <row r="1227" ht="15.75" hidden="1" customHeight="1">
      <c r="A1227" s="142"/>
      <c r="B1227" s="142"/>
      <c r="C1227" s="220"/>
      <c r="D1227" s="142"/>
      <c r="E1227" s="220"/>
      <c r="F1227" s="213"/>
      <c r="G1227" s="213"/>
      <c r="H1227" s="213"/>
      <c r="I1227" s="214"/>
      <c r="J1227" s="222"/>
      <c r="K1227" s="65"/>
      <c r="L1227" s="65"/>
      <c r="N1227" s="217"/>
      <c r="O1227" s="77"/>
      <c r="P1227" s="195"/>
      <c r="Q1227" s="77"/>
    </row>
    <row r="1228" ht="15.75" hidden="1" customHeight="1">
      <c r="A1228" s="142"/>
      <c r="B1228" s="142"/>
      <c r="C1228" s="220"/>
      <c r="D1228" s="142"/>
      <c r="E1228" s="220"/>
      <c r="F1228" s="213"/>
      <c r="G1228" s="213"/>
      <c r="H1228" s="213"/>
      <c r="I1228" s="214"/>
      <c r="J1228" s="222"/>
      <c r="K1228" s="65"/>
      <c r="L1228" s="65"/>
      <c r="N1228" s="217"/>
      <c r="O1228" s="77"/>
      <c r="P1228" s="195"/>
      <c r="Q1228" s="77"/>
    </row>
    <row r="1229" ht="15.75" hidden="1" customHeight="1">
      <c r="A1229" s="142"/>
      <c r="B1229" s="142"/>
      <c r="C1229" s="220"/>
      <c r="D1229" s="142"/>
      <c r="E1229" s="220"/>
      <c r="F1229" s="213"/>
      <c r="G1229" s="213"/>
      <c r="H1229" s="213"/>
      <c r="I1229" s="214"/>
      <c r="J1229" s="222"/>
      <c r="K1229" s="65"/>
      <c r="L1229" s="65"/>
      <c r="M1229" s="142"/>
      <c r="N1229" s="217"/>
      <c r="O1229" s="77"/>
      <c r="P1229" s="195"/>
      <c r="Q1229" s="77"/>
      <c r="R1229" s="142"/>
      <c r="S1229" s="142"/>
      <c r="T1229" s="142"/>
      <c r="U1229" s="142"/>
    </row>
    <row r="1230" ht="15.75" hidden="1" customHeight="1">
      <c r="A1230" s="142"/>
      <c r="B1230" s="142"/>
      <c r="C1230" s="220"/>
      <c r="D1230" s="142"/>
      <c r="E1230" s="220"/>
      <c r="F1230" s="213"/>
      <c r="G1230" s="213"/>
      <c r="H1230" s="213"/>
      <c r="I1230" s="214"/>
      <c r="J1230" s="222"/>
      <c r="K1230" s="65"/>
      <c r="L1230" s="65"/>
      <c r="N1230" s="217"/>
      <c r="O1230" s="77"/>
      <c r="P1230" s="195"/>
      <c r="Q1230" s="77"/>
    </row>
    <row r="1231" ht="15.75" hidden="1" customHeight="1">
      <c r="A1231" s="142"/>
      <c r="B1231" s="142"/>
      <c r="C1231" s="220"/>
      <c r="D1231" s="142"/>
      <c r="E1231" s="220"/>
      <c r="F1231" s="213"/>
      <c r="G1231" s="213"/>
      <c r="H1231" s="213"/>
      <c r="I1231" s="214"/>
      <c r="J1231" s="222"/>
      <c r="K1231" s="65"/>
      <c r="L1231" s="65"/>
      <c r="N1231" s="217"/>
      <c r="O1231" s="77"/>
      <c r="P1231" s="195"/>
      <c r="Q1231" s="77"/>
    </row>
    <row r="1232" ht="15.75" hidden="1" customHeight="1">
      <c r="A1232" s="142"/>
      <c r="B1232" s="142"/>
      <c r="C1232" s="220"/>
      <c r="D1232" s="142"/>
      <c r="E1232" s="220"/>
      <c r="F1232" s="213"/>
      <c r="G1232" s="213"/>
      <c r="H1232" s="213"/>
      <c r="I1232" s="214"/>
      <c r="J1232" s="222"/>
      <c r="K1232" s="65"/>
      <c r="L1232" s="65"/>
      <c r="N1232" s="217"/>
      <c r="O1232" s="77"/>
      <c r="P1232" s="195"/>
      <c r="Q1232" s="77"/>
    </row>
    <row r="1233" ht="15.75" hidden="1" customHeight="1">
      <c r="A1233" s="142"/>
      <c r="B1233" s="142"/>
      <c r="C1233" s="220"/>
      <c r="D1233" s="142"/>
      <c r="E1233" s="220"/>
      <c r="F1233" s="213"/>
      <c r="G1233" s="213"/>
      <c r="H1233" s="213"/>
      <c r="I1233" s="214"/>
      <c r="J1233" s="222"/>
      <c r="K1233" s="65"/>
      <c r="L1233" s="65"/>
      <c r="N1233" s="217"/>
      <c r="O1233" s="77"/>
      <c r="P1233" s="195"/>
      <c r="Q1233" s="77"/>
    </row>
    <row r="1234" ht="15.75" hidden="1" customHeight="1">
      <c r="A1234" s="142"/>
      <c r="B1234" s="142"/>
      <c r="C1234" s="220"/>
      <c r="D1234" s="142"/>
      <c r="E1234" s="220"/>
      <c r="F1234" s="213"/>
      <c r="G1234" s="213"/>
      <c r="H1234" s="213"/>
      <c r="I1234" s="214"/>
      <c r="J1234" s="222"/>
      <c r="K1234" s="65"/>
      <c r="L1234" s="65"/>
      <c r="N1234" s="217"/>
      <c r="O1234" s="77"/>
      <c r="P1234" s="195"/>
      <c r="Q1234" s="77"/>
    </row>
    <row r="1235" ht="15.75" hidden="1" customHeight="1">
      <c r="A1235" s="142"/>
      <c r="B1235" s="142"/>
      <c r="C1235" s="220"/>
      <c r="D1235" s="142"/>
      <c r="E1235" s="220"/>
      <c r="F1235" s="213"/>
      <c r="G1235" s="213"/>
      <c r="H1235" s="213"/>
      <c r="I1235" s="214"/>
      <c r="J1235" s="222"/>
      <c r="K1235" s="65"/>
      <c r="L1235" s="65"/>
      <c r="N1235" s="217"/>
      <c r="O1235" s="77"/>
      <c r="P1235" s="195"/>
      <c r="Q1235" s="77"/>
    </row>
    <row r="1236" ht="15.75" hidden="1" customHeight="1">
      <c r="A1236" s="142"/>
      <c r="B1236" s="142"/>
      <c r="C1236" s="220"/>
      <c r="D1236" s="142"/>
      <c r="E1236" s="220"/>
      <c r="F1236" s="213"/>
      <c r="G1236" s="213"/>
      <c r="H1236" s="213"/>
      <c r="I1236" s="214"/>
      <c r="J1236" s="222"/>
      <c r="K1236" s="65"/>
      <c r="L1236" s="65"/>
      <c r="M1236" s="142"/>
      <c r="N1236" s="217"/>
      <c r="O1236" s="77"/>
      <c r="P1236" s="195"/>
      <c r="Q1236" s="77"/>
    </row>
    <row r="1237" ht="15.75" hidden="1" customHeight="1">
      <c r="A1237" s="142"/>
      <c r="B1237" s="142"/>
      <c r="C1237" s="220"/>
      <c r="D1237" s="142"/>
      <c r="E1237" s="220"/>
      <c r="F1237" s="213"/>
      <c r="G1237" s="213"/>
      <c r="H1237" s="213"/>
      <c r="I1237" s="214"/>
      <c r="J1237" s="222"/>
      <c r="K1237" s="65"/>
      <c r="L1237" s="65"/>
      <c r="M1237" s="507"/>
      <c r="N1237" s="217"/>
      <c r="O1237" s="508"/>
      <c r="P1237" s="509"/>
      <c r="Q1237" s="77"/>
    </row>
    <row r="1238" ht="15.75" hidden="1" customHeight="1">
      <c r="A1238" s="142"/>
      <c r="B1238" s="142"/>
      <c r="C1238" s="220"/>
      <c r="D1238" s="142"/>
      <c r="E1238" s="220"/>
      <c r="F1238" s="213"/>
      <c r="G1238" s="213"/>
      <c r="H1238" s="213"/>
      <c r="I1238" s="466"/>
      <c r="J1238" s="467"/>
      <c r="K1238" s="510"/>
      <c r="L1238" s="510"/>
      <c r="N1238" s="217"/>
      <c r="O1238" s="77"/>
      <c r="P1238" s="195"/>
      <c r="Q1238" s="508"/>
    </row>
    <row r="1239" ht="15.75" hidden="1" customHeight="1">
      <c r="A1239" s="142"/>
      <c r="B1239" s="102"/>
      <c r="C1239" s="220"/>
      <c r="D1239" s="142"/>
      <c r="E1239" s="220"/>
      <c r="F1239" s="213"/>
      <c r="G1239" s="213"/>
      <c r="H1239" s="213"/>
      <c r="I1239" s="214"/>
      <c r="J1239" s="222"/>
      <c r="K1239" s="65"/>
      <c r="L1239" s="65"/>
      <c r="N1239" s="217"/>
      <c r="O1239" s="77"/>
      <c r="P1239" s="195"/>
      <c r="Q1239" s="77"/>
    </row>
    <row r="1240" ht="15.75" hidden="1" customHeight="1">
      <c r="A1240" s="142"/>
      <c r="B1240" s="142"/>
      <c r="C1240" s="220"/>
      <c r="D1240" s="142"/>
      <c r="E1240" s="220"/>
      <c r="F1240" s="213"/>
      <c r="G1240" s="213"/>
      <c r="H1240" s="213"/>
      <c r="I1240" s="214"/>
      <c r="J1240" s="222"/>
      <c r="K1240" s="65"/>
      <c r="L1240" s="65"/>
      <c r="M1240" s="142"/>
      <c r="N1240" s="217"/>
      <c r="O1240" s="77"/>
      <c r="P1240" s="195"/>
      <c r="Q1240" s="77"/>
      <c r="R1240" s="142"/>
      <c r="S1240" s="142"/>
      <c r="T1240" s="142"/>
      <c r="U1240" s="142"/>
    </row>
    <row r="1241" ht="15.75" hidden="1" customHeight="1">
      <c r="A1241" s="142"/>
      <c r="B1241" s="77"/>
      <c r="C1241" s="220"/>
      <c r="D1241" s="142"/>
      <c r="E1241" s="220"/>
      <c r="F1241" s="213"/>
      <c r="G1241" s="213"/>
      <c r="H1241" s="213"/>
      <c r="I1241" s="214"/>
      <c r="J1241" s="222"/>
      <c r="K1241" s="65"/>
      <c r="L1241" s="65"/>
      <c r="N1241" s="217"/>
      <c r="O1241" s="77"/>
      <c r="P1241" s="195"/>
      <c r="Q1241" s="77"/>
    </row>
    <row r="1242" ht="15.75" hidden="1" customHeight="1">
      <c r="A1242" s="142"/>
      <c r="B1242" s="77"/>
      <c r="C1242" s="220"/>
      <c r="D1242" s="142"/>
      <c r="E1242" s="220"/>
      <c r="F1242" s="213"/>
      <c r="G1242" s="213"/>
      <c r="H1242" s="213"/>
      <c r="I1242" s="214"/>
      <c r="J1242" s="222"/>
      <c r="K1242" s="65"/>
      <c r="L1242" s="65"/>
      <c r="N1242" s="217"/>
      <c r="O1242" s="77"/>
      <c r="P1242" s="195"/>
      <c r="Q1242" s="77"/>
    </row>
    <row r="1243" ht="15.75" hidden="1" customHeight="1">
      <c r="A1243" s="142"/>
      <c r="B1243" s="77"/>
      <c r="C1243" s="220"/>
      <c r="D1243" s="140"/>
      <c r="E1243" s="230"/>
      <c r="F1243" s="213"/>
      <c r="G1243" s="213"/>
      <c r="H1243" s="213"/>
      <c r="I1243" s="214"/>
      <c r="J1243" s="222"/>
      <c r="K1243" s="65"/>
      <c r="L1243" s="65"/>
      <c r="M1243" s="213"/>
      <c r="N1243" s="217"/>
      <c r="O1243" s="320"/>
      <c r="P1243" s="217"/>
      <c r="Q1243" s="77"/>
      <c r="R1243" s="352"/>
      <c r="S1243" s="352"/>
      <c r="T1243" s="217"/>
      <c r="U1243" s="140"/>
    </row>
    <row r="1244" ht="15.75" hidden="1" customHeight="1">
      <c r="A1244" s="142"/>
      <c r="B1244" s="77"/>
      <c r="C1244" s="220"/>
      <c r="D1244" s="142"/>
      <c r="E1244" s="220"/>
      <c r="F1244" s="213"/>
      <c r="G1244" s="213"/>
      <c r="H1244" s="213"/>
      <c r="I1244" s="232"/>
      <c r="J1244" s="213"/>
      <c r="K1244" s="213"/>
      <c r="L1244" s="213"/>
      <c r="M1244" s="142"/>
      <c r="N1244" s="217"/>
      <c r="O1244" s="77"/>
      <c r="P1244" s="195"/>
      <c r="Q1244" s="217"/>
      <c r="R1244" s="142"/>
      <c r="S1244" s="142"/>
      <c r="T1244" s="142"/>
      <c r="U1244" s="142"/>
      <c r="V1244" s="142"/>
      <c r="W1244" s="142"/>
      <c r="X1244" s="142"/>
      <c r="Y1244" s="142"/>
      <c r="Z1244" s="142"/>
      <c r="AA1244" s="142"/>
      <c r="AB1244" s="142"/>
      <c r="AC1244" s="142"/>
      <c r="AD1244" s="142"/>
      <c r="AE1244" s="142"/>
      <c r="AF1244" s="142"/>
      <c r="AG1244" s="142"/>
      <c r="AH1244" s="142"/>
    </row>
    <row r="1245" ht="15.75" hidden="1" customHeight="1">
      <c r="A1245" s="142"/>
      <c r="B1245" s="102"/>
      <c r="C1245" s="220"/>
      <c r="D1245" s="142"/>
      <c r="E1245" s="220"/>
      <c r="F1245" s="213"/>
      <c r="G1245" s="213"/>
      <c r="H1245" s="213"/>
      <c r="I1245" s="214"/>
      <c r="J1245" s="222"/>
      <c r="K1245" s="65"/>
      <c r="L1245" s="65"/>
      <c r="N1245" s="217"/>
      <c r="O1245" s="77"/>
      <c r="P1245" s="195"/>
      <c r="Q1245" s="77"/>
    </row>
    <row r="1246" ht="15.75" hidden="1" customHeight="1">
      <c r="A1246" s="142"/>
      <c r="B1246" s="142"/>
      <c r="C1246" s="220"/>
      <c r="D1246" s="142"/>
      <c r="E1246" s="220"/>
      <c r="F1246" s="213"/>
      <c r="G1246" s="213"/>
      <c r="H1246" s="213"/>
      <c r="I1246" s="214"/>
      <c r="J1246" s="222"/>
      <c r="K1246" s="65"/>
      <c r="L1246" s="65"/>
      <c r="N1246" s="217"/>
      <c r="O1246" s="77"/>
      <c r="P1246" s="195"/>
      <c r="Q1246" s="77"/>
    </row>
    <row r="1247" ht="15.75" hidden="1" customHeight="1">
      <c r="A1247" s="142"/>
      <c r="B1247" s="102"/>
      <c r="C1247" s="220"/>
      <c r="D1247" s="142"/>
      <c r="E1247" s="220"/>
      <c r="F1247" s="213"/>
      <c r="G1247" s="213"/>
      <c r="H1247" s="213"/>
      <c r="I1247" s="214"/>
      <c r="J1247" s="222"/>
      <c r="K1247" s="65"/>
      <c r="L1247" s="65"/>
      <c r="N1247" s="217"/>
      <c r="O1247" s="77"/>
      <c r="P1247" s="195"/>
      <c r="Q1247" s="77"/>
    </row>
    <row r="1248" ht="15.75" hidden="1" customHeight="1">
      <c r="A1248" s="142"/>
      <c r="B1248" s="102"/>
      <c r="C1248" s="220"/>
      <c r="D1248" s="142"/>
      <c r="E1248" s="220"/>
      <c r="F1248" s="213"/>
      <c r="G1248" s="213"/>
      <c r="H1248" s="213"/>
      <c r="I1248" s="214"/>
      <c r="J1248" s="222"/>
      <c r="K1248" s="65"/>
      <c r="L1248" s="65"/>
      <c r="N1248" s="217"/>
      <c r="O1248" s="77"/>
      <c r="P1248" s="195"/>
      <c r="Q1248" s="77"/>
    </row>
    <row r="1249" ht="15.75" hidden="1" customHeight="1">
      <c r="A1249" s="142"/>
      <c r="B1249" s="142"/>
      <c r="C1249" s="220"/>
      <c r="D1249" s="142"/>
      <c r="E1249" s="220"/>
      <c r="F1249" s="213"/>
      <c r="G1249" s="213"/>
      <c r="H1249" s="213"/>
      <c r="I1249" s="214"/>
      <c r="J1249" s="222"/>
      <c r="K1249" s="65"/>
      <c r="L1249" s="65"/>
      <c r="N1249" s="217"/>
      <c r="O1249" s="77"/>
      <c r="P1249" s="195"/>
      <c r="Q1249" s="77"/>
    </row>
    <row r="1250" ht="15.75" hidden="1" customHeight="1">
      <c r="A1250" s="142"/>
      <c r="B1250" s="102"/>
      <c r="C1250" s="220"/>
      <c r="D1250" s="142"/>
      <c r="E1250" s="220"/>
      <c r="F1250" s="213"/>
      <c r="G1250" s="213"/>
      <c r="H1250" s="213"/>
      <c r="I1250" s="214"/>
      <c r="J1250" s="222"/>
      <c r="K1250" s="65"/>
      <c r="L1250" s="65"/>
      <c r="N1250" s="217"/>
      <c r="O1250" s="77"/>
      <c r="P1250" s="195"/>
      <c r="Q1250" s="77"/>
    </row>
    <row r="1251" ht="15.75" hidden="1" customHeight="1">
      <c r="A1251" s="142"/>
      <c r="B1251" s="77"/>
      <c r="C1251" s="220"/>
      <c r="D1251" s="142"/>
      <c r="E1251" s="220"/>
      <c r="F1251" s="213"/>
      <c r="G1251" s="213"/>
      <c r="H1251" s="213"/>
      <c r="I1251" s="214"/>
      <c r="J1251" s="222"/>
      <c r="K1251" s="65"/>
      <c r="L1251" s="65"/>
      <c r="N1251" s="217"/>
      <c r="O1251" s="77"/>
      <c r="P1251" s="195"/>
      <c r="Q1251" s="77"/>
    </row>
    <row r="1252" ht="15.75" hidden="1" customHeight="1">
      <c r="A1252" s="140"/>
      <c r="B1252" s="140"/>
      <c r="C1252" s="230"/>
      <c r="D1252" s="140"/>
      <c r="E1252" s="310"/>
      <c r="F1252" s="213"/>
      <c r="G1252" s="213"/>
      <c r="H1252" s="213"/>
      <c r="I1252" s="511"/>
      <c r="J1252" s="512"/>
      <c r="K1252" s="193"/>
      <c r="L1252" s="193"/>
      <c r="M1252" s="352"/>
      <c r="N1252" s="217"/>
      <c r="O1252" s="233"/>
      <c r="P1252" s="352"/>
      <c r="Q1252" s="77"/>
      <c r="R1252" s="140"/>
      <c r="S1252" s="140"/>
      <c r="T1252" s="140"/>
      <c r="U1252" s="140"/>
      <c r="V1252" s="140"/>
      <c r="W1252" s="140"/>
      <c r="X1252" s="140"/>
      <c r="Y1252" s="140"/>
      <c r="Z1252" s="140"/>
      <c r="AA1252" s="140"/>
      <c r="AB1252" s="140"/>
      <c r="AC1252" s="140"/>
      <c r="AD1252" s="140"/>
      <c r="AE1252" s="140"/>
      <c r="AF1252" s="140"/>
      <c r="AG1252" s="140"/>
      <c r="AH1252" s="140"/>
    </row>
    <row r="1253" ht="15.75" hidden="1" customHeight="1">
      <c r="A1253" s="142"/>
      <c r="B1253" s="142"/>
      <c r="C1253" s="220"/>
      <c r="D1253" s="142"/>
      <c r="E1253" s="220"/>
      <c r="F1253" s="213"/>
      <c r="G1253" s="213"/>
      <c r="H1253" s="213"/>
      <c r="I1253" s="232"/>
      <c r="J1253" s="213"/>
      <c r="K1253" s="217"/>
      <c r="L1253" s="217"/>
      <c r="N1253" s="217"/>
      <c r="O1253" s="77"/>
      <c r="P1253" s="195"/>
      <c r="Q1253" s="140"/>
    </row>
    <row r="1254" ht="15.75" hidden="1" customHeight="1">
      <c r="A1254" s="142"/>
      <c r="B1254" s="77"/>
      <c r="C1254" s="220"/>
      <c r="D1254" s="142"/>
      <c r="E1254" s="220"/>
      <c r="F1254" s="213"/>
      <c r="G1254" s="213"/>
      <c r="H1254" s="213"/>
      <c r="I1254" s="214"/>
      <c r="J1254" s="222"/>
      <c r="K1254" s="65"/>
      <c r="L1254" s="65"/>
      <c r="N1254" s="217"/>
      <c r="O1254" s="77"/>
      <c r="P1254" s="195"/>
      <c r="Q1254" s="77"/>
    </row>
    <row r="1255" ht="15.75" hidden="1" customHeight="1">
      <c r="A1255" s="142"/>
      <c r="B1255" s="102"/>
      <c r="C1255" s="220"/>
      <c r="D1255" s="142"/>
      <c r="E1255" s="220"/>
      <c r="F1255" s="213"/>
      <c r="G1255" s="213"/>
      <c r="H1255" s="213"/>
      <c r="I1255" s="214"/>
      <c r="J1255" s="222"/>
      <c r="K1255" s="65"/>
      <c r="L1255" s="65"/>
      <c r="N1255" s="217"/>
      <c r="O1255" s="77"/>
      <c r="P1255" s="195"/>
      <c r="Q1255" s="77"/>
    </row>
    <row r="1256" ht="15.75" hidden="1" customHeight="1">
      <c r="A1256" s="142"/>
      <c r="B1256" s="77"/>
      <c r="C1256" s="220"/>
      <c r="D1256" s="142"/>
      <c r="E1256" s="220"/>
      <c r="F1256" s="213"/>
      <c r="G1256" s="213"/>
      <c r="H1256" s="213"/>
      <c r="I1256" s="214"/>
      <c r="J1256" s="222"/>
      <c r="K1256" s="65"/>
      <c r="L1256" s="65"/>
      <c r="N1256" s="217"/>
      <c r="O1256" s="77"/>
      <c r="P1256" s="195"/>
      <c r="Q1256" s="77"/>
    </row>
    <row r="1257" ht="15.75" hidden="1" customHeight="1">
      <c r="A1257" s="142"/>
      <c r="B1257" s="77"/>
      <c r="C1257" s="220"/>
      <c r="D1257" s="142"/>
      <c r="E1257" s="220"/>
      <c r="F1257" s="213"/>
      <c r="G1257" s="213"/>
      <c r="H1257" s="213"/>
      <c r="I1257" s="214"/>
      <c r="J1257" s="222"/>
      <c r="K1257" s="65"/>
      <c r="L1257" s="65"/>
      <c r="N1257" s="217"/>
      <c r="O1257" s="77"/>
      <c r="P1257" s="195"/>
      <c r="Q1257" s="77"/>
    </row>
    <row r="1258" ht="15.75" hidden="1" customHeight="1">
      <c r="A1258" s="142"/>
      <c r="B1258" s="102"/>
      <c r="C1258" s="220"/>
      <c r="D1258" s="142"/>
      <c r="E1258" s="220"/>
      <c r="F1258" s="213"/>
      <c r="G1258" s="213"/>
      <c r="H1258" s="213"/>
      <c r="I1258" s="214"/>
      <c r="J1258" s="222"/>
      <c r="K1258" s="65"/>
      <c r="L1258" s="65"/>
      <c r="N1258" s="217"/>
      <c r="O1258" s="77"/>
      <c r="P1258" s="195"/>
      <c r="Q1258" s="77"/>
    </row>
    <row r="1259" ht="15.75" hidden="1" customHeight="1">
      <c r="A1259" s="142"/>
      <c r="B1259" s="102"/>
      <c r="C1259" s="220"/>
      <c r="D1259" s="142"/>
      <c r="E1259" s="220"/>
      <c r="F1259" s="213"/>
      <c r="G1259" s="213"/>
      <c r="H1259" s="213"/>
      <c r="I1259" s="214"/>
      <c r="J1259" s="222"/>
      <c r="K1259" s="65"/>
      <c r="L1259" s="65"/>
      <c r="N1259" s="217"/>
      <c r="O1259" s="77"/>
      <c r="P1259" s="195"/>
      <c r="Q1259" s="77"/>
    </row>
    <row r="1260" ht="15.75" hidden="1" customHeight="1">
      <c r="A1260" s="142"/>
      <c r="B1260" s="77"/>
      <c r="C1260" s="220"/>
      <c r="D1260" s="142"/>
      <c r="E1260" s="220"/>
      <c r="F1260" s="213"/>
      <c r="G1260" s="213"/>
      <c r="H1260" s="213"/>
      <c r="I1260" s="214"/>
      <c r="J1260" s="222"/>
      <c r="K1260" s="65"/>
      <c r="L1260" s="65"/>
      <c r="N1260" s="217"/>
      <c r="O1260" s="77"/>
      <c r="P1260" s="195"/>
      <c r="Q1260" s="77"/>
    </row>
    <row r="1261" ht="15.75" hidden="1" customHeight="1">
      <c r="A1261" s="142"/>
      <c r="B1261" s="77"/>
      <c r="C1261" s="220"/>
      <c r="D1261" s="142"/>
      <c r="E1261" s="220"/>
      <c r="F1261" s="213"/>
      <c r="G1261" s="213"/>
      <c r="H1261" s="213"/>
      <c r="I1261" s="214"/>
      <c r="J1261" s="222"/>
      <c r="K1261" s="65"/>
      <c r="L1261" s="65"/>
      <c r="N1261" s="217"/>
      <c r="O1261" s="77"/>
      <c r="P1261" s="195"/>
      <c r="Q1261" s="77"/>
    </row>
    <row r="1262" ht="15.75" hidden="1" customHeight="1">
      <c r="A1262" s="142"/>
      <c r="B1262" s="77"/>
      <c r="C1262" s="220"/>
      <c r="D1262" s="142"/>
      <c r="E1262" s="220"/>
      <c r="F1262" s="213"/>
      <c r="G1262" s="213"/>
      <c r="H1262" s="213"/>
      <c r="I1262" s="214"/>
      <c r="J1262" s="222"/>
      <c r="K1262" s="65"/>
      <c r="L1262" s="65"/>
      <c r="N1262" s="217"/>
      <c r="O1262" s="77"/>
      <c r="P1262" s="195"/>
      <c r="Q1262" s="77"/>
    </row>
    <row r="1263" ht="15.75" hidden="1" customHeight="1">
      <c r="A1263" s="142"/>
      <c r="B1263" s="77"/>
      <c r="C1263" s="220"/>
      <c r="D1263" s="142"/>
      <c r="E1263" s="220"/>
      <c r="F1263" s="213"/>
      <c r="G1263" s="213"/>
      <c r="H1263" s="213"/>
      <c r="I1263" s="214"/>
      <c r="J1263" s="222"/>
      <c r="K1263" s="65"/>
      <c r="L1263" s="65"/>
      <c r="N1263" s="217"/>
      <c r="O1263" s="77"/>
      <c r="P1263" s="195"/>
      <c r="Q1263" s="77"/>
    </row>
    <row r="1264" ht="15.75" hidden="1" customHeight="1">
      <c r="A1264" s="142"/>
      <c r="B1264" s="77"/>
      <c r="C1264" s="220"/>
      <c r="D1264" s="142"/>
      <c r="E1264" s="220"/>
      <c r="F1264" s="213"/>
      <c r="G1264" s="213"/>
      <c r="H1264" s="213"/>
      <c r="I1264" s="214"/>
      <c r="J1264" s="222"/>
      <c r="K1264" s="65"/>
      <c r="L1264" s="65"/>
      <c r="N1264" s="217"/>
      <c r="O1264" s="77"/>
      <c r="P1264" s="195"/>
      <c r="Q1264" s="77"/>
    </row>
    <row r="1265" ht="15.75" hidden="1" customHeight="1">
      <c r="A1265" s="142"/>
      <c r="B1265" s="77"/>
      <c r="C1265" s="220"/>
      <c r="D1265" s="142"/>
      <c r="E1265" s="220"/>
      <c r="F1265" s="213"/>
      <c r="G1265" s="213"/>
      <c r="H1265" s="213"/>
      <c r="I1265" s="214"/>
      <c r="J1265" s="222"/>
      <c r="K1265" s="65"/>
      <c r="L1265" s="65"/>
      <c r="N1265" s="217"/>
      <c r="O1265" s="77"/>
      <c r="P1265" s="195"/>
      <c r="Q1265" s="77"/>
    </row>
    <row r="1266" ht="15.75" hidden="1" customHeight="1">
      <c r="A1266" s="142"/>
      <c r="B1266" s="77"/>
      <c r="C1266" s="220"/>
      <c r="D1266" s="142"/>
      <c r="E1266" s="220"/>
      <c r="F1266" s="213"/>
      <c r="G1266" s="213"/>
      <c r="H1266" s="213"/>
      <c r="I1266" s="214"/>
      <c r="J1266" s="222"/>
      <c r="K1266" s="65"/>
      <c r="L1266" s="65"/>
      <c r="N1266" s="217"/>
      <c r="O1266" s="77"/>
      <c r="P1266" s="195"/>
      <c r="Q1266" s="77"/>
    </row>
    <row r="1267" ht="15.75" hidden="1" customHeight="1">
      <c r="A1267" s="142"/>
      <c r="B1267" s="77"/>
      <c r="C1267" s="220"/>
      <c r="D1267" s="142"/>
      <c r="E1267" s="220"/>
      <c r="F1267" s="213"/>
      <c r="G1267" s="213"/>
      <c r="H1267" s="213"/>
      <c r="I1267" s="214"/>
      <c r="J1267" s="222"/>
      <c r="K1267" s="65"/>
      <c r="L1267" s="65"/>
      <c r="N1267" s="217"/>
      <c r="O1267" s="77"/>
      <c r="P1267" s="195"/>
      <c r="Q1267" s="77"/>
    </row>
    <row r="1268" ht="15.75" hidden="1" customHeight="1">
      <c r="A1268" s="142"/>
      <c r="B1268" s="102"/>
      <c r="C1268" s="220"/>
      <c r="D1268" s="142"/>
      <c r="E1268" s="220"/>
      <c r="F1268" s="213"/>
      <c r="G1268" s="213"/>
      <c r="H1268" s="213"/>
      <c r="I1268" s="214"/>
      <c r="J1268" s="222"/>
      <c r="K1268" s="65"/>
      <c r="L1268" s="65"/>
      <c r="N1268" s="217"/>
      <c r="O1268" s="77"/>
      <c r="P1268" s="195"/>
      <c r="Q1268" s="77"/>
    </row>
    <row r="1269" ht="15.75" hidden="1" customHeight="1">
      <c r="A1269" s="142"/>
      <c r="B1269" s="102"/>
      <c r="C1269" s="220"/>
      <c r="D1269" s="142"/>
      <c r="E1269" s="220"/>
      <c r="F1269" s="213"/>
      <c r="G1269" s="213"/>
      <c r="H1269" s="213"/>
      <c r="I1269" s="214"/>
      <c r="J1269" s="222"/>
      <c r="K1269" s="65"/>
      <c r="L1269" s="65"/>
      <c r="N1269" s="217"/>
      <c r="O1269" s="77"/>
      <c r="P1269" s="195"/>
      <c r="Q1269" s="77"/>
    </row>
    <row r="1270" ht="15.75" hidden="1" customHeight="1">
      <c r="A1270" s="142"/>
      <c r="B1270" s="102"/>
      <c r="C1270" s="220"/>
      <c r="D1270" s="142"/>
      <c r="E1270" s="220"/>
      <c r="F1270" s="213"/>
      <c r="G1270" s="213"/>
      <c r="H1270" s="213"/>
      <c r="I1270" s="214"/>
      <c r="J1270" s="222"/>
      <c r="K1270" s="65"/>
      <c r="L1270" s="65"/>
      <c r="N1270" s="217"/>
      <c r="O1270" s="77"/>
      <c r="P1270" s="195"/>
      <c r="Q1270" s="77"/>
    </row>
    <row r="1271" ht="15.75" hidden="1" customHeight="1">
      <c r="A1271" s="142"/>
      <c r="B1271" s="77"/>
      <c r="C1271" s="220"/>
      <c r="D1271" s="142"/>
      <c r="E1271" s="220"/>
      <c r="F1271" s="213"/>
      <c r="G1271" s="213"/>
      <c r="H1271" s="213"/>
      <c r="I1271" s="214"/>
      <c r="J1271" s="222"/>
      <c r="K1271" s="65"/>
      <c r="L1271" s="65"/>
      <c r="N1271" s="217"/>
      <c r="O1271" s="77"/>
      <c r="P1271" s="195"/>
      <c r="Q1271" s="77"/>
    </row>
    <row r="1272" ht="15.75" hidden="1" customHeight="1">
      <c r="A1272" s="142"/>
      <c r="B1272" s="102"/>
      <c r="C1272" s="220"/>
      <c r="D1272" s="142"/>
      <c r="E1272" s="220"/>
      <c r="F1272" s="213"/>
      <c r="G1272" s="213"/>
      <c r="H1272" s="213"/>
      <c r="I1272" s="214"/>
      <c r="J1272" s="222"/>
      <c r="K1272" s="65"/>
      <c r="L1272" s="65"/>
      <c r="N1272" s="217"/>
      <c r="O1272" s="77"/>
      <c r="P1272" s="195"/>
      <c r="Q1272" s="77"/>
    </row>
    <row r="1273" ht="15.75" hidden="1" customHeight="1">
      <c r="A1273" s="142"/>
      <c r="B1273" s="102"/>
      <c r="C1273" s="220"/>
      <c r="D1273" s="142"/>
      <c r="E1273" s="220"/>
      <c r="F1273" s="213"/>
      <c r="G1273" s="213"/>
      <c r="H1273" s="213"/>
      <c r="I1273" s="214"/>
      <c r="J1273" s="222"/>
      <c r="K1273" s="65"/>
      <c r="L1273" s="65"/>
      <c r="N1273" s="217"/>
      <c r="O1273" s="77"/>
      <c r="P1273" s="195"/>
      <c r="Q1273" s="77"/>
    </row>
    <row r="1274" ht="15.75" hidden="1" customHeight="1">
      <c r="A1274" s="142"/>
      <c r="B1274" s="102"/>
      <c r="C1274" s="220"/>
      <c r="D1274" s="142"/>
      <c r="E1274" s="220"/>
      <c r="F1274" s="213"/>
      <c r="G1274" s="213"/>
      <c r="H1274" s="213"/>
      <c r="I1274" s="214"/>
      <c r="J1274" s="222"/>
      <c r="K1274" s="65"/>
      <c r="L1274" s="65"/>
      <c r="N1274" s="217"/>
      <c r="O1274" s="77"/>
      <c r="P1274" s="195"/>
      <c r="Q1274" s="77"/>
    </row>
    <row r="1275" ht="15.75" hidden="1" customHeight="1">
      <c r="A1275" s="142"/>
      <c r="B1275" s="102"/>
      <c r="C1275" s="220"/>
      <c r="D1275" s="142"/>
      <c r="E1275" s="220"/>
      <c r="F1275" s="213"/>
      <c r="G1275" s="213"/>
      <c r="H1275" s="213"/>
      <c r="I1275" s="214"/>
      <c r="J1275" s="222"/>
      <c r="K1275" s="65"/>
      <c r="L1275" s="65"/>
      <c r="N1275" s="217"/>
      <c r="O1275" s="77"/>
      <c r="P1275" s="195"/>
      <c r="Q1275" s="77"/>
    </row>
    <row r="1276" ht="15.75" hidden="1" customHeight="1">
      <c r="A1276" s="142"/>
      <c r="B1276" s="142"/>
      <c r="C1276" s="220"/>
      <c r="D1276" s="142"/>
      <c r="E1276" s="220"/>
      <c r="F1276" s="213"/>
      <c r="G1276" s="213"/>
      <c r="H1276" s="213"/>
      <c r="I1276" s="214"/>
      <c r="J1276" s="222"/>
      <c r="K1276" s="65"/>
      <c r="L1276" s="65"/>
      <c r="N1276" s="217"/>
      <c r="O1276" s="77"/>
      <c r="P1276" s="195"/>
      <c r="Q1276" s="77"/>
    </row>
    <row r="1277" ht="15.75" hidden="1" customHeight="1">
      <c r="A1277" s="142"/>
      <c r="B1277" s="102"/>
      <c r="C1277" s="220"/>
      <c r="D1277" s="142"/>
      <c r="E1277" s="220"/>
      <c r="F1277" s="213"/>
      <c r="G1277" s="213"/>
      <c r="H1277" s="213"/>
      <c r="I1277" s="214"/>
      <c r="J1277" s="222"/>
      <c r="K1277" s="65"/>
      <c r="L1277" s="65"/>
      <c r="N1277" s="217"/>
      <c r="O1277" s="77"/>
      <c r="P1277" s="195"/>
      <c r="Q1277" s="77"/>
    </row>
    <row r="1278" ht="15.75" hidden="1" customHeight="1">
      <c r="A1278" s="142"/>
      <c r="B1278" s="77"/>
      <c r="C1278" s="220"/>
      <c r="D1278" s="142"/>
      <c r="E1278" s="220"/>
      <c r="F1278" s="213"/>
      <c r="G1278" s="213"/>
      <c r="H1278" s="213"/>
      <c r="I1278" s="214"/>
      <c r="J1278" s="222"/>
      <c r="K1278" s="65"/>
      <c r="L1278" s="65"/>
      <c r="N1278" s="217"/>
      <c r="O1278" s="77"/>
      <c r="P1278" s="195"/>
      <c r="Q1278" s="77"/>
    </row>
    <row r="1279" ht="15.75" hidden="1" customHeight="1">
      <c r="A1279" s="142"/>
      <c r="B1279" s="77"/>
      <c r="C1279" s="220"/>
      <c r="D1279" s="142"/>
      <c r="E1279" s="220"/>
      <c r="F1279" s="213"/>
      <c r="G1279" s="213"/>
      <c r="H1279" s="213"/>
      <c r="I1279" s="214"/>
      <c r="J1279" s="222"/>
      <c r="K1279" s="65"/>
      <c r="L1279" s="65"/>
      <c r="N1279" s="217"/>
      <c r="O1279" s="77"/>
      <c r="P1279" s="195"/>
      <c r="Q1279" s="77"/>
    </row>
    <row r="1280" ht="15.75" hidden="1" customHeight="1">
      <c r="A1280" s="142"/>
      <c r="B1280" s="77"/>
      <c r="C1280" s="220"/>
      <c r="D1280" s="142"/>
      <c r="E1280" s="220"/>
      <c r="F1280" s="213"/>
      <c r="G1280" s="213"/>
      <c r="H1280" s="213"/>
      <c r="I1280" s="214"/>
      <c r="J1280" s="222"/>
      <c r="K1280" s="65"/>
      <c r="L1280" s="65"/>
      <c r="N1280" s="217"/>
      <c r="O1280" s="77"/>
      <c r="P1280" s="195"/>
      <c r="Q1280" s="77"/>
      <c r="V1280" s="142"/>
      <c r="W1280" s="142"/>
      <c r="X1280" s="142"/>
      <c r="Y1280" s="142"/>
      <c r="Z1280" s="142"/>
      <c r="AA1280" s="142"/>
      <c r="AB1280" s="142"/>
      <c r="AC1280" s="142"/>
      <c r="AD1280" s="142"/>
      <c r="AE1280" s="142"/>
      <c r="AF1280" s="142"/>
      <c r="AG1280" s="142"/>
      <c r="AH1280" s="142"/>
    </row>
    <row r="1281" ht="15.75" hidden="1" customHeight="1">
      <c r="A1281" s="142"/>
      <c r="B1281" s="77"/>
      <c r="C1281" s="220"/>
      <c r="D1281" s="142"/>
      <c r="E1281" s="220"/>
      <c r="F1281" s="213"/>
      <c r="G1281" s="213"/>
      <c r="H1281" s="213"/>
      <c r="I1281" s="214"/>
      <c r="J1281" s="222"/>
      <c r="K1281" s="65"/>
      <c r="L1281" s="65"/>
      <c r="N1281" s="217"/>
      <c r="O1281" s="77"/>
      <c r="P1281" s="195"/>
      <c r="Q1281" s="77"/>
    </row>
    <row r="1282" ht="15.75" hidden="1" customHeight="1">
      <c r="A1282" s="142"/>
      <c r="B1282" s="77"/>
      <c r="C1282" s="220"/>
      <c r="D1282" s="142"/>
      <c r="E1282" s="220"/>
      <c r="F1282" s="213"/>
      <c r="G1282" s="213"/>
      <c r="H1282" s="213"/>
      <c r="I1282" s="214"/>
      <c r="J1282" s="222"/>
      <c r="K1282" s="65"/>
      <c r="L1282" s="65"/>
      <c r="N1282" s="217"/>
      <c r="O1282" s="77"/>
      <c r="P1282" s="195"/>
      <c r="Q1282" s="77"/>
    </row>
    <row r="1283" ht="15.75" hidden="1" customHeight="1">
      <c r="A1283" s="142"/>
      <c r="B1283" s="102"/>
      <c r="C1283" s="220"/>
      <c r="D1283" s="142"/>
      <c r="E1283" s="220"/>
      <c r="F1283" s="213"/>
      <c r="G1283" s="213"/>
      <c r="H1283" s="213"/>
      <c r="I1283" s="214"/>
      <c r="J1283" s="222"/>
      <c r="K1283" s="65"/>
      <c r="L1283" s="65"/>
      <c r="N1283" s="217"/>
      <c r="O1283" s="77"/>
      <c r="P1283" s="195"/>
      <c r="Q1283" s="77"/>
    </row>
    <row r="1284" ht="15.75" hidden="1" customHeight="1">
      <c r="A1284" s="142"/>
      <c r="B1284" s="102"/>
      <c r="C1284" s="220"/>
      <c r="D1284" s="142"/>
      <c r="E1284" s="220"/>
      <c r="F1284" s="213"/>
      <c r="G1284" s="213"/>
      <c r="H1284" s="213"/>
      <c r="I1284" s="214"/>
      <c r="J1284" s="222"/>
      <c r="K1284" s="65"/>
      <c r="L1284" s="65"/>
      <c r="N1284" s="217"/>
      <c r="O1284" s="77"/>
      <c r="P1284" s="195"/>
      <c r="Q1284" s="77"/>
    </row>
    <row r="1285" ht="15.75" hidden="1" customHeight="1">
      <c r="A1285" s="142"/>
      <c r="B1285" s="102"/>
      <c r="C1285" s="220"/>
      <c r="D1285" s="142"/>
      <c r="E1285" s="220"/>
      <c r="F1285" s="213"/>
      <c r="G1285" s="213"/>
      <c r="H1285" s="213"/>
      <c r="I1285" s="214"/>
      <c r="J1285" s="222"/>
      <c r="K1285" s="65"/>
      <c r="L1285" s="65"/>
      <c r="N1285" s="217"/>
      <c r="O1285" s="77"/>
      <c r="P1285" s="195"/>
      <c r="Q1285" s="77"/>
    </row>
    <row r="1286" ht="15.75" hidden="1" customHeight="1">
      <c r="A1286" s="142"/>
      <c r="B1286" s="77"/>
      <c r="C1286" s="220"/>
      <c r="D1286" s="142"/>
      <c r="E1286" s="220"/>
      <c r="F1286" s="213"/>
      <c r="G1286" s="213"/>
      <c r="H1286" s="213"/>
      <c r="I1286" s="214"/>
      <c r="J1286" s="222"/>
      <c r="K1286" s="142"/>
      <c r="L1286" s="142"/>
      <c r="N1286" s="217"/>
      <c r="O1286" s="77"/>
      <c r="P1286" s="195"/>
      <c r="Q1286" s="77"/>
    </row>
    <row r="1287" ht="15.75" hidden="1" customHeight="1">
      <c r="A1287" s="142"/>
      <c r="B1287" s="102"/>
      <c r="C1287" s="220"/>
      <c r="D1287" s="142"/>
      <c r="E1287" s="220"/>
      <c r="F1287" s="213"/>
      <c r="G1287" s="213"/>
      <c r="H1287" s="213"/>
      <c r="I1287" s="214"/>
      <c r="J1287" s="222"/>
      <c r="K1287" s="65"/>
      <c r="L1287" s="65"/>
      <c r="M1287" s="142"/>
      <c r="N1287" s="217"/>
      <c r="O1287" s="77"/>
      <c r="P1287" s="195"/>
      <c r="Q1287" s="77"/>
      <c r="R1287" s="142"/>
      <c r="S1287" s="142"/>
      <c r="T1287" s="142"/>
      <c r="U1287" s="142"/>
      <c r="V1287" s="142"/>
      <c r="W1287" s="142"/>
      <c r="X1287" s="142"/>
      <c r="Y1287" s="142"/>
      <c r="Z1287" s="142"/>
      <c r="AA1287" s="142"/>
      <c r="AB1287" s="142"/>
      <c r="AC1287" s="142"/>
      <c r="AD1287" s="142"/>
      <c r="AE1287" s="142"/>
      <c r="AF1287" s="142"/>
      <c r="AG1287" s="142"/>
      <c r="AH1287" s="142"/>
    </row>
    <row r="1288" ht="15.75" hidden="1" customHeight="1">
      <c r="A1288" s="142"/>
      <c r="B1288" s="142"/>
      <c r="C1288" s="220"/>
      <c r="D1288" s="142"/>
      <c r="E1288" s="220"/>
      <c r="F1288" s="213"/>
      <c r="G1288" s="213"/>
      <c r="H1288" s="213"/>
      <c r="I1288" s="214"/>
      <c r="J1288" s="222"/>
      <c r="K1288" s="142"/>
      <c r="L1288" s="142"/>
      <c r="N1288" s="217"/>
      <c r="O1288" s="77"/>
      <c r="P1288" s="195"/>
      <c r="Q1288" s="77"/>
    </row>
    <row r="1289" ht="15.75" hidden="1" customHeight="1">
      <c r="A1289" s="142"/>
      <c r="B1289" s="142"/>
      <c r="C1289" s="220"/>
      <c r="D1289" s="142"/>
      <c r="E1289" s="220"/>
      <c r="F1289" s="213"/>
      <c r="G1289" s="213"/>
      <c r="H1289" s="213"/>
      <c r="I1289" s="214"/>
      <c r="J1289" s="222"/>
      <c r="K1289" s="65"/>
      <c r="L1289" s="65"/>
      <c r="N1289" s="217"/>
      <c r="O1289" s="77"/>
      <c r="P1289" s="195"/>
      <c r="Q1289" s="77"/>
    </row>
    <row r="1290" ht="15.75" hidden="1" customHeight="1">
      <c r="A1290" s="142"/>
      <c r="B1290" s="102"/>
      <c r="C1290" s="220"/>
      <c r="D1290" s="142"/>
      <c r="E1290" s="220"/>
      <c r="F1290" s="213"/>
      <c r="G1290" s="213"/>
      <c r="H1290" s="213"/>
      <c r="I1290" s="214"/>
      <c r="J1290" s="222"/>
      <c r="K1290" s="65"/>
      <c r="L1290" s="65"/>
      <c r="M1290" s="142"/>
      <c r="N1290" s="217"/>
      <c r="O1290" s="77"/>
      <c r="P1290" s="195"/>
      <c r="Q1290" s="77"/>
      <c r="R1290" s="142"/>
      <c r="S1290" s="142"/>
      <c r="T1290" s="142"/>
      <c r="U1290" s="142"/>
      <c r="V1290" s="142"/>
      <c r="W1290" s="142"/>
      <c r="X1290" s="142"/>
      <c r="Y1290" s="142"/>
      <c r="Z1290" s="142"/>
      <c r="AA1290" s="142"/>
      <c r="AB1290" s="142"/>
      <c r="AC1290" s="142"/>
      <c r="AD1290" s="142"/>
      <c r="AE1290" s="142"/>
      <c r="AF1290" s="142"/>
      <c r="AG1290" s="142"/>
      <c r="AH1290" s="142"/>
    </row>
    <row r="1291" ht="15.75" hidden="1" customHeight="1">
      <c r="A1291" s="142"/>
      <c r="B1291" s="102"/>
      <c r="C1291" s="220"/>
      <c r="D1291" s="142"/>
      <c r="E1291" s="220"/>
      <c r="F1291" s="213"/>
      <c r="G1291" s="213"/>
      <c r="H1291" s="213"/>
      <c r="I1291" s="214"/>
      <c r="J1291" s="222"/>
      <c r="K1291" s="142"/>
      <c r="L1291" s="142"/>
      <c r="M1291" s="142"/>
      <c r="N1291" s="217"/>
      <c r="O1291" s="77"/>
      <c r="P1291" s="195"/>
      <c r="Q1291" s="77"/>
      <c r="R1291" s="142"/>
      <c r="S1291" s="142"/>
      <c r="T1291" s="142"/>
      <c r="U1291" s="142"/>
      <c r="V1291" s="142"/>
      <c r="W1291" s="142"/>
      <c r="X1291" s="142"/>
      <c r="Y1291" s="142"/>
      <c r="Z1291" s="142"/>
      <c r="AA1291" s="142"/>
      <c r="AB1291" s="142"/>
      <c r="AC1291" s="142"/>
      <c r="AD1291" s="142"/>
      <c r="AE1291" s="142"/>
      <c r="AF1291" s="142"/>
      <c r="AG1291" s="142"/>
      <c r="AH1291" s="142"/>
    </row>
    <row r="1292" ht="15.75" hidden="1" customHeight="1">
      <c r="A1292" s="142"/>
      <c r="B1292" s="77"/>
      <c r="C1292" s="220"/>
      <c r="D1292" s="142"/>
      <c r="E1292" s="220"/>
      <c r="F1292" s="213"/>
      <c r="G1292" s="213"/>
      <c r="H1292" s="213"/>
      <c r="I1292" s="214"/>
      <c r="J1292" s="222"/>
      <c r="K1292" s="142"/>
      <c r="L1292" s="142"/>
      <c r="N1292" s="217"/>
      <c r="O1292" s="77"/>
      <c r="P1292" s="195"/>
      <c r="Q1292" s="77"/>
    </row>
    <row r="1293" ht="15.75" hidden="1" customHeight="1">
      <c r="A1293" s="142"/>
      <c r="B1293" s="77"/>
      <c r="C1293" s="220"/>
      <c r="D1293" s="142"/>
      <c r="E1293" s="220"/>
      <c r="F1293" s="213"/>
      <c r="G1293" s="213"/>
      <c r="H1293" s="213"/>
      <c r="I1293" s="214"/>
      <c r="J1293" s="222"/>
      <c r="K1293" s="65"/>
      <c r="L1293" s="65"/>
      <c r="N1293" s="217"/>
      <c r="O1293" s="77"/>
      <c r="P1293" s="195"/>
      <c r="Q1293" s="77"/>
    </row>
    <row r="1294" ht="15.75" hidden="1" customHeight="1">
      <c r="A1294" s="142"/>
      <c r="B1294" s="77"/>
      <c r="C1294" s="220"/>
      <c r="D1294" s="142"/>
      <c r="E1294" s="220"/>
      <c r="F1294" s="213"/>
      <c r="G1294" s="213"/>
      <c r="H1294" s="213"/>
      <c r="I1294" s="214"/>
      <c r="J1294" s="222"/>
      <c r="K1294" s="65"/>
      <c r="L1294" s="65"/>
      <c r="M1294" s="65"/>
      <c r="N1294" s="217"/>
      <c r="O1294" s="77"/>
      <c r="P1294" s="195"/>
      <c r="Q1294" s="77"/>
    </row>
    <row r="1295" ht="15.75" hidden="1" customHeight="1">
      <c r="A1295" s="142"/>
      <c r="B1295" s="77"/>
      <c r="C1295" s="220"/>
      <c r="D1295" s="142"/>
      <c r="E1295" s="220"/>
      <c r="F1295" s="213"/>
      <c r="G1295" s="213"/>
      <c r="H1295" s="213"/>
      <c r="I1295" s="214"/>
      <c r="J1295" s="222"/>
      <c r="K1295" s="65"/>
      <c r="L1295" s="65"/>
      <c r="N1295" s="217"/>
      <c r="O1295" s="77"/>
      <c r="P1295" s="195"/>
      <c r="Q1295" s="77"/>
    </row>
    <row r="1296" ht="15.75" hidden="1" customHeight="1">
      <c r="A1296" s="142"/>
      <c r="B1296" s="142"/>
      <c r="C1296" s="220"/>
      <c r="D1296" s="142"/>
      <c r="E1296" s="220"/>
      <c r="F1296" s="213"/>
      <c r="G1296" s="213"/>
      <c r="H1296" s="213"/>
      <c r="I1296" s="214"/>
      <c r="J1296" s="222"/>
      <c r="K1296" s="65"/>
      <c r="L1296" s="65"/>
      <c r="M1296" s="142"/>
      <c r="N1296" s="217"/>
      <c r="O1296" s="77"/>
      <c r="P1296" s="195"/>
      <c r="Q1296" s="77"/>
      <c r="R1296" s="142"/>
      <c r="S1296" s="142"/>
      <c r="T1296" s="142"/>
      <c r="U1296" s="142"/>
      <c r="V1296" s="142"/>
      <c r="W1296" s="142"/>
      <c r="X1296" s="142"/>
      <c r="Y1296" s="142"/>
      <c r="Z1296" s="142"/>
      <c r="AA1296" s="142"/>
      <c r="AB1296" s="142"/>
      <c r="AC1296" s="142"/>
      <c r="AD1296" s="142"/>
      <c r="AE1296" s="142"/>
      <c r="AF1296" s="142"/>
      <c r="AG1296" s="142"/>
      <c r="AH1296" s="142"/>
    </row>
    <row r="1297" ht="15.75" hidden="1" customHeight="1">
      <c r="A1297" s="142"/>
      <c r="B1297" s="142"/>
      <c r="C1297" s="220"/>
      <c r="D1297" s="142"/>
      <c r="E1297" s="220"/>
      <c r="F1297" s="213"/>
      <c r="G1297" s="213"/>
      <c r="H1297" s="213"/>
      <c r="I1297" s="214"/>
      <c r="J1297" s="222"/>
      <c r="K1297" s="65"/>
      <c r="L1297" s="65"/>
      <c r="N1297" s="217"/>
      <c r="O1297" s="77"/>
      <c r="P1297" s="195"/>
      <c r="Q1297" s="77"/>
    </row>
    <row r="1298" ht="15.75" hidden="1" customHeight="1">
      <c r="A1298" s="142"/>
      <c r="B1298" s="102"/>
      <c r="C1298" s="220"/>
      <c r="D1298" s="142"/>
      <c r="E1298" s="220"/>
      <c r="F1298" s="213"/>
      <c r="G1298" s="213"/>
      <c r="H1298" s="213"/>
      <c r="I1298" s="214"/>
      <c r="J1298" s="222"/>
      <c r="K1298" s="65"/>
      <c r="L1298" s="65"/>
      <c r="N1298" s="217"/>
      <c r="O1298" s="77"/>
      <c r="P1298" s="195"/>
      <c r="Q1298" s="77"/>
    </row>
    <row r="1299" ht="15.75" hidden="1" customHeight="1">
      <c r="A1299" s="142"/>
      <c r="B1299" s="77"/>
      <c r="C1299" s="220"/>
      <c r="D1299" s="142"/>
      <c r="E1299" s="220"/>
      <c r="F1299" s="213"/>
      <c r="G1299" s="213"/>
      <c r="H1299" s="213"/>
      <c r="I1299" s="214"/>
      <c r="J1299" s="222"/>
      <c r="K1299" s="65"/>
      <c r="L1299" s="65"/>
      <c r="N1299" s="217"/>
      <c r="O1299" s="77"/>
      <c r="P1299" s="195"/>
      <c r="Q1299" s="77"/>
    </row>
    <row r="1300" ht="15.75" hidden="1" customHeight="1">
      <c r="A1300" s="142"/>
      <c r="B1300" s="77"/>
      <c r="C1300" s="220"/>
      <c r="D1300" s="142"/>
      <c r="E1300" s="220"/>
      <c r="F1300" s="213"/>
      <c r="G1300" s="213"/>
      <c r="H1300" s="213"/>
      <c r="I1300" s="214"/>
      <c r="J1300" s="222"/>
      <c r="K1300" s="65"/>
      <c r="L1300" s="65"/>
      <c r="N1300" s="217"/>
      <c r="O1300" s="77"/>
      <c r="P1300" s="195"/>
      <c r="Q1300" s="77"/>
    </row>
    <row r="1301" ht="15.75" hidden="1" customHeight="1">
      <c r="A1301" s="142"/>
      <c r="B1301" s="142"/>
      <c r="C1301" s="220"/>
      <c r="D1301" s="142"/>
      <c r="E1301" s="220"/>
      <c r="F1301" s="213"/>
      <c r="G1301" s="213"/>
      <c r="H1301" s="213"/>
      <c r="I1301" s="214"/>
      <c r="J1301" s="222"/>
      <c r="K1301" s="65"/>
      <c r="L1301" s="65"/>
      <c r="N1301" s="217"/>
      <c r="O1301" s="77"/>
      <c r="P1301" s="195"/>
      <c r="Q1301" s="77"/>
    </row>
    <row r="1302" ht="15.75" hidden="1" customHeight="1">
      <c r="A1302" s="142"/>
      <c r="B1302" s="142"/>
      <c r="C1302" s="220"/>
      <c r="D1302" s="142"/>
      <c r="E1302" s="220"/>
      <c r="F1302" s="213"/>
      <c r="G1302" s="213"/>
      <c r="H1302" s="213"/>
      <c r="I1302" s="214"/>
      <c r="J1302" s="222"/>
      <c r="K1302" s="65"/>
      <c r="L1302" s="65"/>
      <c r="N1302" s="217"/>
      <c r="O1302" s="77"/>
      <c r="P1302" s="195"/>
      <c r="Q1302" s="77"/>
    </row>
    <row r="1303" ht="15.75" hidden="1" customHeight="1">
      <c r="A1303" s="142"/>
      <c r="B1303" s="77"/>
      <c r="C1303" s="220"/>
      <c r="D1303" s="142"/>
      <c r="E1303" s="220"/>
      <c r="F1303" s="213"/>
      <c r="G1303" s="213"/>
      <c r="H1303" s="213"/>
      <c r="I1303" s="214"/>
      <c r="J1303" s="222"/>
      <c r="K1303" s="65"/>
      <c r="L1303" s="65"/>
      <c r="N1303" s="217"/>
      <c r="O1303" s="77"/>
      <c r="P1303" s="195"/>
      <c r="Q1303" s="77"/>
    </row>
    <row r="1304" ht="15.75" hidden="1" customHeight="1">
      <c r="A1304" s="142"/>
      <c r="B1304" s="142"/>
      <c r="C1304" s="220"/>
      <c r="D1304" s="142"/>
      <c r="E1304" s="220"/>
      <c r="F1304" s="213"/>
      <c r="G1304" s="213"/>
      <c r="H1304" s="213"/>
      <c r="I1304" s="214"/>
      <c r="J1304" s="222"/>
      <c r="K1304" s="65"/>
      <c r="L1304" s="65"/>
      <c r="N1304" s="217"/>
      <c r="O1304" s="77"/>
      <c r="P1304" s="195"/>
      <c r="Q1304" s="77"/>
    </row>
    <row r="1305" ht="15.75" hidden="1" customHeight="1">
      <c r="A1305" s="142"/>
      <c r="B1305" s="142"/>
      <c r="C1305" s="220"/>
      <c r="D1305" s="142"/>
      <c r="E1305" s="220"/>
      <c r="F1305" s="213"/>
      <c r="G1305" s="213"/>
      <c r="H1305" s="213"/>
      <c r="I1305" s="214"/>
      <c r="J1305" s="222"/>
      <c r="K1305" s="65"/>
      <c r="L1305" s="65"/>
      <c r="N1305" s="217"/>
      <c r="O1305" s="77"/>
      <c r="P1305" s="195"/>
      <c r="Q1305" s="77"/>
    </row>
    <row r="1306" ht="15.75" hidden="1" customHeight="1">
      <c r="A1306" s="142"/>
      <c r="B1306" s="142"/>
      <c r="C1306" s="220"/>
      <c r="D1306" s="142"/>
      <c r="E1306" s="220"/>
      <c r="F1306" s="213"/>
      <c r="G1306" s="213"/>
      <c r="H1306" s="213"/>
      <c r="I1306" s="214"/>
      <c r="J1306" s="222"/>
      <c r="K1306" s="65"/>
      <c r="L1306" s="65"/>
      <c r="N1306" s="217"/>
      <c r="O1306" s="77"/>
      <c r="P1306" s="195"/>
      <c r="Q1306" s="77"/>
    </row>
    <row r="1307" ht="15.75" hidden="1" customHeight="1">
      <c r="A1307" s="142"/>
      <c r="B1307" s="142"/>
      <c r="C1307" s="220"/>
      <c r="D1307" s="142"/>
      <c r="E1307" s="220"/>
      <c r="F1307" s="213"/>
      <c r="G1307" s="213"/>
      <c r="H1307" s="213"/>
      <c r="I1307" s="214"/>
      <c r="J1307" s="222"/>
      <c r="K1307" s="65"/>
      <c r="L1307" s="65"/>
      <c r="N1307" s="217"/>
      <c r="O1307" s="77"/>
      <c r="P1307" s="195"/>
      <c r="Q1307" s="77"/>
    </row>
    <row r="1308" ht="15.75" hidden="1" customHeight="1">
      <c r="A1308" s="142"/>
      <c r="B1308" s="142"/>
      <c r="C1308" s="220"/>
      <c r="D1308" s="142"/>
      <c r="E1308" s="220"/>
      <c r="F1308" s="213"/>
      <c r="G1308" s="213"/>
      <c r="H1308" s="213"/>
      <c r="I1308" s="214"/>
      <c r="J1308" s="222"/>
      <c r="K1308" s="65"/>
      <c r="L1308" s="65"/>
      <c r="N1308" s="217"/>
      <c r="O1308" s="77"/>
      <c r="P1308" s="195"/>
      <c r="Q1308" s="77"/>
    </row>
    <row r="1309" ht="15.75" hidden="1" customHeight="1">
      <c r="A1309" s="142"/>
      <c r="B1309" s="142"/>
      <c r="C1309" s="220"/>
      <c r="D1309" s="142"/>
      <c r="E1309" s="220"/>
      <c r="F1309" s="213"/>
      <c r="G1309" s="213"/>
      <c r="H1309" s="213"/>
      <c r="I1309" s="214"/>
      <c r="J1309" s="222"/>
      <c r="K1309" s="65"/>
      <c r="L1309" s="65"/>
      <c r="N1309" s="217"/>
      <c r="O1309" s="77"/>
      <c r="P1309" s="195"/>
      <c r="Q1309" s="77"/>
    </row>
    <row r="1310" ht="15.75" hidden="1" customHeight="1">
      <c r="A1310" s="142"/>
      <c r="B1310" s="142"/>
      <c r="C1310" s="220"/>
      <c r="D1310" s="142"/>
      <c r="E1310" s="220"/>
      <c r="F1310" s="213"/>
      <c r="G1310" s="213"/>
      <c r="H1310" s="213"/>
      <c r="I1310" s="214"/>
      <c r="J1310" s="222"/>
      <c r="K1310" s="65"/>
      <c r="L1310" s="65"/>
      <c r="N1310" s="217"/>
      <c r="O1310" s="77"/>
      <c r="P1310" s="195"/>
      <c r="Q1310" s="77"/>
    </row>
    <row r="1311" ht="15.75" hidden="1" customHeight="1">
      <c r="A1311" s="142"/>
      <c r="B1311" s="142"/>
      <c r="C1311" s="220"/>
      <c r="D1311" s="142"/>
      <c r="E1311" s="220"/>
      <c r="F1311" s="213"/>
      <c r="G1311" s="213"/>
      <c r="H1311" s="213"/>
      <c r="I1311" s="214"/>
      <c r="J1311" s="222"/>
      <c r="K1311" s="65"/>
      <c r="L1311" s="65"/>
      <c r="N1311" s="217"/>
      <c r="O1311" s="77"/>
      <c r="P1311" s="195"/>
      <c r="Q1311" s="77"/>
    </row>
    <row r="1312" ht="15.75" hidden="1" customHeight="1">
      <c r="A1312" s="142"/>
      <c r="B1312" s="142"/>
      <c r="C1312" s="220"/>
      <c r="D1312" s="142"/>
      <c r="E1312" s="220"/>
      <c r="F1312" s="213"/>
      <c r="G1312" s="213"/>
      <c r="H1312" s="213"/>
      <c r="I1312" s="214"/>
      <c r="J1312" s="222"/>
      <c r="K1312" s="65"/>
      <c r="L1312" s="65"/>
      <c r="N1312" s="217"/>
      <c r="O1312" s="77"/>
      <c r="P1312" s="195"/>
      <c r="Q1312" s="77"/>
    </row>
    <row r="1313" ht="15.75" hidden="1" customHeight="1">
      <c r="A1313" s="142"/>
      <c r="B1313" s="142"/>
      <c r="C1313" s="220"/>
      <c r="D1313" s="142"/>
      <c r="E1313" s="220"/>
      <c r="F1313" s="213"/>
      <c r="G1313" s="213"/>
      <c r="H1313" s="213"/>
      <c r="I1313" s="214"/>
      <c r="J1313" s="222"/>
      <c r="K1313" s="65"/>
      <c r="L1313" s="65"/>
      <c r="N1313" s="217"/>
      <c r="O1313" s="77"/>
      <c r="P1313" s="195"/>
      <c r="Q1313" s="77"/>
    </row>
    <row r="1314" ht="15.75" hidden="1" customHeight="1">
      <c r="A1314" s="142"/>
      <c r="B1314" s="142"/>
      <c r="C1314" s="220"/>
      <c r="D1314" s="142"/>
      <c r="E1314" s="220"/>
      <c r="F1314" s="213"/>
      <c r="G1314" s="213"/>
      <c r="H1314" s="213"/>
      <c r="I1314" s="214"/>
      <c r="J1314" s="222"/>
      <c r="K1314" s="65"/>
      <c r="L1314" s="65"/>
      <c r="N1314" s="217"/>
      <c r="O1314" s="77"/>
      <c r="P1314" s="195"/>
      <c r="Q1314" s="77"/>
    </row>
    <row r="1315" ht="15.75" hidden="1" customHeight="1">
      <c r="A1315" s="142"/>
      <c r="B1315" s="142"/>
      <c r="C1315" s="220"/>
      <c r="D1315" s="142"/>
      <c r="E1315" s="220"/>
      <c r="F1315" s="213"/>
      <c r="G1315" s="213"/>
      <c r="H1315" s="213"/>
      <c r="I1315" s="214"/>
      <c r="J1315" s="222"/>
      <c r="K1315" s="65"/>
      <c r="L1315" s="65"/>
      <c r="N1315" s="217"/>
      <c r="O1315" s="77"/>
      <c r="P1315" s="195"/>
      <c r="Q1315" s="77"/>
    </row>
    <row r="1316" ht="15.75" hidden="1" customHeight="1">
      <c r="A1316" s="142"/>
      <c r="B1316" s="142"/>
      <c r="C1316" s="220"/>
      <c r="D1316" s="142"/>
      <c r="E1316" s="220"/>
      <c r="F1316" s="213"/>
      <c r="G1316" s="213"/>
      <c r="H1316" s="213"/>
      <c r="I1316" s="214"/>
      <c r="J1316" s="222"/>
      <c r="K1316" s="65"/>
      <c r="L1316" s="65"/>
      <c r="N1316" s="217"/>
      <c r="O1316" s="77"/>
      <c r="P1316" s="195"/>
      <c r="Q1316" s="77"/>
    </row>
    <row r="1317" ht="15.75" hidden="1" customHeight="1">
      <c r="A1317" s="142"/>
      <c r="B1317" s="142"/>
      <c r="C1317" s="220"/>
      <c r="D1317" s="142"/>
      <c r="E1317" s="220"/>
      <c r="F1317" s="213"/>
      <c r="G1317" s="213"/>
      <c r="H1317" s="213"/>
      <c r="I1317" s="214"/>
      <c r="J1317" s="222"/>
      <c r="K1317" s="65"/>
      <c r="L1317" s="65"/>
      <c r="N1317" s="217"/>
      <c r="O1317" s="77"/>
      <c r="P1317" s="195"/>
      <c r="Q1317" s="77"/>
    </row>
    <row r="1318" ht="15.75" hidden="1" customHeight="1">
      <c r="A1318" s="142"/>
      <c r="B1318" s="142"/>
      <c r="C1318" s="220"/>
      <c r="D1318" s="142"/>
      <c r="E1318" s="220"/>
      <c r="F1318" s="213"/>
      <c r="G1318" s="213"/>
      <c r="H1318" s="213"/>
      <c r="I1318" s="214"/>
      <c r="J1318" s="222"/>
      <c r="K1318" s="65"/>
      <c r="L1318" s="65"/>
      <c r="N1318" s="217"/>
      <c r="O1318" s="77"/>
      <c r="P1318" s="195"/>
      <c r="Q1318" s="77"/>
    </row>
    <row r="1319" ht="15.75" hidden="1" customHeight="1">
      <c r="A1319" s="142"/>
      <c r="B1319" s="142"/>
      <c r="C1319" s="220"/>
      <c r="D1319" s="142"/>
      <c r="E1319" s="220"/>
      <c r="F1319" s="213"/>
      <c r="G1319" s="213"/>
      <c r="H1319" s="213"/>
      <c r="I1319" s="214"/>
      <c r="J1319" s="222"/>
      <c r="K1319" s="65"/>
      <c r="L1319" s="65"/>
      <c r="N1319" s="217"/>
      <c r="O1319" s="77"/>
      <c r="P1319" s="195"/>
      <c r="Q1319" s="77"/>
    </row>
    <row r="1320" ht="15.75" hidden="1" customHeight="1">
      <c r="A1320" s="142"/>
      <c r="B1320" s="142"/>
      <c r="C1320" s="220"/>
      <c r="D1320" s="142"/>
      <c r="E1320" s="220"/>
      <c r="F1320" s="213"/>
      <c r="G1320" s="213"/>
      <c r="H1320" s="213"/>
      <c r="I1320" s="214"/>
      <c r="J1320" s="222"/>
      <c r="K1320" s="65"/>
      <c r="L1320" s="65"/>
      <c r="N1320" s="217"/>
      <c r="O1320" s="77"/>
      <c r="P1320" s="195"/>
      <c r="Q1320" s="77"/>
    </row>
    <row r="1321" ht="15.75" hidden="1" customHeight="1">
      <c r="A1321" s="142"/>
      <c r="B1321" s="142"/>
      <c r="C1321" s="220"/>
      <c r="D1321" s="142"/>
      <c r="E1321" s="220"/>
      <c r="F1321" s="213"/>
      <c r="G1321" s="213"/>
      <c r="H1321" s="213"/>
      <c r="I1321" s="214"/>
      <c r="J1321" s="222"/>
      <c r="K1321" s="65"/>
      <c r="L1321" s="65"/>
      <c r="N1321" s="217"/>
      <c r="O1321" s="77"/>
      <c r="P1321" s="195"/>
      <c r="Q1321" s="77"/>
    </row>
    <row r="1322" ht="15.75" hidden="1" customHeight="1">
      <c r="A1322" s="142"/>
      <c r="B1322" s="142"/>
      <c r="C1322" s="220"/>
      <c r="D1322" s="142"/>
      <c r="E1322" s="220"/>
      <c r="F1322" s="213"/>
      <c r="G1322" s="213"/>
      <c r="H1322" s="213"/>
      <c r="I1322" s="214"/>
      <c r="J1322" s="222"/>
      <c r="K1322" s="65"/>
      <c r="L1322" s="65"/>
      <c r="N1322" s="217"/>
      <c r="O1322" s="77"/>
      <c r="P1322" s="195"/>
      <c r="Q1322" s="77"/>
    </row>
    <row r="1323" ht="15.75" hidden="1" customHeight="1">
      <c r="A1323" s="142"/>
      <c r="B1323" s="142"/>
      <c r="C1323" s="220"/>
      <c r="D1323" s="142"/>
      <c r="E1323" s="220"/>
      <c r="F1323" s="213"/>
      <c r="G1323" s="213"/>
      <c r="H1323" s="213"/>
      <c r="I1323" s="214"/>
      <c r="J1323" s="222"/>
      <c r="K1323" s="65"/>
      <c r="L1323" s="65"/>
      <c r="N1323" s="217"/>
      <c r="O1323" s="77"/>
      <c r="P1323" s="195"/>
      <c r="Q1323" s="77"/>
    </row>
    <row r="1324" ht="15.75" hidden="1" customHeight="1">
      <c r="A1324" s="142"/>
      <c r="B1324" s="102"/>
      <c r="C1324" s="220"/>
      <c r="D1324" s="142"/>
      <c r="E1324" s="220"/>
      <c r="F1324" s="213"/>
      <c r="G1324" s="213"/>
      <c r="H1324" s="213"/>
      <c r="I1324" s="214"/>
      <c r="J1324" s="222"/>
      <c r="K1324" s="65"/>
      <c r="L1324" s="65"/>
      <c r="N1324" s="217"/>
      <c r="O1324" s="77"/>
      <c r="P1324" s="195"/>
      <c r="Q1324" s="77"/>
    </row>
    <row r="1325" ht="15.75" hidden="1" customHeight="1">
      <c r="A1325" s="142"/>
      <c r="B1325" s="142"/>
      <c r="C1325" s="220"/>
      <c r="D1325" s="142"/>
      <c r="E1325" s="220"/>
      <c r="F1325" s="213"/>
      <c r="G1325" s="213"/>
      <c r="H1325" s="213"/>
      <c r="I1325" s="214"/>
      <c r="J1325" s="222"/>
      <c r="K1325" s="65"/>
      <c r="L1325" s="65"/>
      <c r="N1325" s="217"/>
      <c r="O1325" s="77"/>
      <c r="P1325" s="195"/>
      <c r="Q1325" s="77"/>
    </row>
    <row r="1326" ht="15.75" hidden="1" customHeight="1">
      <c r="A1326" s="142"/>
      <c r="B1326" s="77"/>
      <c r="C1326" s="220"/>
      <c r="D1326" s="142"/>
      <c r="E1326" s="220"/>
      <c r="F1326" s="213"/>
      <c r="G1326" s="213"/>
      <c r="H1326" s="213"/>
      <c r="I1326" s="214"/>
      <c r="J1326" s="222"/>
      <c r="K1326" s="65"/>
      <c r="L1326" s="65"/>
      <c r="N1326" s="217"/>
      <c r="O1326" s="77"/>
      <c r="P1326" s="195"/>
      <c r="Q1326" s="77"/>
    </row>
    <row r="1327" ht="15.75" hidden="1" customHeight="1">
      <c r="A1327" s="142"/>
      <c r="B1327" s="142"/>
      <c r="C1327" s="220"/>
      <c r="D1327" s="142"/>
      <c r="E1327" s="220"/>
      <c r="F1327" s="213"/>
      <c r="G1327" s="213"/>
      <c r="H1327" s="213"/>
      <c r="I1327" s="214"/>
      <c r="J1327" s="222"/>
      <c r="K1327" s="65"/>
      <c r="L1327" s="65"/>
      <c r="N1327" s="217"/>
      <c r="O1327" s="77"/>
      <c r="P1327" s="195"/>
      <c r="Q1327" s="77"/>
    </row>
    <row r="1328" ht="15.75" hidden="1" customHeight="1">
      <c r="A1328" s="142"/>
      <c r="B1328" s="142"/>
      <c r="C1328" s="220"/>
      <c r="D1328" s="142"/>
      <c r="E1328" s="220"/>
      <c r="F1328" s="213"/>
      <c r="G1328" s="213"/>
      <c r="H1328" s="213"/>
      <c r="I1328" s="214"/>
      <c r="J1328" s="222"/>
      <c r="K1328" s="65"/>
      <c r="L1328" s="65"/>
      <c r="N1328" s="217"/>
      <c r="O1328" s="77"/>
      <c r="P1328" s="195"/>
      <c r="Q1328" s="77"/>
    </row>
    <row r="1329" ht="15.75" hidden="1" customHeight="1">
      <c r="A1329" s="142"/>
      <c r="B1329" s="142"/>
      <c r="C1329" s="220"/>
      <c r="D1329" s="142"/>
      <c r="E1329" s="220"/>
      <c r="F1329" s="213"/>
      <c r="G1329" s="213"/>
      <c r="H1329" s="213"/>
      <c r="I1329" s="214"/>
      <c r="J1329" s="222"/>
      <c r="K1329" s="65"/>
      <c r="L1329" s="65"/>
      <c r="N1329" s="217"/>
      <c r="O1329" s="77"/>
      <c r="P1329" s="195"/>
      <c r="Q1329" s="77"/>
    </row>
    <row r="1330" ht="15.75" hidden="1" customHeight="1">
      <c r="A1330" s="142"/>
      <c r="B1330" s="142"/>
      <c r="C1330" s="220"/>
      <c r="D1330" s="142"/>
      <c r="E1330" s="220"/>
      <c r="F1330" s="213"/>
      <c r="G1330" s="213"/>
      <c r="H1330" s="213"/>
      <c r="I1330" s="513"/>
      <c r="J1330" s="514"/>
      <c r="K1330" s="81"/>
      <c r="L1330" s="81"/>
      <c r="N1330" s="217"/>
      <c r="O1330" s="77"/>
      <c r="P1330" s="195"/>
      <c r="Q1330" s="77"/>
    </row>
    <row r="1331" ht="15.75" hidden="1" customHeight="1">
      <c r="A1331" s="142"/>
      <c r="B1331" s="142"/>
      <c r="C1331" s="220"/>
      <c r="D1331" s="142"/>
      <c r="E1331" s="220"/>
      <c r="F1331" s="213"/>
      <c r="G1331" s="213"/>
      <c r="H1331" s="213"/>
      <c r="I1331" s="513"/>
      <c r="J1331" s="514"/>
      <c r="K1331" s="81"/>
      <c r="L1331" s="81"/>
      <c r="N1331" s="217"/>
      <c r="O1331" s="77"/>
      <c r="P1331" s="195"/>
      <c r="Q1331" s="77"/>
      <c r="V1331" s="142"/>
      <c r="W1331" s="142"/>
      <c r="X1331" s="142"/>
      <c r="Y1331" s="142"/>
      <c r="Z1331" s="142"/>
      <c r="AA1331" s="142"/>
      <c r="AB1331" s="142"/>
      <c r="AC1331" s="142"/>
      <c r="AD1331" s="142"/>
      <c r="AE1331" s="142"/>
      <c r="AF1331" s="142"/>
      <c r="AG1331" s="142"/>
      <c r="AH1331" s="142"/>
    </row>
    <row r="1332" ht="15.75" hidden="1" customHeight="1">
      <c r="A1332" s="142"/>
      <c r="B1332" s="142"/>
      <c r="C1332" s="220"/>
      <c r="D1332" s="142"/>
      <c r="E1332" s="220"/>
      <c r="F1332" s="213"/>
      <c r="G1332" s="213"/>
      <c r="H1332" s="213"/>
      <c r="I1332" s="513"/>
      <c r="J1332" s="514"/>
      <c r="K1332" s="81"/>
      <c r="L1332" s="81"/>
      <c r="N1332" s="217"/>
      <c r="O1332" s="77"/>
      <c r="P1332" s="195"/>
      <c r="Q1332" s="77"/>
    </row>
    <row r="1333" ht="15.75" hidden="1" customHeight="1">
      <c r="A1333" s="142"/>
      <c r="B1333" s="142"/>
      <c r="C1333" s="220"/>
      <c r="D1333" s="142"/>
      <c r="E1333" s="220"/>
      <c r="F1333" s="213"/>
      <c r="G1333" s="515"/>
      <c r="H1333" s="213"/>
      <c r="I1333" s="214"/>
      <c r="J1333" s="222"/>
      <c r="K1333" s="65"/>
      <c r="L1333" s="65"/>
      <c r="N1333" s="217"/>
      <c r="O1333" s="77"/>
      <c r="P1333" s="195"/>
      <c r="Q1333" s="77"/>
    </row>
    <row r="1334" ht="15.75" hidden="1" customHeight="1">
      <c r="A1334" s="142"/>
      <c r="B1334" s="142"/>
      <c r="C1334" s="220"/>
      <c r="D1334" s="142"/>
      <c r="E1334" s="220"/>
      <c r="F1334" s="213"/>
      <c r="G1334" s="213"/>
      <c r="H1334" s="213"/>
      <c r="I1334" s="214"/>
      <c r="J1334" s="215"/>
      <c r="K1334" s="516"/>
      <c r="L1334" s="516"/>
      <c r="N1334" s="517"/>
      <c r="O1334" s="141"/>
      <c r="P1334" s="518"/>
      <c r="Q1334" s="77"/>
    </row>
    <row r="1335" ht="15.75" hidden="1" customHeight="1">
      <c r="A1335" s="142"/>
      <c r="B1335" s="142"/>
      <c r="C1335" s="220"/>
      <c r="D1335" s="142"/>
      <c r="E1335" s="220"/>
      <c r="F1335" s="213"/>
      <c r="G1335" s="213"/>
      <c r="H1335" s="213"/>
      <c r="I1335" s="214"/>
      <c r="J1335" s="215"/>
      <c r="K1335" s="516"/>
      <c r="L1335" s="516"/>
      <c r="N1335" s="217"/>
      <c r="O1335" s="77"/>
      <c r="P1335" s="195"/>
      <c r="Q1335" s="141"/>
    </row>
    <row r="1336" ht="15.75" hidden="1" customHeight="1">
      <c r="A1336" s="142"/>
      <c r="B1336" s="142"/>
      <c r="C1336" s="220"/>
      <c r="D1336" s="142"/>
      <c r="E1336" s="220"/>
      <c r="F1336" s="213"/>
      <c r="G1336" s="213"/>
      <c r="H1336" s="213"/>
      <c r="I1336" s="214"/>
      <c r="J1336" s="215"/>
      <c r="K1336" s="516"/>
      <c r="L1336" s="516"/>
      <c r="N1336" s="517"/>
      <c r="O1336" s="141"/>
      <c r="P1336" s="518"/>
      <c r="Q1336" s="77"/>
    </row>
    <row r="1337" ht="15.75" hidden="1" customHeight="1">
      <c r="A1337" s="142"/>
      <c r="B1337" s="142"/>
      <c r="C1337" s="220"/>
      <c r="D1337" s="142"/>
      <c r="E1337" s="220"/>
      <c r="F1337" s="213"/>
      <c r="G1337" s="213"/>
      <c r="H1337" s="213"/>
      <c r="I1337" s="214"/>
      <c r="J1337" s="215"/>
      <c r="K1337" s="516"/>
      <c r="L1337" s="516"/>
      <c r="N1337" s="217"/>
      <c r="O1337" s="77"/>
      <c r="P1337" s="195"/>
      <c r="Q1337" s="141"/>
    </row>
    <row r="1338" ht="15.75" hidden="1" customHeight="1">
      <c r="A1338" s="142"/>
      <c r="B1338" s="142"/>
      <c r="C1338" s="220"/>
      <c r="D1338" s="142"/>
      <c r="E1338" s="220"/>
      <c r="F1338" s="213"/>
      <c r="G1338" s="213"/>
      <c r="H1338" s="213"/>
      <c r="I1338" s="513"/>
      <c r="J1338" s="519"/>
      <c r="K1338" s="520"/>
      <c r="L1338" s="520"/>
      <c r="N1338" s="517"/>
      <c r="O1338" s="141"/>
      <c r="P1338" s="518"/>
      <c r="Q1338" s="77"/>
    </row>
    <row r="1339" ht="15.75" hidden="1" customHeight="1">
      <c r="A1339" s="142"/>
      <c r="B1339" s="142"/>
      <c r="C1339" s="220"/>
      <c r="D1339" s="142"/>
      <c r="E1339" s="220"/>
      <c r="F1339" s="213"/>
      <c r="G1339" s="213"/>
      <c r="H1339" s="213"/>
      <c r="I1339" s="214"/>
      <c r="J1339" s="215"/>
      <c r="K1339" s="516"/>
      <c r="L1339" s="516"/>
      <c r="N1339" s="217"/>
      <c r="O1339" s="77"/>
      <c r="P1339" s="195"/>
      <c r="Q1339" s="141"/>
    </row>
    <row r="1340" ht="15.75" hidden="1" customHeight="1">
      <c r="A1340" s="142"/>
      <c r="B1340" s="142"/>
      <c r="C1340" s="220"/>
      <c r="D1340" s="142"/>
      <c r="E1340" s="220"/>
      <c r="F1340" s="213"/>
      <c r="G1340" s="213"/>
      <c r="H1340" s="213"/>
      <c r="I1340" s="214"/>
      <c r="J1340" s="215"/>
      <c r="K1340" s="257"/>
      <c r="L1340" s="257"/>
      <c r="N1340" s="217"/>
      <c r="O1340" s="77"/>
      <c r="P1340" s="195"/>
      <c r="Q1340" s="77"/>
    </row>
    <row r="1341" ht="15.75" hidden="1" customHeight="1">
      <c r="A1341" s="142"/>
      <c r="B1341" s="142"/>
      <c r="C1341" s="220"/>
      <c r="D1341" s="142"/>
      <c r="E1341" s="220"/>
      <c r="F1341" s="213"/>
      <c r="G1341" s="213"/>
      <c r="H1341" s="213"/>
      <c r="I1341" s="214"/>
      <c r="J1341" s="215"/>
      <c r="K1341" s="516"/>
      <c r="L1341" s="516"/>
      <c r="N1341" s="517"/>
      <c r="O1341" s="141"/>
      <c r="P1341" s="518"/>
      <c r="Q1341" s="77"/>
    </row>
    <row r="1342" ht="15.75" hidden="1" customHeight="1">
      <c r="A1342" s="142"/>
      <c r="B1342" s="142"/>
      <c r="C1342" s="220"/>
      <c r="D1342" s="142"/>
      <c r="E1342" s="220"/>
      <c r="F1342" s="213"/>
      <c r="G1342" s="213"/>
      <c r="H1342" s="213"/>
      <c r="I1342" s="214"/>
      <c r="J1342" s="215"/>
      <c r="K1342" s="516"/>
      <c r="L1342" s="516"/>
      <c r="N1342" s="217"/>
      <c r="O1342" s="77"/>
      <c r="P1342" s="195"/>
      <c r="Q1342" s="141"/>
    </row>
    <row r="1343" ht="15.75" hidden="1" customHeight="1">
      <c r="A1343" s="142"/>
      <c r="B1343" s="142"/>
      <c r="C1343" s="220"/>
      <c r="D1343" s="142"/>
      <c r="E1343" s="220"/>
      <c r="F1343" s="213"/>
      <c r="G1343" s="213"/>
      <c r="H1343" s="213"/>
      <c r="I1343" s="214"/>
      <c r="J1343" s="215"/>
      <c r="K1343" s="516"/>
      <c r="L1343" s="516"/>
      <c r="N1343" s="517"/>
      <c r="O1343" s="141"/>
      <c r="P1343" s="518"/>
      <c r="Q1343" s="77"/>
    </row>
    <row r="1344" ht="15.75" hidden="1" customHeight="1">
      <c r="A1344" s="142"/>
      <c r="B1344" s="142"/>
      <c r="C1344" s="220"/>
      <c r="D1344" s="142"/>
      <c r="E1344" s="220"/>
      <c r="F1344" s="213"/>
      <c r="G1344" s="213"/>
      <c r="H1344" s="213"/>
      <c r="I1344" s="214"/>
      <c r="J1344" s="215"/>
      <c r="K1344" s="516"/>
      <c r="L1344" s="516"/>
      <c r="N1344" s="517"/>
      <c r="O1344" s="141"/>
      <c r="P1344" s="518"/>
      <c r="Q1344" s="141"/>
    </row>
    <row r="1345" ht="15.75" hidden="1" customHeight="1">
      <c r="A1345" s="142"/>
      <c r="B1345" s="142"/>
      <c r="C1345" s="220"/>
      <c r="D1345" s="142"/>
      <c r="E1345" s="220"/>
      <c r="F1345" s="213"/>
      <c r="G1345" s="213"/>
      <c r="H1345" s="213"/>
      <c r="I1345" s="214"/>
      <c r="J1345" s="215"/>
      <c r="K1345" s="516"/>
      <c r="L1345" s="516"/>
      <c r="N1345" s="217"/>
      <c r="O1345" s="77"/>
      <c r="P1345" s="195"/>
      <c r="Q1345" s="141"/>
    </row>
    <row r="1346" ht="15.75" hidden="1" customHeight="1">
      <c r="A1346" s="142"/>
      <c r="B1346" s="142"/>
      <c r="C1346" s="220"/>
      <c r="D1346" s="142"/>
      <c r="E1346" s="220"/>
      <c r="F1346" s="213"/>
      <c r="G1346" s="213"/>
      <c r="H1346" s="213"/>
      <c r="I1346" s="214"/>
      <c r="J1346" s="215"/>
      <c r="K1346" s="516"/>
      <c r="L1346" s="516"/>
      <c r="N1346" s="217"/>
      <c r="O1346" s="77"/>
      <c r="P1346" s="195"/>
      <c r="Q1346" s="77"/>
    </row>
    <row r="1347" ht="15.75" hidden="1" customHeight="1">
      <c r="A1347" s="142"/>
      <c r="B1347" s="142"/>
      <c r="C1347" s="220"/>
      <c r="D1347" s="142"/>
      <c r="E1347" s="220"/>
      <c r="F1347" s="213"/>
      <c r="G1347" s="213"/>
      <c r="H1347" s="213"/>
      <c r="I1347" s="214"/>
      <c r="J1347" s="215"/>
      <c r="K1347" s="516"/>
      <c r="L1347" s="516"/>
      <c r="N1347" s="217"/>
      <c r="O1347" s="77"/>
      <c r="P1347" s="195"/>
      <c r="Q1347" s="77"/>
    </row>
    <row r="1348" ht="15.75" hidden="1" customHeight="1">
      <c r="A1348" s="142"/>
      <c r="B1348" s="142"/>
      <c r="C1348" s="220"/>
      <c r="D1348" s="142"/>
      <c r="E1348" s="220"/>
      <c r="F1348" s="213"/>
      <c r="G1348" s="213"/>
      <c r="H1348" s="213"/>
      <c r="I1348" s="214"/>
      <c r="J1348" s="215"/>
      <c r="K1348" s="516"/>
      <c r="L1348" s="516"/>
      <c r="N1348" s="217"/>
      <c r="O1348" s="77"/>
      <c r="P1348" s="195"/>
      <c r="Q1348" s="77"/>
    </row>
    <row r="1349" ht="15.75" hidden="1" customHeight="1">
      <c r="A1349" s="142"/>
      <c r="B1349" s="142"/>
      <c r="C1349" s="220"/>
      <c r="D1349" s="142"/>
      <c r="E1349" s="220"/>
      <c r="F1349" s="213"/>
      <c r="G1349" s="213"/>
      <c r="H1349" s="213"/>
      <c r="I1349" s="214"/>
      <c r="J1349" s="215"/>
      <c r="K1349" s="516"/>
      <c r="L1349" s="516"/>
      <c r="N1349" s="217"/>
      <c r="O1349" s="77"/>
      <c r="P1349" s="195"/>
      <c r="Q1349" s="77"/>
    </row>
    <row r="1350" ht="15.75" hidden="1" customHeight="1">
      <c r="A1350" s="142"/>
      <c r="B1350" s="142"/>
      <c r="C1350" s="220"/>
      <c r="D1350" s="142"/>
      <c r="E1350" s="220"/>
      <c r="F1350" s="213"/>
      <c r="G1350" s="213"/>
      <c r="H1350" s="213"/>
      <c r="I1350" s="214"/>
      <c r="J1350" s="215"/>
      <c r="K1350" s="516"/>
      <c r="L1350" s="516"/>
      <c r="N1350" s="217"/>
      <c r="O1350" s="77"/>
      <c r="P1350" s="195"/>
      <c r="Q1350" s="77"/>
    </row>
    <row r="1351" ht="15.75" hidden="1" customHeight="1">
      <c r="A1351" s="142"/>
      <c r="B1351" s="142"/>
      <c r="C1351" s="220"/>
      <c r="D1351" s="142"/>
      <c r="E1351" s="220"/>
      <c r="F1351" s="213"/>
      <c r="G1351" s="213"/>
      <c r="H1351" s="213"/>
      <c r="I1351" s="214"/>
      <c r="J1351" s="215"/>
      <c r="K1351" s="516"/>
      <c r="L1351" s="516"/>
      <c r="N1351" s="217"/>
      <c r="O1351" s="77"/>
      <c r="P1351" s="195"/>
      <c r="Q1351" s="77"/>
    </row>
    <row r="1352" ht="15.75" hidden="1" customHeight="1">
      <c r="A1352" s="257"/>
      <c r="B1352" s="257"/>
      <c r="C1352" s="211"/>
      <c r="D1352" s="257"/>
      <c r="E1352" s="211"/>
      <c r="F1352" s="213"/>
      <c r="G1352" s="213"/>
      <c r="H1352" s="213"/>
      <c r="I1352" s="214"/>
      <c r="J1352" s="215"/>
      <c r="K1352" s="516"/>
      <c r="L1352" s="516"/>
      <c r="M1352" s="257"/>
      <c r="N1352" s="517"/>
      <c r="O1352" s="141"/>
      <c r="P1352" s="518"/>
      <c r="Q1352" s="77"/>
      <c r="R1352" s="257"/>
      <c r="S1352" s="257"/>
      <c r="T1352" s="257"/>
      <c r="U1352" s="257"/>
    </row>
    <row r="1353" ht="15.75" hidden="1" customHeight="1">
      <c r="A1353" s="142"/>
      <c r="B1353" s="142"/>
      <c r="C1353" s="220"/>
      <c r="D1353" s="257"/>
      <c r="E1353" s="220"/>
      <c r="F1353" s="213"/>
      <c r="G1353" s="213"/>
      <c r="H1353" s="213"/>
      <c r="I1353" s="214"/>
      <c r="J1353" s="215"/>
      <c r="K1353" s="516"/>
      <c r="L1353" s="516"/>
      <c r="N1353" s="517"/>
      <c r="O1353" s="141"/>
      <c r="P1353" s="518"/>
      <c r="Q1353" s="141"/>
      <c r="V1353" s="257"/>
      <c r="W1353" s="257"/>
      <c r="X1353" s="257"/>
      <c r="Y1353" s="257"/>
      <c r="Z1353" s="257"/>
      <c r="AA1353" s="257"/>
      <c r="AB1353" s="257"/>
      <c r="AC1353" s="257"/>
      <c r="AD1353" s="257"/>
      <c r="AE1353" s="257"/>
      <c r="AF1353" s="257"/>
      <c r="AG1353" s="257"/>
      <c r="AH1353" s="257"/>
    </row>
    <row r="1354" ht="15.75" hidden="1" customHeight="1">
      <c r="A1354" s="142"/>
      <c r="B1354" s="142"/>
      <c r="C1354" s="220"/>
      <c r="D1354" s="257"/>
      <c r="E1354" s="220"/>
      <c r="F1354" s="213"/>
      <c r="G1354" s="213"/>
      <c r="H1354" s="213"/>
      <c r="I1354" s="214"/>
      <c r="J1354" s="215"/>
      <c r="K1354" s="516"/>
      <c r="L1354" s="516"/>
      <c r="N1354" s="517"/>
      <c r="O1354" s="141"/>
      <c r="P1354" s="518"/>
      <c r="Q1354" s="141"/>
      <c r="V1354" s="257"/>
      <c r="W1354" s="257"/>
      <c r="X1354" s="257"/>
      <c r="Y1354" s="257"/>
      <c r="Z1354" s="257"/>
      <c r="AA1354" s="257"/>
      <c r="AB1354" s="257"/>
      <c r="AC1354" s="257"/>
      <c r="AD1354" s="257"/>
      <c r="AE1354" s="257"/>
      <c r="AF1354" s="257"/>
      <c r="AG1354" s="257"/>
      <c r="AH1354" s="257"/>
    </row>
    <row r="1355" ht="15.75" hidden="1" customHeight="1">
      <c r="A1355" s="142"/>
      <c r="B1355" s="142"/>
      <c r="C1355" s="220"/>
      <c r="D1355" s="257"/>
      <c r="E1355" s="220"/>
      <c r="F1355" s="213"/>
      <c r="G1355" s="213"/>
      <c r="H1355" s="213"/>
      <c r="I1355" s="214"/>
      <c r="J1355" s="215"/>
      <c r="K1355" s="516"/>
      <c r="L1355" s="516"/>
      <c r="N1355" s="517"/>
      <c r="O1355" s="141"/>
      <c r="P1355" s="518"/>
      <c r="Q1355" s="141"/>
    </row>
    <row r="1356" ht="15.75" hidden="1" customHeight="1">
      <c r="A1356" s="257"/>
      <c r="B1356" s="257"/>
      <c r="C1356" s="211"/>
      <c r="D1356" s="257"/>
      <c r="E1356" s="211"/>
      <c r="F1356" s="213"/>
      <c r="G1356" s="213"/>
      <c r="H1356" s="213"/>
      <c r="I1356" s="214"/>
      <c r="J1356" s="215"/>
      <c r="K1356" s="516"/>
      <c r="L1356" s="516"/>
      <c r="M1356" s="257"/>
      <c r="N1356" s="517"/>
      <c r="O1356" s="141"/>
      <c r="P1356" s="518"/>
      <c r="Q1356" s="141"/>
      <c r="R1356" s="257"/>
      <c r="S1356" s="257"/>
      <c r="T1356" s="257"/>
      <c r="U1356" s="257"/>
    </row>
    <row r="1357" ht="15.75" hidden="1" customHeight="1">
      <c r="A1357" s="142"/>
      <c r="B1357" s="142"/>
      <c r="C1357" s="220"/>
      <c r="D1357" s="257"/>
      <c r="E1357" s="220"/>
      <c r="F1357" s="213"/>
      <c r="G1357" s="213"/>
      <c r="H1357" s="213"/>
      <c r="I1357" s="214"/>
      <c r="J1357" s="215"/>
      <c r="K1357" s="516"/>
      <c r="L1357" s="516"/>
      <c r="N1357" s="517"/>
      <c r="O1357" s="141"/>
      <c r="P1357" s="518"/>
      <c r="Q1357" s="141"/>
    </row>
    <row r="1358" ht="15.75" hidden="1" customHeight="1">
      <c r="A1358" s="142"/>
      <c r="B1358" s="142"/>
      <c r="C1358" s="220"/>
      <c r="D1358" s="257"/>
      <c r="E1358" s="220"/>
      <c r="F1358" s="213"/>
      <c r="G1358" s="213"/>
      <c r="H1358" s="213"/>
      <c r="I1358" s="214"/>
      <c r="J1358" s="215"/>
      <c r="K1358" s="516"/>
      <c r="L1358" s="516"/>
      <c r="N1358" s="517"/>
      <c r="O1358" s="141"/>
      <c r="P1358" s="518"/>
      <c r="Q1358" s="141"/>
    </row>
    <row r="1359" ht="15.75" hidden="1" customHeight="1">
      <c r="A1359" s="142"/>
      <c r="B1359" s="142"/>
      <c r="C1359" s="220"/>
      <c r="D1359" s="257"/>
      <c r="E1359" s="220"/>
      <c r="F1359" s="213"/>
      <c r="G1359" s="213"/>
      <c r="H1359" s="213"/>
      <c r="I1359" s="214"/>
      <c r="J1359" s="215"/>
      <c r="K1359" s="516"/>
      <c r="L1359" s="516"/>
      <c r="N1359" s="517"/>
      <c r="O1359" s="141"/>
      <c r="P1359" s="518"/>
      <c r="Q1359" s="141"/>
    </row>
    <row r="1360" ht="15.75" hidden="1" customHeight="1">
      <c r="A1360" s="371"/>
      <c r="B1360" s="257"/>
      <c r="C1360" s="211"/>
      <c r="D1360" s="257"/>
      <c r="E1360" s="211"/>
      <c r="F1360" s="213"/>
      <c r="G1360" s="213"/>
      <c r="H1360" s="213"/>
      <c r="I1360" s="214"/>
      <c r="J1360" s="215"/>
      <c r="K1360" s="516"/>
      <c r="L1360" s="516"/>
      <c r="M1360" s="257"/>
      <c r="N1360" s="517"/>
      <c r="O1360" s="141"/>
      <c r="P1360" s="518"/>
      <c r="Q1360" s="141"/>
      <c r="R1360" s="257"/>
      <c r="S1360" s="257"/>
      <c r="T1360" s="257">
        <v>22.95</v>
      </c>
      <c r="U1360" s="257">
        <v>8.15</v>
      </c>
    </row>
    <row r="1361" ht="15.75" hidden="1" customHeight="1">
      <c r="A1361" s="257"/>
      <c r="B1361" s="257"/>
      <c r="C1361" s="257"/>
      <c r="D1361" s="257"/>
      <c r="E1361" s="220"/>
      <c r="F1361" s="213"/>
      <c r="G1361" s="213"/>
      <c r="H1361" s="213"/>
      <c r="I1361" s="214"/>
      <c r="J1361" s="215"/>
      <c r="K1361" s="516"/>
      <c r="L1361" s="516"/>
      <c r="M1361" s="257"/>
      <c r="N1361" s="517"/>
      <c r="O1361" s="141"/>
      <c r="P1361" s="518"/>
      <c r="Q1361" s="141"/>
      <c r="R1361" s="257"/>
      <c r="S1361" s="257"/>
      <c r="T1361" s="257"/>
      <c r="U1361" s="257"/>
    </row>
    <row r="1362" ht="15.75" hidden="1" customHeight="1">
      <c r="A1362" s="142"/>
      <c r="B1362" s="142"/>
      <c r="C1362" s="220"/>
      <c r="D1362" s="142"/>
      <c r="E1362" s="220"/>
      <c r="F1362" s="213"/>
      <c r="G1362" s="213"/>
      <c r="H1362" s="213"/>
      <c r="I1362" s="214"/>
      <c r="J1362" s="215"/>
      <c r="K1362" s="516"/>
      <c r="L1362" s="516"/>
      <c r="N1362" s="217"/>
      <c r="O1362" s="77"/>
      <c r="P1362" s="195"/>
      <c r="Q1362" s="141"/>
    </row>
    <row r="1363" ht="15.75" hidden="1" customHeight="1">
      <c r="A1363" s="142"/>
      <c r="B1363" s="142"/>
      <c r="C1363" s="220"/>
      <c r="D1363" s="142"/>
      <c r="E1363" s="220"/>
      <c r="F1363" s="213"/>
      <c r="G1363" s="213"/>
      <c r="H1363" s="213"/>
      <c r="I1363" s="214"/>
      <c r="J1363" s="215"/>
      <c r="K1363" s="516"/>
      <c r="L1363" s="516"/>
      <c r="N1363" s="217"/>
      <c r="O1363" s="77"/>
      <c r="P1363" s="195"/>
      <c r="Q1363" s="77"/>
    </row>
    <row r="1364" ht="15.75" hidden="1" customHeight="1">
      <c r="A1364" s="142"/>
      <c r="B1364" s="142"/>
      <c r="C1364" s="220"/>
      <c r="D1364" s="257"/>
      <c r="E1364" s="220"/>
      <c r="F1364" s="213"/>
      <c r="G1364" s="213"/>
      <c r="H1364" s="213"/>
      <c r="I1364" s="214"/>
      <c r="J1364" s="215"/>
      <c r="K1364" s="516"/>
      <c r="L1364" s="516"/>
      <c r="N1364" s="517"/>
      <c r="O1364" s="141"/>
      <c r="P1364" s="518"/>
      <c r="Q1364" s="77"/>
    </row>
    <row r="1365" ht="15.75" hidden="1" customHeight="1">
      <c r="A1365" s="142"/>
      <c r="B1365" s="142"/>
      <c r="C1365" s="220"/>
      <c r="D1365" s="142"/>
      <c r="E1365" s="220"/>
      <c r="F1365" s="213"/>
      <c r="G1365" s="213"/>
      <c r="H1365" s="213"/>
      <c r="I1365" s="214"/>
      <c r="J1365" s="215"/>
      <c r="K1365" s="516"/>
      <c r="L1365" s="516"/>
      <c r="N1365" s="217"/>
      <c r="O1365" s="77"/>
      <c r="P1365" s="195"/>
      <c r="Q1365" s="141"/>
    </row>
    <row r="1366" ht="15.75" hidden="1" customHeight="1">
      <c r="A1366" s="142"/>
      <c r="B1366" s="142"/>
      <c r="C1366" s="220"/>
      <c r="D1366" s="257"/>
      <c r="E1366" s="220"/>
      <c r="F1366" s="213"/>
      <c r="G1366" s="213"/>
      <c r="H1366" s="213"/>
      <c r="I1366" s="214"/>
      <c r="J1366" s="215"/>
      <c r="K1366" s="516"/>
      <c r="L1366" s="516"/>
      <c r="N1366" s="517"/>
      <c r="O1366" s="141"/>
      <c r="P1366" s="518"/>
      <c r="Q1366" s="77"/>
    </row>
    <row r="1367" ht="15.75" hidden="1" customHeight="1">
      <c r="A1367" s="142"/>
      <c r="B1367" s="142"/>
      <c r="C1367" s="220"/>
      <c r="D1367" s="257"/>
      <c r="E1367" s="220"/>
      <c r="F1367" s="213"/>
      <c r="G1367" s="213"/>
      <c r="H1367" s="213"/>
      <c r="I1367" s="214"/>
      <c r="J1367" s="215"/>
      <c r="K1367" s="516"/>
      <c r="L1367" s="516"/>
      <c r="N1367" s="517"/>
      <c r="O1367" s="141"/>
      <c r="P1367" s="518"/>
      <c r="Q1367" s="141"/>
    </row>
    <row r="1368" ht="15.75" hidden="1" customHeight="1">
      <c r="A1368" s="142"/>
      <c r="B1368" s="142"/>
      <c r="C1368" s="220"/>
      <c r="D1368" s="257"/>
      <c r="E1368" s="220"/>
      <c r="F1368" s="213"/>
      <c r="G1368" s="213"/>
      <c r="H1368" s="213"/>
      <c r="I1368" s="214"/>
      <c r="J1368" s="215"/>
      <c r="K1368" s="516"/>
      <c r="L1368" s="516"/>
      <c r="N1368" s="517"/>
      <c r="O1368" s="141"/>
      <c r="P1368" s="518"/>
      <c r="Q1368" s="141"/>
    </row>
    <row r="1369" ht="15.75" hidden="1" customHeight="1">
      <c r="A1369" s="142"/>
      <c r="B1369" s="142"/>
      <c r="C1369" s="220"/>
      <c r="D1369" s="257"/>
      <c r="E1369" s="220"/>
      <c r="F1369" s="213"/>
      <c r="G1369" s="213"/>
      <c r="H1369" s="213"/>
      <c r="I1369" s="214"/>
      <c r="J1369" s="215"/>
      <c r="K1369" s="516"/>
      <c r="L1369" s="516"/>
      <c r="N1369" s="517"/>
      <c r="O1369" s="141"/>
      <c r="P1369" s="518"/>
      <c r="Q1369" s="141"/>
    </row>
    <row r="1370" ht="15.75" hidden="1" customHeight="1">
      <c r="A1370" s="142"/>
      <c r="B1370" s="142"/>
      <c r="C1370" s="220"/>
      <c r="D1370" s="142"/>
      <c r="E1370" s="220"/>
      <c r="F1370" s="213"/>
      <c r="G1370" s="213"/>
      <c r="H1370" s="213"/>
      <c r="I1370" s="214"/>
      <c r="J1370" s="215"/>
      <c r="K1370" s="516"/>
      <c r="L1370" s="516"/>
      <c r="N1370" s="217"/>
      <c r="O1370" s="77"/>
      <c r="P1370" s="195"/>
      <c r="Q1370" s="141"/>
    </row>
    <row r="1371" ht="15.75" hidden="1" customHeight="1">
      <c r="A1371" s="142"/>
      <c r="B1371" s="142"/>
      <c r="C1371" s="220"/>
      <c r="D1371" s="142"/>
      <c r="E1371" s="220"/>
      <c r="F1371" s="213"/>
      <c r="G1371" s="213"/>
      <c r="H1371" s="213"/>
      <c r="I1371" s="513"/>
      <c r="J1371" s="519"/>
      <c r="K1371" s="520"/>
      <c r="L1371" s="520"/>
      <c r="N1371" s="217"/>
      <c r="O1371" s="77"/>
      <c r="P1371" s="195"/>
      <c r="Q1371" s="77"/>
    </row>
    <row r="1372" ht="15.75" hidden="1" customHeight="1">
      <c r="A1372" s="142"/>
      <c r="B1372" s="142"/>
      <c r="C1372" s="220"/>
      <c r="D1372" s="142"/>
      <c r="E1372" s="220"/>
      <c r="F1372" s="213"/>
      <c r="G1372" s="213"/>
      <c r="H1372" s="213"/>
      <c r="I1372" s="214"/>
      <c r="J1372" s="215"/>
      <c r="K1372" s="516"/>
      <c r="L1372" s="516"/>
      <c r="N1372" s="217"/>
      <c r="O1372" s="77"/>
      <c r="P1372" s="195"/>
      <c r="Q1372" s="77"/>
    </row>
    <row r="1373" ht="15.75" hidden="1" customHeight="1">
      <c r="A1373" s="142"/>
      <c r="B1373" s="142"/>
      <c r="C1373" s="220"/>
      <c r="D1373" s="142"/>
      <c r="E1373" s="220"/>
      <c r="F1373" s="213"/>
      <c r="G1373" s="213"/>
      <c r="H1373" s="213"/>
      <c r="I1373" s="214"/>
      <c r="J1373" s="215"/>
      <c r="K1373" s="516"/>
      <c r="L1373" s="516"/>
      <c r="N1373" s="217"/>
      <c r="O1373" s="77"/>
      <c r="P1373" s="195"/>
      <c r="Q1373" s="77"/>
    </row>
    <row r="1374" ht="15.75" hidden="1" customHeight="1">
      <c r="A1374" s="142"/>
      <c r="B1374" s="142"/>
      <c r="C1374" s="220"/>
      <c r="D1374" s="142"/>
      <c r="E1374" s="220"/>
      <c r="F1374" s="213"/>
      <c r="G1374" s="213"/>
      <c r="H1374" s="213"/>
      <c r="I1374" s="214"/>
      <c r="J1374" s="215"/>
      <c r="K1374" s="516"/>
      <c r="L1374" s="516"/>
      <c r="N1374" s="217"/>
      <c r="O1374" s="77"/>
      <c r="P1374" s="195"/>
      <c r="Q1374" s="77"/>
    </row>
    <row r="1375" ht="15.75" hidden="1" customHeight="1">
      <c r="A1375" s="142"/>
      <c r="B1375" s="142"/>
      <c r="C1375" s="220"/>
      <c r="D1375" s="142"/>
      <c r="E1375" s="220"/>
      <c r="F1375" s="213"/>
      <c r="G1375" s="213"/>
      <c r="H1375" s="213"/>
      <c r="I1375" s="214"/>
      <c r="J1375" s="215"/>
      <c r="K1375" s="516"/>
      <c r="L1375" s="516"/>
      <c r="N1375" s="517"/>
      <c r="O1375" s="141"/>
      <c r="P1375" s="518"/>
      <c r="Q1375" s="77"/>
    </row>
    <row r="1376" ht="15.75" hidden="1" customHeight="1">
      <c r="A1376" s="142"/>
      <c r="B1376" s="142"/>
      <c r="C1376" s="220"/>
      <c r="D1376" s="142"/>
      <c r="E1376" s="220"/>
      <c r="F1376" s="213"/>
      <c r="G1376" s="213"/>
      <c r="H1376" s="213"/>
      <c r="I1376" s="214"/>
      <c r="J1376" s="215"/>
      <c r="K1376" s="516"/>
      <c r="L1376" s="516"/>
      <c r="N1376" s="517"/>
      <c r="O1376" s="141"/>
      <c r="P1376" s="518"/>
      <c r="Q1376" s="141"/>
    </row>
    <row r="1377" ht="15.75" hidden="1" customHeight="1">
      <c r="A1377" s="142"/>
      <c r="B1377" s="142"/>
      <c r="C1377" s="220"/>
      <c r="D1377" s="142"/>
      <c r="E1377" s="220"/>
      <c r="F1377" s="213"/>
      <c r="G1377" s="213"/>
      <c r="H1377" s="213"/>
      <c r="I1377" s="214"/>
      <c r="J1377" s="215"/>
      <c r="K1377" s="516"/>
      <c r="L1377" s="516"/>
      <c r="N1377" s="517"/>
      <c r="O1377" s="141"/>
      <c r="P1377" s="518"/>
      <c r="Q1377" s="141"/>
    </row>
    <row r="1378" ht="15.75" hidden="1" customHeight="1">
      <c r="A1378" s="142"/>
      <c r="B1378" s="142"/>
      <c r="C1378" s="220"/>
      <c r="D1378" s="142"/>
      <c r="E1378" s="220"/>
      <c r="F1378" s="213"/>
      <c r="G1378" s="213"/>
      <c r="H1378" s="213"/>
      <c r="I1378" s="214"/>
      <c r="J1378" s="215"/>
      <c r="K1378" s="516"/>
      <c r="L1378" s="516"/>
      <c r="N1378" s="517"/>
      <c r="O1378" s="141"/>
      <c r="P1378" s="518"/>
      <c r="Q1378" s="141"/>
    </row>
    <row r="1379" ht="15.75" hidden="1" customHeight="1">
      <c r="A1379" s="142"/>
      <c r="B1379" s="142"/>
      <c r="C1379" s="220"/>
      <c r="D1379" s="142"/>
      <c r="E1379" s="220"/>
      <c r="F1379" s="213"/>
      <c r="G1379" s="213"/>
      <c r="H1379" s="213"/>
      <c r="I1379" s="214"/>
      <c r="J1379" s="215"/>
      <c r="K1379" s="516"/>
      <c r="L1379" s="516"/>
      <c r="N1379" s="217"/>
      <c r="O1379" s="77"/>
      <c r="P1379" s="195"/>
      <c r="Q1379" s="141"/>
    </row>
    <row r="1380" ht="15.75" hidden="1" customHeight="1">
      <c r="A1380" s="142"/>
      <c r="B1380" s="142"/>
      <c r="C1380" s="220"/>
      <c r="D1380" s="142"/>
      <c r="E1380" s="220"/>
      <c r="F1380" s="213"/>
      <c r="G1380" s="213"/>
      <c r="H1380" s="213"/>
      <c r="I1380" s="214"/>
      <c r="J1380" s="215"/>
      <c r="K1380" s="257"/>
      <c r="L1380" s="257"/>
      <c r="N1380" s="517"/>
      <c r="O1380" s="141"/>
      <c r="P1380" s="518"/>
      <c r="Q1380" s="77"/>
    </row>
    <row r="1381" ht="15.75" hidden="1" customHeight="1">
      <c r="A1381" s="142"/>
      <c r="B1381" s="142"/>
      <c r="C1381" s="220"/>
      <c r="D1381" s="142"/>
      <c r="E1381" s="220"/>
      <c r="F1381" s="213"/>
      <c r="G1381" s="213"/>
      <c r="H1381" s="213"/>
      <c r="I1381" s="214"/>
      <c r="J1381" s="215"/>
      <c r="K1381" s="516"/>
      <c r="L1381" s="516"/>
      <c r="N1381" s="517"/>
      <c r="O1381" s="141"/>
      <c r="P1381" s="518"/>
      <c r="Q1381" s="141"/>
    </row>
    <row r="1382" ht="15.75" hidden="1" customHeight="1">
      <c r="A1382" s="142"/>
      <c r="B1382" s="142"/>
      <c r="C1382" s="220"/>
      <c r="D1382" s="142"/>
      <c r="E1382" s="220"/>
      <c r="F1382" s="213"/>
      <c r="G1382" s="213"/>
      <c r="H1382" s="213"/>
      <c r="I1382" s="214"/>
      <c r="J1382" s="215"/>
      <c r="K1382" s="516"/>
      <c r="L1382" s="516"/>
      <c r="N1382" s="517"/>
      <c r="O1382" s="141"/>
      <c r="P1382" s="518"/>
      <c r="Q1382" s="141"/>
    </row>
    <row r="1383" ht="15.75" hidden="1" customHeight="1">
      <c r="A1383" s="142"/>
      <c r="B1383" s="142"/>
      <c r="C1383" s="220"/>
      <c r="D1383" s="142"/>
      <c r="E1383" s="220"/>
      <c r="F1383" s="213"/>
      <c r="G1383" s="213"/>
      <c r="H1383" s="213"/>
      <c r="I1383" s="214"/>
      <c r="J1383" s="215"/>
      <c r="K1383" s="516"/>
      <c r="L1383" s="516"/>
      <c r="N1383" s="517"/>
      <c r="O1383" s="141"/>
      <c r="P1383" s="518"/>
      <c r="Q1383" s="141"/>
    </row>
    <row r="1384" ht="15.75" hidden="1" customHeight="1">
      <c r="A1384" s="142"/>
      <c r="B1384" s="142"/>
      <c r="C1384" s="220"/>
      <c r="D1384" s="142"/>
      <c r="E1384" s="220"/>
      <c r="F1384" s="213"/>
      <c r="G1384" s="213"/>
      <c r="H1384" s="213"/>
      <c r="I1384" s="214"/>
      <c r="J1384" s="215"/>
      <c r="K1384" s="516"/>
      <c r="L1384" s="516"/>
      <c r="N1384" s="217"/>
      <c r="O1384" s="77"/>
      <c r="P1384" s="195"/>
      <c r="Q1384" s="141"/>
    </row>
    <row r="1385" ht="15.75" hidden="1" customHeight="1">
      <c r="A1385" s="142"/>
      <c r="B1385" s="142"/>
      <c r="C1385" s="220"/>
      <c r="D1385" s="142"/>
      <c r="E1385" s="220"/>
      <c r="F1385" s="213"/>
      <c r="G1385" s="213"/>
      <c r="H1385" s="213"/>
      <c r="I1385" s="214"/>
      <c r="J1385" s="215"/>
      <c r="K1385" s="516"/>
      <c r="L1385" s="516"/>
      <c r="N1385" s="217"/>
      <c r="O1385" s="77"/>
      <c r="P1385" s="195"/>
      <c r="Q1385" s="77"/>
    </row>
    <row r="1386" ht="15.75" hidden="1" customHeight="1">
      <c r="A1386" s="142"/>
      <c r="B1386" s="142"/>
      <c r="C1386" s="220"/>
      <c r="D1386" s="142"/>
      <c r="E1386" s="220"/>
      <c r="F1386" s="213"/>
      <c r="G1386" s="213"/>
      <c r="H1386" s="213"/>
      <c r="I1386" s="214"/>
      <c r="J1386" s="215"/>
      <c r="K1386" s="516"/>
      <c r="L1386" s="516"/>
      <c r="N1386" s="517"/>
      <c r="O1386" s="521"/>
      <c r="P1386" s="522"/>
      <c r="Q1386" s="77"/>
    </row>
    <row r="1387" ht="15.75" hidden="1" customHeight="1">
      <c r="A1387" s="142"/>
      <c r="B1387" s="142"/>
      <c r="C1387" s="220"/>
      <c r="D1387" s="142"/>
      <c r="E1387" s="220"/>
      <c r="F1387" s="213"/>
      <c r="G1387" s="213"/>
      <c r="H1387" s="213"/>
      <c r="I1387" s="214"/>
      <c r="J1387" s="215"/>
      <c r="K1387" s="516"/>
      <c r="L1387" s="516"/>
      <c r="N1387" s="217"/>
      <c r="O1387" s="77"/>
      <c r="P1387" s="195"/>
      <c r="Q1387" s="521"/>
    </row>
    <row r="1388" ht="15.75" hidden="1" customHeight="1">
      <c r="A1388" s="142"/>
      <c r="B1388" s="142"/>
      <c r="C1388" s="220"/>
      <c r="D1388" s="142"/>
      <c r="E1388" s="220"/>
      <c r="F1388" s="213"/>
      <c r="G1388" s="213"/>
      <c r="H1388" s="213"/>
      <c r="I1388" s="214"/>
      <c r="J1388" s="215"/>
      <c r="K1388" s="516"/>
      <c r="L1388" s="516"/>
      <c r="N1388" s="517"/>
      <c r="O1388" s="141"/>
      <c r="P1388" s="518"/>
      <c r="Q1388" s="77"/>
    </row>
    <row r="1389" ht="15.75" hidden="1" customHeight="1">
      <c r="A1389" s="142"/>
      <c r="B1389" s="142"/>
      <c r="C1389" s="220"/>
      <c r="D1389" s="142"/>
      <c r="E1389" s="220"/>
      <c r="F1389" s="213"/>
      <c r="G1389" s="213"/>
      <c r="H1389" s="213"/>
      <c r="I1389" s="214"/>
      <c r="J1389" s="215"/>
      <c r="K1389" s="516"/>
      <c r="L1389" s="516"/>
      <c r="N1389" s="217"/>
      <c r="O1389" s="77"/>
      <c r="P1389" s="195"/>
      <c r="Q1389" s="141"/>
    </row>
    <row r="1390" ht="15.75" hidden="1" customHeight="1">
      <c r="A1390" s="142"/>
      <c r="B1390" s="142"/>
      <c r="C1390" s="220"/>
      <c r="D1390" s="142"/>
      <c r="E1390" s="220"/>
      <c r="F1390" s="213"/>
      <c r="G1390" s="213"/>
      <c r="H1390" s="213"/>
      <c r="I1390" s="214"/>
      <c r="J1390" s="215"/>
      <c r="K1390" s="516"/>
      <c r="L1390" s="516"/>
      <c r="N1390" s="217"/>
      <c r="O1390" s="77"/>
      <c r="P1390" s="195"/>
      <c r="Q1390" s="77"/>
    </row>
    <row r="1391" ht="15.75" hidden="1" customHeight="1">
      <c r="A1391" s="142"/>
      <c r="B1391" s="142"/>
      <c r="C1391" s="220"/>
      <c r="D1391" s="142"/>
      <c r="E1391" s="220"/>
      <c r="F1391" s="213"/>
      <c r="G1391" s="213"/>
      <c r="H1391" s="213"/>
      <c r="I1391" s="214"/>
      <c r="J1391" s="215"/>
      <c r="K1391" s="516"/>
      <c r="L1391" s="516"/>
      <c r="N1391" s="517"/>
      <c r="O1391" s="141"/>
      <c r="P1391" s="518"/>
      <c r="Q1391" s="77"/>
    </row>
    <row r="1392" ht="15.75" hidden="1" customHeight="1">
      <c r="A1392" s="142"/>
      <c r="B1392" s="142"/>
      <c r="C1392" s="220"/>
      <c r="D1392" s="142"/>
      <c r="E1392" s="220"/>
      <c r="F1392" s="213"/>
      <c r="G1392" s="213"/>
      <c r="H1392" s="213"/>
      <c r="I1392" s="214"/>
      <c r="J1392" s="215"/>
      <c r="K1392" s="516"/>
      <c r="L1392" s="516"/>
      <c r="N1392" s="517"/>
      <c r="O1392" s="141"/>
      <c r="P1392" s="518"/>
      <c r="Q1392" s="141"/>
    </row>
    <row r="1393" ht="15.75" hidden="1" customHeight="1">
      <c r="A1393" s="142"/>
      <c r="B1393" s="142"/>
      <c r="C1393" s="220"/>
      <c r="D1393" s="142"/>
      <c r="E1393" s="220"/>
      <c r="F1393" s="213"/>
      <c r="G1393" s="213"/>
      <c r="H1393" s="213"/>
      <c r="I1393" s="214"/>
      <c r="J1393" s="215"/>
      <c r="K1393" s="516"/>
      <c r="L1393" s="516"/>
      <c r="N1393" s="523"/>
      <c r="O1393" s="77"/>
      <c r="P1393" s="195"/>
      <c r="Q1393" s="141"/>
    </row>
    <row r="1394" ht="15.75" hidden="1" customHeight="1">
      <c r="A1394" s="142"/>
      <c r="B1394" s="142"/>
      <c r="C1394" s="220"/>
      <c r="D1394" s="142"/>
      <c r="E1394" s="220"/>
      <c r="F1394" s="213"/>
      <c r="G1394" s="213"/>
      <c r="H1394" s="213"/>
      <c r="I1394" s="214"/>
      <c r="J1394" s="215"/>
      <c r="K1394" s="516"/>
      <c r="L1394" s="516"/>
      <c r="N1394" s="517"/>
      <c r="O1394" s="141"/>
      <c r="P1394" s="518"/>
      <c r="Q1394" s="77"/>
      <c r="U1394" s="142" t="s">
        <v>1931</v>
      </c>
    </row>
    <row r="1395" ht="15.75" hidden="1" customHeight="1">
      <c r="A1395" s="142"/>
      <c r="B1395" s="142"/>
      <c r="C1395" s="220"/>
      <c r="D1395" s="142"/>
      <c r="E1395" s="220"/>
      <c r="F1395" s="213"/>
      <c r="G1395" s="213"/>
      <c r="H1395" s="213"/>
      <c r="I1395" s="214"/>
      <c r="J1395" s="215"/>
      <c r="K1395" s="516"/>
      <c r="L1395" s="516"/>
      <c r="N1395" s="217"/>
      <c r="O1395" s="77"/>
      <c r="P1395" s="195"/>
      <c r="Q1395" s="141"/>
    </row>
    <row r="1396" ht="15.75" hidden="1" customHeight="1">
      <c r="A1396" s="142"/>
      <c r="B1396" s="142"/>
      <c r="C1396" s="220"/>
      <c r="D1396" s="142"/>
      <c r="E1396" s="220"/>
      <c r="F1396" s="213"/>
      <c r="G1396" s="213"/>
      <c r="H1396" s="213"/>
      <c r="I1396" s="214"/>
      <c r="J1396" s="215"/>
      <c r="K1396" s="516"/>
      <c r="L1396" s="516"/>
      <c r="N1396" s="217"/>
      <c r="O1396" s="77"/>
      <c r="P1396" s="195"/>
      <c r="Q1396" s="77"/>
    </row>
    <row r="1397" ht="15.75" hidden="1" customHeight="1">
      <c r="A1397" s="142"/>
      <c r="B1397" s="142"/>
      <c r="C1397" s="220"/>
      <c r="D1397" s="142"/>
      <c r="E1397" s="220"/>
      <c r="F1397" s="213"/>
      <c r="G1397" s="213"/>
      <c r="H1397" s="213"/>
      <c r="I1397" s="214"/>
      <c r="J1397" s="215"/>
      <c r="K1397" s="516"/>
      <c r="L1397" s="516"/>
      <c r="N1397" s="517"/>
      <c r="O1397" s="141"/>
      <c r="P1397" s="518"/>
      <c r="Q1397" s="77"/>
    </row>
    <row r="1398" ht="15.75" hidden="1" customHeight="1">
      <c r="A1398" s="142"/>
      <c r="B1398" s="142"/>
      <c r="C1398" s="220"/>
      <c r="D1398" s="142"/>
      <c r="E1398" s="220"/>
      <c r="F1398" s="213"/>
      <c r="G1398" s="213"/>
      <c r="H1398" s="213"/>
      <c r="I1398" s="214"/>
      <c r="J1398" s="215"/>
      <c r="K1398" s="516"/>
      <c r="L1398" s="516"/>
      <c r="N1398" s="341"/>
      <c r="O1398" s="77"/>
      <c r="P1398" s="195"/>
      <c r="Q1398" s="141"/>
    </row>
    <row r="1399" ht="15.75" hidden="1" customHeight="1">
      <c r="A1399" s="142"/>
      <c r="B1399" s="142"/>
      <c r="C1399" s="220"/>
      <c r="D1399" s="142"/>
      <c r="E1399" s="220"/>
      <c r="F1399" s="213"/>
      <c r="G1399" s="213"/>
      <c r="H1399" s="213"/>
      <c r="I1399" s="214"/>
      <c r="J1399" s="215"/>
      <c r="K1399" s="516"/>
      <c r="L1399" s="516"/>
      <c r="N1399" s="341"/>
      <c r="O1399" s="77"/>
      <c r="P1399" s="195"/>
      <c r="Q1399" s="77"/>
    </row>
    <row r="1400" ht="15.75" hidden="1" customHeight="1">
      <c r="A1400" s="142"/>
      <c r="B1400" s="142"/>
      <c r="C1400" s="220"/>
      <c r="D1400" s="142"/>
      <c r="E1400" s="220"/>
      <c r="F1400" s="213"/>
      <c r="G1400" s="213"/>
      <c r="H1400" s="213"/>
      <c r="I1400" s="214"/>
      <c r="J1400" s="215"/>
      <c r="K1400" s="516"/>
      <c r="L1400" s="516"/>
      <c r="N1400" s="217"/>
      <c r="O1400" s="77"/>
      <c r="P1400" s="195"/>
      <c r="Q1400" s="77"/>
    </row>
    <row r="1401" ht="15.75" hidden="1" customHeight="1">
      <c r="A1401" s="142"/>
      <c r="B1401" s="142"/>
      <c r="C1401" s="220"/>
      <c r="D1401" s="142"/>
      <c r="E1401" s="220"/>
      <c r="F1401" s="213"/>
      <c r="G1401" s="213"/>
      <c r="H1401" s="213"/>
      <c r="I1401" s="214"/>
      <c r="J1401" s="215"/>
      <c r="K1401" s="516"/>
      <c r="L1401" s="516"/>
      <c r="N1401" s="341"/>
      <c r="O1401" s="77"/>
      <c r="P1401" s="195"/>
      <c r="Q1401" s="77"/>
    </row>
    <row r="1402" ht="15.75" hidden="1" customHeight="1">
      <c r="A1402" s="142"/>
      <c r="B1402" s="142"/>
      <c r="C1402" s="220"/>
      <c r="D1402" s="142"/>
      <c r="E1402" s="220"/>
      <c r="F1402" s="213"/>
      <c r="G1402" s="213"/>
      <c r="H1402" s="213"/>
      <c r="I1402" s="214"/>
      <c r="J1402" s="215"/>
      <c r="K1402" s="516"/>
      <c r="L1402" s="516"/>
      <c r="N1402" s="341"/>
      <c r="O1402" s="77"/>
      <c r="P1402" s="195"/>
      <c r="Q1402" s="77"/>
    </row>
    <row r="1403" ht="15.75" hidden="1" customHeight="1">
      <c r="A1403" s="142"/>
      <c r="B1403" s="142"/>
      <c r="C1403" s="220"/>
      <c r="D1403" s="142"/>
      <c r="E1403" s="220"/>
      <c r="F1403" s="213"/>
      <c r="G1403" s="213"/>
      <c r="H1403" s="213"/>
      <c r="I1403" s="214"/>
      <c r="J1403" s="215"/>
      <c r="K1403" s="516"/>
      <c r="L1403" s="516"/>
      <c r="N1403" s="517"/>
      <c r="O1403" s="141"/>
      <c r="P1403" s="518"/>
      <c r="Q1403" s="77"/>
    </row>
    <row r="1404" ht="15.75" hidden="1" customHeight="1">
      <c r="A1404" s="142"/>
      <c r="B1404" s="142"/>
      <c r="C1404" s="220"/>
      <c r="D1404" s="142"/>
      <c r="E1404" s="220"/>
      <c r="F1404" s="213"/>
      <c r="G1404" s="213"/>
      <c r="H1404" s="213"/>
      <c r="I1404" s="214"/>
      <c r="J1404" s="215"/>
      <c r="K1404" s="516"/>
      <c r="L1404" s="516"/>
      <c r="N1404" s="341"/>
      <c r="O1404" s="77"/>
      <c r="P1404" s="195"/>
      <c r="Q1404" s="141"/>
    </row>
    <row r="1405" ht="15.75" hidden="1" customHeight="1">
      <c r="A1405" s="142"/>
      <c r="B1405" s="142"/>
      <c r="C1405" s="220"/>
      <c r="D1405" s="142"/>
      <c r="E1405" s="220"/>
      <c r="F1405" s="213"/>
      <c r="G1405" s="213"/>
      <c r="H1405" s="213"/>
      <c r="I1405" s="214"/>
      <c r="J1405" s="215"/>
      <c r="K1405" s="516"/>
      <c r="L1405" s="516"/>
      <c r="N1405" s="517"/>
      <c r="O1405" s="141"/>
      <c r="P1405" s="518"/>
      <c r="Q1405" s="77"/>
    </row>
    <row r="1406" ht="15.75" hidden="1" customHeight="1">
      <c r="A1406" s="142"/>
      <c r="B1406" s="142"/>
      <c r="C1406" s="220"/>
      <c r="D1406" s="142"/>
      <c r="E1406" s="220"/>
      <c r="F1406" s="213"/>
      <c r="G1406" s="213"/>
      <c r="H1406" s="213"/>
      <c r="I1406" s="214"/>
      <c r="J1406" s="215"/>
      <c r="K1406" s="516"/>
      <c r="L1406" s="516"/>
      <c r="N1406" s="341"/>
      <c r="O1406" s="77"/>
      <c r="P1406" s="195"/>
      <c r="Q1406" s="141"/>
      <c r="V1406" s="257"/>
      <c r="W1406" s="257"/>
      <c r="X1406" s="257"/>
      <c r="Y1406" s="257"/>
      <c r="Z1406" s="257"/>
      <c r="AA1406" s="257"/>
      <c r="AB1406" s="257"/>
      <c r="AC1406" s="257"/>
      <c r="AD1406" s="257"/>
      <c r="AE1406" s="257"/>
      <c r="AF1406" s="257"/>
      <c r="AG1406" s="257"/>
      <c r="AH1406" s="257"/>
    </row>
    <row r="1407" ht="15.75" hidden="1" customHeight="1">
      <c r="A1407" s="142"/>
      <c r="B1407" s="142"/>
      <c r="C1407" s="220"/>
      <c r="D1407" s="142"/>
      <c r="E1407" s="220"/>
      <c r="F1407" s="213"/>
      <c r="G1407" s="213"/>
      <c r="H1407" s="213"/>
      <c r="I1407" s="214"/>
      <c r="J1407" s="215"/>
      <c r="K1407" s="516"/>
      <c r="L1407" s="516"/>
      <c r="N1407" s="517"/>
      <c r="O1407" s="141"/>
      <c r="P1407" s="518"/>
      <c r="Q1407" s="77"/>
    </row>
    <row r="1408" ht="15.75" hidden="1" customHeight="1">
      <c r="A1408" s="142"/>
      <c r="B1408" s="142"/>
      <c r="C1408" s="220"/>
      <c r="D1408" s="142"/>
      <c r="E1408" s="220"/>
      <c r="F1408" s="213"/>
      <c r="G1408" s="213"/>
      <c r="H1408" s="213"/>
      <c r="I1408" s="214"/>
      <c r="J1408" s="215"/>
      <c r="K1408" s="516"/>
      <c r="L1408" s="516"/>
      <c r="N1408" s="341"/>
      <c r="O1408" s="77"/>
      <c r="P1408" s="195"/>
      <c r="Q1408" s="141"/>
    </row>
    <row r="1409" ht="15.75" hidden="1" customHeight="1">
      <c r="A1409" s="142"/>
      <c r="B1409" s="142"/>
      <c r="C1409" s="220"/>
      <c r="D1409" s="142"/>
      <c r="E1409" s="220"/>
      <c r="F1409" s="213"/>
      <c r="G1409" s="213"/>
      <c r="H1409" s="213"/>
      <c r="I1409" s="214"/>
      <c r="J1409" s="215"/>
      <c r="K1409" s="516"/>
      <c r="L1409" s="516"/>
      <c r="N1409" s="341"/>
      <c r="O1409" s="77"/>
      <c r="P1409" s="195"/>
      <c r="Q1409" s="77"/>
    </row>
    <row r="1410" ht="15.75" hidden="1" customHeight="1">
      <c r="A1410" s="142"/>
      <c r="B1410" s="142"/>
      <c r="C1410" s="220"/>
      <c r="D1410" s="142"/>
      <c r="E1410" s="220"/>
      <c r="F1410" s="213"/>
      <c r="G1410" s="213"/>
      <c r="H1410" s="213"/>
      <c r="I1410" s="214"/>
      <c r="J1410" s="215"/>
      <c r="K1410" s="516"/>
      <c r="L1410" s="516"/>
      <c r="N1410" s="217"/>
      <c r="O1410" s="77"/>
      <c r="P1410" s="195"/>
      <c r="Q1410" s="77"/>
    </row>
    <row r="1411" ht="15.75" hidden="1" customHeight="1">
      <c r="A1411" s="142"/>
      <c r="B1411" s="142"/>
      <c r="C1411" s="220"/>
      <c r="D1411" s="142"/>
      <c r="E1411" s="220"/>
      <c r="F1411" s="213"/>
      <c r="G1411" s="213"/>
      <c r="H1411" s="213"/>
      <c r="I1411" s="214"/>
      <c r="J1411" s="215"/>
      <c r="K1411" s="516"/>
      <c r="L1411" s="516"/>
      <c r="N1411" s="217"/>
      <c r="O1411" s="77"/>
      <c r="P1411" s="195"/>
      <c r="Q1411" s="77"/>
    </row>
    <row r="1412" ht="15.75" hidden="1" customHeight="1">
      <c r="A1412" s="142"/>
      <c r="B1412" s="142"/>
      <c r="C1412" s="220"/>
      <c r="D1412" s="142"/>
      <c r="E1412" s="220"/>
      <c r="F1412" s="213"/>
      <c r="G1412" s="213"/>
      <c r="H1412" s="213"/>
      <c r="I1412" s="214"/>
      <c r="J1412" s="215"/>
      <c r="K1412" s="516"/>
      <c r="L1412" s="516"/>
      <c r="N1412" s="517"/>
      <c r="O1412" s="141"/>
      <c r="P1412" s="518"/>
      <c r="Q1412" s="77"/>
      <c r="U1412" s="142" t="s">
        <v>1931</v>
      </c>
    </row>
    <row r="1413" ht="15.75" hidden="1" customHeight="1">
      <c r="A1413" s="142"/>
      <c r="B1413" s="142"/>
      <c r="C1413" s="220"/>
      <c r="D1413" s="142"/>
      <c r="E1413" s="220"/>
      <c r="F1413" s="213"/>
      <c r="G1413" s="213"/>
      <c r="H1413" s="213"/>
      <c r="I1413" s="214"/>
      <c r="J1413" s="215"/>
      <c r="K1413" s="516"/>
      <c r="L1413" s="516"/>
      <c r="N1413" s="517"/>
      <c r="O1413" s="141"/>
      <c r="P1413" s="518"/>
      <c r="Q1413" s="141"/>
    </row>
    <row r="1414" ht="15.75" hidden="1" customHeight="1">
      <c r="A1414" s="142"/>
      <c r="B1414" s="142"/>
      <c r="C1414" s="220"/>
      <c r="D1414" s="142"/>
      <c r="E1414" s="220"/>
      <c r="F1414" s="213"/>
      <c r="G1414" s="213"/>
      <c r="H1414" s="213"/>
      <c r="I1414" s="214"/>
      <c r="J1414" s="215"/>
      <c r="K1414" s="516"/>
      <c r="L1414" s="516"/>
      <c r="M1414" s="507"/>
      <c r="N1414" s="217"/>
      <c r="O1414" s="345"/>
      <c r="P1414" s="524"/>
      <c r="Q1414" s="141"/>
    </row>
    <row r="1415" ht="15.75" hidden="1" customHeight="1">
      <c r="A1415" s="142"/>
      <c r="B1415" s="142"/>
      <c r="C1415" s="220"/>
      <c r="D1415" s="142"/>
      <c r="E1415" s="220"/>
      <c r="F1415" s="213"/>
      <c r="G1415" s="213"/>
      <c r="H1415" s="213"/>
      <c r="I1415" s="466"/>
      <c r="J1415" s="525"/>
      <c r="K1415" s="526"/>
      <c r="L1415" s="526"/>
      <c r="M1415" s="507"/>
      <c r="N1415" s="217"/>
      <c r="O1415" s="77"/>
      <c r="P1415" s="195"/>
      <c r="Q1415" s="345"/>
    </row>
    <row r="1416" ht="15.75" hidden="1" customHeight="1">
      <c r="A1416" s="142"/>
      <c r="B1416" s="142"/>
      <c r="C1416" s="220"/>
      <c r="D1416" s="142"/>
      <c r="E1416" s="220"/>
      <c r="F1416" s="213"/>
      <c r="G1416" s="213"/>
      <c r="H1416" s="213"/>
      <c r="I1416" s="466"/>
      <c r="J1416" s="525"/>
      <c r="K1416" s="526"/>
      <c r="L1416" s="526"/>
      <c r="N1416" s="517"/>
      <c r="O1416" s="141"/>
      <c r="P1416" s="518"/>
      <c r="Q1416" s="77"/>
    </row>
    <row r="1417" ht="15.75" hidden="1" customHeight="1">
      <c r="A1417" s="142"/>
      <c r="B1417" s="142"/>
      <c r="C1417" s="220"/>
      <c r="D1417" s="142"/>
      <c r="E1417" s="220"/>
      <c r="F1417" s="213"/>
      <c r="G1417" s="213"/>
      <c r="H1417" s="213"/>
      <c r="I1417" s="214"/>
      <c r="J1417" s="215"/>
      <c r="K1417" s="516"/>
      <c r="L1417" s="516"/>
      <c r="N1417" s="517"/>
      <c r="O1417" s="141"/>
      <c r="P1417" s="518"/>
      <c r="Q1417" s="141"/>
    </row>
    <row r="1418" ht="15.75" hidden="1" customHeight="1">
      <c r="A1418" s="142"/>
      <c r="B1418" s="142"/>
      <c r="C1418" s="220"/>
      <c r="D1418" s="142"/>
      <c r="E1418" s="220"/>
      <c r="F1418" s="213"/>
      <c r="G1418" s="213"/>
      <c r="H1418" s="213"/>
      <c r="I1418" s="214"/>
      <c r="J1418" s="215"/>
      <c r="K1418" s="516"/>
      <c r="L1418" s="516"/>
      <c r="N1418" s="517"/>
      <c r="O1418" s="141"/>
      <c r="P1418" s="518"/>
      <c r="Q1418" s="141"/>
    </row>
    <row r="1419" ht="15.75" hidden="1" customHeight="1">
      <c r="A1419" s="142"/>
      <c r="B1419" s="142"/>
      <c r="C1419" s="211"/>
      <c r="D1419" s="142"/>
      <c r="E1419" s="211"/>
      <c r="F1419" s="213"/>
      <c r="G1419" s="213"/>
      <c r="H1419" s="213"/>
      <c r="I1419" s="214"/>
      <c r="J1419" s="215"/>
      <c r="K1419" s="516"/>
      <c r="L1419" s="516"/>
      <c r="M1419" s="257"/>
      <c r="N1419" s="517"/>
      <c r="O1419" s="141"/>
      <c r="P1419" s="518"/>
      <c r="Q1419" s="141"/>
      <c r="R1419" s="257"/>
      <c r="S1419" s="257"/>
      <c r="T1419" s="257"/>
      <c r="U1419" s="257"/>
    </row>
    <row r="1420" ht="15.75" hidden="1" customHeight="1">
      <c r="A1420" s="142"/>
      <c r="B1420" s="142"/>
      <c r="C1420" s="220"/>
      <c r="D1420" s="142"/>
      <c r="E1420" s="220"/>
      <c r="F1420" s="213"/>
      <c r="G1420" s="213"/>
      <c r="H1420" s="213"/>
      <c r="I1420" s="214"/>
      <c r="J1420" s="215"/>
      <c r="K1420" s="516"/>
      <c r="L1420" s="516"/>
      <c r="N1420" s="517"/>
      <c r="O1420" s="141"/>
      <c r="P1420" s="518"/>
      <c r="Q1420" s="141"/>
    </row>
    <row r="1421" ht="15.75" hidden="1" customHeight="1">
      <c r="A1421" s="142"/>
      <c r="B1421" s="142"/>
      <c r="C1421" s="220"/>
      <c r="D1421" s="142"/>
      <c r="E1421" s="220"/>
      <c r="F1421" s="213"/>
      <c r="G1421" s="213"/>
      <c r="H1421" s="213"/>
      <c r="I1421" s="214"/>
      <c r="J1421" s="215"/>
      <c r="K1421" s="516"/>
      <c r="L1421" s="516"/>
      <c r="N1421" s="217"/>
      <c r="O1421" s="77"/>
      <c r="P1421" s="195"/>
      <c r="Q1421" s="141"/>
    </row>
    <row r="1422" ht="15.75" hidden="1" customHeight="1">
      <c r="A1422" s="142"/>
      <c r="B1422" s="142"/>
      <c r="C1422" s="220"/>
      <c r="D1422" s="142"/>
      <c r="E1422" s="220"/>
      <c r="F1422" s="213"/>
      <c r="G1422" s="213"/>
      <c r="H1422" s="213"/>
      <c r="I1422" s="214"/>
      <c r="J1422" s="215"/>
      <c r="K1422" s="516"/>
      <c r="L1422" s="516"/>
      <c r="N1422" s="217"/>
      <c r="O1422" s="77"/>
      <c r="P1422" s="195"/>
      <c r="Q1422" s="77"/>
    </row>
    <row r="1423" ht="15.75" hidden="1" customHeight="1">
      <c r="A1423" s="142"/>
      <c r="B1423" s="142"/>
      <c r="C1423" s="220"/>
      <c r="D1423" s="142"/>
      <c r="E1423" s="220"/>
      <c r="F1423" s="213"/>
      <c r="G1423" s="213"/>
      <c r="H1423" s="213"/>
      <c r="I1423" s="214"/>
      <c r="J1423" s="215"/>
      <c r="K1423" s="516"/>
      <c r="L1423" s="516"/>
      <c r="N1423" s="517"/>
      <c r="O1423" s="141"/>
      <c r="P1423" s="518"/>
      <c r="Q1423" s="77"/>
    </row>
    <row r="1424" ht="15.75" hidden="1" customHeight="1">
      <c r="A1424" s="142"/>
      <c r="B1424" s="142"/>
      <c r="C1424" s="220"/>
      <c r="D1424" s="142"/>
      <c r="E1424" s="220"/>
      <c r="F1424" s="213"/>
      <c r="G1424" s="213"/>
      <c r="H1424" s="213"/>
      <c r="I1424" s="214"/>
      <c r="J1424" s="215"/>
      <c r="K1424" s="516"/>
      <c r="L1424" s="516"/>
      <c r="N1424" s="517"/>
      <c r="O1424" s="141"/>
      <c r="P1424" s="518"/>
      <c r="Q1424" s="141"/>
    </row>
    <row r="1425" ht="15.75" hidden="1" customHeight="1">
      <c r="A1425" s="142"/>
      <c r="B1425" s="142"/>
      <c r="C1425" s="220"/>
      <c r="D1425" s="142"/>
      <c r="E1425" s="220"/>
      <c r="F1425" s="213"/>
      <c r="G1425" s="213"/>
      <c r="H1425" s="213"/>
      <c r="I1425" s="214"/>
      <c r="J1425" s="215"/>
      <c r="K1425" s="516"/>
      <c r="L1425" s="516"/>
      <c r="N1425" s="517"/>
      <c r="O1425" s="141"/>
      <c r="P1425" s="518"/>
      <c r="Q1425" s="141"/>
    </row>
    <row r="1426" ht="15.75" hidden="1" customHeight="1">
      <c r="A1426" s="142"/>
      <c r="B1426" s="142"/>
      <c r="C1426" s="220"/>
      <c r="D1426" s="142"/>
      <c r="E1426" s="220"/>
      <c r="F1426" s="213"/>
      <c r="G1426" s="213"/>
      <c r="H1426" s="213"/>
      <c r="I1426" s="214"/>
      <c r="J1426" s="215"/>
      <c r="K1426" s="516"/>
      <c r="L1426" s="516"/>
      <c r="N1426" s="217"/>
      <c r="O1426" s="77"/>
      <c r="P1426" s="195"/>
      <c r="Q1426" s="141"/>
    </row>
    <row r="1427" ht="15.75" hidden="1" customHeight="1">
      <c r="A1427" s="142"/>
      <c r="B1427" s="142"/>
      <c r="C1427" s="220"/>
      <c r="D1427" s="142"/>
      <c r="E1427" s="220"/>
      <c r="F1427" s="213"/>
      <c r="G1427" s="213"/>
      <c r="H1427" s="213"/>
      <c r="I1427" s="214"/>
      <c r="J1427" s="215"/>
      <c r="K1427" s="516"/>
      <c r="L1427" s="516"/>
      <c r="N1427" s="217"/>
      <c r="O1427" s="77"/>
      <c r="P1427" s="195"/>
      <c r="Q1427" s="77"/>
    </row>
    <row r="1428" ht="15.75" hidden="1" customHeight="1">
      <c r="A1428" s="142"/>
      <c r="B1428" s="142"/>
      <c r="C1428" s="220"/>
      <c r="D1428" s="142"/>
      <c r="E1428" s="220"/>
      <c r="F1428" s="213"/>
      <c r="G1428" s="515"/>
      <c r="H1428" s="213"/>
      <c r="I1428" s="214"/>
      <c r="J1428" s="215"/>
      <c r="K1428" s="516"/>
      <c r="L1428" s="516"/>
      <c r="N1428" s="217"/>
      <c r="O1428" s="77"/>
      <c r="P1428" s="195"/>
      <c r="Q1428" s="77"/>
    </row>
    <row r="1429" ht="15.75" hidden="1" customHeight="1">
      <c r="A1429" s="142"/>
      <c r="B1429" s="142"/>
      <c r="C1429" s="220"/>
      <c r="D1429" s="142"/>
      <c r="E1429" s="220"/>
      <c r="F1429" s="213"/>
      <c r="G1429" s="213"/>
      <c r="H1429" s="213"/>
      <c r="I1429" s="214"/>
      <c r="J1429" s="215"/>
      <c r="K1429" s="516"/>
      <c r="L1429" s="516"/>
      <c r="N1429" s="517"/>
      <c r="O1429" s="141"/>
      <c r="P1429" s="518"/>
      <c r="Q1429" s="77"/>
    </row>
    <row r="1430" ht="15.75" hidden="1" customHeight="1">
      <c r="A1430" s="142"/>
      <c r="B1430" s="142"/>
      <c r="C1430" s="220"/>
      <c r="D1430" s="142"/>
      <c r="E1430" s="220"/>
      <c r="F1430" s="213"/>
      <c r="G1430" s="213"/>
      <c r="H1430" s="213"/>
      <c r="I1430" s="214"/>
      <c r="J1430" s="215"/>
      <c r="K1430" s="516"/>
      <c r="L1430" s="516"/>
      <c r="N1430" s="517"/>
      <c r="O1430" s="141"/>
      <c r="P1430" s="518"/>
      <c r="Q1430" s="141"/>
    </row>
    <row r="1431" ht="15.75" hidden="1" customHeight="1">
      <c r="A1431" s="142"/>
      <c r="B1431" s="142"/>
      <c r="C1431" s="220"/>
      <c r="D1431" s="142"/>
      <c r="E1431" s="220"/>
      <c r="F1431" s="213"/>
      <c r="G1431" s="213"/>
      <c r="H1431" s="213"/>
      <c r="I1431" s="214"/>
      <c r="J1431" s="215"/>
      <c r="K1431" s="516"/>
      <c r="L1431" s="516"/>
      <c r="N1431" s="517"/>
      <c r="O1431" s="141"/>
      <c r="P1431" s="518"/>
      <c r="Q1431" s="141"/>
    </row>
    <row r="1432" ht="15.75" hidden="1" customHeight="1">
      <c r="A1432" s="142"/>
      <c r="B1432" s="142"/>
      <c r="C1432" s="220"/>
      <c r="D1432" s="142"/>
      <c r="E1432" s="220"/>
      <c r="F1432" s="213"/>
      <c r="G1432" s="213"/>
      <c r="H1432" s="213"/>
      <c r="I1432" s="214"/>
      <c r="J1432" s="215"/>
      <c r="K1432" s="516"/>
      <c r="L1432" s="516"/>
      <c r="N1432" s="517"/>
      <c r="O1432" s="141"/>
      <c r="P1432" s="518"/>
      <c r="Q1432" s="141"/>
    </row>
    <row r="1433" ht="15.75" hidden="1" customHeight="1">
      <c r="A1433" s="142"/>
      <c r="B1433" s="142"/>
      <c r="C1433" s="220"/>
      <c r="D1433" s="142"/>
      <c r="E1433" s="220"/>
      <c r="F1433" s="213"/>
      <c r="G1433" s="213"/>
      <c r="H1433" s="213"/>
      <c r="I1433" s="214"/>
      <c r="J1433" s="215"/>
      <c r="K1433" s="516"/>
      <c r="L1433" s="516"/>
      <c r="N1433" s="517"/>
      <c r="O1433" s="141"/>
      <c r="P1433" s="518"/>
      <c r="Q1433" s="141"/>
    </row>
    <row r="1434" ht="15.75" hidden="1" customHeight="1">
      <c r="A1434" s="142"/>
      <c r="B1434" s="142"/>
      <c r="C1434" s="220"/>
      <c r="D1434" s="142"/>
      <c r="E1434" s="220"/>
      <c r="F1434" s="213"/>
      <c r="G1434" s="213"/>
      <c r="H1434" s="213"/>
      <c r="I1434" s="214"/>
      <c r="J1434" s="215"/>
      <c r="K1434" s="516"/>
      <c r="L1434" s="516"/>
      <c r="N1434" s="517"/>
      <c r="O1434" s="141"/>
      <c r="P1434" s="518"/>
      <c r="Q1434" s="141"/>
    </row>
    <row r="1435" ht="15.75" hidden="1" customHeight="1">
      <c r="A1435" s="142"/>
      <c r="B1435" s="142"/>
      <c r="C1435" s="220"/>
      <c r="D1435" s="142"/>
      <c r="E1435" s="220"/>
      <c r="F1435" s="213"/>
      <c r="G1435" s="213"/>
      <c r="H1435" s="213"/>
      <c r="I1435" s="214"/>
      <c r="J1435" s="215"/>
      <c r="K1435" s="516"/>
      <c r="L1435" s="516"/>
      <c r="N1435" s="217"/>
      <c r="O1435" s="77"/>
      <c r="P1435" s="195"/>
      <c r="Q1435" s="141"/>
    </row>
    <row r="1436" ht="15.75" hidden="1" customHeight="1">
      <c r="A1436" s="142"/>
      <c r="B1436" s="142"/>
      <c r="C1436" s="220"/>
      <c r="D1436" s="142"/>
      <c r="E1436" s="220"/>
      <c r="F1436" s="213"/>
      <c r="G1436" s="213"/>
      <c r="H1436" s="213"/>
      <c r="I1436" s="214"/>
      <c r="J1436" s="215"/>
      <c r="K1436" s="516"/>
      <c r="L1436" s="516"/>
      <c r="N1436" s="217"/>
      <c r="O1436" s="77"/>
      <c r="P1436" s="195"/>
      <c r="Q1436" s="77"/>
    </row>
    <row r="1437" ht="15.75" hidden="1" customHeight="1">
      <c r="A1437" s="237"/>
      <c r="B1437" s="237"/>
      <c r="C1437" s="527"/>
      <c r="D1437" s="237"/>
      <c r="E1437" s="527"/>
      <c r="F1437" s="213"/>
      <c r="G1437" s="213"/>
      <c r="H1437" s="213"/>
      <c r="I1437" s="214"/>
      <c r="J1437" s="215"/>
      <c r="K1437" s="516"/>
      <c r="L1437" s="516"/>
      <c r="M1437" s="237"/>
      <c r="N1437" s="217"/>
      <c r="O1437" s="528"/>
      <c r="P1437" s="529"/>
      <c r="Q1437" s="77"/>
      <c r="R1437" s="237"/>
      <c r="S1437" s="237"/>
      <c r="T1437" s="237"/>
      <c r="U1437" s="237"/>
    </row>
    <row r="1438" ht="15.75" hidden="1" customHeight="1">
      <c r="A1438" s="142"/>
      <c r="B1438" s="142"/>
      <c r="C1438" s="220"/>
      <c r="D1438" s="142"/>
      <c r="E1438" s="220"/>
      <c r="F1438" s="213"/>
      <c r="G1438" s="213"/>
      <c r="H1438" s="213"/>
      <c r="I1438" s="530"/>
      <c r="J1438" s="531"/>
      <c r="K1438" s="532"/>
      <c r="L1438" s="532"/>
      <c r="N1438" s="217"/>
      <c r="O1438" s="77"/>
      <c r="P1438" s="195"/>
      <c r="Q1438" s="528"/>
    </row>
    <row r="1439" ht="15.75" hidden="1" customHeight="1">
      <c r="A1439" s="142"/>
      <c r="B1439" s="142"/>
      <c r="C1439" s="220"/>
      <c r="D1439" s="142"/>
      <c r="E1439" s="220"/>
      <c r="F1439" s="213"/>
      <c r="G1439" s="213"/>
      <c r="H1439" s="213"/>
      <c r="I1439" s="214"/>
      <c r="J1439" s="215"/>
      <c r="K1439" s="516"/>
      <c r="L1439" s="516"/>
      <c r="N1439" s="517"/>
      <c r="O1439" s="141"/>
      <c r="P1439" s="518"/>
      <c r="Q1439" s="77"/>
    </row>
    <row r="1440" ht="15.75" hidden="1" customHeight="1">
      <c r="A1440" s="142"/>
      <c r="B1440" s="142"/>
      <c r="C1440" s="220"/>
      <c r="D1440" s="142"/>
      <c r="E1440" s="220"/>
      <c r="F1440" s="213"/>
      <c r="G1440" s="213"/>
      <c r="H1440" s="213"/>
      <c r="I1440" s="214"/>
      <c r="J1440" s="215"/>
      <c r="K1440" s="516"/>
      <c r="L1440" s="516"/>
      <c r="N1440" s="217"/>
      <c r="O1440" s="77"/>
      <c r="P1440" s="195"/>
      <c r="Q1440" s="141"/>
    </row>
    <row r="1441" ht="15.75" hidden="1" customHeight="1">
      <c r="A1441" s="142"/>
      <c r="B1441" s="142"/>
      <c r="C1441" s="220"/>
      <c r="D1441" s="142"/>
      <c r="E1441" s="220"/>
      <c r="F1441" s="213"/>
      <c r="G1441" s="213"/>
      <c r="H1441" s="213"/>
      <c r="I1441" s="214"/>
      <c r="J1441" s="215"/>
      <c r="K1441" s="516"/>
      <c r="L1441" s="516"/>
      <c r="N1441" s="217"/>
      <c r="O1441" s="77"/>
      <c r="P1441" s="195"/>
      <c r="Q1441" s="77"/>
    </row>
    <row r="1442" ht="15.75" hidden="1" customHeight="1">
      <c r="A1442" s="142"/>
      <c r="B1442" s="142"/>
      <c r="C1442" s="220"/>
      <c r="D1442" s="142"/>
      <c r="E1442" s="220"/>
      <c r="F1442" s="213"/>
      <c r="G1442" s="213"/>
      <c r="H1442" s="213"/>
      <c r="I1442" s="214"/>
      <c r="J1442" s="215"/>
      <c r="K1442" s="516"/>
      <c r="L1442" s="516"/>
      <c r="N1442" s="217"/>
      <c r="O1442" s="77"/>
      <c r="P1442" s="195"/>
      <c r="Q1442" s="77"/>
    </row>
    <row r="1443" ht="15.75" hidden="1" customHeight="1">
      <c r="A1443" s="142"/>
      <c r="B1443" s="142"/>
      <c r="C1443" s="220"/>
      <c r="D1443" s="142"/>
      <c r="E1443" s="220"/>
      <c r="F1443" s="213"/>
      <c r="G1443" s="213"/>
      <c r="H1443" s="213"/>
      <c r="I1443" s="214"/>
      <c r="J1443" s="215"/>
      <c r="K1443" s="516"/>
      <c r="L1443" s="516"/>
      <c r="N1443" s="217"/>
      <c r="O1443" s="77"/>
      <c r="P1443" s="195"/>
      <c r="Q1443" s="77"/>
    </row>
    <row r="1444" ht="15.75" hidden="1" customHeight="1">
      <c r="A1444" s="142"/>
      <c r="B1444" s="142"/>
      <c r="C1444" s="220"/>
      <c r="D1444" s="142"/>
      <c r="E1444" s="220"/>
      <c r="F1444" s="213"/>
      <c r="G1444" s="213"/>
      <c r="H1444" s="213"/>
      <c r="I1444" s="214"/>
      <c r="J1444" s="215"/>
      <c r="K1444" s="516"/>
      <c r="L1444" s="516"/>
      <c r="N1444" s="217"/>
      <c r="O1444" s="77"/>
      <c r="P1444" s="195"/>
      <c r="Q1444" s="77"/>
    </row>
    <row r="1445" ht="15.75" hidden="1" customHeight="1">
      <c r="A1445" s="142"/>
      <c r="B1445" s="142"/>
      <c r="C1445" s="220"/>
      <c r="D1445" s="142"/>
      <c r="E1445" s="220"/>
      <c r="F1445" s="213"/>
      <c r="G1445" s="213"/>
      <c r="H1445" s="213"/>
      <c r="I1445" s="214"/>
      <c r="J1445" s="215"/>
      <c r="K1445" s="516"/>
      <c r="L1445" s="516"/>
      <c r="N1445" s="517"/>
      <c r="O1445" s="141"/>
      <c r="P1445" s="518"/>
      <c r="Q1445" s="77"/>
    </row>
    <row r="1446" ht="15.75" hidden="1" customHeight="1">
      <c r="A1446" s="142"/>
      <c r="B1446" s="142"/>
      <c r="C1446" s="220"/>
      <c r="D1446" s="142"/>
      <c r="E1446" s="220"/>
      <c r="F1446" s="213"/>
      <c r="G1446" s="213"/>
      <c r="H1446" s="213"/>
      <c r="I1446" s="214"/>
      <c r="J1446" s="215"/>
      <c r="K1446" s="516"/>
      <c r="L1446" s="516"/>
      <c r="N1446" s="217"/>
      <c r="O1446" s="77"/>
      <c r="P1446" s="195"/>
      <c r="Q1446" s="141"/>
    </row>
    <row r="1447" ht="15.75" hidden="1" customHeight="1">
      <c r="A1447" s="142"/>
      <c r="B1447" s="142"/>
      <c r="C1447" s="220"/>
      <c r="D1447" s="142"/>
      <c r="E1447" s="220"/>
      <c r="F1447" s="213"/>
      <c r="G1447" s="213"/>
      <c r="H1447" s="213"/>
      <c r="I1447" s="214"/>
      <c r="J1447" s="215"/>
      <c r="K1447" s="516"/>
      <c r="L1447" s="516"/>
      <c r="N1447" s="217"/>
      <c r="O1447" s="77"/>
      <c r="P1447" s="195"/>
      <c r="Q1447" s="77"/>
    </row>
    <row r="1448" ht="15.75" hidden="1" customHeight="1">
      <c r="A1448" s="142"/>
      <c r="B1448" s="142"/>
      <c r="C1448" s="220"/>
      <c r="D1448" s="142"/>
      <c r="E1448" s="220"/>
      <c r="F1448" s="213"/>
      <c r="G1448" s="213"/>
      <c r="H1448" s="213"/>
      <c r="I1448" s="214"/>
      <c r="J1448" s="215"/>
      <c r="K1448" s="516"/>
      <c r="L1448" s="516"/>
      <c r="N1448" s="517"/>
      <c r="O1448" s="141"/>
      <c r="P1448" s="518"/>
      <c r="Q1448" s="77"/>
    </row>
    <row r="1449" ht="15.75" hidden="1" customHeight="1">
      <c r="A1449" s="142"/>
      <c r="B1449" s="142"/>
      <c r="C1449" s="220"/>
      <c r="D1449" s="142"/>
      <c r="E1449" s="220"/>
      <c r="F1449" s="213"/>
      <c r="G1449" s="213"/>
      <c r="H1449" s="213"/>
      <c r="I1449" s="214"/>
      <c r="J1449" s="215"/>
      <c r="K1449" s="516"/>
      <c r="L1449" s="516"/>
      <c r="N1449" s="217"/>
      <c r="O1449" s="77"/>
      <c r="P1449" s="195"/>
      <c r="Q1449" s="141"/>
    </row>
    <row r="1450" ht="15.75" hidden="1" customHeight="1">
      <c r="A1450" s="142"/>
      <c r="B1450" s="142"/>
      <c r="C1450" s="220"/>
      <c r="D1450" s="142"/>
      <c r="E1450" s="220"/>
      <c r="F1450" s="213"/>
      <c r="G1450" s="213"/>
      <c r="H1450" s="213"/>
      <c r="I1450" s="214"/>
      <c r="J1450" s="215"/>
      <c r="K1450" s="516"/>
      <c r="L1450" s="516"/>
      <c r="N1450" s="217"/>
      <c r="O1450" s="77"/>
      <c r="P1450" s="195"/>
      <c r="Q1450" s="77"/>
    </row>
    <row r="1451" ht="15.75" hidden="1" customHeight="1">
      <c r="A1451" s="142"/>
      <c r="B1451" s="142"/>
      <c r="C1451" s="220"/>
      <c r="D1451" s="142"/>
      <c r="E1451" s="220"/>
      <c r="F1451" s="213"/>
      <c r="G1451" s="213"/>
      <c r="H1451" s="213"/>
      <c r="I1451" s="214"/>
      <c r="J1451" s="215"/>
      <c r="K1451" s="516"/>
      <c r="L1451" s="516"/>
      <c r="N1451" s="517"/>
      <c r="O1451" s="141"/>
      <c r="P1451" s="518"/>
      <c r="Q1451" s="77"/>
    </row>
    <row r="1452" ht="15.75" hidden="1" customHeight="1">
      <c r="A1452" s="142"/>
      <c r="B1452" s="142"/>
      <c r="C1452" s="220"/>
      <c r="D1452" s="142"/>
      <c r="E1452" s="220"/>
      <c r="F1452" s="213"/>
      <c r="G1452" s="213"/>
      <c r="H1452" s="213"/>
      <c r="I1452" s="214"/>
      <c r="J1452" s="215"/>
      <c r="K1452" s="516"/>
      <c r="L1452" s="516"/>
      <c r="N1452" s="217"/>
      <c r="O1452" s="77"/>
      <c r="P1452" s="195"/>
      <c r="Q1452" s="141"/>
    </row>
    <row r="1453" ht="15.75" hidden="1" customHeight="1">
      <c r="A1453" s="142"/>
      <c r="B1453" s="142"/>
      <c r="C1453" s="220"/>
      <c r="D1453" s="142"/>
      <c r="E1453" s="220"/>
      <c r="F1453" s="213"/>
      <c r="G1453" s="213"/>
      <c r="H1453" s="213"/>
      <c r="I1453" s="214"/>
      <c r="J1453" s="215"/>
      <c r="K1453" s="516"/>
      <c r="L1453" s="516"/>
      <c r="N1453" s="217"/>
      <c r="O1453" s="77"/>
      <c r="P1453" s="195"/>
      <c r="Q1453" s="77"/>
    </row>
    <row r="1454" ht="15.75" hidden="1" customHeight="1">
      <c r="A1454" s="142"/>
      <c r="B1454" s="142"/>
      <c r="C1454" s="220"/>
      <c r="D1454" s="142"/>
      <c r="E1454" s="220"/>
      <c r="F1454" s="213"/>
      <c r="G1454" s="213"/>
      <c r="H1454" s="213"/>
      <c r="I1454" s="214"/>
      <c r="J1454" s="215"/>
      <c r="K1454" s="516"/>
      <c r="L1454" s="516"/>
      <c r="N1454" s="517"/>
      <c r="O1454" s="141"/>
      <c r="P1454" s="518"/>
      <c r="Q1454" s="77"/>
    </row>
    <row r="1455" ht="15.75" hidden="1" customHeight="1">
      <c r="A1455" s="142"/>
      <c r="B1455" s="142"/>
      <c r="C1455" s="220"/>
      <c r="D1455" s="142"/>
      <c r="E1455" s="220"/>
      <c r="F1455" s="213"/>
      <c r="G1455" s="213"/>
      <c r="H1455" s="213"/>
      <c r="I1455" s="214"/>
      <c r="J1455" s="215"/>
      <c r="K1455" s="516"/>
      <c r="L1455" s="516"/>
      <c r="N1455" s="517"/>
      <c r="O1455" s="141"/>
      <c r="P1455" s="518"/>
      <c r="Q1455" s="141"/>
    </row>
    <row r="1456" ht="15.75" hidden="1" customHeight="1">
      <c r="A1456" s="142"/>
      <c r="B1456" s="142"/>
      <c r="C1456" s="220"/>
      <c r="D1456" s="142"/>
      <c r="E1456" s="220"/>
      <c r="F1456" s="213"/>
      <c r="G1456" s="213"/>
      <c r="H1456" s="213"/>
      <c r="I1456" s="214"/>
      <c r="J1456" s="215"/>
      <c r="K1456" s="516"/>
      <c r="L1456" s="516"/>
      <c r="N1456" s="217"/>
      <c r="O1456" s="77"/>
      <c r="P1456" s="195"/>
      <c r="Q1456" s="141"/>
    </row>
    <row r="1457" ht="15.75" hidden="1" customHeight="1">
      <c r="A1457" s="142"/>
      <c r="B1457" s="142"/>
      <c r="C1457" s="220"/>
      <c r="D1457" s="142"/>
      <c r="E1457" s="220"/>
      <c r="F1457" s="213"/>
      <c r="G1457" s="213"/>
      <c r="H1457" s="213"/>
      <c r="I1457" s="214"/>
      <c r="J1457" s="215"/>
      <c r="K1457" s="516"/>
      <c r="L1457" s="516"/>
      <c r="N1457" s="217"/>
      <c r="O1457" s="77"/>
      <c r="P1457" s="195"/>
      <c r="Q1457" s="77"/>
    </row>
    <row r="1458" ht="15.75" hidden="1" customHeight="1">
      <c r="A1458" s="142"/>
      <c r="B1458" s="142"/>
      <c r="C1458" s="220"/>
      <c r="D1458" s="142"/>
      <c r="E1458" s="220"/>
      <c r="F1458" s="213"/>
      <c r="G1458" s="213"/>
      <c r="H1458" s="213"/>
      <c r="I1458" s="214"/>
      <c r="J1458" s="215"/>
      <c r="K1458" s="516"/>
      <c r="L1458" s="516"/>
      <c r="N1458" s="517"/>
      <c r="O1458" s="141"/>
      <c r="P1458" s="518"/>
      <c r="Q1458" s="77"/>
    </row>
    <row r="1459" ht="15.75" hidden="1" customHeight="1">
      <c r="A1459" s="142"/>
      <c r="B1459" s="142"/>
      <c r="C1459" s="220"/>
      <c r="D1459" s="237"/>
      <c r="E1459" s="220"/>
      <c r="F1459" s="213"/>
      <c r="G1459" s="213"/>
      <c r="H1459" s="213"/>
      <c r="I1459" s="214"/>
      <c r="J1459" s="215"/>
      <c r="K1459" s="516"/>
      <c r="L1459" s="516"/>
      <c r="N1459" s="523"/>
      <c r="O1459" s="77"/>
      <c r="P1459" s="195"/>
      <c r="Q1459" s="141"/>
    </row>
    <row r="1460" ht="15.75" hidden="1" customHeight="1">
      <c r="A1460" s="142"/>
      <c r="B1460" s="142"/>
      <c r="C1460" s="220"/>
      <c r="D1460" s="237"/>
      <c r="E1460" s="220"/>
      <c r="F1460" s="213"/>
      <c r="G1460" s="213"/>
      <c r="H1460" s="213"/>
      <c r="I1460" s="214"/>
      <c r="J1460" s="215"/>
      <c r="K1460" s="516"/>
      <c r="L1460" s="516"/>
      <c r="N1460" s="217"/>
      <c r="O1460" s="77"/>
      <c r="P1460" s="195"/>
      <c r="Q1460" s="77"/>
    </row>
    <row r="1461" ht="15.75" hidden="1" customHeight="1">
      <c r="A1461" s="142"/>
      <c r="B1461" s="142"/>
      <c r="C1461" s="220"/>
      <c r="D1461" s="237"/>
      <c r="E1461" s="220"/>
      <c r="F1461" s="213"/>
      <c r="G1461" s="213"/>
      <c r="H1461" s="213"/>
      <c r="I1461" s="214"/>
      <c r="J1461" s="215"/>
      <c r="K1461" s="516"/>
      <c r="L1461" s="516"/>
      <c r="N1461" s="217"/>
      <c r="O1461" s="77"/>
      <c r="P1461" s="195"/>
      <c r="Q1461" s="77"/>
    </row>
    <row r="1462" ht="15.75" hidden="1" customHeight="1">
      <c r="A1462" s="142"/>
      <c r="B1462" s="142"/>
      <c r="C1462" s="220"/>
      <c r="D1462" s="237"/>
      <c r="E1462" s="220"/>
      <c r="F1462" s="213"/>
      <c r="G1462" s="213"/>
      <c r="H1462" s="213"/>
      <c r="I1462" s="214"/>
      <c r="J1462" s="215"/>
      <c r="K1462" s="516"/>
      <c r="L1462" s="516"/>
      <c r="N1462" s="217"/>
      <c r="O1462" s="77"/>
      <c r="P1462" s="195"/>
      <c r="Q1462" s="77"/>
    </row>
    <row r="1463" ht="15.75" hidden="1" customHeight="1">
      <c r="A1463" s="142"/>
      <c r="B1463" s="142"/>
      <c r="C1463" s="220"/>
      <c r="D1463" s="142"/>
      <c r="E1463" s="220"/>
      <c r="F1463" s="213"/>
      <c r="G1463" s="213"/>
      <c r="H1463" s="213"/>
      <c r="I1463" s="214"/>
      <c r="J1463" s="215"/>
      <c r="K1463" s="516"/>
      <c r="L1463" s="516"/>
      <c r="N1463" s="517"/>
      <c r="O1463" s="141"/>
      <c r="P1463" s="518"/>
      <c r="Q1463" s="77"/>
    </row>
    <row r="1464" ht="15.75" hidden="1" customHeight="1">
      <c r="A1464" s="142"/>
      <c r="B1464" s="142"/>
      <c r="C1464" s="220"/>
      <c r="D1464" s="142"/>
      <c r="E1464" s="220"/>
      <c r="F1464" s="213"/>
      <c r="G1464" s="213"/>
      <c r="H1464" s="213"/>
      <c r="I1464" s="214"/>
      <c r="J1464" s="215"/>
      <c r="K1464" s="516"/>
      <c r="L1464" s="516"/>
      <c r="N1464" s="517"/>
      <c r="O1464" s="141"/>
      <c r="P1464" s="518"/>
      <c r="Q1464" s="141"/>
    </row>
    <row r="1465" ht="15.75" hidden="1" customHeight="1">
      <c r="A1465" s="142"/>
      <c r="B1465" s="142"/>
      <c r="C1465" s="220"/>
      <c r="D1465" s="142"/>
      <c r="E1465" s="220"/>
      <c r="F1465" s="213"/>
      <c r="G1465" s="213"/>
      <c r="H1465" s="213"/>
      <c r="I1465" s="214"/>
      <c r="J1465" s="215"/>
      <c r="K1465" s="516"/>
      <c r="L1465" s="516"/>
      <c r="N1465" s="517"/>
      <c r="O1465" s="141"/>
      <c r="P1465" s="518"/>
      <c r="Q1465" s="141"/>
    </row>
    <row r="1466" ht="15.75" hidden="1" customHeight="1">
      <c r="A1466" s="142"/>
      <c r="B1466" s="142"/>
      <c r="C1466" s="220"/>
      <c r="D1466" s="142"/>
      <c r="E1466" s="220"/>
      <c r="F1466" s="515"/>
      <c r="G1466" s="213"/>
      <c r="H1466" s="213"/>
      <c r="I1466" s="214"/>
      <c r="J1466" s="215"/>
      <c r="K1466" s="516"/>
      <c r="L1466" s="516"/>
      <c r="N1466" s="517"/>
      <c r="O1466" s="141"/>
      <c r="P1466" s="518"/>
      <c r="Q1466" s="141"/>
    </row>
    <row r="1467" ht="15.75" hidden="1" customHeight="1">
      <c r="A1467" s="142"/>
      <c r="B1467" s="142"/>
      <c r="C1467" s="220"/>
      <c r="D1467" s="142"/>
      <c r="E1467" s="220"/>
      <c r="F1467" s="213"/>
      <c r="G1467" s="213"/>
      <c r="H1467" s="213"/>
      <c r="I1467" s="214"/>
      <c r="J1467" s="215"/>
      <c r="K1467" s="516"/>
      <c r="L1467" s="516"/>
      <c r="N1467" s="517"/>
      <c r="O1467" s="141"/>
      <c r="P1467" s="518"/>
      <c r="Q1467" s="141"/>
    </row>
    <row r="1468" ht="15.75" hidden="1" customHeight="1">
      <c r="A1468" s="142"/>
      <c r="B1468" s="142"/>
      <c r="C1468" s="220"/>
      <c r="D1468" s="142"/>
      <c r="E1468" s="220"/>
      <c r="F1468" s="515"/>
      <c r="G1468" s="213"/>
      <c r="H1468" s="213"/>
      <c r="I1468" s="214"/>
      <c r="J1468" s="215"/>
      <c r="K1468" s="516"/>
      <c r="L1468" s="516"/>
      <c r="N1468" s="517"/>
      <c r="O1468" s="141"/>
      <c r="P1468" s="518"/>
      <c r="Q1468" s="141"/>
    </row>
    <row r="1469" ht="15.75" hidden="1" customHeight="1">
      <c r="A1469" s="142"/>
      <c r="B1469" s="142"/>
      <c r="C1469" s="220"/>
      <c r="D1469" s="142"/>
      <c r="E1469" s="220"/>
      <c r="F1469" s="213"/>
      <c r="G1469" s="213"/>
      <c r="H1469" s="213"/>
      <c r="I1469" s="214"/>
      <c r="J1469" s="215"/>
      <c r="K1469" s="516"/>
      <c r="L1469" s="516"/>
      <c r="N1469" s="517"/>
      <c r="O1469" s="141"/>
      <c r="P1469" s="518"/>
      <c r="Q1469" s="141"/>
    </row>
    <row r="1470" ht="15.75" hidden="1" customHeight="1">
      <c r="A1470" s="142"/>
      <c r="B1470" s="142"/>
      <c r="C1470" s="220"/>
      <c r="D1470" s="142"/>
      <c r="E1470" s="220"/>
      <c r="F1470" s="213"/>
      <c r="G1470" s="213"/>
      <c r="H1470" s="213"/>
      <c r="I1470" s="214"/>
      <c r="J1470" s="215"/>
      <c r="K1470" s="516"/>
      <c r="L1470" s="516"/>
      <c r="N1470" s="517"/>
      <c r="O1470" s="141"/>
      <c r="P1470" s="518"/>
      <c r="Q1470" s="141"/>
    </row>
    <row r="1471" ht="15.75" hidden="1" customHeight="1">
      <c r="A1471" s="142"/>
      <c r="B1471" s="142"/>
      <c r="C1471" s="220"/>
      <c r="D1471" s="142"/>
      <c r="E1471" s="211"/>
      <c r="F1471" s="213"/>
      <c r="G1471" s="213"/>
      <c r="H1471" s="213"/>
      <c r="I1471" s="214"/>
      <c r="J1471" s="215"/>
      <c r="K1471" s="516"/>
      <c r="L1471" s="516"/>
      <c r="N1471" s="517"/>
      <c r="O1471" s="141"/>
      <c r="P1471" s="518"/>
      <c r="Q1471" s="141"/>
    </row>
    <row r="1472" ht="15.75" hidden="1" customHeight="1">
      <c r="A1472" s="142"/>
      <c r="B1472" s="142"/>
      <c r="C1472" s="220"/>
      <c r="D1472" s="142"/>
      <c r="E1472" s="220"/>
      <c r="F1472" s="213"/>
      <c r="G1472" s="213"/>
      <c r="H1472" s="213"/>
      <c r="I1472" s="214"/>
      <c r="J1472" s="215"/>
      <c r="K1472" s="516"/>
      <c r="L1472" s="516"/>
      <c r="N1472" s="217"/>
      <c r="O1472" s="77"/>
      <c r="P1472" s="195"/>
      <c r="Q1472" s="141"/>
    </row>
    <row r="1473" ht="15.75" hidden="1" customHeight="1">
      <c r="A1473" s="371"/>
      <c r="B1473" s="371"/>
      <c r="C1473" s="335"/>
      <c r="D1473" s="533"/>
      <c r="E1473" s="335"/>
      <c r="F1473" s="213"/>
      <c r="G1473" s="213"/>
      <c r="H1473" s="213"/>
      <c r="I1473" s="214"/>
      <c r="J1473" s="215"/>
      <c r="K1473" s="516"/>
      <c r="L1473" s="516"/>
      <c r="M1473" s="371"/>
      <c r="N1473" s="341"/>
      <c r="O1473" s="342"/>
      <c r="P1473" s="459"/>
      <c r="Q1473" s="77"/>
      <c r="R1473" s="371"/>
      <c r="S1473" s="371"/>
      <c r="T1473" s="371"/>
      <c r="U1473" s="371"/>
      <c r="V1473" s="371"/>
      <c r="W1473" s="371"/>
      <c r="X1473" s="371"/>
      <c r="Y1473" s="371"/>
      <c r="Z1473" s="371"/>
      <c r="AA1473" s="371"/>
      <c r="AB1473" s="371"/>
      <c r="AC1473" s="371"/>
      <c r="AD1473" s="371"/>
      <c r="AE1473" s="371"/>
      <c r="AF1473" s="371"/>
      <c r="AG1473" s="371"/>
      <c r="AH1473" s="371"/>
    </row>
    <row r="1474" ht="15.75" hidden="1" customHeight="1">
      <c r="A1474" s="142"/>
      <c r="B1474" s="142"/>
      <c r="C1474" s="220"/>
      <c r="D1474" s="142"/>
      <c r="E1474" s="220"/>
      <c r="F1474" s="213"/>
      <c r="G1474" s="213"/>
      <c r="H1474" s="213"/>
      <c r="I1474" s="214"/>
      <c r="J1474" s="338"/>
      <c r="K1474" s="534"/>
      <c r="L1474" s="534"/>
      <c r="N1474" s="217"/>
      <c r="O1474" s="77"/>
      <c r="P1474" s="195"/>
      <c r="Q1474" s="342"/>
    </row>
    <row r="1475" ht="15.75" hidden="1" customHeight="1">
      <c r="A1475" s="142"/>
      <c r="B1475" s="142"/>
      <c r="C1475" s="220"/>
      <c r="D1475" s="142"/>
      <c r="E1475" s="220"/>
      <c r="F1475" s="213"/>
      <c r="G1475" s="213"/>
      <c r="H1475" s="213"/>
      <c r="I1475" s="214"/>
      <c r="J1475" s="215"/>
      <c r="K1475" s="516"/>
      <c r="L1475" s="516"/>
      <c r="N1475" s="517"/>
      <c r="O1475" s="141"/>
      <c r="P1475" s="518"/>
      <c r="Q1475" s="77"/>
    </row>
    <row r="1476" ht="15.75" hidden="1" customHeight="1">
      <c r="A1476" s="142"/>
      <c r="B1476" s="142"/>
      <c r="C1476" s="220"/>
      <c r="D1476" s="142"/>
      <c r="E1476" s="220"/>
      <c r="F1476" s="213"/>
      <c r="G1476" s="213"/>
      <c r="H1476" s="213"/>
      <c r="I1476" s="214"/>
      <c r="J1476" s="215"/>
      <c r="K1476" s="516"/>
      <c r="L1476" s="516"/>
      <c r="N1476" s="217"/>
      <c r="O1476" s="77"/>
      <c r="P1476" s="195"/>
      <c r="Q1476" s="141"/>
    </row>
    <row r="1477" ht="15.75" hidden="1" customHeight="1">
      <c r="A1477" s="142"/>
      <c r="B1477" s="142"/>
      <c r="C1477" s="220"/>
      <c r="D1477" s="142"/>
      <c r="E1477" s="220"/>
      <c r="F1477" s="213"/>
      <c r="G1477" s="213"/>
      <c r="H1477" s="213"/>
      <c r="I1477" s="214"/>
      <c r="J1477" s="215"/>
      <c r="K1477" s="516"/>
      <c r="L1477" s="516"/>
      <c r="N1477" s="217"/>
      <c r="O1477" s="77"/>
      <c r="P1477" s="195"/>
      <c r="Q1477" s="77"/>
    </row>
    <row r="1478" ht="15.75" hidden="1" customHeight="1">
      <c r="A1478" s="142"/>
      <c r="B1478" s="142"/>
      <c r="C1478" s="220"/>
      <c r="D1478" s="142"/>
      <c r="E1478" s="220"/>
      <c r="F1478" s="213"/>
      <c r="G1478" s="213"/>
      <c r="H1478" s="213"/>
      <c r="I1478" s="214"/>
      <c r="J1478" s="215"/>
      <c r="K1478" s="516"/>
      <c r="L1478" s="516"/>
      <c r="N1478" s="517"/>
      <c r="O1478" s="141"/>
      <c r="P1478" s="518"/>
      <c r="Q1478" s="77"/>
    </row>
    <row r="1479" ht="15.75" hidden="1" customHeight="1">
      <c r="A1479" s="142"/>
      <c r="B1479" s="142"/>
      <c r="C1479" s="220"/>
      <c r="D1479" s="142"/>
      <c r="E1479" s="220"/>
      <c r="F1479" s="213"/>
      <c r="G1479" s="213"/>
      <c r="H1479" s="213"/>
      <c r="I1479" s="214"/>
      <c r="J1479" s="215"/>
      <c r="K1479" s="516"/>
      <c r="L1479" s="516"/>
      <c r="N1479" s="517"/>
      <c r="O1479" s="141"/>
      <c r="P1479" s="518"/>
      <c r="Q1479" s="141"/>
      <c r="V1479" s="535"/>
      <c r="W1479" s="535"/>
      <c r="X1479" s="535"/>
      <c r="Y1479" s="535"/>
      <c r="Z1479" s="535"/>
      <c r="AA1479" s="535"/>
      <c r="AB1479" s="535"/>
      <c r="AC1479" s="535"/>
      <c r="AD1479" s="535"/>
      <c r="AE1479" s="535"/>
      <c r="AF1479" s="535"/>
      <c r="AG1479" s="535"/>
      <c r="AH1479" s="535"/>
    </row>
    <row r="1480" ht="15.75" hidden="1" customHeight="1">
      <c r="A1480" s="142"/>
      <c r="B1480" s="142"/>
      <c r="C1480" s="220"/>
      <c r="D1480" s="142"/>
      <c r="E1480" s="220"/>
      <c r="F1480" s="213"/>
      <c r="G1480" s="213"/>
      <c r="H1480" s="213"/>
      <c r="I1480" s="214"/>
      <c r="J1480" s="215"/>
      <c r="K1480" s="516"/>
      <c r="L1480" s="516"/>
      <c r="N1480" s="517"/>
      <c r="O1480" s="141"/>
      <c r="P1480" s="518"/>
      <c r="Q1480" s="141"/>
    </row>
    <row r="1481" ht="15.75" hidden="1" customHeight="1">
      <c r="A1481" s="142"/>
      <c r="B1481" s="142"/>
      <c r="C1481" s="220"/>
      <c r="D1481" s="142"/>
      <c r="E1481" s="220"/>
      <c r="F1481" s="213"/>
      <c r="G1481" s="213"/>
      <c r="H1481" s="213"/>
      <c r="I1481" s="214"/>
      <c r="J1481" s="215"/>
      <c r="K1481" s="516"/>
      <c r="L1481" s="516"/>
      <c r="N1481" s="517"/>
      <c r="O1481" s="141"/>
      <c r="P1481" s="518"/>
      <c r="Q1481" s="141"/>
    </row>
    <row r="1482" ht="15.75" hidden="1" customHeight="1">
      <c r="A1482" s="142"/>
      <c r="B1482" s="142"/>
      <c r="C1482" s="220"/>
      <c r="D1482" s="142"/>
      <c r="E1482" s="220"/>
      <c r="F1482" s="213"/>
      <c r="G1482" s="213"/>
      <c r="H1482" s="213"/>
      <c r="I1482" s="214"/>
      <c r="J1482" s="215"/>
      <c r="K1482" s="516"/>
      <c r="L1482" s="516"/>
      <c r="N1482" s="517"/>
      <c r="O1482" s="141"/>
      <c r="P1482" s="518"/>
      <c r="Q1482" s="141"/>
    </row>
    <row r="1483" ht="15.75" hidden="1" customHeight="1">
      <c r="A1483" s="142"/>
      <c r="B1483" s="142"/>
      <c r="C1483" s="220"/>
      <c r="D1483" s="142"/>
      <c r="E1483" s="220"/>
      <c r="F1483" s="213"/>
      <c r="G1483" s="213"/>
      <c r="H1483" s="213"/>
      <c r="I1483" s="214"/>
      <c r="J1483" s="215"/>
      <c r="K1483" s="516"/>
      <c r="L1483" s="516"/>
      <c r="N1483" s="517"/>
      <c r="O1483" s="141"/>
      <c r="P1483" s="518"/>
      <c r="Q1483" s="141"/>
    </row>
    <row r="1484" ht="15.75" hidden="1" customHeight="1">
      <c r="A1484" s="142"/>
      <c r="B1484" s="142"/>
      <c r="C1484" s="220"/>
      <c r="D1484" s="142"/>
      <c r="E1484" s="220"/>
      <c r="F1484" s="213"/>
      <c r="G1484" s="213"/>
      <c r="H1484" s="213"/>
      <c r="I1484" s="214"/>
      <c r="J1484" s="215"/>
      <c r="K1484" s="516"/>
      <c r="L1484" s="516"/>
      <c r="N1484" s="517"/>
      <c r="O1484" s="141"/>
      <c r="P1484" s="518"/>
      <c r="Q1484" s="141"/>
    </row>
    <row r="1485" ht="15.75" hidden="1" customHeight="1">
      <c r="A1485" s="142"/>
      <c r="B1485" s="142"/>
      <c r="C1485" s="220"/>
      <c r="D1485" s="142"/>
      <c r="E1485" s="220"/>
      <c r="F1485" s="213"/>
      <c r="G1485" s="213"/>
      <c r="H1485" s="213"/>
      <c r="I1485" s="214"/>
      <c r="J1485" s="215"/>
      <c r="K1485" s="516"/>
      <c r="L1485" s="516"/>
      <c r="N1485" s="517"/>
      <c r="O1485" s="141"/>
      <c r="P1485" s="518"/>
      <c r="Q1485" s="141"/>
    </row>
    <row r="1486" ht="15.75" hidden="1" customHeight="1">
      <c r="A1486" s="142"/>
      <c r="B1486" s="142"/>
      <c r="C1486" s="220"/>
      <c r="D1486" s="142"/>
      <c r="E1486" s="220"/>
      <c r="F1486" s="213"/>
      <c r="G1486" s="213"/>
      <c r="H1486" s="213"/>
      <c r="I1486" s="214"/>
      <c r="J1486" s="215"/>
      <c r="K1486" s="257"/>
      <c r="L1486" s="257"/>
      <c r="N1486" s="517"/>
      <c r="O1486" s="141"/>
      <c r="P1486" s="518"/>
      <c r="Q1486" s="141"/>
    </row>
    <row r="1487" ht="15.75" hidden="1" customHeight="1">
      <c r="A1487" s="142"/>
      <c r="B1487" s="142"/>
      <c r="C1487" s="220"/>
      <c r="D1487" s="142"/>
      <c r="E1487" s="220"/>
      <c r="F1487" s="213"/>
      <c r="G1487" s="213"/>
      <c r="H1487" s="213"/>
      <c r="I1487" s="214"/>
      <c r="J1487" s="215"/>
      <c r="K1487" s="516"/>
      <c r="L1487" s="516"/>
      <c r="N1487" s="217"/>
      <c r="O1487" s="77"/>
      <c r="P1487" s="195"/>
      <c r="Q1487" s="141"/>
    </row>
    <row r="1488" ht="15.75" hidden="1" customHeight="1">
      <c r="A1488" s="142"/>
      <c r="B1488" s="142"/>
      <c r="C1488" s="220"/>
      <c r="D1488" s="142"/>
      <c r="E1488" s="220"/>
      <c r="F1488" s="213"/>
      <c r="G1488" s="213"/>
      <c r="H1488" s="213"/>
      <c r="I1488" s="214"/>
      <c r="J1488" s="215"/>
      <c r="K1488" s="516"/>
      <c r="L1488" s="516"/>
      <c r="N1488" s="217"/>
      <c r="O1488" s="77"/>
      <c r="P1488" s="195"/>
      <c r="Q1488" s="77"/>
    </row>
    <row r="1489" ht="15.75" hidden="1" customHeight="1">
      <c r="A1489" s="142"/>
      <c r="B1489" s="142"/>
      <c r="C1489" s="220"/>
      <c r="D1489" s="142"/>
      <c r="E1489" s="220"/>
      <c r="F1489" s="213"/>
      <c r="G1489" s="213"/>
      <c r="H1489" s="213"/>
      <c r="I1489" s="214"/>
      <c r="J1489" s="215"/>
      <c r="K1489" s="516"/>
      <c r="L1489" s="516"/>
      <c r="N1489" s="217"/>
      <c r="O1489" s="77"/>
      <c r="P1489" s="195"/>
      <c r="Q1489" s="77"/>
    </row>
    <row r="1490" ht="15.75" hidden="1" customHeight="1">
      <c r="A1490" s="142"/>
      <c r="B1490" s="142"/>
      <c r="C1490" s="220"/>
      <c r="D1490" s="142"/>
      <c r="E1490" s="220"/>
      <c r="F1490" s="213"/>
      <c r="G1490" s="213"/>
      <c r="H1490" s="213"/>
      <c r="I1490" s="214"/>
      <c r="J1490" s="215"/>
      <c r="K1490" s="516"/>
      <c r="L1490" s="516"/>
      <c r="N1490" s="217"/>
      <c r="O1490" s="77"/>
      <c r="P1490" s="195"/>
      <c r="Q1490" s="77"/>
    </row>
    <row r="1491" ht="15.75" hidden="1" customHeight="1">
      <c r="A1491" s="371"/>
      <c r="B1491" s="371"/>
      <c r="C1491" s="335"/>
      <c r="D1491" s="371"/>
      <c r="E1491" s="335"/>
      <c r="F1491" s="337"/>
      <c r="G1491" s="337"/>
      <c r="H1491" s="337"/>
      <c r="I1491" s="214"/>
      <c r="J1491" s="215"/>
      <c r="K1491" s="516"/>
      <c r="L1491" s="516"/>
      <c r="M1491" s="371"/>
      <c r="N1491" s="341"/>
      <c r="O1491" s="342"/>
      <c r="P1491" s="459"/>
      <c r="Q1491" s="77"/>
    </row>
    <row r="1492" ht="15.75" hidden="1" customHeight="1">
      <c r="A1492" s="142"/>
      <c r="B1492" s="142"/>
      <c r="C1492" s="220"/>
      <c r="D1492" s="142"/>
      <c r="E1492" s="220"/>
      <c r="F1492" s="213"/>
      <c r="G1492" s="213"/>
      <c r="H1492" s="213"/>
      <c r="I1492" s="214"/>
      <c r="J1492" s="338"/>
      <c r="K1492" s="534"/>
      <c r="L1492" s="534"/>
      <c r="N1492" s="517"/>
      <c r="O1492" s="141"/>
      <c r="P1492" s="518"/>
      <c r="Q1492" s="342"/>
    </row>
    <row r="1493" ht="15.75" hidden="1" customHeight="1">
      <c r="A1493" s="142"/>
      <c r="B1493" s="142"/>
      <c r="C1493" s="220"/>
      <c r="D1493" s="142"/>
      <c r="E1493" s="220"/>
      <c r="F1493" s="213"/>
      <c r="G1493" s="213"/>
      <c r="H1493" s="213"/>
      <c r="I1493" s="214"/>
      <c r="J1493" s="215"/>
      <c r="K1493" s="516"/>
      <c r="L1493" s="516"/>
      <c r="N1493" s="217"/>
      <c r="O1493" s="77"/>
      <c r="P1493" s="195"/>
      <c r="Q1493" s="141"/>
    </row>
    <row r="1494" ht="15.75" hidden="1" customHeight="1">
      <c r="A1494" s="142"/>
      <c r="B1494" s="142"/>
      <c r="C1494" s="220"/>
      <c r="D1494" s="142"/>
      <c r="E1494" s="220"/>
      <c r="F1494" s="213"/>
      <c r="G1494" s="213"/>
      <c r="H1494" s="213"/>
      <c r="I1494" s="214"/>
      <c r="J1494" s="215"/>
      <c r="K1494" s="516"/>
      <c r="L1494" s="516"/>
      <c r="N1494" s="523"/>
      <c r="O1494" s="77"/>
      <c r="P1494" s="195"/>
      <c r="Q1494" s="77"/>
    </row>
    <row r="1495" ht="15.75" hidden="1" customHeight="1">
      <c r="A1495" s="142"/>
      <c r="B1495" s="142"/>
      <c r="C1495" s="220"/>
      <c r="D1495" s="142"/>
      <c r="E1495" s="220"/>
      <c r="F1495" s="213"/>
      <c r="G1495" s="213"/>
      <c r="H1495" s="213"/>
      <c r="I1495" s="214"/>
      <c r="J1495" s="215"/>
      <c r="K1495" s="516"/>
      <c r="L1495" s="516"/>
      <c r="N1495" s="217"/>
      <c r="O1495" s="77"/>
      <c r="P1495" s="195"/>
      <c r="Q1495" s="77"/>
    </row>
    <row r="1496" ht="15.75" hidden="1" customHeight="1">
      <c r="A1496" s="142"/>
      <c r="B1496" s="142"/>
      <c r="C1496" s="220"/>
      <c r="D1496" s="142"/>
      <c r="E1496" s="220"/>
      <c r="F1496" s="213"/>
      <c r="G1496" s="515"/>
      <c r="H1496" s="213"/>
      <c r="I1496" s="214"/>
      <c r="J1496" s="215"/>
      <c r="K1496" s="516"/>
      <c r="L1496" s="516"/>
      <c r="N1496" s="217"/>
      <c r="O1496" s="77"/>
      <c r="P1496" s="195"/>
      <c r="Q1496" s="77"/>
    </row>
    <row r="1497" ht="15.75" hidden="1" customHeight="1">
      <c r="A1497" s="536"/>
      <c r="B1497" s="537"/>
      <c r="C1497" s="538"/>
      <c r="D1497" s="536"/>
      <c r="E1497" s="538"/>
      <c r="F1497" s="213"/>
      <c r="G1497" s="213"/>
      <c r="H1497" s="213"/>
      <c r="I1497" s="214"/>
      <c r="J1497" s="215"/>
      <c r="K1497" s="516"/>
      <c r="L1497" s="516"/>
      <c r="M1497" s="536"/>
      <c r="N1497" s="539"/>
      <c r="O1497" s="537"/>
      <c r="P1497" s="540"/>
      <c r="Q1497" s="77"/>
    </row>
    <row r="1498" ht="15.75" hidden="1" customHeight="1">
      <c r="A1498" s="536"/>
      <c r="B1498" s="536"/>
      <c r="C1498" s="538"/>
      <c r="D1498" s="536"/>
      <c r="E1498" s="538"/>
      <c r="F1498" s="213"/>
      <c r="G1498" s="213"/>
      <c r="H1498" s="213"/>
      <c r="I1498" s="214"/>
      <c r="J1498" s="541"/>
      <c r="K1498" s="542"/>
      <c r="L1498" s="542"/>
      <c r="M1498" s="536"/>
      <c r="N1498" s="539"/>
      <c r="O1498" s="537"/>
      <c r="P1498" s="540"/>
      <c r="Q1498" s="537"/>
    </row>
    <row r="1499" ht="15.75" hidden="1" customHeight="1">
      <c r="A1499" s="142"/>
      <c r="B1499" s="142"/>
      <c r="C1499" s="220"/>
      <c r="D1499" s="142"/>
      <c r="E1499" s="220"/>
      <c r="F1499" s="213"/>
      <c r="G1499" s="213"/>
      <c r="H1499" s="213"/>
      <c r="I1499" s="214"/>
      <c r="J1499" s="541"/>
      <c r="K1499" s="542"/>
      <c r="L1499" s="542"/>
      <c r="N1499" s="217"/>
      <c r="O1499" s="77"/>
      <c r="P1499" s="195"/>
      <c r="Q1499" s="537"/>
    </row>
    <row r="1500" ht="15.75" hidden="1" customHeight="1">
      <c r="A1500" s="536"/>
      <c r="B1500" s="543"/>
      <c r="C1500" s="538"/>
      <c r="D1500" s="536"/>
      <c r="E1500" s="538"/>
      <c r="F1500" s="213"/>
      <c r="G1500" s="213"/>
      <c r="H1500" s="213"/>
      <c r="I1500" s="214"/>
      <c r="J1500" s="215"/>
      <c r="K1500" s="516"/>
      <c r="L1500" s="516"/>
      <c r="M1500" s="536"/>
      <c r="N1500" s="539"/>
      <c r="O1500" s="537"/>
      <c r="P1500" s="540"/>
      <c r="Q1500" s="77"/>
    </row>
    <row r="1501" ht="15.75" hidden="1" customHeight="1">
      <c r="A1501" s="536"/>
      <c r="B1501" s="536"/>
      <c r="C1501" s="538"/>
      <c r="D1501" s="536"/>
      <c r="E1501" s="538"/>
      <c r="F1501" s="213"/>
      <c r="G1501" s="213"/>
      <c r="H1501" s="213"/>
      <c r="I1501" s="214"/>
      <c r="J1501" s="541"/>
      <c r="K1501" s="542"/>
      <c r="L1501" s="542"/>
      <c r="M1501" s="536"/>
      <c r="N1501" s="539"/>
      <c r="O1501" s="537"/>
      <c r="P1501" s="540"/>
      <c r="Q1501" s="537"/>
    </row>
    <row r="1502" ht="15.75" hidden="1" customHeight="1">
      <c r="A1502" s="536"/>
      <c r="B1502" s="536"/>
      <c r="C1502" s="538"/>
      <c r="D1502" s="536"/>
      <c r="E1502" s="538"/>
      <c r="F1502" s="213"/>
      <c r="G1502" s="213"/>
      <c r="H1502" s="213"/>
      <c r="I1502" s="214"/>
      <c r="J1502" s="541"/>
      <c r="K1502" s="542"/>
      <c r="L1502" s="542"/>
      <c r="M1502" s="536"/>
      <c r="N1502" s="539"/>
      <c r="O1502" s="537"/>
      <c r="P1502" s="540"/>
      <c r="Q1502" s="537"/>
    </row>
    <row r="1503" ht="15.75" hidden="1" customHeight="1">
      <c r="A1503" s="142"/>
      <c r="B1503" s="142"/>
      <c r="C1503" s="220"/>
      <c r="D1503" s="142"/>
      <c r="E1503" s="220"/>
      <c r="F1503" s="213"/>
      <c r="G1503" s="213"/>
      <c r="H1503" s="213"/>
      <c r="I1503" s="214"/>
      <c r="J1503" s="541"/>
      <c r="K1503" s="542"/>
      <c r="L1503" s="542"/>
      <c r="N1503" s="517"/>
      <c r="O1503" s="77"/>
      <c r="P1503" s="195"/>
      <c r="Q1503" s="537"/>
    </row>
    <row r="1504" ht="15.75" hidden="1" customHeight="1">
      <c r="A1504" s="142"/>
      <c r="B1504" s="142"/>
      <c r="C1504" s="220"/>
      <c r="D1504" s="142"/>
      <c r="E1504" s="220"/>
      <c r="F1504" s="213"/>
      <c r="G1504" s="213"/>
      <c r="H1504" s="213"/>
      <c r="I1504" s="214"/>
      <c r="J1504" s="215"/>
      <c r="K1504" s="516"/>
      <c r="L1504" s="516"/>
      <c r="N1504" s="217"/>
      <c r="O1504" s="77"/>
      <c r="P1504" s="195"/>
      <c r="Q1504" s="77"/>
    </row>
    <row r="1505" ht="15.75" hidden="1" customHeight="1">
      <c r="A1505" s="142"/>
      <c r="B1505" s="142"/>
      <c r="C1505" s="220"/>
      <c r="D1505" s="142"/>
      <c r="E1505" s="220"/>
      <c r="F1505" s="213"/>
      <c r="G1505" s="213"/>
      <c r="H1505" s="213"/>
      <c r="I1505" s="214"/>
      <c r="J1505" s="215"/>
      <c r="K1505" s="516"/>
      <c r="L1505" s="516"/>
      <c r="N1505" s="539"/>
      <c r="O1505" s="77"/>
      <c r="P1505" s="195"/>
      <c r="Q1505" s="77"/>
    </row>
    <row r="1506" ht="15.75" hidden="1" customHeight="1">
      <c r="A1506" s="142"/>
      <c r="B1506" s="142"/>
      <c r="C1506" s="220"/>
      <c r="D1506" s="142"/>
      <c r="E1506" s="220"/>
      <c r="F1506" s="213"/>
      <c r="G1506" s="213"/>
      <c r="H1506" s="213"/>
      <c r="I1506" s="214"/>
      <c r="J1506" s="215"/>
      <c r="K1506" s="516"/>
      <c r="L1506" s="516"/>
      <c r="N1506" s="217"/>
      <c r="O1506" s="77"/>
      <c r="P1506" s="195"/>
      <c r="Q1506" s="77"/>
    </row>
    <row r="1507" ht="15.75" hidden="1" customHeight="1">
      <c r="A1507" s="536"/>
      <c r="B1507" s="536"/>
      <c r="C1507" s="538"/>
      <c r="D1507" s="536"/>
      <c r="E1507" s="538"/>
      <c r="F1507" s="213"/>
      <c r="G1507" s="213"/>
      <c r="H1507" s="213"/>
      <c r="I1507" s="214"/>
      <c r="J1507" s="215"/>
      <c r="K1507" s="516"/>
      <c r="L1507" s="516"/>
      <c r="M1507" s="536"/>
      <c r="N1507" s="539"/>
      <c r="O1507" s="537"/>
      <c r="P1507" s="540"/>
      <c r="Q1507" s="77"/>
    </row>
    <row r="1508" ht="15.75" hidden="1" customHeight="1">
      <c r="A1508" s="142"/>
      <c r="B1508" s="142"/>
      <c r="C1508" s="220"/>
      <c r="D1508" s="142"/>
      <c r="E1508" s="220"/>
      <c r="F1508" s="213"/>
      <c r="G1508" s="213"/>
      <c r="H1508" s="213"/>
      <c r="I1508" s="214"/>
      <c r="J1508" s="541"/>
      <c r="K1508" s="542"/>
      <c r="L1508" s="542"/>
      <c r="N1508" s="539"/>
      <c r="O1508" s="77"/>
      <c r="P1508" s="195"/>
      <c r="Q1508" s="537"/>
    </row>
    <row r="1509" ht="15.75" hidden="1" customHeight="1">
      <c r="A1509" s="536"/>
      <c r="B1509" s="536"/>
      <c r="C1509" s="538"/>
      <c r="D1509" s="536"/>
      <c r="E1509" s="538"/>
      <c r="F1509" s="213"/>
      <c r="G1509" s="213"/>
      <c r="H1509" s="213"/>
      <c r="I1509" s="214"/>
      <c r="J1509" s="215"/>
      <c r="K1509" s="516"/>
      <c r="L1509" s="516"/>
      <c r="M1509" s="536"/>
      <c r="N1509" s="539"/>
      <c r="O1509" s="537"/>
      <c r="P1509" s="540"/>
      <c r="Q1509" s="77"/>
      <c r="R1509" s="257"/>
      <c r="S1509" s="257"/>
    </row>
    <row r="1510" ht="15.75" hidden="1" customHeight="1">
      <c r="A1510" s="536"/>
      <c r="B1510" s="536"/>
      <c r="C1510" s="538"/>
      <c r="D1510" s="536"/>
      <c r="E1510" s="538"/>
      <c r="F1510" s="213"/>
      <c r="G1510" s="213"/>
      <c r="H1510" s="213"/>
      <c r="I1510" s="214"/>
      <c r="J1510" s="541"/>
      <c r="K1510" s="542"/>
      <c r="L1510" s="542"/>
      <c r="M1510" s="536"/>
      <c r="N1510" s="341"/>
      <c r="O1510" s="537"/>
      <c r="P1510" s="540"/>
      <c r="Q1510" s="537"/>
    </row>
    <row r="1511" ht="15.75" hidden="1" customHeight="1">
      <c r="A1511" s="142"/>
      <c r="B1511" s="142"/>
      <c r="C1511" s="220"/>
      <c r="D1511" s="142"/>
      <c r="E1511" s="220"/>
      <c r="F1511" s="213"/>
      <c r="G1511" s="213"/>
      <c r="H1511" s="213"/>
      <c r="I1511" s="214"/>
      <c r="J1511" s="541"/>
      <c r="K1511" s="542"/>
      <c r="L1511" s="542"/>
      <c r="N1511" s="539"/>
      <c r="O1511" s="77"/>
      <c r="P1511" s="195"/>
      <c r="Q1511" s="537"/>
    </row>
    <row r="1512" ht="15.75" hidden="1" customHeight="1">
      <c r="A1512" s="536"/>
      <c r="B1512" s="536"/>
      <c r="C1512" s="538"/>
      <c r="D1512" s="536"/>
      <c r="E1512" s="538"/>
      <c r="F1512" s="213"/>
      <c r="G1512" s="213"/>
      <c r="H1512" s="213"/>
      <c r="I1512" s="214"/>
      <c r="J1512" s="215"/>
      <c r="K1512" s="516"/>
      <c r="L1512" s="516"/>
      <c r="M1512" s="536"/>
      <c r="N1512" s="341"/>
      <c r="O1512" s="537"/>
      <c r="P1512" s="540"/>
      <c r="Q1512" s="77"/>
    </row>
    <row r="1513" ht="15.75" hidden="1" customHeight="1">
      <c r="A1513" s="142"/>
      <c r="B1513" s="142"/>
      <c r="C1513" s="220"/>
      <c r="D1513" s="142"/>
      <c r="E1513" s="220"/>
      <c r="F1513" s="213"/>
      <c r="G1513" s="213"/>
      <c r="H1513" s="213"/>
      <c r="I1513" s="214"/>
      <c r="J1513" s="541"/>
      <c r="K1513" s="542"/>
      <c r="L1513" s="542"/>
      <c r="N1513" s="217"/>
      <c r="O1513" s="77"/>
      <c r="P1513" s="195"/>
      <c r="Q1513" s="537"/>
    </row>
    <row r="1514" ht="15.75" hidden="1" customHeight="1">
      <c r="A1514" s="142"/>
      <c r="B1514" s="142"/>
      <c r="C1514" s="220"/>
      <c r="D1514" s="142"/>
      <c r="E1514" s="220"/>
      <c r="F1514" s="213"/>
      <c r="G1514" s="213"/>
      <c r="H1514" s="213"/>
      <c r="I1514" s="214"/>
      <c r="J1514" s="215"/>
      <c r="K1514" s="516"/>
      <c r="L1514" s="516"/>
      <c r="N1514" s="539"/>
      <c r="O1514" s="77"/>
      <c r="P1514" s="195"/>
      <c r="Q1514" s="77"/>
    </row>
    <row r="1515" ht="15.75" hidden="1" customHeight="1">
      <c r="A1515" s="142"/>
      <c r="B1515" s="142"/>
      <c r="C1515" s="220"/>
      <c r="D1515" s="142"/>
      <c r="E1515" s="220"/>
      <c r="F1515" s="213"/>
      <c r="G1515" s="213"/>
      <c r="H1515" s="213"/>
      <c r="I1515" s="214"/>
      <c r="J1515" s="215"/>
      <c r="K1515" s="516"/>
      <c r="L1515" s="516"/>
      <c r="N1515" s="217"/>
      <c r="O1515" s="77"/>
      <c r="P1515" s="195"/>
      <c r="Q1515" s="77"/>
    </row>
    <row r="1516" ht="15.75" hidden="1" customHeight="1">
      <c r="A1516" s="142"/>
      <c r="B1516" s="142"/>
      <c r="C1516" s="220"/>
      <c r="D1516" s="142"/>
      <c r="E1516" s="220"/>
      <c r="F1516" s="213"/>
      <c r="G1516" s="213"/>
      <c r="H1516" s="213"/>
      <c r="I1516" s="214"/>
      <c r="J1516" s="215"/>
      <c r="K1516" s="516"/>
      <c r="L1516" s="516"/>
      <c r="N1516" s="517"/>
      <c r="O1516" s="77"/>
      <c r="P1516" s="195"/>
      <c r="Q1516" s="77"/>
    </row>
    <row r="1517" ht="15.75" hidden="1" customHeight="1">
      <c r="A1517" s="536"/>
      <c r="B1517" s="536"/>
      <c r="C1517" s="538"/>
      <c r="D1517" s="536"/>
      <c r="E1517" s="538"/>
      <c r="F1517" s="213"/>
      <c r="G1517" s="213"/>
      <c r="H1517" s="213"/>
      <c r="I1517" s="214"/>
      <c r="J1517" s="215"/>
      <c r="K1517" s="516"/>
      <c r="L1517" s="516"/>
      <c r="M1517" s="536"/>
      <c r="N1517" s="539"/>
      <c r="O1517" s="537"/>
      <c r="P1517" s="540"/>
      <c r="Q1517" s="77"/>
    </row>
    <row r="1518" ht="15.75" hidden="1" customHeight="1">
      <c r="A1518" s="536"/>
      <c r="B1518" s="536"/>
      <c r="C1518" s="538"/>
      <c r="D1518" s="536"/>
      <c r="E1518" s="538"/>
      <c r="F1518" s="213"/>
      <c r="G1518" s="213"/>
      <c r="H1518" s="213"/>
      <c r="I1518" s="214"/>
      <c r="J1518" s="541"/>
      <c r="K1518" s="542"/>
      <c r="L1518" s="542"/>
      <c r="M1518" s="536"/>
      <c r="N1518" s="539"/>
      <c r="O1518" s="537"/>
      <c r="P1518" s="540"/>
      <c r="Q1518" s="537"/>
    </row>
    <row r="1519" ht="15.75" hidden="1" customHeight="1">
      <c r="A1519" s="142"/>
      <c r="B1519" s="142"/>
      <c r="C1519" s="220"/>
      <c r="D1519" s="142"/>
      <c r="E1519" s="220"/>
      <c r="F1519" s="213"/>
      <c r="G1519" s="213"/>
      <c r="H1519" s="213"/>
      <c r="I1519" s="214"/>
      <c r="J1519" s="541"/>
      <c r="K1519" s="542"/>
      <c r="L1519" s="542"/>
      <c r="N1519" s="217"/>
      <c r="O1519" s="77"/>
      <c r="P1519" s="195"/>
      <c r="Q1519" s="537"/>
    </row>
    <row r="1520" ht="15.75" hidden="1" customHeight="1">
      <c r="A1520" s="536"/>
      <c r="B1520" s="536"/>
      <c r="C1520" s="538"/>
      <c r="D1520" s="536"/>
      <c r="E1520" s="538"/>
      <c r="F1520" s="213"/>
      <c r="G1520" s="213"/>
      <c r="H1520" s="213"/>
      <c r="I1520" s="214"/>
      <c r="J1520" s="215"/>
      <c r="K1520" s="516"/>
      <c r="L1520" s="516"/>
      <c r="M1520" s="536"/>
      <c r="N1520" s="539"/>
      <c r="O1520" s="537"/>
      <c r="P1520" s="540"/>
      <c r="Q1520" s="77"/>
    </row>
    <row r="1521" ht="15.75" hidden="1" customHeight="1">
      <c r="A1521" s="536"/>
      <c r="B1521" s="536"/>
      <c r="C1521" s="538"/>
      <c r="D1521" s="536"/>
      <c r="E1521" s="538"/>
      <c r="F1521" s="213"/>
      <c r="G1521" s="213"/>
      <c r="H1521" s="213"/>
      <c r="I1521" s="214"/>
      <c r="J1521" s="541"/>
      <c r="K1521" s="542"/>
      <c r="L1521" s="542"/>
      <c r="M1521" s="536"/>
      <c r="N1521" s="539"/>
      <c r="O1521" s="537"/>
      <c r="P1521" s="540"/>
      <c r="Q1521" s="537"/>
    </row>
    <row r="1522" ht="15.75" hidden="1" customHeight="1">
      <c r="A1522" s="536"/>
      <c r="B1522" s="536"/>
      <c r="C1522" s="538"/>
      <c r="D1522" s="536"/>
      <c r="E1522" s="538"/>
      <c r="F1522" s="213"/>
      <c r="G1522" s="213"/>
      <c r="H1522" s="213"/>
      <c r="I1522" s="214"/>
      <c r="J1522" s="541"/>
      <c r="K1522" s="542"/>
      <c r="L1522" s="542"/>
      <c r="M1522" s="536"/>
      <c r="N1522" s="539"/>
      <c r="O1522" s="537"/>
      <c r="P1522" s="540"/>
      <c r="Q1522" s="537"/>
    </row>
    <row r="1523" ht="15.75" hidden="1" customHeight="1">
      <c r="A1523" s="142"/>
      <c r="B1523" s="142"/>
      <c r="C1523" s="220"/>
      <c r="D1523" s="142"/>
      <c r="E1523" s="220"/>
      <c r="F1523" s="213"/>
      <c r="G1523" s="213"/>
      <c r="H1523" s="213"/>
      <c r="I1523" s="214"/>
      <c r="J1523" s="541"/>
      <c r="K1523" s="542"/>
      <c r="L1523" s="542"/>
      <c r="N1523" s="517"/>
      <c r="O1523" s="77"/>
      <c r="P1523" s="195"/>
      <c r="Q1523" s="537"/>
    </row>
    <row r="1524" ht="15.75" hidden="1" customHeight="1">
      <c r="A1524" s="142"/>
      <c r="B1524" s="142"/>
      <c r="C1524" s="220"/>
      <c r="D1524" s="142"/>
      <c r="E1524" s="220"/>
      <c r="F1524" s="213"/>
      <c r="G1524" s="213"/>
      <c r="H1524" s="213"/>
      <c r="I1524" s="214"/>
      <c r="J1524" s="215"/>
      <c r="K1524" s="516"/>
      <c r="L1524" s="516"/>
      <c r="N1524" s="217"/>
      <c r="O1524" s="77"/>
      <c r="P1524" s="195"/>
      <c r="Q1524" s="77"/>
    </row>
    <row r="1525" ht="15.75" hidden="1" customHeight="1">
      <c r="A1525" s="142"/>
      <c r="B1525" s="142"/>
      <c r="C1525" s="220"/>
      <c r="D1525" s="142"/>
      <c r="E1525" s="220"/>
      <c r="F1525" s="213"/>
      <c r="G1525" s="213"/>
      <c r="H1525" s="213"/>
      <c r="I1525" s="214"/>
      <c r="J1525" s="215"/>
      <c r="K1525" s="516"/>
      <c r="L1525" s="516"/>
      <c r="N1525" s="217"/>
      <c r="O1525" s="77"/>
      <c r="P1525" s="195"/>
      <c r="Q1525" s="77"/>
    </row>
    <row r="1526" ht="15.75" hidden="1" customHeight="1">
      <c r="A1526" s="142"/>
      <c r="B1526" s="142"/>
      <c r="C1526" s="220"/>
      <c r="D1526" s="142"/>
      <c r="E1526" s="220"/>
      <c r="F1526" s="213"/>
      <c r="G1526" s="213"/>
      <c r="H1526" s="213"/>
      <c r="I1526" s="214"/>
      <c r="J1526" s="215"/>
      <c r="K1526" s="516"/>
      <c r="L1526" s="516"/>
      <c r="N1526" s="517"/>
      <c r="O1526" s="77"/>
      <c r="P1526" s="195"/>
      <c r="Q1526" s="77"/>
    </row>
    <row r="1527" ht="15.75" hidden="1" customHeight="1">
      <c r="A1527" s="536"/>
      <c r="B1527" s="536"/>
      <c r="C1527" s="538"/>
      <c r="D1527" s="536"/>
      <c r="E1527" s="538"/>
      <c r="F1527" s="213"/>
      <c r="G1527" s="213"/>
      <c r="H1527" s="213"/>
      <c r="I1527" s="214"/>
      <c r="J1527" s="215"/>
      <c r="K1527" s="516"/>
      <c r="L1527" s="516"/>
      <c r="M1527" s="536"/>
      <c r="N1527" s="539"/>
      <c r="O1527" s="537"/>
      <c r="P1527" s="540"/>
      <c r="Q1527" s="77"/>
    </row>
    <row r="1528" ht="15.75" hidden="1" customHeight="1">
      <c r="A1528" s="536"/>
      <c r="B1528" s="536"/>
      <c r="C1528" s="538"/>
      <c r="D1528" s="536"/>
      <c r="E1528" s="538"/>
      <c r="F1528" s="213"/>
      <c r="G1528" s="213"/>
      <c r="H1528" s="213"/>
      <c r="I1528" s="214"/>
      <c r="J1528" s="541"/>
      <c r="K1528" s="542"/>
      <c r="L1528" s="542"/>
      <c r="M1528" s="536"/>
      <c r="N1528" s="539"/>
      <c r="O1528" s="537"/>
      <c r="P1528" s="540"/>
      <c r="Q1528" s="537"/>
    </row>
    <row r="1529" ht="15.75" hidden="1" customHeight="1">
      <c r="A1529" s="142"/>
      <c r="B1529" s="142"/>
      <c r="C1529" s="220"/>
      <c r="D1529" s="142"/>
      <c r="E1529" s="220"/>
      <c r="F1529" s="213"/>
      <c r="G1529" s="213"/>
      <c r="H1529" s="213"/>
      <c r="I1529" s="214"/>
      <c r="J1529" s="541"/>
      <c r="K1529" s="542"/>
      <c r="L1529" s="542"/>
      <c r="N1529" s="217"/>
      <c r="O1529" s="77"/>
      <c r="P1529" s="195"/>
      <c r="Q1529" s="537"/>
    </row>
    <row r="1530" ht="15.75" hidden="1" customHeight="1">
      <c r="A1530" s="142"/>
      <c r="B1530" s="142"/>
      <c r="C1530" s="220"/>
      <c r="D1530" s="142"/>
      <c r="E1530" s="220"/>
      <c r="F1530" s="213"/>
      <c r="G1530" s="213"/>
      <c r="H1530" s="213"/>
      <c r="I1530" s="214"/>
      <c r="J1530" s="215"/>
      <c r="K1530" s="516"/>
      <c r="L1530" s="516"/>
      <c r="N1530" s="217"/>
      <c r="O1530" s="77"/>
      <c r="P1530" s="195"/>
      <c r="Q1530" s="77"/>
    </row>
    <row r="1531" ht="15.75" hidden="1" customHeight="1">
      <c r="A1531" s="142"/>
      <c r="B1531" s="142"/>
      <c r="C1531" s="220"/>
      <c r="D1531" s="142"/>
      <c r="E1531" s="220"/>
      <c r="F1531" s="213"/>
      <c r="G1531" s="213"/>
      <c r="H1531" s="213"/>
      <c r="I1531" s="214"/>
      <c r="J1531" s="215"/>
      <c r="K1531" s="516"/>
      <c r="L1531" s="516"/>
      <c r="N1531" s="217"/>
      <c r="O1531" s="77"/>
      <c r="P1531" s="195"/>
      <c r="Q1531" s="77"/>
    </row>
    <row r="1532" ht="15.75" hidden="1" customHeight="1">
      <c r="A1532" s="142"/>
      <c r="B1532" s="142"/>
      <c r="C1532" s="220"/>
      <c r="D1532" s="142"/>
      <c r="E1532" s="220"/>
      <c r="F1532" s="213"/>
      <c r="G1532" s="213"/>
      <c r="H1532" s="213"/>
      <c r="I1532" s="214"/>
      <c r="J1532" s="215"/>
      <c r="K1532" s="516"/>
      <c r="L1532" s="516"/>
      <c r="N1532" s="217"/>
      <c r="O1532" s="77"/>
      <c r="P1532" s="195"/>
      <c r="Q1532" s="77"/>
    </row>
    <row r="1533" ht="15.75" hidden="1" customHeight="1">
      <c r="A1533" s="536"/>
      <c r="B1533" s="536"/>
      <c r="C1533" s="538"/>
      <c r="D1533" s="536"/>
      <c r="E1533" s="538"/>
      <c r="F1533" s="213"/>
      <c r="G1533" s="213"/>
      <c r="H1533" s="213"/>
      <c r="I1533" s="214"/>
      <c r="J1533" s="215"/>
      <c r="K1533" s="516"/>
      <c r="L1533" s="516"/>
      <c r="M1533" s="536"/>
      <c r="N1533" s="539"/>
      <c r="O1533" s="537"/>
      <c r="P1533" s="540"/>
      <c r="Q1533" s="77"/>
    </row>
    <row r="1534" ht="15.75" hidden="1" customHeight="1">
      <c r="A1534" s="536"/>
      <c r="B1534" s="536"/>
      <c r="C1534" s="538"/>
      <c r="D1534" s="536"/>
      <c r="E1534" s="538"/>
      <c r="F1534" s="213"/>
      <c r="G1534" s="213"/>
      <c r="H1534" s="213"/>
      <c r="I1534" s="214"/>
      <c r="J1534" s="541"/>
      <c r="K1534" s="542"/>
      <c r="L1534" s="542"/>
      <c r="M1534" s="536"/>
      <c r="N1534" s="539"/>
      <c r="O1534" s="537"/>
      <c r="P1534" s="540"/>
      <c r="Q1534" s="537"/>
    </row>
    <row r="1535" ht="15.75" hidden="1" customHeight="1">
      <c r="A1535" s="536"/>
      <c r="B1535" s="536"/>
      <c r="C1535" s="538"/>
      <c r="D1535" s="536"/>
      <c r="E1535" s="538"/>
      <c r="F1535" s="213"/>
      <c r="G1535" s="213"/>
      <c r="H1535" s="213"/>
      <c r="I1535" s="214"/>
      <c r="J1535" s="541"/>
      <c r="K1535" s="542"/>
      <c r="L1535" s="542"/>
      <c r="M1535" s="536"/>
      <c r="N1535" s="539"/>
      <c r="O1535" s="537"/>
      <c r="P1535" s="540"/>
      <c r="Q1535" s="537"/>
    </row>
    <row r="1536" ht="15.75" hidden="1" customHeight="1">
      <c r="A1536" s="142"/>
      <c r="B1536" s="142"/>
      <c r="C1536" s="220"/>
      <c r="D1536" s="142"/>
      <c r="E1536" s="220"/>
      <c r="F1536" s="213"/>
      <c r="G1536" s="213"/>
      <c r="H1536" s="213"/>
      <c r="I1536" s="214"/>
      <c r="J1536" s="541"/>
      <c r="K1536" s="542"/>
      <c r="L1536" s="542"/>
      <c r="N1536" s="217"/>
      <c r="O1536" s="77"/>
      <c r="P1536" s="195"/>
      <c r="Q1536" s="537"/>
    </row>
    <row r="1537" ht="15.75" hidden="1" customHeight="1">
      <c r="A1537" s="536"/>
      <c r="B1537" s="536"/>
      <c r="C1537" s="538"/>
      <c r="D1537" s="536"/>
      <c r="E1537" s="538"/>
      <c r="F1537" s="213"/>
      <c r="G1537" s="213"/>
      <c r="H1537" s="213"/>
      <c r="I1537" s="214"/>
      <c r="J1537" s="215"/>
      <c r="K1537" s="516"/>
      <c r="L1537" s="516"/>
      <c r="M1537" s="536"/>
      <c r="N1537" s="539"/>
      <c r="O1537" s="537"/>
      <c r="P1537" s="540"/>
      <c r="Q1537" s="77"/>
    </row>
    <row r="1538" ht="15.75" hidden="1" customHeight="1">
      <c r="A1538" s="142"/>
      <c r="B1538" s="142"/>
      <c r="C1538" s="220"/>
      <c r="D1538" s="142"/>
      <c r="E1538" s="220"/>
      <c r="F1538" s="213"/>
      <c r="G1538" s="213"/>
      <c r="H1538" s="213"/>
      <c r="I1538" s="214"/>
      <c r="J1538" s="541"/>
      <c r="K1538" s="542"/>
      <c r="L1538" s="542"/>
      <c r="N1538" s="217"/>
      <c r="O1538" s="77"/>
      <c r="P1538" s="195"/>
      <c r="Q1538" s="537"/>
    </row>
    <row r="1539" ht="15.75" hidden="1" customHeight="1">
      <c r="A1539" s="536"/>
      <c r="B1539" s="536"/>
      <c r="C1539" s="538"/>
      <c r="D1539" s="536"/>
      <c r="E1539" s="538"/>
      <c r="F1539" s="213"/>
      <c r="G1539" s="213"/>
      <c r="H1539" s="213"/>
      <c r="I1539" s="214"/>
      <c r="J1539" s="215"/>
      <c r="K1539" s="516"/>
      <c r="L1539" s="516"/>
      <c r="M1539" s="536"/>
      <c r="N1539" s="539"/>
      <c r="O1539" s="537"/>
      <c r="P1539" s="540"/>
      <c r="Q1539" s="77"/>
    </row>
    <row r="1540" ht="15.75" hidden="1" customHeight="1">
      <c r="A1540" s="536"/>
      <c r="B1540" s="536"/>
      <c r="C1540" s="538"/>
      <c r="D1540" s="536"/>
      <c r="E1540" s="538"/>
      <c r="F1540" s="213"/>
      <c r="G1540" s="213"/>
      <c r="H1540" s="213"/>
      <c r="I1540" s="214"/>
      <c r="J1540" s="541"/>
      <c r="K1540" s="542"/>
      <c r="L1540" s="542"/>
      <c r="M1540" s="536"/>
      <c r="N1540" s="539"/>
      <c r="O1540" s="537"/>
      <c r="P1540" s="540"/>
      <c r="Q1540" s="537"/>
    </row>
    <row r="1541" ht="15.75" hidden="1" customHeight="1">
      <c r="A1541" s="536"/>
      <c r="B1541" s="536"/>
      <c r="C1541" s="538"/>
      <c r="D1541" s="536"/>
      <c r="E1541" s="538"/>
      <c r="F1541" s="213"/>
      <c r="G1541" s="213"/>
      <c r="H1541" s="213"/>
      <c r="I1541" s="214"/>
      <c r="J1541" s="541"/>
      <c r="K1541" s="542"/>
      <c r="L1541" s="542"/>
      <c r="M1541" s="536"/>
      <c r="N1541" s="539"/>
      <c r="O1541" s="537"/>
      <c r="P1541" s="540"/>
      <c r="Q1541" s="537"/>
    </row>
    <row r="1542" ht="15.75" hidden="1" customHeight="1">
      <c r="A1542" s="536"/>
      <c r="B1542" s="536"/>
      <c r="C1542" s="538"/>
      <c r="D1542" s="536"/>
      <c r="E1542" s="538"/>
      <c r="F1542" s="213"/>
      <c r="G1542" s="213"/>
      <c r="H1542" s="213"/>
      <c r="I1542" s="214"/>
      <c r="J1542" s="541"/>
      <c r="K1542" s="542"/>
      <c r="L1542" s="542"/>
      <c r="M1542" s="536"/>
      <c r="N1542" s="539"/>
      <c r="O1542" s="537"/>
      <c r="P1542" s="540"/>
      <c r="Q1542" s="537"/>
    </row>
    <row r="1543" ht="15.75" hidden="1" customHeight="1">
      <c r="A1543" s="142"/>
      <c r="B1543" s="142"/>
      <c r="C1543" s="220"/>
      <c r="D1543" s="142"/>
      <c r="E1543" s="220"/>
      <c r="F1543" s="213"/>
      <c r="G1543" s="213"/>
      <c r="H1543" s="213"/>
      <c r="I1543" s="214"/>
      <c r="J1543" s="541"/>
      <c r="K1543" s="542"/>
      <c r="L1543" s="542"/>
      <c r="N1543" s="217"/>
      <c r="O1543" s="77"/>
      <c r="P1543" s="195"/>
      <c r="Q1543" s="537"/>
    </row>
    <row r="1544" ht="15.75" hidden="1" customHeight="1">
      <c r="A1544" s="536"/>
      <c r="B1544" s="536"/>
      <c r="C1544" s="538"/>
      <c r="D1544" s="536"/>
      <c r="E1544" s="538"/>
      <c r="F1544" s="213"/>
      <c r="G1544" s="213"/>
      <c r="H1544" s="213"/>
      <c r="I1544" s="214"/>
      <c r="J1544" s="215"/>
      <c r="K1544" s="516"/>
      <c r="L1544" s="516"/>
      <c r="M1544" s="536"/>
      <c r="N1544" s="539"/>
      <c r="O1544" s="537"/>
      <c r="P1544" s="540"/>
      <c r="Q1544" s="77"/>
    </row>
    <row r="1545" ht="15.75" hidden="1" customHeight="1">
      <c r="A1545" s="536"/>
      <c r="B1545" s="536"/>
      <c r="C1545" s="538"/>
      <c r="D1545" s="536"/>
      <c r="E1545" s="538"/>
      <c r="F1545" s="213"/>
      <c r="G1545" s="213"/>
      <c r="H1545" s="213"/>
      <c r="I1545" s="214"/>
      <c r="J1545" s="541"/>
      <c r="K1545" s="542"/>
      <c r="L1545" s="542"/>
      <c r="M1545" s="536"/>
      <c r="N1545" s="539"/>
      <c r="O1545" s="537"/>
      <c r="P1545" s="540"/>
      <c r="Q1545" s="537"/>
    </row>
    <row r="1546" ht="15.75" hidden="1" customHeight="1">
      <c r="A1546" s="536"/>
      <c r="B1546" s="536"/>
      <c r="C1546" s="538"/>
      <c r="D1546" s="536"/>
      <c r="E1546" s="538"/>
      <c r="F1546" s="213"/>
      <c r="G1546" s="213"/>
      <c r="H1546" s="213"/>
      <c r="I1546" s="214"/>
      <c r="J1546" s="541"/>
      <c r="K1546" s="542"/>
      <c r="L1546" s="542"/>
      <c r="M1546" s="536"/>
      <c r="N1546" s="539"/>
      <c r="O1546" s="537"/>
      <c r="P1546" s="540"/>
      <c r="Q1546" s="537"/>
    </row>
    <row r="1547" ht="15.75" hidden="1" customHeight="1">
      <c r="A1547" s="142"/>
      <c r="B1547" s="142"/>
      <c r="C1547" s="220"/>
      <c r="D1547" s="142"/>
      <c r="E1547" s="220"/>
      <c r="F1547" s="213"/>
      <c r="G1547" s="213"/>
      <c r="H1547" s="213"/>
      <c r="I1547" s="214"/>
      <c r="J1547" s="541"/>
      <c r="K1547" s="542"/>
      <c r="L1547" s="542"/>
      <c r="N1547" s="217"/>
      <c r="O1547" s="77"/>
      <c r="P1547" s="195"/>
      <c r="Q1547" s="537"/>
    </row>
    <row r="1548" ht="15.75" hidden="1" customHeight="1">
      <c r="A1548" s="142"/>
      <c r="B1548" s="142"/>
      <c r="C1548" s="220"/>
      <c r="D1548" s="142"/>
      <c r="E1548" s="220"/>
      <c r="F1548" s="213"/>
      <c r="G1548" s="213"/>
      <c r="H1548" s="213"/>
      <c r="I1548" s="214"/>
      <c r="J1548" s="215"/>
      <c r="K1548" s="516"/>
      <c r="L1548" s="516"/>
      <c r="N1548" s="217"/>
      <c r="O1548" s="77"/>
      <c r="P1548" s="195"/>
      <c r="Q1548" s="77"/>
    </row>
    <row r="1549" ht="15.75" hidden="1" customHeight="1">
      <c r="A1549" s="536"/>
      <c r="B1549" s="536"/>
      <c r="C1549" s="538"/>
      <c r="D1549" s="536"/>
      <c r="E1549" s="538"/>
      <c r="F1549" s="213"/>
      <c r="G1549" s="213"/>
      <c r="H1549" s="213"/>
      <c r="I1549" s="214"/>
      <c r="J1549" s="215"/>
      <c r="K1549" s="516"/>
      <c r="L1549" s="516"/>
      <c r="M1549" s="536"/>
      <c r="N1549" s="539"/>
      <c r="O1549" s="537"/>
      <c r="P1549" s="540"/>
      <c r="Q1549" s="77"/>
    </row>
    <row r="1550" ht="15.75" hidden="1" customHeight="1">
      <c r="A1550" s="142"/>
      <c r="B1550" s="142"/>
      <c r="C1550" s="220"/>
      <c r="D1550" s="142"/>
      <c r="E1550" s="220"/>
      <c r="F1550" s="213"/>
      <c r="G1550" s="213"/>
      <c r="H1550" s="213"/>
      <c r="I1550" s="214"/>
      <c r="J1550" s="541"/>
      <c r="K1550" s="542"/>
      <c r="L1550" s="542"/>
      <c r="N1550" s="217"/>
      <c r="O1550" s="77"/>
      <c r="P1550" s="195"/>
      <c r="Q1550" s="537"/>
    </row>
    <row r="1551" ht="15.75" hidden="1" customHeight="1">
      <c r="A1551" s="142"/>
      <c r="B1551" s="142"/>
      <c r="C1551" s="220"/>
      <c r="D1551" s="142"/>
      <c r="E1551" s="220"/>
      <c r="F1551" s="213"/>
      <c r="G1551" s="213"/>
      <c r="H1551" s="213"/>
      <c r="I1551" s="214"/>
      <c r="J1551" s="215"/>
      <c r="K1551" s="516"/>
      <c r="L1551" s="516"/>
      <c r="N1551" s="217"/>
      <c r="O1551" s="77"/>
      <c r="P1551" s="195"/>
      <c r="Q1551" s="77"/>
    </row>
    <row r="1552" ht="15.75" hidden="1" customHeight="1">
      <c r="A1552" s="142"/>
      <c r="B1552" s="142"/>
      <c r="C1552" s="220"/>
      <c r="D1552" s="142"/>
      <c r="E1552" s="220"/>
      <c r="F1552" s="213"/>
      <c r="G1552" s="213"/>
      <c r="H1552" s="213"/>
      <c r="I1552" s="214"/>
      <c r="J1552" s="215"/>
      <c r="K1552" s="516"/>
      <c r="L1552" s="516"/>
      <c r="N1552" s="217"/>
      <c r="O1552" s="77"/>
      <c r="P1552" s="195"/>
      <c r="Q1552" s="77"/>
      <c r="R1552" s="544"/>
      <c r="S1552" s="544"/>
    </row>
    <row r="1553" ht="15.75" hidden="1" customHeight="1">
      <c r="A1553" s="142"/>
      <c r="B1553" s="142"/>
      <c r="C1553" s="220"/>
      <c r="D1553" s="142"/>
      <c r="E1553" s="220"/>
      <c r="F1553" s="213"/>
      <c r="G1553" s="213"/>
      <c r="H1553" s="213"/>
      <c r="I1553" s="214"/>
      <c r="J1553" s="215"/>
      <c r="K1553" s="516"/>
      <c r="L1553" s="516"/>
      <c r="N1553" s="217"/>
      <c r="O1553" s="77"/>
      <c r="P1553" s="195"/>
      <c r="Q1553" s="77"/>
    </row>
    <row r="1554" ht="15.75" hidden="1" customHeight="1">
      <c r="A1554" s="142"/>
      <c r="B1554" s="142"/>
      <c r="C1554" s="220"/>
      <c r="D1554" s="142"/>
      <c r="E1554" s="220"/>
      <c r="F1554" s="213"/>
      <c r="G1554" s="515"/>
      <c r="H1554" s="213"/>
      <c r="I1554" s="214"/>
      <c r="J1554" s="215"/>
      <c r="K1554" s="516"/>
      <c r="L1554" s="516"/>
      <c r="N1554" s="217"/>
      <c r="O1554" s="77"/>
      <c r="P1554" s="195"/>
      <c r="Q1554" s="77"/>
    </row>
    <row r="1555" ht="15.75" hidden="1" customHeight="1">
      <c r="A1555" s="142"/>
      <c r="B1555" s="142"/>
      <c r="C1555" s="220"/>
      <c r="D1555" s="142"/>
      <c r="E1555" s="220"/>
      <c r="F1555" s="213"/>
      <c r="G1555" s="213"/>
      <c r="H1555" s="213"/>
      <c r="I1555" s="214"/>
      <c r="J1555" s="215"/>
      <c r="K1555" s="516"/>
      <c r="L1555" s="516"/>
      <c r="N1555" s="217"/>
      <c r="O1555" s="77"/>
      <c r="P1555" s="195"/>
      <c r="Q1555" s="77"/>
    </row>
    <row r="1556" ht="15.75" hidden="1" customHeight="1">
      <c r="A1556" s="142"/>
      <c r="B1556" s="142"/>
      <c r="C1556" s="220"/>
      <c r="D1556" s="142"/>
      <c r="E1556" s="220"/>
      <c r="F1556" s="213"/>
      <c r="G1556" s="213"/>
      <c r="H1556" s="213"/>
      <c r="I1556" s="214"/>
      <c r="J1556" s="215"/>
      <c r="K1556" s="516"/>
      <c r="L1556" s="516"/>
      <c r="N1556" s="217"/>
      <c r="O1556" s="77"/>
      <c r="P1556" s="195"/>
      <c r="Q1556" s="77"/>
    </row>
    <row r="1557" ht="15.75" hidden="1" customHeight="1">
      <c r="A1557" s="142"/>
      <c r="B1557" s="142"/>
      <c r="C1557" s="220"/>
      <c r="D1557" s="142"/>
      <c r="E1557" s="220"/>
      <c r="F1557" s="213"/>
      <c r="G1557" s="213"/>
      <c r="H1557" s="213"/>
      <c r="I1557" s="214"/>
      <c r="J1557" s="215"/>
      <c r="K1557" s="516"/>
      <c r="L1557" s="516"/>
      <c r="N1557" s="217"/>
      <c r="O1557" s="77"/>
      <c r="P1557" s="195"/>
      <c r="Q1557" s="77"/>
    </row>
    <row r="1558" ht="15.75" hidden="1" customHeight="1">
      <c r="A1558" s="536"/>
      <c r="B1558" s="536"/>
      <c r="C1558" s="538"/>
      <c r="D1558" s="536"/>
      <c r="E1558" s="538"/>
      <c r="F1558" s="213"/>
      <c r="G1558" s="213"/>
      <c r="H1558" s="213"/>
      <c r="I1558" s="214"/>
      <c r="J1558" s="215"/>
      <c r="K1558" s="516"/>
      <c r="L1558" s="516"/>
      <c r="M1558" s="536"/>
      <c r="N1558" s="539"/>
      <c r="O1558" s="537"/>
      <c r="P1558" s="540"/>
      <c r="Q1558" s="77"/>
    </row>
    <row r="1559" ht="15.75" hidden="1" customHeight="1">
      <c r="A1559" s="536"/>
      <c r="B1559" s="536"/>
      <c r="C1559" s="538"/>
      <c r="D1559" s="536"/>
      <c r="E1559" s="538"/>
      <c r="F1559" s="213"/>
      <c r="G1559" s="213"/>
      <c r="H1559" s="213"/>
      <c r="I1559" s="214"/>
      <c r="J1559" s="541"/>
      <c r="K1559" s="542"/>
      <c r="L1559" s="542"/>
      <c r="M1559" s="536"/>
      <c r="N1559" s="539"/>
      <c r="O1559" s="537"/>
      <c r="P1559" s="540"/>
      <c r="Q1559" s="537"/>
    </row>
    <row r="1560" ht="15.75" hidden="1" customHeight="1">
      <c r="A1560" s="142"/>
      <c r="B1560" s="142"/>
      <c r="C1560" s="220"/>
      <c r="D1560" s="142"/>
      <c r="E1560" s="220"/>
      <c r="F1560" s="213"/>
      <c r="G1560" s="213"/>
      <c r="H1560" s="213"/>
      <c r="I1560" s="214"/>
      <c r="J1560" s="541"/>
      <c r="K1560" s="542"/>
      <c r="L1560" s="542"/>
      <c r="N1560" s="217"/>
      <c r="O1560" s="77"/>
      <c r="P1560" s="195"/>
      <c r="Q1560" s="537"/>
    </row>
    <row r="1561" ht="15.75" hidden="1" customHeight="1">
      <c r="A1561" s="536"/>
      <c r="B1561" s="536"/>
      <c r="C1561" s="538"/>
      <c r="D1561" s="536"/>
      <c r="E1561" s="538"/>
      <c r="F1561" s="213"/>
      <c r="G1561" s="213"/>
      <c r="H1561" s="213"/>
      <c r="I1561" s="214"/>
      <c r="J1561" s="215"/>
      <c r="K1561" s="516"/>
      <c r="L1561" s="516"/>
      <c r="M1561" s="536"/>
      <c r="N1561" s="539"/>
      <c r="O1561" s="537"/>
      <c r="P1561" s="540"/>
      <c r="Q1561" s="77"/>
      <c r="U1561" s="142" t="s">
        <v>1932</v>
      </c>
    </row>
    <row r="1562" ht="15.75" hidden="1" customHeight="1">
      <c r="A1562" s="536"/>
      <c r="B1562" s="536"/>
      <c r="C1562" s="538"/>
      <c r="D1562" s="536"/>
      <c r="E1562" s="538"/>
      <c r="F1562" s="213"/>
      <c r="G1562" s="213"/>
      <c r="H1562" s="213"/>
      <c r="I1562" s="214"/>
      <c r="J1562" s="541"/>
      <c r="K1562" s="542"/>
      <c r="L1562" s="542"/>
      <c r="M1562" s="536"/>
      <c r="N1562" s="539"/>
      <c r="O1562" s="537"/>
      <c r="P1562" s="540"/>
      <c r="Q1562" s="537"/>
    </row>
    <row r="1563" ht="15.75" hidden="1" customHeight="1">
      <c r="A1563" s="536"/>
      <c r="B1563" s="536"/>
      <c r="C1563" s="538"/>
      <c r="D1563" s="536"/>
      <c r="E1563" s="538"/>
      <c r="F1563" s="213"/>
      <c r="G1563" s="213"/>
      <c r="H1563" s="213"/>
      <c r="I1563" s="214"/>
      <c r="J1563" s="541"/>
      <c r="K1563" s="542"/>
      <c r="L1563" s="542"/>
      <c r="M1563" s="536"/>
      <c r="N1563" s="423"/>
      <c r="O1563" s="537"/>
      <c r="P1563" s="540"/>
      <c r="Q1563" s="537"/>
    </row>
    <row r="1564" ht="15.75" hidden="1" customHeight="1">
      <c r="A1564" s="536"/>
      <c r="B1564" s="536"/>
      <c r="C1564" s="538"/>
      <c r="D1564" s="536"/>
      <c r="E1564" s="538"/>
      <c r="F1564" s="213"/>
      <c r="G1564" s="213"/>
      <c r="H1564" s="213"/>
      <c r="I1564" s="214"/>
      <c r="J1564" s="541"/>
      <c r="K1564" s="542"/>
      <c r="L1564" s="542"/>
      <c r="M1564" s="536"/>
      <c r="N1564" s="539"/>
      <c r="O1564" s="537"/>
      <c r="P1564" s="540"/>
      <c r="Q1564" s="537"/>
      <c r="R1564" s="257"/>
      <c r="S1564" s="257"/>
    </row>
    <row r="1565" ht="15.75" hidden="1" customHeight="1">
      <c r="A1565" s="536"/>
      <c r="B1565" s="536"/>
      <c r="C1565" s="538"/>
      <c r="D1565" s="536"/>
      <c r="E1565" s="538"/>
      <c r="F1565" s="213"/>
      <c r="G1565" s="213"/>
      <c r="H1565" s="213"/>
      <c r="I1565" s="214"/>
      <c r="J1565" s="541"/>
      <c r="K1565" s="542"/>
      <c r="L1565" s="542"/>
      <c r="M1565" s="536"/>
      <c r="N1565" s="539"/>
      <c r="O1565" s="537"/>
      <c r="P1565" s="540"/>
      <c r="Q1565" s="537"/>
    </row>
    <row r="1566" ht="15.75" hidden="1" customHeight="1">
      <c r="A1566" s="142"/>
      <c r="B1566" s="142"/>
      <c r="C1566" s="220"/>
      <c r="D1566" s="142"/>
      <c r="E1566" s="220"/>
      <c r="F1566" s="213"/>
      <c r="G1566" s="213"/>
      <c r="H1566" s="213"/>
      <c r="I1566" s="214"/>
      <c r="J1566" s="541"/>
      <c r="K1566" s="542"/>
      <c r="L1566" s="542"/>
      <c r="N1566" s="539"/>
      <c r="O1566" s="77"/>
      <c r="P1566" s="195"/>
      <c r="Q1566" s="537"/>
    </row>
    <row r="1567" ht="15.75" hidden="1" customHeight="1">
      <c r="A1567" s="536"/>
      <c r="B1567" s="536"/>
      <c r="C1567" s="538"/>
      <c r="D1567" s="536"/>
      <c r="E1567" s="538"/>
      <c r="F1567" s="213"/>
      <c r="G1567" s="213"/>
      <c r="H1567" s="213"/>
      <c r="I1567" s="214"/>
      <c r="J1567" s="215"/>
      <c r="K1567" s="516"/>
      <c r="L1567" s="516"/>
      <c r="M1567" s="536"/>
      <c r="N1567" s="539"/>
      <c r="O1567" s="537"/>
      <c r="P1567" s="540"/>
      <c r="Q1567" s="77"/>
    </row>
    <row r="1568" ht="15.75" hidden="1" customHeight="1">
      <c r="A1568" s="142"/>
      <c r="B1568" s="142"/>
      <c r="C1568" s="220"/>
      <c r="D1568" s="142"/>
      <c r="E1568" s="220"/>
      <c r="F1568" s="213"/>
      <c r="G1568" s="213"/>
      <c r="H1568" s="213"/>
      <c r="I1568" s="214"/>
      <c r="J1568" s="541"/>
      <c r="K1568" s="542"/>
      <c r="L1568" s="542"/>
      <c r="N1568" s="517"/>
      <c r="O1568" s="77"/>
      <c r="P1568" s="195"/>
      <c r="Q1568" s="537"/>
    </row>
    <row r="1569" ht="15.75" hidden="1" customHeight="1">
      <c r="A1569" s="536"/>
      <c r="B1569" s="536"/>
      <c r="C1569" s="538"/>
      <c r="D1569" s="536"/>
      <c r="E1569" s="538"/>
      <c r="F1569" s="213"/>
      <c r="G1569" s="213"/>
      <c r="H1569" s="213"/>
      <c r="I1569" s="214"/>
      <c r="J1569" s="215"/>
      <c r="K1569" s="516"/>
      <c r="L1569" s="516"/>
      <c r="M1569" s="536"/>
      <c r="N1569" s="341"/>
      <c r="O1569" s="537"/>
      <c r="P1569" s="540"/>
      <c r="Q1569" s="77"/>
    </row>
    <row r="1570" ht="15.75" hidden="1" customHeight="1">
      <c r="A1570" s="536"/>
      <c r="B1570" s="536"/>
      <c r="C1570" s="538"/>
      <c r="D1570" s="536"/>
      <c r="E1570" s="538"/>
      <c r="F1570" s="213"/>
      <c r="G1570" s="213"/>
      <c r="H1570" s="213"/>
      <c r="I1570" s="214"/>
      <c r="J1570" s="541"/>
      <c r="K1570" s="542"/>
      <c r="L1570" s="542"/>
      <c r="M1570" s="536"/>
      <c r="N1570" s="539"/>
      <c r="O1570" s="537"/>
      <c r="P1570" s="540"/>
      <c r="Q1570" s="537"/>
    </row>
    <row r="1571" ht="15.75" hidden="1" customHeight="1">
      <c r="A1571" s="536"/>
      <c r="B1571" s="536"/>
      <c r="C1571" s="538"/>
      <c r="D1571" s="536"/>
      <c r="E1571" s="538"/>
      <c r="F1571" s="213"/>
      <c r="G1571" s="213"/>
      <c r="H1571" s="213"/>
      <c r="I1571" s="214"/>
      <c r="J1571" s="541"/>
      <c r="K1571" s="542"/>
      <c r="L1571" s="542"/>
      <c r="M1571" s="536"/>
      <c r="N1571" s="539"/>
      <c r="O1571" s="537"/>
      <c r="P1571" s="540"/>
      <c r="Q1571" s="537"/>
    </row>
    <row r="1572" ht="15.75" hidden="1" customHeight="1">
      <c r="A1572" s="536"/>
      <c r="B1572" s="536"/>
      <c r="C1572" s="538"/>
      <c r="D1572" s="536"/>
      <c r="E1572" s="538"/>
      <c r="F1572" s="213"/>
      <c r="G1572" s="213"/>
      <c r="H1572" s="213"/>
      <c r="I1572" s="214"/>
      <c r="J1572" s="541"/>
      <c r="K1572" s="542"/>
      <c r="L1572" s="542"/>
      <c r="M1572" s="536"/>
      <c r="N1572" s="539"/>
      <c r="O1572" s="537"/>
      <c r="P1572" s="540"/>
      <c r="Q1572" s="537"/>
      <c r="T1572" s="536" t="s">
        <v>1933</v>
      </c>
    </row>
    <row r="1573" ht="15.75" hidden="1" customHeight="1">
      <c r="A1573" s="536"/>
      <c r="B1573" s="536"/>
      <c r="C1573" s="538"/>
      <c r="D1573" s="536"/>
      <c r="E1573" s="538"/>
      <c r="F1573" s="213"/>
      <c r="G1573" s="213"/>
      <c r="H1573" s="213"/>
      <c r="I1573" s="214"/>
      <c r="J1573" s="541"/>
      <c r="K1573" s="542"/>
      <c r="L1573" s="542"/>
      <c r="M1573" s="536"/>
      <c r="N1573" s="539"/>
      <c r="O1573" s="537"/>
      <c r="P1573" s="540"/>
      <c r="Q1573" s="537"/>
    </row>
    <row r="1574" ht="15.75" hidden="1" customHeight="1">
      <c r="A1574" s="536"/>
      <c r="B1574" s="536"/>
      <c r="C1574" s="538"/>
      <c r="D1574" s="536"/>
      <c r="E1574" s="538"/>
      <c r="F1574" s="213"/>
      <c r="G1574" s="213"/>
      <c r="H1574" s="213"/>
      <c r="I1574" s="214"/>
      <c r="J1574" s="541"/>
      <c r="K1574" s="542"/>
      <c r="L1574" s="542"/>
      <c r="M1574" s="536"/>
      <c r="N1574" s="539"/>
      <c r="O1574" s="537"/>
      <c r="P1574" s="540"/>
      <c r="Q1574" s="537"/>
    </row>
    <row r="1575" ht="15.75" hidden="1" customHeight="1">
      <c r="A1575" s="536"/>
      <c r="B1575" s="536"/>
      <c r="C1575" s="538"/>
      <c r="D1575" s="536"/>
      <c r="E1575" s="538"/>
      <c r="F1575" s="213"/>
      <c r="G1575" s="213"/>
      <c r="H1575" s="213"/>
      <c r="I1575" s="214"/>
      <c r="J1575" s="541"/>
      <c r="K1575" s="542"/>
      <c r="L1575" s="542"/>
      <c r="M1575" s="536"/>
      <c r="N1575" s="539"/>
      <c r="O1575" s="537"/>
      <c r="P1575" s="540"/>
      <c r="Q1575" s="537"/>
    </row>
    <row r="1576" ht="15.75" hidden="1" customHeight="1">
      <c r="A1576" s="536"/>
      <c r="B1576" s="536"/>
      <c r="C1576" s="538"/>
      <c r="D1576" s="536"/>
      <c r="E1576" s="538"/>
      <c r="F1576" s="213"/>
      <c r="G1576" s="213"/>
      <c r="H1576" s="213"/>
      <c r="I1576" s="214"/>
      <c r="J1576" s="541"/>
      <c r="K1576" s="542"/>
      <c r="L1576" s="542"/>
      <c r="M1576" s="536"/>
      <c r="N1576" s="539"/>
      <c r="O1576" s="537"/>
      <c r="P1576" s="540"/>
      <c r="Q1576" s="537"/>
      <c r="T1576" s="545" t="s">
        <v>1934</v>
      </c>
    </row>
    <row r="1577" ht="15.75" hidden="1" customHeight="1">
      <c r="A1577" s="536"/>
      <c r="B1577" s="536"/>
      <c r="C1577" s="538"/>
      <c r="D1577" s="536"/>
      <c r="E1577" s="538"/>
      <c r="F1577" s="213"/>
      <c r="G1577" s="213"/>
      <c r="H1577" s="213"/>
      <c r="I1577" s="214"/>
      <c r="J1577" s="541"/>
      <c r="K1577" s="542"/>
      <c r="L1577" s="542"/>
      <c r="M1577" s="536"/>
      <c r="N1577" s="539"/>
      <c r="O1577" s="537"/>
      <c r="P1577" s="540"/>
      <c r="Q1577" s="537"/>
    </row>
    <row r="1578" ht="15.75" hidden="1" customHeight="1">
      <c r="A1578" s="142"/>
      <c r="B1578" s="142"/>
      <c r="C1578" s="220"/>
      <c r="D1578" s="142"/>
      <c r="E1578" s="220"/>
      <c r="F1578" s="213"/>
      <c r="G1578" s="213"/>
      <c r="H1578" s="213"/>
      <c r="I1578" s="214"/>
      <c r="J1578" s="541"/>
      <c r="K1578" s="542"/>
      <c r="L1578" s="542"/>
      <c r="N1578" s="539"/>
      <c r="O1578" s="77"/>
      <c r="P1578" s="195"/>
      <c r="Q1578" s="537"/>
    </row>
    <row r="1579" ht="15.75" hidden="1" customHeight="1">
      <c r="A1579" s="142"/>
      <c r="B1579" s="142"/>
      <c r="C1579" s="220"/>
      <c r="D1579" s="142"/>
      <c r="E1579" s="220"/>
      <c r="F1579" s="213"/>
      <c r="G1579" s="213"/>
      <c r="H1579" s="213"/>
      <c r="I1579" s="214"/>
      <c r="J1579" s="215"/>
      <c r="K1579" s="516"/>
      <c r="L1579" s="516"/>
      <c r="N1579" s="539"/>
      <c r="O1579" s="77"/>
      <c r="P1579" s="195"/>
      <c r="Q1579" s="77"/>
    </row>
    <row r="1580" ht="15.75" hidden="1" customHeight="1">
      <c r="A1580" s="536"/>
      <c r="B1580" s="536"/>
      <c r="C1580" s="538"/>
      <c r="D1580" s="536"/>
      <c r="E1580" s="538"/>
      <c r="F1580" s="213"/>
      <c r="G1580" s="213"/>
      <c r="H1580" s="213"/>
      <c r="I1580" s="214"/>
      <c r="J1580" s="215"/>
      <c r="K1580" s="516"/>
      <c r="L1580" s="516"/>
      <c r="M1580" s="536"/>
      <c r="N1580" s="539"/>
      <c r="O1580" s="537"/>
      <c r="P1580" s="540"/>
      <c r="Q1580" s="77"/>
    </row>
    <row r="1581" ht="15.75" hidden="1" customHeight="1">
      <c r="A1581" s="142"/>
      <c r="B1581" s="142"/>
      <c r="C1581" s="220"/>
      <c r="D1581" s="142"/>
      <c r="E1581" s="220"/>
      <c r="F1581" s="213"/>
      <c r="G1581" s="213"/>
      <c r="H1581" s="213"/>
      <c r="I1581" s="214"/>
      <c r="J1581" s="541"/>
      <c r="K1581" s="542"/>
      <c r="L1581" s="542"/>
      <c r="N1581" s="539"/>
      <c r="O1581" s="77"/>
      <c r="P1581" s="195"/>
      <c r="Q1581" s="537"/>
    </row>
    <row r="1582" ht="15.75" hidden="1" customHeight="1">
      <c r="A1582" s="536"/>
      <c r="B1582" s="536"/>
      <c r="C1582" s="538"/>
      <c r="D1582" s="536"/>
      <c r="E1582" s="538"/>
      <c r="F1582" s="213"/>
      <c r="G1582" s="213"/>
      <c r="H1582" s="213"/>
      <c r="I1582" s="214"/>
      <c r="J1582" s="215"/>
      <c r="K1582" s="516"/>
      <c r="L1582" s="516"/>
      <c r="M1582" s="536"/>
      <c r="N1582" s="539"/>
      <c r="O1582" s="537"/>
      <c r="P1582" s="540"/>
      <c r="Q1582" s="77"/>
    </row>
    <row r="1583" ht="15.75" hidden="1" customHeight="1">
      <c r="A1583" s="142"/>
      <c r="B1583" s="142"/>
      <c r="C1583" s="220"/>
      <c r="D1583" s="142"/>
      <c r="E1583" s="220"/>
      <c r="F1583" s="213"/>
      <c r="G1583" s="213"/>
      <c r="H1583" s="213"/>
      <c r="I1583" s="214"/>
      <c r="J1583" s="541"/>
      <c r="K1583" s="542"/>
      <c r="L1583" s="542"/>
      <c r="N1583" s="539"/>
      <c r="O1583" s="77"/>
      <c r="P1583" s="195"/>
      <c r="Q1583" s="537"/>
    </row>
    <row r="1584" ht="15.75" hidden="1" customHeight="1">
      <c r="A1584" s="142"/>
      <c r="B1584" s="142"/>
      <c r="C1584" s="220"/>
      <c r="D1584" s="142"/>
      <c r="E1584" s="220"/>
      <c r="F1584" s="213"/>
      <c r="G1584" s="213"/>
      <c r="H1584" s="213"/>
      <c r="I1584" s="214"/>
      <c r="J1584" s="215"/>
      <c r="K1584" s="516"/>
      <c r="L1584" s="516"/>
      <c r="N1584" s="539"/>
      <c r="O1584" s="77"/>
      <c r="P1584" s="195"/>
      <c r="Q1584" s="77"/>
    </row>
    <row r="1585" ht="15.75" hidden="1" customHeight="1">
      <c r="A1585" s="142"/>
      <c r="B1585" s="142"/>
      <c r="C1585" s="220"/>
      <c r="D1585" s="142"/>
      <c r="E1585" s="220"/>
      <c r="F1585" s="213"/>
      <c r="G1585" s="213"/>
      <c r="H1585" s="213"/>
      <c r="I1585" s="214"/>
      <c r="J1585" s="215"/>
      <c r="K1585" s="257"/>
      <c r="L1585" s="257"/>
      <c r="N1585" s="539"/>
      <c r="O1585" s="77"/>
      <c r="P1585" s="195"/>
      <c r="Q1585" s="77"/>
    </row>
    <row r="1586" ht="15.75" hidden="1" customHeight="1">
      <c r="A1586" s="142"/>
      <c r="B1586" s="142"/>
      <c r="C1586" s="220"/>
      <c r="D1586" s="142"/>
      <c r="E1586" s="220"/>
      <c r="F1586" s="213"/>
      <c r="G1586" s="213"/>
      <c r="H1586" s="213"/>
      <c r="I1586" s="214"/>
      <c r="J1586" s="215"/>
      <c r="K1586" s="516"/>
      <c r="L1586" s="516"/>
      <c r="N1586" s="539"/>
      <c r="O1586" s="77"/>
      <c r="P1586" s="195"/>
      <c r="Q1586" s="77"/>
    </row>
    <row r="1587" ht="15.75" hidden="1" customHeight="1">
      <c r="A1587" s="536"/>
      <c r="B1587" s="536"/>
      <c r="C1587" s="538"/>
      <c r="D1587" s="536"/>
      <c r="E1587" s="538"/>
      <c r="F1587" s="213"/>
      <c r="G1587" s="213"/>
      <c r="H1587" s="213"/>
      <c r="I1587" s="214"/>
      <c r="J1587" s="215"/>
      <c r="K1587" s="516"/>
      <c r="L1587" s="516"/>
      <c r="M1587" s="536"/>
      <c r="N1587" s="423"/>
      <c r="O1587" s="537"/>
      <c r="P1587" s="540"/>
      <c r="Q1587" s="77"/>
    </row>
    <row r="1588" ht="15.75" hidden="1" customHeight="1">
      <c r="A1588" s="536"/>
      <c r="B1588" s="536"/>
      <c r="C1588" s="538"/>
      <c r="D1588" s="536"/>
      <c r="E1588" s="538"/>
      <c r="F1588" s="213"/>
      <c r="G1588" s="213"/>
      <c r="H1588" s="213"/>
      <c r="I1588" s="214"/>
      <c r="J1588" s="541"/>
      <c r="K1588" s="542"/>
      <c r="L1588" s="542"/>
      <c r="M1588" s="536"/>
      <c r="N1588" s="539"/>
      <c r="O1588" s="537"/>
      <c r="P1588" s="540"/>
      <c r="Q1588" s="537"/>
    </row>
    <row r="1589" ht="15.75" hidden="1" customHeight="1">
      <c r="A1589" s="536"/>
      <c r="B1589" s="536"/>
      <c r="C1589" s="538"/>
      <c r="D1589" s="536"/>
      <c r="E1589" s="538"/>
      <c r="F1589" s="213"/>
      <c r="G1589" s="213"/>
      <c r="H1589" s="213"/>
      <c r="I1589" s="214"/>
      <c r="J1589" s="541"/>
      <c r="K1589" s="542"/>
      <c r="L1589" s="542"/>
      <c r="M1589" s="536"/>
      <c r="N1589" s="539"/>
      <c r="O1589" s="537"/>
      <c r="P1589" s="540"/>
      <c r="Q1589" s="537"/>
    </row>
    <row r="1590" ht="15.75" hidden="1" customHeight="1">
      <c r="A1590" s="536"/>
      <c r="B1590" s="536"/>
      <c r="C1590" s="538"/>
      <c r="D1590" s="536"/>
      <c r="E1590" s="538"/>
      <c r="F1590" s="213"/>
      <c r="G1590" s="213"/>
      <c r="H1590" s="213"/>
      <c r="I1590" s="214"/>
      <c r="J1590" s="541"/>
      <c r="K1590" s="542"/>
      <c r="L1590" s="542"/>
      <c r="M1590" s="536"/>
      <c r="N1590" s="539"/>
      <c r="O1590" s="537"/>
      <c r="P1590" s="540"/>
      <c r="Q1590" s="537"/>
    </row>
    <row r="1591" ht="15.75" hidden="1" customHeight="1">
      <c r="A1591" s="142"/>
      <c r="B1591" s="142"/>
      <c r="C1591" s="220"/>
      <c r="D1591" s="142"/>
      <c r="E1591" s="220"/>
      <c r="F1591" s="213"/>
      <c r="G1591" s="213"/>
      <c r="H1591" s="213"/>
      <c r="I1591" s="214"/>
      <c r="J1591" s="541"/>
      <c r="K1591" s="542"/>
      <c r="L1591" s="542"/>
      <c r="N1591" s="539"/>
      <c r="O1591" s="77"/>
      <c r="P1591" s="195"/>
      <c r="Q1591" s="537"/>
    </row>
    <row r="1592" ht="15.75" hidden="1" customHeight="1">
      <c r="A1592" s="536"/>
      <c r="B1592" s="536"/>
      <c r="C1592" s="538"/>
      <c r="D1592" s="536"/>
      <c r="E1592" s="538"/>
      <c r="F1592" s="213"/>
      <c r="G1592" s="213"/>
      <c r="H1592" s="213"/>
      <c r="I1592" s="214"/>
      <c r="J1592" s="215"/>
      <c r="K1592" s="516"/>
      <c r="L1592" s="516"/>
      <c r="M1592" s="536"/>
      <c r="N1592" s="539"/>
      <c r="O1592" s="537"/>
      <c r="P1592" s="540"/>
      <c r="Q1592" s="77"/>
    </row>
    <row r="1593" ht="15.75" hidden="1" customHeight="1">
      <c r="A1593" s="536"/>
      <c r="B1593" s="536"/>
      <c r="C1593" s="538"/>
      <c r="D1593" s="536"/>
      <c r="E1593" s="538"/>
      <c r="F1593" s="213"/>
      <c r="G1593" s="213"/>
      <c r="H1593" s="213"/>
      <c r="I1593" s="214"/>
      <c r="J1593" s="541"/>
      <c r="K1593" s="542"/>
      <c r="L1593" s="542"/>
      <c r="M1593" s="536"/>
      <c r="N1593" s="539"/>
      <c r="O1593" s="537"/>
      <c r="P1593" s="540"/>
      <c r="Q1593" s="537"/>
    </row>
    <row r="1594" ht="15.75" hidden="1" customHeight="1">
      <c r="A1594" s="536"/>
      <c r="B1594" s="536"/>
      <c r="C1594" s="538"/>
      <c r="D1594" s="536"/>
      <c r="E1594" s="538"/>
      <c r="F1594" s="213"/>
      <c r="G1594" s="213"/>
      <c r="H1594" s="213"/>
      <c r="I1594" s="214"/>
      <c r="J1594" s="541"/>
      <c r="K1594" s="542"/>
      <c r="L1594" s="542"/>
      <c r="M1594" s="536"/>
      <c r="N1594" s="539"/>
      <c r="O1594" s="537"/>
      <c r="P1594" s="540"/>
      <c r="Q1594" s="537"/>
    </row>
    <row r="1595" ht="15.75" hidden="1" customHeight="1">
      <c r="A1595" s="142"/>
      <c r="B1595" s="142"/>
      <c r="C1595" s="220"/>
      <c r="D1595" s="142"/>
      <c r="E1595" s="220"/>
      <c r="F1595" s="213"/>
      <c r="G1595" s="213"/>
      <c r="H1595" s="213"/>
      <c r="I1595" s="214"/>
      <c r="J1595" s="541"/>
      <c r="K1595" s="542"/>
      <c r="L1595" s="542"/>
      <c r="N1595" s="539"/>
      <c r="O1595" s="546"/>
      <c r="P1595" s="547"/>
      <c r="Q1595" s="537"/>
    </row>
    <row r="1596" ht="15.75" hidden="1" customHeight="1">
      <c r="A1596" s="536"/>
      <c r="B1596" s="536"/>
      <c r="C1596" s="538"/>
      <c r="D1596" s="536"/>
      <c r="E1596" s="538"/>
      <c r="F1596" s="213"/>
      <c r="G1596" s="213"/>
      <c r="H1596" s="213"/>
      <c r="I1596" s="214"/>
      <c r="J1596" s="215"/>
      <c r="K1596" s="516"/>
      <c r="L1596" s="516"/>
      <c r="M1596" s="536"/>
      <c r="N1596" s="539"/>
      <c r="O1596" s="537"/>
      <c r="P1596" s="540"/>
      <c r="Q1596" s="546"/>
    </row>
    <row r="1597" ht="15.75" hidden="1" customHeight="1">
      <c r="A1597" s="142"/>
      <c r="B1597" s="142"/>
      <c r="C1597" s="220"/>
      <c r="D1597" s="142"/>
      <c r="E1597" s="220"/>
      <c r="F1597" s="213"/>
      <c r="G1597" s="213"/>
      <c r="H1597" s="213"/>
      <c r="I1597" s="214"/>
      <c r="J1597" s="541"/>
      <c r="K1597" s="542"/>
      <c r="L1597" s="542"/>
      <c r="N1597" s="539"/>
      <c r="O1597" s="77"/>
      <c r="P1597" s="195"/>
      <c r="Q1597" s="537"/>
    </row>
    <row r="1598" ht="15.75" hidden="1" customHeight="1">
      <c r="A1598" s="536"/>
      <c r="B1598" s="536"/>
      <c r="C1598" s="538"/>
      <c r="D1598" s="536"/>
      <c r="E1598" s="538"/>
      <c r="F1598" s="213"/>
      <c r="G1598" s="213"/>
      <c r="H1598" s="213"/>
      <c r="I1598" s="214"/>
      <c r="J1598" s="215"/>
      <c r="K1598" s="516"/>
      <c r="L1598" s="516"/>
      <c r="M1598" s="536"/>
      <c r="N1598" s="539"/>
      <c r="O1598" s="537"/>
      <c r="P1598" s="540"/>
      <c r="Q1598" s="77"/>
    </row>
    <row r="1599" ht="15.75" hidden="1" customHeight="1">
      <c r="A1599" s="142"/>
      <c r="B1599" s="142"/>
      <c r="C1599" s="220"/>
      <c r="D1599" s="142"/>
      <c r="E1599" s="220"/>
      <c r="F1599" s="213"/>
      <c r="G1599" s="213"/>
      <c r="H1599" s="213"/>
      <c r="I1599" s="214"/>
      <c r="J1599" s="541"/>
      <c r="K1599" s="542"/>
      <c r="L1599" s="542"/>
      <c r="N1599" s="539"/>
      <c r="O1599" s="77"/>
      <c r="P1599" s="195"/>
      <c r="Q1599" s="537"/>
    </row>
    <row r="1600" ht="15.75" hidden="1" customHeight="1">
      <c r="A1600" s="142"/>
      <c r="B1600" s="142"/>
      <c r="C1600" s="220"/>
      <c r="D1600" s="142"/>
      <c r="E1600" s="220"/>
      <c r="F1600" s="213"/>
      <c r="G1600" s="213"/>
      <c r="H1600" s="213"/>
      <c r="I1600" s="214"/>
      <c r="J1600" s="215"/>
      <c r="K1600" s="516"/>
      <c r="L1600" s="516"/>
      <c r="N1600" s="539"/>
      <c r="O1600" s="77"/>
      <c r="P1600" s="195"/>
      <c r="Q1600" s="77"/>
    </row>
    <row r="1601" ht="15.75" hidden="1" customHeight="1">
      <c r="A1601" s="536"/>
      <c r="B1601" s="536"/>
      <c r="C1601" s="538"/>
      <c r="D1601" s="536"/>
      <c r="E1601" s="538"/>
      <c r="F1601" s="213"/>
      <c r="G1601" s="213"/>
      <c r="H1601" s="213"/>
      <c r="I1601" s="214"/>
      <c r="J1601" s="215"/>
      <c r="K1601" s="516"/>
      <c r="L1601" s="516"/>
      <c r="M1601" s="536"/>
      <c r="N1601" s="539"/>
      <c r="O1601" s="537"/>
      <c r="P1601" s="540"/>
      <c r="Q1601" s="77"/>
    </row>
    <row r="1602" ht="15.75" hidden="1" customHeight="1">
      <c r="A1602" s="142"/>
      <c r="B1602" s="142"/>
      <c r="C1602" s="220"/>
      <c r="D1602" s="142"/>
      <c r="E1602" s="220"/>
      <c r="F1602" s="213"/>
      <c r="G1602" s="515"/>
      <c r="H1602" s="213"/>
      <c r="I1602" s="214"/>
      <c r="J1602" s="541"/>
      <c r="K1602" s="542"/>
      <c r="L1602" s="542"/>
      <c r="N1602" s="539"/>
      <c r="O1602" s="77"/>
      <c r="P1602" s="195"/>
      <c r="Q1602" s="537"/>
    </row>
    <row r="1603" ht="15.75" hidden="1" customHeight="1">
      <c r="A1603" s="536"/>
      <c r="B1603" s="536"/>
      <c r="C1603" s="538"/>
      <c r="D1603" s="536"/>
      <c r="E1603" s="538"/>
      <c r="F1603" s="213"/>
      <c r="G1603" s="213"/>
      <c r="H1603" s="213"/>
      <c r="I1603" s="214"/>
      <c r="J1603" s="215"/>
      <c r="K1603" s="516"/>
      <c r="L1603" s="516"/>
      <c r="M1603" s="536"/>
      <c r="N1603" s="539"/>
      <c r="O1603" s="537"/>
      <c r="P1603" s="540"/>
      <c r="Q1603" s="77"/>
    </row>
    <row r="1604" ht="15.75" hidden="1" customHeight="1">
      <c r="A1604" s="142"/>
      <c r="B1604" s="142"/>
      <c r="C1604" s="220"/>
      <c r="D1604" s="142"/>
      <c r="E1604" s="220"/>
      <c r="F1604" s="213"/>
      <c r="G1604" s="515"/>
      <c r="H1604" s="213"/>
      <c r="I1604" s="214"/>
      <c r="J1604" s="541"/>
      <c r="K1604" s="542"/>
      <c r="L1604" s="542"/>
      <c r="N1604" s="423"/>
      <c r="O1604" s="77"/>
      <c r="P1604" s="195"/>
      <c r="Q1604" s="537"/>
    </row>
    <row r="1605" ht="15.75" hidden="1" customHeight="1">
      <c r="A1605" s="536"/>
      <c r="B1605" s="536"/>
      <c r="C1605" s="538"/>
      <c r="D1605" s="536"/>
      <c r="E1605" s="538"/>
      <c r="F1605" s="213"/>
      <c r="G1605" s="213"/>
      <c r="H1605" s="213"/>
      <c r="I1605" s="214"/>
      <c r="J1605" s="215"/>
      <c r="K1605" s="516"/>
      <c r="L1605" s="516"/>
      <c r="M1605" s="536"/>
      <c r="N1605" s="539"/>
      <c r="O1605" s="537"/>
      <c r="P1605" s="540"/>
      <c r="Q1605" s="77"/>
    </row>
    <row r="1606" ht="15.75" hidden="1" customHeight="1">
      <c r="A1606" s="142"/>
      <c r="B1606" s="142"/>
      <c r="C1606" s="220"/>
      <c r="D1606" s="142"/>
      <c r="E1606" s="220"/>
      <c r="F1606" s="213"/>
      <c r="G1606" s="213"/>
      <c r="H1606" s="213"/>
      <c r="I1606" s="214"/>
      <c r="J1606" s="541"/>
      <c r="K1606" s="542"/>
      <c r="L1606" s="542"/>
      <c r="N1606" s="539"/>
      <c r="O1606" s="77"/>
      <c r="P1606" s="195"/>
      <c r="Q1606" s="537"/>
    </row>
    <row r="1607" ht="15.75" hidden="1" customHeight="1">
      <c r="A1607" s="142"/>
      <c r="B1607" s="142"/>
      <c r="C1607" s="220"/>
      <c r="D1607" s="142"/>
      <c r="E1607" s="220"/>
      <c r="F1607" s="213"/>
      <c r="G1607" s="213"/>
      <c r="H1607" s="213"/>
      <c r="I1607" s="214"/>
      <c r="J1607" s="215"/>
      <c r="K1607" s="516"/>
      <c r="L1607" s="516"/>
      <c r="N1607" s="539"/>
      <c r="O1607" s="77"/>
      <c r="P1607" s="195"/>
      <c r="Q1607" s="77"/>
    </row>
    <row r="1608" ht="15.75" hidden="1" customHeight="1">
      <c r="A1608" s="142"/>
      <c r="B1608" s="142"/>
      <c r="C1608" s="220"/>
      <c r="D1608" s="142"/>
      <c r="E1608" s="220"/>
      <c r="F1608" s="213"/>
      <c r="G1608" s="213"/>
      <c r="H1608" s="213"/>
      <c r="I1608" s="214"/>
      <c r="J1608" s="215"/>
      <c r="K1608" s="516"/>
      <c r="L1608" s="516"/>
      <c r="N1608" s="539"/>
      <c r="O1608" s="77"/>
      <c r="P1608" s="195"/>
      <c r="Q1608" s="77"/>
    </row>
    <row r="1609" ht="15.75" hidden="1" customHeight="1">
      <c r="A1609" s="142"/>
      <c r="B1609" s="142"/>
      <c r="C1609" s="220"/>
      <c r="D1609" s="142"/>
      <c r="E1609" s="220"/>
      <c r="F1609" s="213"/>
      <c r="G1609" s="213"/>
      <c r="H1609" s="213"/>
      <c r="I1609" s="214"/>
      <c r="J1609" s="215"/>
      <c r="K1609" s="516"/>
      <c r="L1609" s="516"/>
      <c r="N1609" s="539"/>
      <c r="O1609" s="77"/>
      <c r="P1609" s="195"/>
      <c r="Q1609" s="77"/>
    </row>
    <row r="1610" ht="15.75" hidden="1" customHeight="1">
      <c r="A1610" s="536"/>
      <c r="B1610" s="536"/>
      <c r="C1610" s="538"/>
      <c r="D1610" s="536"/>
      <c r="E1610" s="538"/>
      <c r="F1610" s="213"/>
      <c r="G1610" s="213"/>
      <c r="H1610" s="213"/>
      <c r="I1610" s="214"/>
      <c r="J1610" s="215"/>
      <c r="K1610" s="516"/>
      <c r="L1610" s="516"/>
      <c r="M1610" s="536"/>
      <c r="N1610" s="539"/>
      <c r="O1610" s="537"/>
      <c r="P1610" s="540"/>
      <c r="Q1610" s="77"/>
    </row>
    <row r="1611" ht="15.75" hidden="1" customHeight="1">
      <c r="A1611" s="142"/>
      <c r="B1611" s="142"/>
      <c r="C1611" s="220"/>
      <c r="D1611" s="142"/>
      <c r="E1611" s="220"/>
      <c r="F1611" s="213"/>
      <c r="G1611" s="213"/>
      <c r="H1611" s="213"/>
      <c r="I1611" s="214"/>
      <c r="J1611" s="541"/>
      <c r="K1611" s="536"/>
      <c r="L1611" s="536"/>
      <c r="N1611" s="539"/>
      <c r="O1611" s="77"/>
      <c r="P1611" s="195"/>
      <c r="Q1611" s="537"/>
    </row>
    <row r="1612" ht="15.75" hidden="1" customHeight="1">
      <c r="A1612" s="536"/>
      <c r="B1612" s="536"/>
      <c r="C1612" s="538"/>
      <c r="D1612" s="536"/>
      <c r="E1612" s="538"/>
      <c r="F1612" s="213"/>
      <c r="G1612" s="213"/>
      <c r="H1612" s="213"/>
      <c r="I1612" s="214"/>
      <c r="J1612" s="215"/>
      <c r="K1612" s="516"/>
      <c r="L1612" s="516"/>
      <c r="M1612" s="536"/>
      <c r="N1612" s="539"/>
      <c r="O1612" s="537"/>
      <c r="P1612" s="540"/>
      <c r="Q1612" s="77"/>
    </row>
    <row r="1613" ht="15.75" hidden="1" customHeight="1">
      <c r="A1613" s="536"/>
      <c r="B1613" s="536"/>
      <c r="C1613" s="538"/>
      <c r="D1613" s="536"/>
      <c r="E1613" s="538"/>
      <c r="F1613" s="213"/>
      <c r="G1613" s="213"/>
      <c r="H1613" s="213"/>
      <c r="I1613" s="214"/>
      <c r="J1613" s="541"/>
      <c r="K1613" s="542"/>
      <c r="L1613" s="542"/>
      <c r="M1613" s="536"/>
      <c r="N1613" s="539"/>
      <c r="O1613" s="537"/>
      <c r="P1613" s="540"/>
      <c r="Q1613" s="537"/>
    </row>
    <row r="1614" ht="15.75" hidden="1" customHeight="1">
      <c r="A1614" s="536"/>
      <c r="B1614" s="536"/>
      <c r="C1614" s="538"/>
      <c r="D1614" s="536"/>
      <c r="E1614" s="538"/>
      <c r="F1614" s="213"/>
      <c r="G1614" s="213"/>
      <c r="H1614" s="213"/>
      <c r="I1614" s="214"/>
      <c r="J1614" s="541"/>
      <c r="K1614" s="542"/>
      <c r="L1614" s="542"/>
      <c r="M1614" s="536"/>
      <c r="N1614" s="539"/>
      <c r="O1614" s="537"/>
      <c r="P1614" s="540"/>
      <c r="Q1614" s="537"/>
    </row>
    <row r="1615" ht="15.75" hidden="1" customHeight="1">
      <c r="A1615" s="536"/>
      <c r="B1615" s="536"/>
      <c r="C1615" s="538"/>
      <c r="D1615" s="536"/>
      <c r="E1615" s="538"/>
      <c r="F1615" s="213"/>
      <c r="G1615" s="213"/>
      <c r="H1615" s="213"/>
      <c r="I1615" s="214"/>
      <c r="J1615" s="541"/>
      <c r="K1615" s="542"/>
      <c r="L1615" s="542"/>
      <c r="M1615" s="536"/>
      <c r="N1615" s="539"/>
      <c r="O1615" s="537"/>
      <c r="P1615" s="540"/>
      <c r="Q1615" s="537"/>
    </row>
    <row r="1616" ht="15.75" hidden="1" customHeight="1">
      <c r="A1616" s="536"/>
      <c r="B1616" s="536"/>
      <c r="C1616" s="538"/>
      <c r="D1616" s="536"/>
      <c r="E1616" s="538"/>
      <c r="F1616" s="213"/>
      <c r="G1616" s="213"/>
      <c r="H1616" s="213"/>
      <c r="I1616" s="214"/>
      <c r="J1616" s="541"/>
      <c r="K1616" s="542"/>
      <c r="L1616" s="542"/>
      <c r="M1616" s="536"/>
      <c r="N1616" s="539"/>
      <c r="O1616" s="537"/>
      <c r="P1616" s="540"/>
      <c r="Q1616" s="537"/>
    </row>
    <row r="1617" ht="15.75" hidden="1" customHeight="1">
      <c r="A1617" s="142"/>
      <c r="B1617" s="142"/>
      <c r="C1617" s="220"/>
      <c r="D1617" s="142"/>
      <c r="E1617" s="220"/>
      <c r="F1617" s="213"/>
      <c r="G1617" s="213"/>
      <c r="H1617" s="213"/>
      <c r="I1617" s="214"/>
      <c r="J1617" s="541"/>
      <c r="K1617" s="542"/>
      <c r="L1617" s="542"/>
      <c r="N1617" s="217"/>
      <c r="O1617" s="77"/>
      <c r="P1617" s="195"/>
      <c r="Q1617" s="537"/>
    </row>
    <row r="1618" ht="15.75" hidden="1" customHeight="1">
      <c r="A1618" s="536"/>
      <c r="B1618" s="536"/>
      <c r="C1618" s="538"/>
      <c r="D1618" s="536"/>
      <c r="E1618" s="538"/>
      <c r="F1618" s="213"/>
      <c r="G1618" s="213"/>
      <c r="H1618" s="213"/>
      <c r="I1618" s="214"/>
      <c r="J1618" s="215"/>
      <c r="K1618" s="516"/>
      <c r="L1618" s="516"/>
      <c r="M1618" s="536"/>
      <c r="N1618" s="539"/>
      <c r="O1618" s="537"/>
      <c r="P1618" s="540"/>
      <c r="Q1618" s="77"/>
    </row>
    <row r="1619" ht="15.75" hidden="1" customHeight="1">
      <c r="A1619" s="536"/>
      <c r="B1619" s="536"/>
      <c r="C1619" s="538"/>
      <c r="D1619" s="536"/>
      <c r="E1619" s="538"/>
      <c r="F1619" s="213"/>
      <c r="G1619" s="213"/>
      <c r="H1619" s="213"/>
      <c r="I1619" s="214"/>
      <c r="J1619" s="541"/>
      <c r="K1619" s="542"/>
      <c r="L1619" s="542"/>
      <c r="M1619" s="536"/>
      <c r="N1619" s="539"/>
      <c r="O1619" s="537"/>
      <c r="P1619" s="540"/>
      <c r="Q1619" s="537"/>
    </row>
    <row r="1620" ht="15.75" hidden="1" customHeight="1">
      <c r="A1620" s="142"/>
      <c r="B1620" s="142"/>
      <c r="C1620" s="220"/>
      <c r="D1620" s="142"/>
      <c r="E1620" s="220"/>
      <c r="F1620" s="213"/>
      <c r="G1620" s="213"/>
      <c r="H1620" s="213"/>
      <c r="I1620" s="214"/>
      <c r="J1620" s="541"/>
      <c r="K1620" s="542"/>
      <c r="L1620" s="542"/>
      <c r="N1620" s="217"/>
      <c r="O1620" s="77"/>
      <c r="P1620" s="195"/>
      <c r="Q1620" s="537"/>
    </row>
    <row r="1621" ht="15.75" hidden="1" customHeight="1">
      <c r="A1621" s="142"/>
      <c r="B1621" s="142"/>
      <c r="C1621" s="220"/>
      <c r="D1621" s="142"/>
      <c r="E1621" s="220"/>
      <c r="F1621" s="213"/>
      <c r="G1621" s="213"/>
      <c r="H1621" s="213"/>
      <c r="I1621" s="214"/>
      <c r="J1621" s="215"/>
      <c r="K1621" s="516"/>
      <c r="L1621" s="516"/>
      <c r="N1621" s="217"/>
      <c r="O1621" s="77"/>
      <c r="P1621" s="195"/>
      <c r="Q1621" s="77"/>
    </row>
    <row r="1622" ht="15.75" hidden="1" customHeight="1">
      <c r="A1622" s="142"/>
      <c r="B1622" s="142"/>
      <c r="C1622" s="220"/>
      <c r="D1622" s="142"/>
      <c r="E1622" s="220"/>
      <c r="F1622" s="213"/>
      <c r="G1622" s="213"/>
      <c r="H1622" s="213"/>
      <c r="I1622" s="214"/>
      <c r="J1622" s="215"/>
      <c r="K1622" s="516"/>
      <c r="L1622" s="516"/>
      <c r="N1622" s="217"/>
      <c r="O1622" s="77"/>
      <c r="P1622" s="195"/>
      <c r="Q1622" s="77"/>
    </row>
    <row r="1623" ht="15.75" hidden="1" customHeight="1">
      <c r="A1623" s="142"/>
      <c r="B1623" s="142"/>
      <c r="C1623" s="220"/>
      <c r="D1623" s="142"/>
      <c r="E1623" s="220"/>
      <c r="F1623" s="213"/>
      <c r="G1623" s="213"/>
      <c r="H1623" s="213"/>
      <c r="I1623" s="214"/>
      <c r="J1623" s="215"/>
      <c r="K1623" s="516"/>
      <c r="L1623" s="516"/>
      <c r="N1623" s="217"/>
      <c r="O1623" s="77"/>
      <c r="P1623" s="195"/>
      <c r="Q1623" s="77"/>
    </row>
    <row r="1624" ht="15.75" hidden="1" customHeight="1">
      <c r="A1624" s="142"/>
      <c r="B1624" s="142"/>
      <c r="C1624" s="220"/>
      <c r="D1624" s="142"/>
      <c r="E1624" s="220"/>
      <c r="F1624" s="213"/>
      <c r="G1624" s="213"/>
      <c r="H1624" s="213"/>
      <c r="I1624" s="214"/>
      <c r="J1624" s="215"/>
      <c r="K1624" s="516"/>
      <c r="L1624" s="516"/>
      <c r="N1624" s="217"/>
      <c r="O1624" s="77"/>
      <c r="P1624" s="195"/>
      <c r="Q1624" s="77"/>
    </row>
    <row r="1625" ht="15.75" hidden="1" customHeight="1">
      <c r="A1625" s="142"/>
      <c r="B1625" s="142"/>
      <c r="C1625" s="220"/>
      <c r="D1625" s="142"/>
      <c r="E1625" s="220"/>
      <c r="F1625" s="213"/>
      <c r="G1625" s="213"/>
      <c r="H1625" s="213"/>
      <c r="I1625" s="214"/>
      <c r="J1625" s="215"/>
      <c r="K1625" s="516"/>
      <c r="L1625" s="516"/>
      <c r="N1625" s="217"/>
      <c r="O1625" s="77"/>
      <c r="P1625" s="195"/>
      <c r="Q1625" s="77"/>
    </row>
    <row r="1626" ht="15.75" hidden="1" customHeight="1">
      <c r="A1626" s="142"/>
      <c r="B1626" s="142"/>
      <c r="C1626" s="220"/>
      <c r="D1626" s="142"/>
      <c r="E1626" s="220"/>
      <c r="F1626" s="213"/>
      <c r="G1626" s="213"/>
      <c r="H1626" s="213"/>
      <c r="I1626" s="214"/>
      <c r="J1626" s="215"/>
      <c r="K1626" s="516"/>
      <c r="L1626" s="516"/>
      <c r="N1626" s="217"/>
      <c r="O1626" s="77"/>
      <c r="P1626" s="195"/>
      <c r="Q1626" s="77"/>
    </row>
    <row r="1627" ht="15.75" hidden="1" customHeight="1">
      <c r="A1627" s="142"/>
      <c r="B1627" s="142"/>
      <c r="C1627" s="220"/>
      <c r="D1627" s="142"/>
      <c r="E1627" s="220"/>
      <c r="F1627" s="213"/>
      <c r="G1627" s="213"/>
      <c r="H1627" s="213"/>
      <c r="I1627" s="214"/>
      <c r="J1627" s="215"/>
      <c r="K1627" s="516"/>
      <c r="L1627" s="516"/>
      <c r="N1627" s="217"/>
      <c r="O1627" s="77"/>
      <c r="P1627" s="195"/>
      <c r="Q1627" s="77"/>
    </row>
    <row r="1628" ht="15.75" hidden="1" customHeight="1">
      <c r="A1628" s="142"/>
      <c r="B1628" s="142"/>
      <c r="C1628" s="220"/>
      <c r="D1628" s="142"/>
      <c r="E1628" s="220"/>
      <c r="F1628" s="213"/>
      <c r="G1628" s="213"/>
      <c r="H1628" s="213"/>
      <c r="I1628" s="214"/>
      <c r="J1628" s="215"/>
      <c r="K1628" s="516"/>
      <c r="L1628" s="516"/>
      <c r="N1628" s="217"/>
      <c r="O1628" s="77"/>
      <c r="P1628" s="195"/>
      <c r="Q1628" s="77"/>
    </row>
    <row r="1629" ht="15.75" hidden="1" customHeight="1">
      <c r="A1629" s="536"/>
      <c r="B1629" s="536"/>
      <c r="C1629" s="538"/>
      <c r="D1629" s="536"/>
      <c r="E1629" s="538"/>
      <c r="F1629" s="213"/>
      <c r="G1629" s="213"/>
      <c r="H1629" s="213"/>
      <c r="I1629" s="214"/>
      <c r="J1629" s="215"/>
      <c r="K1629" s="516"/>
      <c r="L1629" s="516"/>
      <c r="M1629" s="536"/>
      <c r="N1629" s="539"/>
      <c r="O1629" s="537"/>
      <c r="P1629" s="540"/>
      <c r="Q1629" s="77"/>
    </row>
    <row r="1630" ht="15.75" hidden="1" customHeight="1">
      <c r="A1630" s="536"/>
      <c r="B1630" s="536"/>
      <c r="C1630" s="538"/>
      <c r="D1630" s="536"/>
      <c r="E1630" s="538"/>
      <c r="F1630" s="213"/>
      <c r="G1630" s="213"/>
      <c r="H1630" s="213"/>
      <c r="I1630" s="214"/>
      <c r="J1630" s="541"/>
      <c r="K1630" s="542"/>
      <c r="L1630" s="542"/>
      <c r="M1630" s="536"/>
      <c r="N1630" s="539"/>
      <c r="O1630" s="537"/>
      <c r="P1630" s="540"/>
      <c r="Q1630" s="537"/>
    </row>
    <row r="1631" ht="15.75" hidden="1" customHeight="1">
      <c r="A1631" s="536"/>
      <c r="B1631" s="536"/>
      <c r="C1631" s="538"/>
      <c r="D1631" s="536"/>
      <c r="E1631" s="538"/>
      <c r="F1631" s="213"/>
      <c r="G1631" s="213"/>
      <c r="H1631" s="213"/>
      <c r="I1631" s="214"/>
      <c r="J1631" s="541"/>
      <c r="K1631" s="542"/>
      <c r="L1631" s="542"/>
      <c r="M1631" s="536"/>
      <c r="N1631" s="539"/>
      <c r="O1631" s="537"/>
      <c r="P1631" s="540"/>
      <c r="Q1631" s="537"/>
    </row>
    <row r="1632" ht="15.75" hidden="1" customHeight="1">
      <c r="A1632" s="536"/>
      <c r="B1632" s="536"/>
      <c r="C1632" s="538"/>
      <c r="D1632" s="536"/>
      <c r="E1632" s="538"/>
      <c r="F1632" s="213"/>
      <c r="G1632" s="213"/>
      <c r="H1632" s="213"/>
      <c r="I1632" s="214"/>
      <c r="J1632" s="541"/>
      <c r="K1632" s="542"/>
      <c r="L1632" s="542"/>
      <c r="M1632" s="536"/>
      <c r="N1632" s="539"/>
      <c r="O1632" s="537"/>
      <c r="P1632" s="540"/>
      <c r="Q1632" s="537"/>
    </row>
    <row r="1633" ht="15.75" hidden="1" customHeight="1">
      <c r="A1633" s="536"/>
      <c r="B1633" s="536"/>
      <c r="C1633" s="538"/>
      <c r="D1633" s="536"/>
      <c r="E1633" s="538"/>
      <c r="F1633" s="213"/>
      <c r="G1633" s="213"/>
      <c r="H1633" s="213"/>
      <c r="I1633" s="214"/>
      <c r="J1633" s="541"/>
      <c r="K1633" s="542"/>
      <c r="L1633" s="542"/>
      <c r="M1633" s="536"/>
      <c r="N1633" s="539"/>
      <c r="O1633" s="537"/>
      <c r="P1633" s="540"/>
      <c r="Q1633" s="537"/>
    </row>
    <row r="1634" ht="15.75" hidden="1" customHeight="1">
      <c r="A1634" s="142"/>
      <c r="B1634" s="142"/>
      <c r="C1634" s="220"/>
      <c r="D1634" s="142"/>
      <c r="E1634" s="220"/>
      <c r="F1634" s="213"/>
      <c r="G1634" s="213"/>
      <c r="H1634" s="213"/>
      <c r="I1634" s="214"/>
      <c r="J1634" s="541"/>
      <c r="K1634" s="542"/>
      <c r="L1634" s="542"/>
      <c r="N1634" s="539"/>
      <c r="O1634" s="77"/>
      <c r="P1634" s="195"/>
      <c r="Q1634" s="537"/>
    </row>
    <row r="1635" ht="15.75" hidden="1" customHeight="1">
      <c r="A1635" s="142"/>
      <c r="B1635" s="142"/>
      <c r="C1635" s="220"/>
      <c r="D1635" s="142"/>
      <c r="E1635" s="220"/>
      <c r="F1635" s="213"/>
      <c r="G1635" s="213"/>
      <c r="H1635" s="213"/>
      <c r="I1635" s="214"/>
      <c r="J1635" s="215"/>
      <c r="K1635" s="516"/>
      <c r="L1635" s="516"/>
      <c r="N1635" s="217"/>
      <c r="O1635" s="77"/>
      <c r="P1635" s="195"/>
      <c r="Q1635" s="77"/>
    </row>
    <row r="1636" ht="15.75" hidden="1" customHeight="1">
      <c r="A1636" s="536"/>
      <c r="B1636" s="536"/>
      <c r="C1636" s="538"/>
      <c r="D1636" s="536"/>
      <c r="E1636" s="538"/>
      <c r="F1636" s="213"/>
      <c r="G1636" s="213"/>
      <c r="H1636" s="213"/>
      <c r="I1636" s="214"/>
      <c r="J1636" s="215"/>
      <c r="K1636" s="516"/>
      <c r="L1636" s="516"/>
      <c r="M1636" s="536"/>
      <c r="N1636" s="423"/>
      <c r="O1636" s="537"/>
      <c r="P1636" s="540"/>
      <c r="Q1636" s="77"/>
    </row>
    <row r="1637" ht="15.75" hidden="1" customHeight="1">
      <c r="A1637" s="536"/>
      <c r="B1637" s="536"/>
      <c r="C1637" s="538"/>
      <c r="D1637" s="536"/>
      <c r="E1637" s="538"/>
      <c r="F1637" s="213"/>
      <c r="G1637" s="213"/>
      <c r="H1637" s="213"/>
      <c r="I1637" s="214"/>
      <c r="J1637" s="541"/>
      <c r="K1637" s="542"/>
      <c r="L1637" s="542"/>
      <c r="M1637" s="536"/>
      <c r="N1637" s="539"/>
      <c r="O1637" s="537"/>
      <c r="P1637" s="540"/>
      <c r="Q1637" s="537"/>
    </row>
    <row r="1638" ht="15.75" hidden="1" customHeight="1">
      <c r="A1638" s="142"/>
      <c r="B1638" s="142"/>
      <c r="C1638" s="220"/>
      <c r="D1638" s="142"/>
      <c r="E1638" s="220"/>
      <c r="F1638" s="213"/>
      <c r="G1638" s="213"/>
      <c r="H1638" s="213"/>
      <c r="I1638" s="214"/>
      <c r="J1638" s="541"/>
      <c r="K1638" s="542"/>
      <c r="L1638" s="542"/>
      <c r="N1638" s="539"/>
      <c r="O1638" s="77"/>
      <c r="P1638" s="195"/>
      <c r="Q1638" s="537"/>
    </row>
    <row r="1639" ht="15.75" hidden="1" customHeight="1">
      <c r="A1639" s="142"/>
      <c r="B1639" s="142"/>
      <c r="C1639" s="220"/>
      <c r="D1639" s="142"/>
      <c r="E1639" s="220"/>
      <c r="F1639" s="213"/>
      <c r="G1639" s="213"/>
      <c r="H1639" s="213"/>
      <c r="I1639" s="214"/>
      <c r="J1639" s="215"/>
      <c r="K1639" s="516"/>
      <c r="L1639" s="516"/>
      <c r="N1639" s="217"/>
      <c r="O1639" s="77"/>
      <c r="P1639" s="195"/>
      <c r="Q1639" s="77"/>
    </row>
    <row r="1640" ht="15.75" hidden="1" customHeight="1">
      <c r="A1640" s="142"/>
      <c r="B1640" s="142"/>
      <c r="C1640" s="220"/>
      <c r="D1640" s="142"/>
      <c r="E1640" s="220"/>
      <c r="F1640" s="213"/>
      <c r="G1640" s="213"/>
      <c r="H1640" s="213"/>
      <c r="I1640" s="214"/>
      <c r="J1640" s="215"/>
      <c r="K1640" s="516"/>
      <c r="L1640" s="516"/>
      <c r="N1640" s="217"/>
      <c r="O1640" s="77"/>
      <c r="P1640" s="195"/>
      <c r="Q1640" s="77"/>
    </row>
    <row r="1641" ht="15.75" hidden="1" customHeight="1">
      <c r="A1641" s="536"/>
      <c r="B1641" s="536"/>
      <c r="C1641" s="538"/>
      <c r="D1641" s="536"/>
      <c r="E1641" s="538"/>
      <c r="F1641" s="213"/>
      <c r="G1641" s="213"/>
      <c r="H1641" s="213"/>
      <c r="I1641" s="214"/>
      <c r="J1641" s="215"/>
      <c r="K1641" s="516"/>
      <c r="L1641" s="516"/>
      <c r="M1641" s="536"/>
      <c r="N1641" s="539"/>
      <c r="O1641" s="537"/>
      <c r="P1641" s="540"/>
      <c r="Q1641" s="77"/>
    </row>
    <row r="1642" ht="15.75" hidden="1" customHeight="1">
      <c r="A1642" s="142"/>
      <c r="B1642" s="142"/>
      <c r="C1642" s="220"/>
      <c r="D1642" s="142"/>
      <c r="E1642" s="220"/>
      <c r="F1642" s="213"/>
      <c r="G1642" s="213"/>
      <c r="H1642" s="213"/>
      <c r="I1642" s="214"/>
      <c r="J1642" s="541"/>
      <c r="K1642" s="542"/>
      <c r="L1642" s="542"/>
      <c r="N1642" s="217"/>
      <c r="O1642" s="77"/>
      <c r="P1642" s="195"/>
      <c r="Q1642" s="537"/>
    </row>
    <row r="1643" ht="15.75" hidden="1" customHeight="1">
      <c r="A1643" s="142"/>
      <c r="B1643" s="142"/>
      <c r="C1643" s="220"/>
      <c r="D1643" s="142"/>
      <c r="E1643" s="220"/>
      <c r="F1643" s="213"/>
      <c r="G1643" s="213"/>
      <c r="H1643" s="213"/>
      <c r="I1643" s="214"/>
      <c r="J1643" s="215"/>
      <c r="K1643" s="516"/>
      <c r="L1643" s="516"/>
      <c r="N1643" s="217"/>
      <c r="O1643" s="77"/>
      <c r="P1643" s="195"/>
      <c r="Q1643" s="77"/>
    </row>
    <row r="1644" ht="15.75" hidden="1" customHeight="1">
      <c r="A1644" s="142"/>
      <c r="B1644" s="142"/>
      <c r="C1644" s="220"/>
      <c r="D1644" s="142"/>
      <c r="E1644" s="220"/>
      <c r="F1644" s="213"/>
      <c r="G1644" s="213"/>
      <c r="H1644" s="213"/>
      <c r="I1644" s="214"/>
      <c r="J1644" s="215"/>
      <c r="K1644" s="516"/>
      <c r="L1644" s="516"/>
      <c r="N1644" s="217"/>
      <c r="O1644" s="77"/>
      <c r="P1644" s="195"/>
      <c r="Q1644" s="77"/>
    </row>
    <row r="1645" ht="15.75" hidden="1" customHeight="1">
      <c r="A1645" s="142"/>
      <c r="B1645" s="142"/>
      <c r="C1645" s="220"/>
      <c r="D1645" s="142"/>
      <c r="E1645" s="220"/>
      <c r="F1645" s="213"/>
      <c r="G1645" s="213"/>
      <c r="H1645" s="213"/>
      <c r="I1645" s="214"/>
      <c r="J1645" s="215"/>
      <c r="K1645" s="516"/>
      <c r="L1645" s="516"/>
      <c r="N1645" s="217"/>
      <c r="O1645" s="77"/>
      <c r="P1645" s="195"/>
      <c r="Q1645" s="77"/>
    </row>
    <row r="1646" ht="15.75" hidden="1" customHeight="1">
      <c r="A1646" s="142"/>
      <c r="B1646" s="142"/>
      <c r="C1646" s="220"/>
      <c r="D1646" s="142"/>
      <c r="E1646" s="220"/>
      <c r="F1646" s="213"/>
      <c r="G1646" s="213"/>
      <c r="H1646" s="213"/>
      <c r="I1646" s="214"/>
      <c r="J1646" s="215"/>
      <c r="K1646" s="516"/>
      <c r="L1646" s="516"/>
      <c r="N1646" s="217"/>
      <c r="O1646" s="77"/>
      <c r="P1646" s="195"/>
      <c r="Q1646" s="77"/>
    </row>
    <row r="1647" ht="15.75" hidden="1" customHeight="1">
      <c r="A1647" s="536"/>
      <c r="B1647" s="536"/>
      <c r="C1647" s="538"/>
      <c r="D1647" s="536"/>
      <c r="E1647" s="538"/>
      <c r="F1647" s="213"/>
      <c r="G1647" s="213"/>
      <c r="H1647" s="213"/>
      <c r="I1647" s="214"/>
      <c r="J1647" s="215"/>
      <c r="K1647" s="516"/>
      <c r="L1647" s="516"/>
      <c r="M1647" s="536"/>
      <c r="N1647" s="539"/>
      <c r="O1647" s="537"/>
      <c r="P1647" s="540"/>
      <c r="Q1647" s="77"/>
    </row>
    <row r="1648" ht="15.75" hidden="1" customHeight="1">
      <c r="A1648" s="142"/>
      <c r="B1648" s="142"/>
      <c r="C1648" s="220"/>
      <c r="D1648" s="142"/>
      <c r="E1648" s="220"/>
      <c r="F1648" s="213"/>
      <c r="G1648" s="213"/>
      <c r="H1648" s="213"/>
      <c r="I1648" s="214"/>
      <c r="J1648" s="541"/>
      <c r="K1648" s="542"/>
      <c r="L1648" s="542"/>
      <c r="N1648" s="217"/>
      <c r="O1648" s="77"/>
      <c r="P1648" s="195"/>
      <c r="Q1648" s="537"/>
    </row>
    <row r="1649" ht="15.75" hidden="1" customHeight="1">
      <c r="A1649" s="142"/>
      <c r="B1649" s="142"/>
      <c r="C1649" s="220"/>
      <c r="D1649" s="142"/>
      <c r="E1649" s="220"/>
      <c r="F1649" s="213"/>
      <c r="G1649" s="213"/>
      <c r="H1649" s="213"/>
      <c r="I1649" s="214"/>
      <c r="J1649" s="215"/>
      <c r="K1649" s="516"/>
      <c r="L1649" s="516"/>
      <c r="N1649" s="217"/>
      <c r="O1649" s="77"/>
      <c r="P1649" s="195"/>
      <c r="Q1649" s="77"/>
    </row>
    <row r="1650" ht="15.75" hidden="1" customHeight="1">
      <c r="A1650" s="536"/>
      <c r="B1650" s="536"/>
      <c r="C1650" s="538"/>
      <c r="D1650" s="536"/>
      <c r="E1650" s="538"/>
      <c r="F1650" s="213"/>
      <c r="G1650" s="213"/>
      <c r="H1650" s="213"/>
      <c r="I1650" s="214"/>
      <c r="J1650" s="215"/>
      <c r="K1650" s="516"/>
      <c r="L1650" s="516"/>
      <c r="M1650" s="536"/>
      <c r="N1650" s="539"/>
      <c r="O1650" s="537"/>
      <c r="P1650" s="540"/>
      <c r="Q1650" s="77"/>
    </row>
    <row r="1651" ht="15.75" hidden="1" customHeight="1">
      <c r="A1651" s="142"/>
      <c r="B1651" s="142"/>
      <c r="C1651" s="220"/>
      <c r="D1651" s="142"/>
      <c r="E1651" s="220"/>
      <c r="F1651" s="213"/>
      <c r="G1651" s="213"/>
      <c r="H1651" s="213"/>
      <c r="I1651" s="214"/>
      <c r="J1651" s="541"/>
      <c r="K1651" s="542"/>
      <c r="L1651" s="542"/>
      <c r="N1651" s="217"/>
      <c r="O1651" s="77"/>
      <c r="P1651" s="195"/>
      <c r="Q1651" s="537"/>
    </row>
    <row r="1652" ht="15.75" hidden="1" customHeight="1">
      <c r="A1652" s="536"/>
      <c r="B1652" s="536"/>
      <c r="C1652" s="538"/>
      <c r="D1652" s="536"/>
      <c r="E1652" s="538"/>
      <c r="F1652" s="213"/>
      <c r="G1652" s="213"/>
      <c r="H1652" s="213"/>
      <c r="I1652" s="214"/>
      <c r="J1652" s="215"/>
      <c r="K1652" s="516"/>
      <c r="L1652" s="516"/>
      <c r="M1652" s="536"/>
      <c r="N1652" s="539"/>
      <c r="O1652" s="537"/>
      <c r="P1652" s="540"/>
      <c r="Q1652" s="77"/>
    </row>
    <row r="1653" ht="15.75" hidden="1" customHeight="1">
      <c r="A1653" s="536"/>
      <c r="B1653" s="536"/>
      <c r="C1653" s="538"/>
      <c r="D1653" s="536"/>
      <c r="E1653" s="538"/>
      <c r="F1653" s="213"/>
      <c r="G1653" s="213"/>
      <c r="H1653" s="213"/>
      <c r="I1653" s="214"/>
      <c r="J1653" s="541"/>
      <c r="K1653" s="542"/>
      <c r="L1653" s="542"/>
      <c r="M1653" s="536"/>
      <c r="N1653" s="539"/>
      <c r="O1653" s="537"/>
      <c r="P1653" s="540"/>
      <c r="Q1653" s="537"/>
    </row>
    <row r="1654" ht="15.75" hidden="1" customHeight="1">
      <c r="A1654" s="142"/>
      <c r="B1654" s="142"/>
      <c r="C1654" s="220"/>
      <c r="D1654" s="142"/>
      <c r="E1654" s="220"/>
      <c r="F1654" s="213"/>
      <c r="G1654" s="213"/>
      <c r="H1654" s="213"/>
      <c r="I1654" s="214"/>
      <c r="J1654" s="541"/>
      <c r="K1654" s="542"/>
      <c r="L1654" s="542"/>
      <c r="N1654" s="217"/>
      <c r="O1654" s="77"/>
      <c r="P1654" s="195"/>
      <c r="Q1654" s="537"/>
    </row>
    <row r="1655" ht="15.75" hidden="1" customHeight="1">
      <c r="A1655" s="536"/>
      <c r="B1655" s="536"/>
      <c r="C1655" s="538"/>
      <c r="D1655" s="536"/>
      <c r="E1655" s="538"/>
      <c r="F1655" s="213"/>
      <c r="G1655" s="213"/>
      <c r="H1655" s="213"/>
      <c r="I1655" s="214"/>
      <c r="J1655" s="215"/>
      <c r="K1655" s="516"/>
      <c r="L1655" s="516"/>
      <c r="M1655" s="536"/>
      <c r="N1655" s="423"/>
      <c r="O1655" s="537"/>
      <c r="P1655" s="540"/>
      <c r="Q1655" s="77"/>
    </row>
    <row r="1656" ht="15.75" hidden="1" customHeight="1">
      <c r="A1656" s="536"/>
      <c r="B1656" s="536"/>
      <c r="C1656" s="538"/>
      <c r="D1656" s="536"/>
      <c r="E1656" s="538"/>
      <c r="F1656" s="213"/>
      <c r="G1656" s="213"/>
      <c r="H1656" s="213"/>
      <c r="I1656" s="214"/>
      <c r="J1656" s="541"/>
      <c r="K1656" s="542"/>
      <c r="L1656" s="542"/>
      <c r="M1656" s="536"/>
      <c r="N1656" s="539"/>
      <c r="O1656" s="537"/>
      <c r="P1656" s="540"/>
      <c r="Q1656" s="537"/>
    </row>
    <row r="1657" ht="15.75" hidden="1" customHeight="1">
      <c r="A1657" s="536"/>
      <c r="B1657" s="536"/>
      <c r="C1657" s="538"/>
      <c r="D1657" s="536"/>
      <c r="E1657" s="538"/>
      <c r="F1657" s="213"/>
      <c r="G1657" s="213"/>
      <c r="H1657" s="213"/>
      <c r="I1657" s="214"/>
      <c r="J1657" s="541"/>
      <c r="K1657" s="542"/>
      <c r="L1657" s="542"/>
      <c r="M1657" s="536"/>
      <c r="N1657" s="539"/>
      <c r="O1657" s="537"/>
      <c r="P1657" s="540"/>
      <c r="Q1657" s="537"/>
    </row>
    <row r="1658" ht="15.75" hidden="1" customHeight="1">
      <c r="A1658" s="536"/>
      <c r="B1658" s="536"/>
      <c r="C1658" s="538"/>
      <c r="D1658" s="536"/>
      <c r="E1658" s="538"/>
      <c r="F1658" s="213"/>
      <c r="G1658" s="213"/>
      <c r="H1658" s="213"/>
      <c r="I1658" s="214"/>
      <c r="J1658" s="541"/>
      <c r="K1658" s="542"/>
      <c r="L1658" s="542"/>
      <c r="M1658" s="536"/>
      <c r="N1658" s="539"/>
      <c r="O1658" s="537"/>
      <c r="P1658" s="540"/>
      <c r="Q1658" s="537"/>
    </row>
    <row r="1659" ht="15.75" hidden="1" customHeight="1">
      <c r="A1659" s="536"/>
      <c r="B1659" s="536"/>
      <c r="C1659" s="220"/>
      <c r="D1659" s="536"/>
      <c r="E1659" s="538"/>
      <c r="F1659" s="213"/>
      <c r="G1659" s="213"/>
      <c r="H1659" s="213"/>
      <c r="I1659" s="214"/>
      <c r="J1659" s="541"/>
      <c r="K1659" s="542"/>
      <c r="L1659" s="542"/>
      <c r="M1659" s="536"/>
      <c r="N1659" s="539"/>
      <c r="O1659" s="537"/>
      <c r="P1659" s="540"/>
      <c r="Q1659" s="537"/>
    </row>
    <row r="1660" ht="15.75" hidden="1" customHeight="1">
      <c r="A1660" s="536"/>
      <c r="B1660" s="536"/>
      <c r="C1660" s="220"/>
      <c r="D1660" s="536"/>
      <c r="E1660" s="538"/>
      <c r="F1660" s="213"/>
      <c r="G1660" s="213"/>
      <c r="H1660" s="213"/>
      <c r="I1660" s="214"/>
      <c r="J1660" s="541"/>
      <c r="K1660" s="542"/>
      <c r="L1660" s="542"/>
      <c r="M1660" s="536"/>
      <c r="N1660" s="539"/>
      <c r="O1660" s="537"/>
      <c r="P1660" s="540"/>
      <c r="Q1660" s="537"/>
    </row>
    <row r="1661" ht="15.75" hidden="1" customHeight="1">
      <c r="A1661" s="545"/>
      <c r="B1661" s="545"/>
      <c r="C1661" s="548"/>
      <c r="D1661" s="545"/>
      <c r="E1661" s="548"/>
      <c r="F1661" s="213"/>
      <c r="G1661" s="213"/>
      <c r="H1661" s="213"/>
      <c r="I1661" s="214"/>
      <c r="J1661" s="541"/>
      <c r="K1661" s="542"/>
      <c r="L1661" s="542"/>
      <c r="M1661" s="545"/>
      <c r="N1661" s="549"/>
      <c r="O1661" s="550"/>
      <c r="P1661" s="551"/>
      <c r="Q1661" s="537"/>
    </row>
    <row r="1662" ht="15.75" hidden="1" customHeight="1">
      <c r="A1662" s="536"/>
      <c r="B1662" s="536"/>
      <c r="C1662" s="220"/>
      <c r="D1662" s="536"/>
      <c r="E1662" s="538"/>
      <c r="F1662" s="213"/>
      <c r="G1662" s="213"/>
      <c r="H1662" s="213"/>
      <c r="I1662" s="214"/>
      <c r="J1662" s="552"/>
      <c r="K1662" s="553"/>
      <c r="L1662" s="553"/>
      <c r="M1662" s="536"/>
      <c r="N1662" s="539"/>
      <c r="O1662" s="537"/>
      <c r="P1662" s="540"/>
      <c r="Q1662" s="550"/>
    </row>
    <row r="1663" ht="15.75" hidden="1" customHeight="1">
      <c r="A1663" s="536"/>
      <c r="B1663" s="536"/>
      <c r="C1663" s="538"/>
      <c r="D1663" s="536"/>
      <c r="E1663" s="538"/>
      <c r="F1663" s="213"/>
      <c r="G1663" s="213"/>
      <c r="H1663" s="213"/>
      <c r="I1663" s="214"/>
      <c r="J1663" s="541"/>
      <c r="K1663" s="542"/>
      <c r="L1663" s="542"/>
      <c r="M1663" s="536"/>
      <c r="N1663" s="539"/>
      <c r="O1663" s="537"/>
      <c r="P1663" s="540"/>
      <c r="Q1663" s="537"/>
    </row>
    <row r="1664" ht="15.75" hidden="1" customHeight="1">
      <c r="A1664" s="142"/>
      <c r="B1664" s="142"/>
      <c r="C1664" s="220"/>
      <c r="D1664" s="142"/>
      <c r="E1664" s="220"/>
      <c r="F1664" s="213"/>
      <c r="G1664" s="213"/>
      <c r="H1664" s="213"/>
      <c r="I1664" s="214"/>
      <c r="J1664" s="541"/>
      <c r="K1664" s="542"/>
      <c r="L1664" s="542"/>
      <c r="N1664" s="517"/>
      <c r="O1664" s="77"/>
      <c r="P1664" s="195"/>
      <c r="Q1664" s="537"/>
    </row>
    <row r="1665" ht="15.75" hidden="1" customHeight="1">
      <c r="A1665" s="536"/>
      <c r="B1665" s="536"/>
      <c r="C1665" s="220"/>
      <c r="D1665" s="536"/>
      <c r="E1665" s="538"/>
      <c r="F1665" s="213"/>
      <c r="G1665" s="213"/>
      <c r="H1665" s="213"/>
      <c r="I1665" s="214"/>
      <c r="J1665" s="215"/>
      <c r="K1665" s="516"/>
      <c r="L1665" s="516"/>
      <c r="M1665" s="536"/>
      <c r="N1665" s="539"/>
      <c r="O1665" s="537"/>
      <c r="P1665" s="540"/>
      <c r="Q1665" s="77"/>
    </row>
    <row r="1666" ht="15.75" hidden="1" customHeight="1">
      <c r="A1666" s="142"/>
      <c r="B1666" s="142"/>
      <c r="C1666" s="220"/>
      <c r="D1666" s="142"/>
      <c r="E1666" s="220"/>
      <c r="F1666" s="213"/>
      <c r="G1666" s="213"/>
      <c r="H1666" s="213"/>
      <c r="I1666" s="214"/>
      <c r="J1666" s="541"/>
      <c r="K1666" s="542"/>
      <c r="L1666" s="542"/>
      <c r="N1666" s="217"/>
      <c r="O1666" s="77"/>
      <c r="P1666" s="195"/>
      <c r="Q1666" s="537"/>
    </row>
    <row r="1667" ht="15.75" hidden="1" customHeight="1">
      <c r="A1667" s="142"/>
      <c r="B1667" s="142"/>
      <c r="C1667" s="220"/>
      <c r="D1667" s="142"/>
      <c r="E1667" s="220"/>
      <c r="F1667" s="213"/>
      <c r="G1667" s="213"/>
      <c r="H1667" s="213"/>
      <c r="I1667" s="214"/>
      <c r="J1667" s="215"/>
      <c r="K1667" s="516"/>
      <c r="L1667" s="516"/>
      <c r="N1667" s="217"/>
      <c r="O1667" s="77"/>
      <c r="P1667" s="195"/>
      <c r="Q1667" s="77"/>
    </row>
    <row r="1668" ht="15.75" hidden="1" customHeight="1">
      <c r="A1668" s="142"/>
      <c r="B1668" s="142"/>
      <c r="C1668" s="220"/>
      <c r="D1668" s="142"/>
      <c r="E1668" s="220"/>
      <c r="F1668" s="213"/>
      <c r="G1668" s="213"/>
      <c r="H1668" s="213"/>
      <c r="I1668" s="214"/>
      <c r="J1668" s="215"/>
      <c r="K1668" s="516"/>
      <c r="L1668" s="516"/>
      <c r="N1668" s="217"/>
      <c r="O1668" s="77"/>
      <c r="P1668" s="195"/>
      <c r="Q1668" s="77"/>
    </row>
    <row r="1669" ht="15.75" hidden="1" customHeight="1">
      <c r="A1669" s="142"/>
      <c r="B1669" s="142"/>
      <c r="C1669" s="220"/>
      <c r="D1669" s="142"/>
      <c r="E1669" s="220"/>
      <c r="F1669" s="213"/>
      <c r="G1669" s="213"/>
      <c r="H1669" s="213"/>
      <c r="I1669" s="214"/>
      <c r="J1669" s="215"/>
      <c r="K1669" s="516"/>
      <c r="L1669" s="516"/>
      <c r="N1669" s="217"/>
      <c r="O1669" s="77"/>
      <c r="P1669" s="195"/>
      <c r="Q1669" s="77"/>
    </row>
    <row r="1670" ht="15.75" hidden="1" customHeight="1">
      <c r="A1670" s="142"/>
      <c r="B1670" s="142"/>
      <c r="C1670" s="220"/>
      <c r="D1670" s="142"/>
      <c r="E1670" s="220"/>
      <c r="F1670" s="213"/>
      <c r="G1670" s="213"/>
      <c r="H1670" s="213"/>
      <c r="I1670" s="214"/>
      <c r="J1670" s="215"/>
      <c r="K1670" s="516"/>
      <c r="L1670" s="516"/>
      <c r="N1670" s="217"/>
      <c r="O1670" s="77"/>
      <c r="P1670" s="195"/>
      <c r="Q1670" s="77"/>
    </row>
    <row r="1671" ht="15.75" hidden="1" customHeight="1">
      <c r="A1671" s="142"/>
      <c r="B1671" s="142"/>
      <c r="C1671" s="220"/>
      <c r="D1671" s="142"/>
      <c r="E1671" s="220"/>
      <c r="F1671" s="213"/>
      <c r="G1671" s="213"/>
      <c r="H1671" s="213"/>
      <c r="I1671" s="214"/>
      <c r="J1671" s="215"/>
      <c r="K1671" s="516"/>
      <c r="L1671" s="516"/>
      <c r="N1671" s="539"/>
      <c r="O1671" s="77"/>
      <c r="P1671" s="195"/>
      <c r="Q1671" s="77"/>
    </row>
    <row r="1672" ht="15.75" hidden="1" customHeight="1">
      <c r="A1672" s="536"/>
      <c r="B1672" s="536"/>
      <c r="C1672" s="538"/>
      <c r="D1672" s="536"/>
      <c r="E1672" s="538"/>
      <c r="F1672" s="213"/>
      <c r="G1672" s="213"/>
      <c r="H1672" s="213"/>
      <c r="I1672" s="214"/>
      <c r="J1672" s="215"/>
      <c r="K1672" s="516"/>
      <c r="L1672" s="516"/>
      <c r="M1672" s="536"/>
      <c r="N1672" s="539"/>
      <c r="O1672" s="537"/>
      <c r="P1672" s="540"/>
      <c r="Q1672" s="77"/>
    </row>
    <row r="1673" ht="15.75" hidden="1" customHeight="1">
      <c r="A1673" s="142"/>
      <c r="B1673" s="142"/>
      <c r="C1673" s="220"/>
      <c r="D1673" s="142"/>
      <c r="E1673" s="220"/>
      <c r="F1673" s="213"/>
      <c r="G1673" s="213"/>
      <c r="H1673" s="213"/>
      <c r="I1673" s="214"/>
      <c r="J1673" s="541"/>
      <c r="K1673" s="542"/>
      <c r="L1673" s="542"/>
      <c r="N1673" s="517"/>
      <c r="O1673" s="77"/>
      <c r="P1673" s="195"/>
      <c r="Q1673" s="537"/>
    </row>
    <row r="1674" ht="15.75" hidden="1" customHeight="1">
      <c r="A1674" s="536"/>
      <c r="B1674" s="536"/>
      <c r="C1674" s="538"/>
      <c r="D1674" s="536"/>
      <c r="E1674" s="538"/>
      <c r="F1674" s="213"/>
      <c r="G1674" s="213"/>
      <c r="H1674" s="213"/>
      <c r="I1674" s="214"/>
      <c r="J1674" s="215"/>
      <c r="K1674" s="516"/>
      <c r="L1674" s="516"/>
      <c r="M1674" s="536"/>
      <c r="N1674" s="539"/>
      <c r="O1674" s="537"/>
      <c r="P1674" s="540"/>
      <c r="Q1674" s="77"/>
    </row>
    <row r="1675" ht="15.75" hidden="1" customHeight="1">
      <c r="A1675" s="536"/>
      <c r="B1675" s="536"/>
      <c r="C1675" s="538"/>
      <c r="D1675" s="536"/>
      <c r="E1675" s="538"/>
      <c r="F1675" s="213"/>
      <c r="G1675" s="213"/>
      <c r="H1675" s="213"/>
      <c r="I1675" s="214"/>
      <c r="J1675" s="541"/>
      <c r="K1675" s="542"/>
      <c r="L1675" s="542"/>
      <c r="M1675" s="536"/>
      <c r="N1675" s="539"/>
      <c r="O1675" s="537"/>
      <c r="P1675" s="540"/>
      <c r="Q1675" s="537"/>
    </row>
    <row r="1676" ht="15.75" hidden="1" customHeight="1">
      <c r="A1676" s="142"/>
      <c r="B1676" s="142"/>
      <c r="C1676" s="220"/>
      <c r="D1676" s="142"/>
      <c r="E1676" s="220"/>
      <c r="F1676" s="213"/>
      <c r="G1676" s="213"/>
      <c r="H1676" s="213"/>
      <c r="I1676" s="214"/>
      <c r="J1676" s="541"/>
      <c r="K1676" s="542"/>
      <c r="L1676" s="542"/>
      <c r="N1676" s="217"/>
      <c r="O1676" s="77"/>
      <c r="P1676" s="195"/>
      <c r="Q1676" s="537"/>
    </row>
    <row r="1677" ht="15.75" hidden="1" customHeight="1">
      <c r="A1677" s="142"/>
      <c r="B1677" s="142"/>
      <c r="C1677" s="220"/>
      <c r="D1677" s="142"/>
      <c r="E1677" s="220"/>
      <c r="F1677" s="213"/>
      <c r="G1677" s="213"/>
      <c r="H1677" s="213"/>
      <c r="I1677" s="214"/>
      <c r="J1677" s="215"/>
      <c r="K1677" s="516"/>
      <c r="L1677" s="516"/>
      <c r="N1677" s="217"/>
      <c r="O1677" s="77"/>
      <c r="P1677" s="195"/>
      <c r="Q1677" s="77"/>
    </row>
    <row r="1678" ht="15.75" hidden="1" customHeight="1">
      <c r="A1678" s="536"/>
      <c r="B1678" s="536"/>
      <c r="C1678" s="538"/>
      <c r="D1678" s="536"/>
      <c r="E1678" s="538"/>
      <c r="F1678" s="213"/>
      <c r="G1678" s="213"/>
      <c r="H1678" s="213"/>
      <c r="I1678" s="214"/>
      <c r="J1678" s="215"/>
      <c r="K1678" s="516"/>
      <c r="L1678" s="516"/>
      <c r="M1678" s="536"/>
      <c r="N1678" s="539"/>
      <c r="O1678" s="537"/>
      <c r="P1678" s="540"/>
      <c r="Q1678" s="77"/>
    </row>
    <row r="1679" ht="15.75" hidden="1" customHeight="1">
      <c r="A1679" s="536"/>
      <c r="B1679" s="536"/>
      <c r="C1679" s="538"/>
      <c r="D1679" s="536"/>
      <c r="E1679" s="538"/>
      <c r="F1679" s="213"/>
      <c r="G1679" s="213"/>
      <c r="H1679" s="213"/>
      <c r="I1679" s="214"/>
      <c r="J1679" s="541"/>
      <c r="K1679" s="542"/>
      <c r="L1679" s="542"/>
      <c r="M1679" s="536"/>
      <c r="N1679" s="539"/>
      <c r="O1679" s="537"/>
      <c r="P1679" s="540"/>
      <c r="Q1679" s="537"/>
    </row>
    <row r="1680" ht="15.75" hidden="1" customHeight="1">
      <c r="A1680" s="536"/>
      <c r="B1680" s="536"/>
      <c r="C1680" s="538"/>
      <c r="D1680" s="536"/>
      <c r="E1680" s="538"/>
      <c r="F1680" s="213"/>
      <c r="G1680" s="213"/>
      <c r="H1680" s="213"/>
      <c r="I1680" s="214"/>
      <c r="J1680" s="541"/>
      <c r="K1680" s="542"/>
      <c r="L1680" s="542"/>
      <c r="M1680" s="536"/>
      <c r="N1680" s="539"/>
      <c r="O1680" s="537"/>
      <c r="P1680" s="540"/>
      <c r="Q1680" s="537"/>
    </row>
    <row r="1681" ht="15.75" hidden="1" customHeight="1">
      <c r="A1681" s="142"/>
      <c r="B1681" s="142"/>
      <c r="C1681" s="220"/>
      <c r="D1681" s="142"/>
      <c r="E1681" s="220"/>
      <c r="F1681" s="213"/>
      <c r="G1681" s="213"/>
      <c r="H1681" s="213"/>
      <c r="I1681" s="214"/>
      <c r="J1681" s="541"/>
      <c r="K1681" s="542"/>
      <c r="L1681" s="542"/>
      <c r="N1681" s="217"/>
      <c r="O1681" s="77"/>
      <c r="P1681" s="195"/>
      <c r="Q1681" s="537"/>
    </row>
    <row r="1682" ht="15.75" hidden="1" customHeight="1">
      <c r="A1682" s="142"/>
      <c r="B1682" s="142"/>
      <c r="C1682" s="220"/>
      <c r="D1682" s="142"/>
      <c r="E1682" s="220"/>
      <c r="F1682" s="213"/>
      <c r="G1682" s="213"/>
      <c r="H1682" s="213"/>
      <c r="I1682" s="214"/>
      <c r="J1682" s="215"/>
      <c r="K1682" s="516"/>
      <c r="L1682" s="516"/>
      <c r="N1682" s="217"/>
      <c r="O1682" s="77"/>
      <c r="P1682" s="195"/>
      <c r="Q1682" s="77"/>
    </row>
    <row r="1683" ht="15.75" hidden="1" customHeight="1">
      <c r="A1683" s="142"/>
      <c r="B1683" s="142"/>
      <c r="C1683" s="220"/>
      <c r="D1683" s="142"/>
      <c r="E1683" s="220"/>
      <c r="F1683" s="372"/>
      <c r="G1683" s="213"/>
      <c r="H1683" s="213"/>
      <c r="I1683" s="214"/>
      <c r="J1683" s="215"/>
      <c r="K1683" s="516"/>
      <c r="L1683" s="516"/>
      <c r="N1683" s="217"/>
      <c r="O1683" s="77"/>
      <c r="P1683" s="195"/>
      <c r="Q1683" s="77"/>
    </row>
    <row r="1684" ht="15.75" hidden="1" customHeight="1">
      <c r="A1684" s="142"/>
      <c r="B1684" s="142"/>
      <c r="C1684" s="220"/>
      <c r="D1684" s="142"/>
      <c r="E1684" s="220"/>
      <c r="F1684" s="213"/>
      <c r="G1684" s="213"/>
      <c r="H1684" s="213"/>
      <c r="I1684" s="214"/>
      <c r="J1684" s="215"/>
      <c r="K1684" s="516"/>
      <c r="L1684" s="516"/>
      <c r="N1684" s="217"/>
      <c r="O1684" s="77"/>
      <c r="P1684" s="195"/>
      <c r="Q1684" s="77"/>
    </row>
    <row r="1685" ht="15.75" hidden="1" customHeight="1">
      <c r="A1685" s="142"/>
      <c r="B1685" s="142"/>
      <c r="C1685" s="220"/>
      <c r="D1685" s="142"/>
      <c r="E1685" s="220"/>
      <c r="F1685" s="213"/>
      <c r="G1685" s="213"/>
      <c r="H1685" s="213"/>
      <c r="I1685" s="214"/>
      <c r="J1685" s="215"/>
      <c r="K1685" s="516"/>
      <c r="L1685" s="516"/>
      <c r="N1685" s="217"/>
      <c r="O1685" s="77"/>
      <c r="P1685" s="195"/>
      <c r="Q1685" s="77"/>
    </row>
    <row r="1686" ht="15.75" hidden="1" customHeight="1">
      <c r="A1686" s="142"/>
      <c r="B1686" s="142"/>
      <c r="C1686" s="220"/>
      <c r="D1686" s="142"/>
      <c r="E1686" s="220"/>
      <c r="F1686" s="213"/>
      <c r="G1686" s="213"/>
      <c r="H1686" s="213"/>
      <c r="I1686" s="214"/>
      <c r="J1686" s="215"/>
      <c r="K1686" s="516"/>
      <c r="L1686" s="516"/>
      <c r="N1686" s="217"/>
      <c r="O1686" s="77"/>
      <c r="P1686" s="195"/>
      <c r="Q1686" s="77"/>
    </row>
    <row r="1687" ht="15.75" hidden="1" customHeight="1">
      <c r="A1687" s="536"/>
      <c r="B1687" s="536"/>
      <c r="C1687" s="538"/>
      <c r="D1687" s="536"/>
      <c r="E1687" s="538"/>
      <c r="F1687" s="213"/>
      <c r="G1687" s="213"/>
      <c r="H1687" s="213"/>
      <c r="I1687" s="214"/>
      <c r="J1687" s="215"/>
      <c r="K1687" s="516"/>
      <c r="L1687" s="516"/>
      <c r="M1687" s="536"/>
      <c r="N1687" s="423"/>
      <c r="O1687" s="537"/>
      <c r="P1687" s="540"/>
      <c r="Q1687" s="77"/>
    </row>
    <row r="1688" ht="15.75" hidden="1" customHeight="1">
      <c r="A1688" s="536"/>
      <c r="B1688" s="536"/>
      <c r="C1688" s="538"/>
      <c r="D1688" s="536"/>
      <c r="E1688" s="538"/>
      <c r="F1688" s="213"/>
      <c r="G1688" s="213"/>
      <c r="H1688" s="213"/>
      <c r="I1688" s="214"/>
      <c r="J1688" s="541"/>
      <c r="K1688" s="542"/>
      <c r="L1688" s="542"/>
      <c r="M1688" s="536"/>
      <c r="N1688" s="539"/>
      <c r="O1688" s="537"/>
      <c r="P1688" s="540"/>
      <c r="Q1688" s="537"/>
    </row>
    <row r="1689" ht="15.75" hidden="1" customHeight="1">
      <c r="A1689" s="536"/>
      <c r="B1689" s="536"/>
      <c r="C1689" s="538"/>
      <c r="D1689" s="536"/>
      <c r="E1689" s="538"/>
      <c r="F1689" s="213"/>
      <c r="G1689" s="213"/>
      <c r="H1689" s="213"/>
      <c r="I1689" s="214"/>
      <c r="J1689" s="541"/>
      <c r="K1689" s="542"/>
      <c r="L1689" s="542"/>
      <c r="M1689" s="536"/>
      <c r="N1689" s="539"/>
      <c r="O1689" s="537"/>
      <c r="P1689" s="540"/>
      <c r="Q1689" s="537"/>
    </row>
    <row r="1690" ht="15.75" hidden="1" customHeight="1">
      <c r="A1690" s="142"/>
      <c r="B1690" s="142"/>
      <c r="C1690" s="220"/>
      <c r="D1690" s="142"/>
      <c r="E1690" s="220"/>
      <c r="F1690" s="213"/>
      <c r="G1690" s="213"/>
      <c r="H1690" s="213"/>
      <c r="I1690" s="214"/>
      <c r="J1690" s="541"/>
      <c r="K1690" s="542"/>
      <c r="L1690" s="542"/>
      <c r="N1690" s="217"/>
      <c r="O1690" s="77"/>
      <c r="P1690" s="195"/>
      <c r="Q1690" s="537"/>
    </row>
    <row r="1691" ht="15.75" hidden="1" customHeight="1">
      <c r="A1691" s="536"/>
      <c r="B1691" s="536"/>
      <c r="C1691" s="538"/>
      <c r="D1691" s="536"/>
      <c r="E1691" s="538"/>
      <c r="F1691" s="213"/>
      <c r="G1691" s="213"/>
      <c r="H1691" s="213"/>
      <c r="I1691" s="214"/>
      <c r="J1691" s="215"/>
      <c r="K1691" s="516"/>
      <c r="L1691" s="516"/>
      <c r="M1691" s="536"/>
      <c r="N1691" s="341"/>
      <c r="O1691" s="537"/>
      <c r="P1691" s="540"/>
      <c r="Q1691" s="77"/>
    </row>
    <row r="1692" ht="15.75" hidden="1" customHeight="1">
      <c r="A1692" s="536"/>
      <c r="B1692" s="536"/>
      <c r="C1692" s="538"/>
      <c r="D1692" s="536"/>
      <c r="E1692" s="538"/>
      <c r="F1692" s="213"/>
      <c r="G1692" s="213"/>
      <c r="H1692" s="213"/>
      <c r="I1692" s="214"/>
      <c r="J1692" s="541"/>
      <c r="K1692" s="542"/>
      <c r="L1692" s="542"/>
      <c r="M1692" s="536"/>
      <c r="N1692" s="341"/>
      <c r="O1692" s="537"/>
      <c r="P1692" s="540"/>
      <c r="Q1692" s="537"/>
    </row>
    <row r="1693" ht="15.75" hidden="1" customHeight="1">
      <c r="A1693" s="142"/>
      <c r="B1693" s="142"/>
      <c r="C1693" s="220"/>
      <c r="D1693" s="142"/>
      <c r="E1693" s="220"/>
      <c r="F1693" s="213"/>
      <c r="G1693" s="213"/>
      <c r="H1693" s="213"/>
      <c r="I1693" s="214"/>
      <c r="J1693" s="541"/>
      <c r="K1693" s="542"/>
      <c r="L1693" s="542"/>
      <c r="N1693" s="217"/>
      <c r="O1693" s="77"/>
      <c r="P1693" s="195"/>
      <c r="Q1693" s="537"/>
    </row>
    <row r="1694" ht="15.75" hidden="1" customHeight="1">
      <c r="A1694" s="142"/>
      <c r="B1694" s="142"/>
      <c r="C1694" s="220"/>
      <c r="D1694" s="142"/>
      <c r="E1694" s="220"/>
      <c r="F1694" s="213"/>
      <c r="G1694" s="213"/>
      <c r="H1694" s="213"/>
      <c r="I1694" s="214"/>
      <c r="J1694" s="215"/>
      <c r="K1694" s="516"/>
      <c r="L1694" s="516"/>
      <c r="N1694" s="517"/>
      <c r="O1694" s="77"/>
      <c r="P1694" s="195"/>
      <c r="Q1694" s="77"/>
    </row>
    <row r="1695" ht="15.75" hidden="1" customHeight="1">
      <c r="A1695" s="536"/>
      <c r="B1695" s="536"/>
      <c r="C1695" s="538"/>
      <c r="D1695" s="536"/>
      <c r="E1695" s="538"/>
      <c r="F1695" s="213"/>
      <c r="G1695" s="213"/>
      <c r="H1695" s="213"/>
      <c r="I1695" s="214"/>
      <c r="J1695" s="215"/>
      <c r="K1695" s="516"/>
      <c r="L1695" s="516"/>
      <c r="M1695" s="536"/>
      <c r="N1695" s="341"/>
      <c r="O1695" s="537"/>
      <c r="P1695" s="540"/>
      <c r="Q1695" s="77"/>
    </row>
    <row r="1696" ht="15.75" hidden="1" customHeight="1">
      <c r="A1696" s="371"/>
      <c r="B1696" s="371"/>
      <c r="C1696" s="335"/>
      <c r="D1696" s="371"/>
      <c r="E1696" s="335"/>
      <c r="F1696" s="337"/>
      <c r="G1696" s="337"/>
      <c r="H1696" s="337"/>
      <c r="I1696" s="214"/>
      <c r="J1696" s="541"/>
      <c r="K1696" s="542"/>
      <c r="L1696" s="542"/>
      <c r="M1696" s="371"/>
      <c r="N1696" s="341"/>
      <c r="O1696" s="342"/>
      <c r="P1696" s="459"/>
      <c r="Q1696" s="537"/>
      <c r="R1696" s="371"/>
      <c r="S1696" s="371"/>
      <c r="T1696" s="371"/>
      <c r="U1696" s="371"/>
      <c r="V1696" s="371"/>
      <c r="W1696" s="371"/>
      <c r="X1696" s="371"/>
      <c r="Y1696" s="371"/>
      <c r="Z1696" s="371"/>
      <c r="AA1696" s="371"/>
      <c r="AB1696" s="371"/>
      <c r="AC1696" s="371"/>
      <c r="AD1696" s="371"/>
      <c r="AE1696" s="371"/>
      <c r="AF1696" s="371"/>
      <c r="AG1696" s="371"/>
      <c r="AH1696" s="371"/>
    </row>
    <row r="1697" ht="15.75" hidden="1" customHeight="1">
      <c r="A1697" s="142"/>
      <c r="B1697" s="142"/>
      <c r="C1697" s="220"/>
      <c r="D1697" s="142"/>
      <c r="E1697" s="220"/>
      <c r="F1697" s="213"/>
      <c r="G1697" s="213"/>
      <c r="H1697" s="213"/>
      <c r="I1697" s="214"/>
      <c r="J1697" s="338"/>
      <c r="K1697" s="534"/>
      <c r="L1697" s="534"/>
      <c r="N1697" s="517"/>
      <c r="O1697" s="77"/>
      <c r="P1697" s="195"/>
      <c r="Q1697" s="342"/>
    </row>
    <row r="1698" ht="15.75" hidden="1" customHeight="1">
      <c r="A1698" s="142"/>
      <c r="B1698" s="142"/>
      <c r="C1698" s="220"/>
      <c r="D1698" s="142"/>
      <c r="E1698" s="220"/>
      <c r="F1698" s="213"/>
      <c r="G1698" s="213"/>
      <c r="H1698" s="213"/>
      <c r="I1698" s="214"/>
      <c r="J1698" s="215"/>
      <c r="K1698" s="516"/>
      <c r="L1698" s="516"/>
      <c r="N1698" s="539"/>
      <c r="O1698" s="77"/>
      <c r="P1698" s="195"/>
      <c r="Q1698" s="77"/>
    </row>
    <row r="1699" ht="15.75" hidden="1" customHeight="1">
      <c r="A1699" s="142"/>
      <c r="B1699" s="142"/>
      <c r="C1699" s="220"/>
      <c r="D1699" s="142"/>
      <c r="E1699" s="220"/>
      <c r="F1699" s="213"/>
      <c r="G1699" s="213"/>
      <c r="H1699" s="213"/>
      <c r="I1699" s="214"/>
      <c r="J1699" s="215"/>
      <c r="K1699" s="516"/>
      <c r="L1699" s="516"/>
      <c r="N1699" s="517"/>
      <c r="O1699" s="77"/>
      <c r="P1699" s="195"/>
      <c r="Q1699" s="77"/>
    </row>
    <row r="1700" ht="15.75" hidden="1" customHeight="1">
      <c r="A1700" s="142"/>
      <c r="B1700" s="142"/>
      <c r="C1700" s="220"/>
      <c r="D1700" s="142"/>
      <c r="E1700" s="220"/>
      <c r="F1700" s="213"/>
      <c r="G1700" s="213"/>
      <c r="H1700" s="213"/>
      <c r="I1700" s="214"/>
      <c r="J1700" s="215"/>
      <c r="K1700" s="516"/>
      <c r="L1700" s="516"/>
      <c r="N1700" s="517"/>
      <c r="O1700" s="77"/>
      <c r="P1700" s="195"/>
      <c r="Q1700" s="77"/>
    </row>
    <row r="1701" ht="15.75" hidden="1" customHeight="1">
      <c r="A1701" s="142"/>
      <c r="B1701" s="142"/>
      <c r="C1701" s="220"/>
      <c r="D1701" s="142"/>
      <c r="E1701" s="220"/>
      <c r="F1701" s="213"/>
      <c r="G1701" s="213"/>
      <c r="H1701" s="213"/>
      <c r="I1701" s="214"/>
      <c r="J1701" s="215"/>
      <c r="K1701" s="516"/>
      <c r="L1701" s="516"/>
      <c r="N1701" s="517"/>
      <c r="O1701" s="77"/>
      <c r="P1701" s="195"/>
      <c r="Q1701" s="77"/>
    </row>
    <row r="1702" ht="15.75" hidden="1" customHeight="1">
      <c r="A1702" s="142"/>
      <c r="B1702" s="142"/>
      <c r="C1702" s="220"/>
      <c r="D1702" s="142"/>
      <c r="E1702" s="220"/>
      <c r="F1702" s="213"/>
      <c r="G1702" s="213"/>
      <c r="H1702" s="213"/>
      <c r="I1702" s="214"/>
      <c r="J1702" s="215"/>
      <c r="K1702" s="516"/>
      <c r="L1702" s="516"/>
      <c r="N1702" s="517"/>
      <c r="O1702" s="77"/>
      <c r="P1702" s="195"/>
      <c r="Q1702" s="77"/>
    </row>
    <row r="1703" ht="15.75" hidden="1" customHeight="1">
      <c r="A1703" s="142"/>
      <c r="B1703" s="142"/>
      <c r="C1703" s="220"/>
      <c r="D1703" s="142"/>
      <c r="E1703" s="220"/>
      <c r="F1703" s="213"/>
      <c r="G1703" s="213"/>
      <c r="H1703" s="213"/>
      <c r="I1703" s="214"/>
      <c r="J1703" s="215"/>
      <c r="K1703" s="516"/>
      <c r="L1703" s="516"/>
      <c r="N1703" s="517"/>
      <c r="O1703" s="77"/>
      <c r="P1703" s="195"/>
      <c r="Q1703" s="77"/>
    </row>
    <row r="1704" ht="15.75" hidden="1" customHeight="1">
      <c r="A1704" s="536"/>
      <c r="B1704" s="536"/>
      <c r="C1704" s="538"/>
      <c r="D1704" s="536"/>
      <c r="E1704" s="538"/>
      <c r="F1704" s="213"/>
      <c r="G1704" s="213"/>
      <c r="H1704" s="213"/>
      <c r="I1704" s="214"/>
      <c r="J1704" s="215"/>
      <c r="K1704" s="516"/>
      <c r="L1704" s="516"/>
      <c r="M1704" s="536"/>
      <c r="N1704" s="341"/>
      <c r="O1704" s="537"/>
      <c r="P1704" s="540"/>
      <c r="Q1704" s="77"/>
    </row>
    <row r="1705" ht="15.75" hidden="1" customHeight="1">
      <c r="A1705" s="142"/>
      <c r="B1705" s="142"/>
      <c r="C1705" s="220"/>
      <c r="D1705" s="142"/>
      <c r="E1705" s="220"/>
      <c r="F1705" s="213"/>
      <c r="G1705" s="213"/>
      <c r="H1705" s="213"/>
      <c r="I1705" s="214"/>
      <c r="J1705" s="541"/>
      <c r="K1705" s="542"/>
      <c r="L1705" s="542"/>
      <c r="N1705" s="517"/>
      <c r="O1705" s="554"/>
      <c r="P1705" s="555"/>
      <c r="Q1705" s="537"/>
    </row>
    <row r="1706" ht="15.75" hidden="1" customHeight="1">
      <c r="A1706" s="142"/>
      <c r="B1706" s="142"/>
      <c r="C1706" s="220"/>
      <c r="D1706" s="142"/>
      <c r="E1706" s="220"/>
      <c r="F1706" s="213"/>
      <c r="G1706" s="213"/>
      <c r="H1706" s="213"/>
      <c r="I1706" s="214"/>
      <c r="J1706" s="215"/>
      <c r="K1706" s="516"/>
      <c r="L1706" s="516"/>
      <c r="N1706" s="517"/>
      <c r="O1706" s="77"/>
      <c r="P1706" s="195"/>
      <c r="Q1706" s="554"/>
    </row>
    <row r="1707" ht="15.75" hidden="1" customHeight="1">
      <c r="A1707" s="142"/>
      <c r="B1707" s="142"/>
      <c r="C1707" s="220"/>
      <c r="D1707" s="142"/>
      <c r="E1707" s="220"/>
      <c r="F1707" s="213"/>
      <c r="G1707" s="213"/>
      <c r="H1707" s="213"/>
      <c r="I1707" s="214"/>
      <c r="J1707" s="215"/>
      <c r="K1707" s="516"/>
      <c r="L1707" s="516"/>
      <c r="N1707" s="517"/>
      <c r="O1707" s="77"/>
      <c r="P1707" s="195"/>
      <c r="Q1707" s="77"/>
    </row>
    <row r="1708" ht="15.75" hidden="1" customHeight="1">
      <c r="A1708" s="142"/>
      <c r="B1708" s="142"/>
      <c r="C1708" s="220"/>
      <c r="D1708" s="142"/>
      <c r="E1708" s="220"/>
      <c r="F1708" s="213"/>
      <c r="G1708" s="213"/>
      <c r="H1708" s="213"/>
      <c r="I1708" s="214"/>
      <c r="J1708" s="215"/>
      <c r="K1708" s="516"/>
      <c r="L1708" s="516"/>
      <c r="N1708" s="517"/>
      <c r="O1708" s="554"/>
      <c r="P1708" s="555"/>
      <c r="Q1708" s="77"/>
    </row>
    <row r="1709" ht="15.75" hidden="1" customHeight="1">
      <c r="A1709" s="142"/>
      <c r="B1709" s="142"/>
      <c r="C1709" s="220"/>
      <c r="D1709" s="142"/>
      <c r="E1709" s="220"/>
      <c r="F1709" s="213"/>
      <c r="G1709" s="213"/>
      <c r="H1709" s="213"/>
      <c r="I1709" s="214"/>
      <c r="J1709" s="215"/>
      <c r="K1709" s="516"/>
      <c r="L1709" s="516"/>
      <c r="N1709" s="517"/>
      <c r="O1709" s="77"/>
      <c r="P1709" s="195"/>
      <c r="Q1709" s="554"/>
    </row>
    <row r="1710" ht="15.75" hidden="1" customHeight="1">
      <c r="A1710" s="142"/>
      <c r="B1710" s="142"/>
      <c r="C1710" s="220"/>
      <c r="D1710" s="142"/>
      <c r="E1710" s="220"/>
      <c r="F1710" s="213"/>
      <c r="G1710" s="213"/>
      <c r="H1710" s="213"/>
      <c r="I1710" s="214"/>
      <c r="J1710" s="215"/>
      <c r="K1710" s="516"/>
      <c r="L1710" s="516"/>
      <c r="N1710" s="517"/>
      <c r="O1710" s="77"/>
      <c r="P1710" s="195"/>
      <c r="Q1710" s="77"/>
    </row>
    <row r="1711" ht="15.75" hidden="1" customHeight="1">
      <c r="A1711" s="142"/>
      <c r="B1711" s="142"/>
      <c r="C1711" s="220"/>
      <c r="D1711" s="142"/>
      <c r="E1711" s="220"/>
      <c r="F1711" s="213"/>
      <c r="G1711" s="213"/>
      <c r="H1711" s="213"/>
      <c r="I1711" s="214"/>
      <c r="J1711" s="215"/>
      <c r="K1711" s="516"/>
      <c r="L1711" s="516"/>
      <c r="N1711" s="517"/>
      <c r="O1711" s="77"/>
      <c r="P1711" s="195"/>
      <c r="Q1711" s="77"/>
    </row>
    <row r="1712" ht="15.75" hidden="1" customHeight="1">
      <c r="A1712" s="142"/>
      <c r="B1712" s="142"/>
      <c r="C1712" s="220"/>
      <c r="D1712" s="142"/>
      <c r="E1712" s="220"/>
      <c r="F1712" s="213"/>
      <c r="G1712" s="213"/>
      <c r="H1712" s="213"/>
      <c r="I1712" s="214"/>
      <c r="J1712" s="215"/>
      <c r="K1712" s="516"/>
      <c r="L1712" s="516"/>
      <c r="N1712" s="517"/>
      <c r="O1712" s="77"/>
      <c r="P1712" s="195"/>
      <c r="Q1712" s="77"/>
    </row>
    <row r="1713" ht="15.75" hidden="1" customHeight="1">
      <c r="A1713" s="536"/>
      <c r="B1713" s="536"/>
      <c r="C1713" s="538"/>
      <c r="D1713" s="536"/>
      <c r="E1713" s="538"/>
      <c r="F1713" s="213"/>
      <c r="G1713" s="213"/>
      <c r="H1713" s="213"/>
      <c r="I1713" s="214"/>
      <c r="J1713" s="215"/>
      <c r="K1713" s="516"/>
      <c r="L1713" s="516"/>
      <c r="M1713" s="536"/>
      <c r="N1713" s="341"/>
      <c r="O1713" s="537"/>
      <c r="P1713" s="540"/>
      <c r="Q1713" s="77"/>
    </row>
    <row r="1714" ht="15.75" hidden="1" customHeight="1">
      <c r="A1714" s="142"/>
      <c r="B1714" s="142"/>
      <c r="C1714" s="220"/>
      <c r="D1714" s="142"/>
      <c r="E1714" s="220"/>
      <c r="F1714" s="213"/>
      <c r="G1714" s="213"/>
      <c r="H1714" s="213"/>
      <c r="I1714" s="214"/>
      <c r="J1714" s="541"/>
      <c r="K1714" s="542"/>
      <c r="L1714" s="542"/>
      <c r="N1714" s="217"/>
      <c r="O1714" s="77"/>
      <c r="P1714" s="195"/>
      <c r="Q1714" s="537"/>
    </row>
    <row r="1715" ht="15.75" hidden="1" customHeight="1">
      <c r="A1715" s="142"/>
      <c r="B1715" s="142"/>
      <c r="C1715" s="220"/>
      <c r="D1715" s="142"/>
      <c r="E1715" s="220"/>
      <c r="F1715" s="213"/>
      <c r="G1715" s="213"/>
      <c r="H1715" s="213"/>
      <c r="I1715" s="214"/>
      <c r="J1715" s="215"/>
      <c r="K1715" s="516"/>
      <c r="L1715" s="516"/>
      <c r="N1715" s="517"/>
      <c r="O1715" s="554"/>
      <c r="P1715" s="555"/>
      <c r="Q1715" s="77"/>
    </row>
    <row r="1716" ht="15.75" hidden="1" customHeight="1">
      <c r="A1716" s="142"/>
      <c r="B1716" s="142"/>
      <c r="C1716" s="220"/>
      <c r="D1716" s="142"/>
      <c r="E1716" s="220"/>
      <c r="F1716" s="213"/>
      <c r="G1716" s="213"/>
      <c r="H1716" s="213"/>
      <c r="I1716" s="214"/>
      <c r="J1716" s="215"/>
      <c r="K1716" s="516"/>
      <c r="L1716" s="516"/>
      <c r="N1716" s="517"/>
      <c r="O1716" s="77"/>
      <c r="P1716" s="195"/>
      <c r="Q1716" s="554"/>
    </row>
    <row r="1717" ht="15.75" hidden="1" customHeight="1">
      <c r="A1717" s="142"/>
      <c r="B1717" s="142"/>
      <c r="C1717" s="220"/>
      <c r="D1717" s="142"/>
      <c r="E1717" s="220"/>
      <c r="F1717" s="213"/>
      <c r="G1717" s="213"/>
      <c r="H1717" s="213"/>
      <c r="I1717" s="214"/>
      <c r="J1717" s="215"/>
      <c r="K1717" s="516"/>
      <c r="L1717" s="516"/>
      <c r="N1717" s="517"/>
      <c r="O1717" s="77"/>
      <c r="P1717" s="195"/>
      <c r="Q1717" s="77"/>
    </row>
    <row r="1718" ht="15.75" hidden="1" customHeight="1">
      <c r="A1718" s="142"/>
      <c r="B1718" s="142"/>
      <c r="C1718" s="220"/>
      <c r="D1718" s="142"/>
      <c r="E1718" s="220"/>
      <c r="F1718" s="213"/>
      <c r="G1718" s="213"/>
      <c r="H1718" s="213"/>
      <c r="I1718" s="214"/>
      <c r="J1718" s="215"/>
      <c r="K1718" s="516"/>
      <c r="L1718" s="516"/>
      <c r="N1718" s="217"/>
      <c r="O1718" s="77"/>
      <c r="P1718" s="195"/>
      <c r="Q1718" s="77"/>
    </row>
    <row r="1719" ht="15.75" hidden="1" customHeight="1">
      <c r="A1719" s="142"/>
      <c r="B1719" s="142"/>
      <c r="C1719" s="220"/>
      <c r="D1719" s="142"/>
      <c r="E1719" s="220"/>
      <c r="F1719" s="213"/>
      <c r="G1719" s="213"/>
      <c r="H1719" s="213"/>
      <c r="I1719" s="214"/>
      <c r="J1719" s="215"/>
      <c r="K1719" s="516"/>
      <c r="L1719" s="516"/>
      <c r="N1719" s="217"/>
      <c r="O1719" s="77"/>
      <c r="P1719" s="195"/>
      <c r="Q1719" s="77"/>
    </row>
    <row r="1720" ht="15.75" hidden="1" customHeight="1">
      <c r="A1720" s="142"/>
      <c r="B1720" s="142"/>
      <c r="C1720" s="220"/>
      <c r="D1720" s="142"/>
      <c r="E1720" s="220"/>
      <c r="F1720" s="213"/>
      <c r="G1720" s="213"/>
      <c r="H1720" s="213"/>
      <c r="I1720" s="214"/>
      <c r="J1720" s="215"/>
      <c r="K1720" s="516"/>
      <c r="L1720" s="516"/>
      <c r="N1720" s="517"/>
      <c r="O1720" s="77"/>
      <c r="P1720" s="195"/>
      <c r="Q1720" s="77"/>
    </row>
    <row r="1721" ht="15.75" hidden="1" customHeight="1">
      <c r="A1721" s="142"/>
      <c r="B1721" s="142"/>
      <c r="C1721" s="220"/>
      <c r="D1721" s="142"/>
      <c r="E1721" s="220"/>
      <c r="F1721" s="213"/>
      <c r="G1721" s="213"/>
      <c r="H1721" s="213"/>
      <c r="I1721" s="214"/>
      <c r="J1721" s="215"/>
      <c r="K1721" s="516"/>
      <c r="L1721" s="516"/>
      <c r="N1721" s="517"/>
      <c r="O1721" s="77"/>
      <c r="P1721" s="195"/>
      <c r="Q1721" s="77"/>
    </row>
    <row r="1722" ht="15.75" hidden="1" customHeight="1">
      <c r="A1722" s="142"/>
      <c r="B1722" s="142"/>
      <c r="C1722" s="220"/>
      <c r="D1722" s="142"/>
      <c r="E1722" s="220"/>
      <c r="F1722" s="213"/>
      <c r="G1722" s="213"/>
      <c r="H1722" s="213"/>
      <c r="I1722" s="214"/>
      <c r="J1722" s="215"/>
      <c r="K1722" s="516"/>
      <c r="L1722" s="516"/>
      <c r="N1722" s="217"/>
      <c r="O1722" s="77"/>
      <c r="P1722" s="195"/>
      <c r="Q1722" s="77"/>
    </row>
    <row r="1723" ht="15.75" hidden="1" customHeight="1">
      <c r="A1723" s="142"/>
      <c r="B1723" s="142"/>
      <c r="C1723" s="220"/>
      <c r="D1723" s="142"/>
      <c r="E1723" s="220"/>
      <c r="F1723" s="213"/>
      <c r="G1723" s="213"/>
      <c r="H1723" s="213"/>
      <c r="I1723" s="214"/>
      <c r="J1723" s="215"/>
      <c r="K1723" s="516"/>
      <c r="L1723" s="516"/>
      <c r="N1723" s="217"/>
      <c r="O1723" s="77"/>
      <c r="P1723" s="195"/>
      <c r="Q1723" s="77"/>
    </row>
    <row r="1724" ht="15.75" hidden="1" customHeight="1">
      <c r="A1724" s="142"/>
      <c r="B1724" s="142"/>
      <c r="C1724" s="220"/>
      <c r="D1724" s="142"/>
      <c r="E1724" s="220"/>
      <c r="F1724" s="213"/>
      <c r="G1724" s="213"/>
      <c r="H1724" s="213"/>
      <c r="I1724" s="214"/>
      <c r="J1724" s="215"/>
      <c r="K1724" s="516"/>
      <c r="L1724" s="516"/>
      <c r="N1724" s="517"/>
      <c r="O1724" s="77"/>
      <c r="P1724" s="195"/>
      <c r="Q1724" s="77"/>
    </row>
    <row r="1725" ht="15.75" hidden="1" customHeight="1">
      <c r="A1725" s="142"/>
      <c r="B1725" s="142"/>
      <c r="C1725" s="220"/>
      <c r="D1725" s="142"/>
      <c r="E1725" s="220"/>
      <c r="F1725" s="213"/>
      <c r="G1725" s="213"/>
      <c r="H1725" s="213"/>
      <c r="I1725" s="214"/>
      <c r="J1725" s="215"/>
      <c r="K1725" s="516"/>
      <c r="L1725" s="516"/>
      <c r="N1725" s="517"/>
      <c r="O1725" s="77"/>
      <c r="P1725" s="195"/>
      <c r="Q1725" s="77"/>
    </row>
    <row r="1726" ht="15.75" hidden="1" customHeight="1">
      <c r="A1726" s="142"/>
      <c r="B1726" s="142"/>
      <c r="C1726" s="220"/>
      <c r="D1726" s="142"/>
      <c r="E1726" s="220"/>
      <c r="F1726" s="213"/>
      <c r="G1726" s="213"/>
      <c r="H1726" s="213"/>
      <c r="I1726" s="214"/>
      <c r="J1726" s="215"/>
      <c r="K1726" s="516"/>
      <c r="L1726" s="516"/>
      <c r="N1726" s="517"/>
      <c r="O1726" s="77"/>
      <c r="P1726" s="195"/>
      <c r="Q1726" s="77"/>
    </row>
    <row r="1727" ht="15.75" hidden="1" customHeight="1">
      <c r="A1727" s="142"/>
      <c r="B1727" s="142"/>
      <c r="C1727" s="220"/>
      <c r="D1727" s="142"/>
      <c r="E1727" s="220"/>
      <c r="F1727" s="213"/>
      <c r="G1727" s="213"/>
      <c r="H1727" s="213"/>
      <c r="I1727" s="214"/>
      <c r="J1727" s="215"/>
      <c r="K1727" s="516"/>
      <c r="L1727" s="516"/>
      <c r="N1727" s="517"/>
      <c r="O1727" s="77"/>
      <c r="P1727" s="195"/>
      <c r="Q1727" s="77"/>
    </row>
    <row r="1728" ht="15.75" hidden="1" customHeight="1">
      <c r="A1728" s="142"/>
      <c r="B1728" s="142"/>
      <c r="C1728" s="220"/>
      <c r="D1728" s="142"/>
      <c r="E1728" s="220"/>
      <c r="F1728" s="213"/>
      <c r="G1728" s="213"/>
      <c r="H1728" s="213"/>
      <c r="I1728" s="214"/>
      <c r="J1728" s="215"/>
      <c r="K1728" s="516"/>
      <c r="L1728" s="516"/>
      <c r="N1728" s="517"/>
      <c r="O1728" s="77"/>
      <c r="P1728" s="195"/>
      <c r="Q1728" s="77"/>
    </row>
    <row r="1729" ht="15.75" hidden="1" customHeight="1">
      <c r="A1729" s="142"/>
      <c r="B1729" s="142"/>
      <c r="C1729" s="220"/>
      <c r="D1729" s="142"/>
      <c r="E1729" s="220"/>
      <c r="F1729" s="213"/>
      <c r="G1729" s="213"/>
      <c r="H1729" s="213"/>
      <c r="I1729" s="214"/>
      <c r="J1729" s="215"/>
      <c r="K1729" s="516"/>
      <c r="L1729" s="516"/>
      <c r="N1729" s="517"/>
      <c r="O1729" s="77"/>
      <c r="P1729" s="195"/>
      <c r="Q1729" s="77"/>
    </row>
    <row r="1730" ht="15.75" hidden="1" customHeight="1">
      <c r="A1730" s="142"/>
      <c r="B1730" s="142"/>
      <c r="C1730" s="220"/>
      <c r="D1730" s="142"/>
      <c r="E1730" s="220"/>
      <c r="F1730" s="213"/>
      <c r="G1730" s="213"/>
      <c r="H1730" s="213"/>
      <c r="I1730" s="214"/>
      <c r="J1730" s="215"/>
      <c r="K1730" s="516"/>
      <c r="L1730" s="516"/>
      <c r="N1730" s="517"/>
      <c r="O1730" s="77"/>
      <c r="P1730" s="195"/>
      <c r="Q1730" s="77"/>
    </row>
    <row r="1731" ht="15.75" hidden="1" customHeight="1">
      <c r="A1731" s="142"/>
      <c r="B1731" s="142"/>
      <c r="C1731" s="220"/>
      <c r="D1731" s="142"/>
      <c r="E1731" s="220"/>
      <c r="F1731" s="213"/>
      <c r="G1731" s="213"/>
      <c r="H1731" s="213"/>
      <c r="I1731" s="214"/>
      <c r="J1731" s="215"/>
      <c r="K1731" s="516"/>
      <c r="L1731" s="516"/>
      <c r="N1731" s="517"/>
      <c r="O1731" s="77"/>
      <c r="P1731" s="195"/>
      <c r="Q1731" s="77"/>
    </row>
    <row r="1732" ht="15.75" hidden="1" customHeight="1">
      <c r="A1732" s="142"/>
      <c r="B1732" s="142"/>
      <c r="C1732" s="220"/>
      <c r="D1732" s="142"/>
      <c r="E1732" s="220"/>
      <c r="F1732" s="213"/>
      <c r="G1732" s="213"/>
      <c r="H1732" s="213"/>
      <c r="I1732" s="214"/>
      <c r="J1732" s="215"/>
      <c r="K1732" s="516"/>
      <c r="L1732" s="516"/>
      <c r="N1732" s="517"/>
      <c r="O1732" s="77"/>
      <c r="P1732" s="195"/>
      <c r="Q1732" s="77"/>
    </row>
    <row r="1733" ht="15.75" hidden="1" customHeight="1">
      <c r="A1733" s="142"/>
      <c r="B1733" s="142"/>
      <c r="C1733" s="220"/>
      <c r="D1733" s="142"/>
      <c r="E1733" s="220"/>
      <c r="F1733" s="213"/>
      <c r="G1733" s="213"/>
      <c r="H1733" s="213"/>
      <c r="I1733" s="214"/>
      <c r="J1733" s="215"/>
      <c r="K1733" s="516"/>
      <c r="L1733" s="516"/>
      <c r="N1733" s="517"/>
      <c r="O1733" s="77"/>
      <c r="P1733" s="195"/>
      <c r="Q1733" s="77"/>
    </row>
    <row r="1734" ht="15.75" hidden="1" customHeight="1">
      <c r="A1734" s="142"/>
      <c r="B1734" s="142"/>
      <c r="C1734" s="220"/>
      <c r="D1734" s="142"/>
      <c r="E1734" s="220"/>
      <c r="F1734" s="213"/>
      <c r="G1734" s="213"/>
      <c r="H1734" s="213"/>
      <c r="I1734" s="214"/>
      <c r="J1734" s="215"/>
      <c r="K1734" s="516"/>
      <c r="L1734" s="516"/>
      <c r="N1734" s="517"/>
      <c r="O1734" s="77"/>
      <c r="P1734" s="195"/>
      <c r="Q1734" s="77"/>
    </row>
    <row r="1735" ht="15.75" hidden="1" customHeight="1">
      <c r="A1735" s="142"/>
      <c r="B1735" s="142"/>
      <c r="C1735" s="220"/>
      <c r="D1735" s="142"/>
      <c r="E1735" s="220"/>
      <c r="F1735" s="213"/>
      <c r="G1735" s="213"/>
      <c r="H1735" s="213"/>
      <c r="I1735" s="214"/>
      <c r="J1735" s="215"/>
      <c r="K1735" s="516"/>
      <c r="L1735" s="516"/>
      <c r="N1735" s="517"/>
      <c r="O1735" s="77"/>
      <c r="P1735" s="195"/>
      <c r="Q1735" s="77"/>
    </row>
    <row r="1736" ht="15.75" hidden="1" customHeight="1">
      <c r="A1736" s="142"/>
      <c r="B1736" s="142"/>
      <c r="C1736" s="220"/>
      <c r="D1736" s="142"/>
      <c r="E1736" s="220"/>
      <c r="F1736" s="213"/>
      <c r="G1736" s="213"/>
      <c r="H1736" s="213"/>
      <c r="I1736" s="214"/>
      <c r="J1736" s="215"/>
      <c r="K1736" s="516"/>
      <c r="L1736" s="516"/>
      <c r="N1736" s="517"/>
      <c r="O1736" s="77"/>
      <c r="P1736" s="195"/>
      <c r="Q1736" s="77"/>
    </row>
    <row r="1737" ht="15.75" hidden="1" customHeight="1">
      <c r="A1737" s="142"/>
      <c r="B1737" s="142"/>
      <c r="C1737" s="220"/>
      <c r="D1737" s="142"/>
      <c r="E1737" s="220"/>
      <c r="F1737" s="213"/>
      <c r="G1737" s="213"/>
      <c r="H1737" s="213"/>
      <c r="I1737" s="214"/>
      <c r="J1737" s="215"/>
      <c r="K1737" s="516"/>
      <c r="L1737" s="516"/>
      <c r="N1737" s="517"/>
      <c r="O1737" s="77"/>
      <c r="P1737" s="195"/>
      <c r="Q1737" s="77"/>
    </row>
    <row r="1738" ht="15.75" hidden="1" customHeight="1">
      <c r="A1738" s="142"/>
      <c r="B1738" s="142"/>
      <c r="C1738" s="220"/>
      <c r="D1738" s="142"/>
      <c r="E1738" s="220"/>
      <c r="F1738" s="213"/>
      <c r="G1738" s="213"/>
      <c r="H1738" s="213"/>
      <c r="I1738" s="214"/>
      <c r="J1738" s="215"/>
      <c r="K1738" s="516"/>
      <c r="L1738" s="516"/>
      <c r="N1738" s="517"/>
      <c r="O1738" s="77"/>
      <c r="P1738" s="195"/>
      <c r="Q1738" s="77"/>
    </row>
    <row r="1739" ht="15.75" hidden="1" customHeight="1">
      <c r="A1739" s="142"/>
      <c r="B1739" s="142"/>
      <c r="C1739" s="220"/>
      <c r="D1739" s="142"/>
      <c r="E1739" s="220"/>
      <c r="F1739" s="213"/>
      <c r="G1739" s="213"/>
      <c r="H1739" s="213"/>
      <c r="I1739" s="214"/>
      <c r="J1739" s="215"/>
      <c r="K1739" s="516"/>
      <c r="L1739" s="516"/>
      <c r="N1739" s="517"/>
      <c r="O1739" s="77"/>
      <c r="P1739" s="195"/>
      <c r="Q1739" s="77"/>
    </row>
    <row r="1740" ht="15.75" hidden="1" customHeight="1">
      <c r="A1740" s="142"/>
      <c r="B1740" s="142"/>
      <c r="C1740" s="220"/>
      <c r="D1740" s="142"/>
      <c r="E1740" s="220"/>
      <c r="F1740" s="213"/>
      <c r="G1740" s="213"/>
      <c r="H1740" s="213"/>
      <c r="I1740" s="214"/>
      <c r="J1740" s="215"/>
      <c r="K1740" s="516"/>
      <c r="L1740" s="516"/>
      <c r="N1740" s="517"/>
      <c r="O1740" s="77"/>
      <c r="P1740" s="195"/>
      <c r="Q1740" s="77"/>
    </row>
    <row r="1741" ht="15.75" hidden="1" customHeight="1">
      <c r="A1741" s="142"/>
      <c r="B1741" s="142"/>
      <c r="C1741" s="220"/>
      <c r="D1741" s="142"/>
      <c r="E1741" s="220"/>
      <c r="F1741" s="213"/>
      <c r="G1741" s="213"/>
      <c r="H1741" s="213"/>
      <c r="I1741" s="214"/>
      <c r="J1741" s="215"/>
      <c r="K1741" s="516"/>
      <c r="L1741" s="516"/>
      <c r="N1741" s="517"/>
      <c r="O1741" s="77"/>
      <c r="P1741" s="195"/>
      <c r="Q1741" s="77"/>
    </row>
    <row r="1742" ht="15.75" hidden="1" customHeight="1">
      <c r="A1742" s="142"/>
      <c r="B1742" s="142"/>
      <c r="C1742" s="220"/>
      <c r="D1742" s="142"/>
      <c r="E1742" s="220"/>
      <c r="F1742" s="213"/>
      <c r="G1742" s="213"/>
      <c r="H1742" s="213"/>
      <c r="I1742" s="214"/>
      <c r="J1742" s="215"/>
      <c r="K1742" s="516"/>
      <c r="L1742" s="516"/>
      <c r="N1742" s="517"/>
      <c r="O1742" s="77"/>
      <c r="P1742" s="195"/>
      <c r="Q1742" s="77"/>
    </row>
    <row r="1743" ht="15.75" hidden="1" customHeight="1">
      <c r="A1743" s="142"/>
      <c r="B1743" s="142"/>
      <c r="C1743" s="220"/>
      <c r="D1743" s="142"/>
      <c r="E1743" s="220"/>
      <c r="F1743" s="213"/>
      <c r="G1743" s="213"/>
      <c r="H1743" s="213"/>
      <c r="I1743" s="214"/>
      <c r="J1743" s="556"/>
      <c r="K1743" s="557"/>
      <c r="L1743" s="557"/>
      <c r="N1743" s="517"/>
      <c r="O1743" s="77"/>
      <c r="P1743" s="195"/>
      <c r="Q1743" s="77"/>
    </row>
    <row r="1744" ht="15.75" hidden="1" customHeight="1">
      <c r="A1744" s="142"/>
      <c r="B1744" s="142"/>
      <c r="C1744" s="220"/>
      <c r="D1744" s="142"/>
      <c r="E1744" s="220"/>
      <c r="F1744" s="213"/>
      <c r="G1744" s="213"/>
      <c r="H1744" s="213"/>
      <c r="I1744" s="214"/>
      <c r="J1744" s="556"/>
      <c r="K1744" s="557"/>
      <c r="L1744" s="557"/>
      <c r="N1744" s="517"/>
      <c r="O1744" s="77"/>
      <c r="P1744" s="195"/>
      <c r="Q1744" s="77"/>
    </row>
    <row r="1745" ht="15.75" hidden="1" customHeight="1">
      <c r="A1745" s="142"/>
      <c r="B1745" s="142"/>
      <c r="C1745" s="220"/>
      <c r="D1745" s="142"/>
      <c r="E1745" s="220"/>
      <c r="F1745" s="213"/>
      <c r="G1745" s="213"/>
      <c r="H1745" s="213"/>
      <c r="I1745" s="214"/>
      <c r="J1745" s="556"/>
      <c r="K1745" s="557"/>
      <c r="L1745" s="557"/>
      <c r="N1745" s="517"/>
      <c r="O1745" s="77"/>
      <c r="P1745" s="195"/>
      <c r="Q1745" s="77"/>
    </row>
    <row r="1746" ht="15.75" hidden="1" customHeight="1">
      <c r="A1746" s="142"/>
      <c r="B1746" s="142"/>
      <c r="C1746" s="220"/>
      <c r="D1746" s="142"/>
      <c r="E1746" s="220"/>
      <c r="F1746" s="213"/>
      <c r="G1746" s="213"/>
      <c r="H1746" s="213"/>
      <c r="I1746" s="214"/>
      <c r="J1746" s="556"/>
      <c r="K1746" s="557"/>
      <c r="L1746" s="557"/>
      <c r="N1746" s="517"/>
      <c r="O1746" s="302"/>
      <c r="P1746" s="558"/>
      <c r="Q1746" s="77"/>
    </row>
    <row r="1747" ht="15.75" hidden="1" customHeight="1">
      <c r="A1747" s="142"/>
      <c r="B1747" s="142"/>
      <c r="C1747" s="220"/>
      <c r="D1747" s="142"/>
      <c r="E1747" s="220"/>
      <c r="F1747" s="213"/>
      <c r="G1747" s="213"/>
      <c r="H1747" s="213"/>
      <c r="I1747" s="214"/>
      <c r="J1747" s="215"/>
      <c r="K1747" s="516"/>
      <c r="L1747" s="516"/>
      <c r="N1747" s="517"/>
      <c r="O1747" s="77"/>
      <c r="P1747" s="195"/>
    </row>
    <row r="1748" ht="15.75" hidden="1" customHeight="1">
      <c r="A1748" s="142"/>
      <c r="B1748" s="142"/>
      <c r="C1748" s="220"/>
      <c r="D1748" s="142"/>
      <c r="E1748" s="220"/>
      <c r="F1748" s="213"/>
      <c r="G1748" s="213"/>
      <c r="H1748" s="213"/>
      <c r="I1748" s="214"/>
      <c r="J1748" s="215"/>
      <c r="K1748" s="516"/>
      <c r="L1748" s="516"/>
      <c r="N1748" s="517"/>
      <c r="O1748" s="77"/>
      <c r="P1748" s="195"/>
      <c r="Q1748" s="77"/>
      <c r="V1748" s="535"/>
      <c r="W1748" s="535"/>
      <c r="X1748" s="535"/>
      <c r="Y1748" s="535"/>
      <c r="Z1748" s="535"/>
      <c r="AA1748" s="535"/>
      <c r="AB1748" s="535"/>
      <c r="AC1748" s="535"/>
      <c r="AD1748" s="535"/>
      <c r="AE1748" s="535"/>
      <c r="AF1748" s="535"/>
      <c r="AG1748" s="535"/>
      <c r="AH1748" s="535"/>
    </row>
    <row r="1749" ht="15.75" hidden="1" customHeight="1">
      <c r="A1749" s="142"/>
      <c r="B1749" s="142"/>
      <c r="C1749" s="220"/>
      <c r="D1749" s="142"/>
      <c r="E1749" s="220"/>
      <c r="F1749" s="213"/>
      <c r="G1749" s="213"/>
      <c r="H1749" s="213"/>
      <c r="I1749" s="214"/>
      <c r="J1749" s="215"/>
      <c r="K1749" s="516"/>
      <c r="L1749" s="516"/>
      <c r="N1749" s="559"/>
      <c r="O1749" s="77"/>
      <c r="P1749" s="195"/>
      <c r="Q1749" s="77"/>
    </row>
    <row r="1750" ht="15.75" hidden="1" customHeight="1">
      <c r="A1750" s="142"/>
      <c r="B1750" s="142"/>
      <c r="C1750" s="220"/>
      <c r="D1750" s="142"/>
      <c r="E1750" s="220"/>
      <c r="F1750" s="213"/>
      <c r="G1750" s="213"/>
      <c r="H1750" s="213"/>
      <c r="I1750" s="214"/>
      <c r="J1750" s="215"/>
      <c r="K1750" s="516"/>
      <c r="L1750" s="516"/>
      <c r="N1750" s="559"/>
      <c r="O1750" s="77"/>
      <c r="P1750" s="195"/>
      <c r="Q1750" s="77"/>
    </row>
    <row r="1751" ht="15.75" hidden="1" customHeight="1">
      <c r="A1751" s="142"/>
      <c r="B1751" s="142"/>
      <c r="C1751" s="220"/>
      <c r="D1751" s="142"/>
      <c r="E1751" s="220"/>
      <c r="F1751" s="213"/>
      <c r="G1751" s="213"/>
      <c r="H1751" s="213"/>
      <c r="I1751" s="214"/>
      <c r="J1751" s="215"/>
      <c r="K1751" s="516"/>
      <c r="L1751" s="516"/>
      <c r="N1751" s="559"/>
      <c r="O1751" s="77"/>
      <c r="P1751" s="195"/>
      <c r="Q1751" s="77"/>
    </row>
    <row r="1752" ht="15.75" hidden="1" customHeight="1">
      <c r="A1752" s="142"/>
      <c r="B1752" s="142"/>
      <c r="C1752" s="220"/>
      <c r="D1752" s="142"/>
      <c r="E1752" s="220"/>
      <c r="F1752" s="213"/>
      <c r="G1752" s="213"/>
      <c r="H1752" s="213"/>
      <c r="I1752" s="214"/>
      <c r="J1752" s="215"/>
      <c r="K1752" s="516"/>
      <c r="L1752" s="516"/>
      <c r="N1752" s="559"/>
      <c r="O1752" s="77"/>
      <c r="P1752" s="195"/>
      <c r="Q1752" s="77"/>
    </row>
    <row r="1753" ht="15.75" hidden="1" customHeight="1">
      <c r="A1753" s="142"/>
      <c r="B1753" s="142"/>
      <c r="C1753" s="220"/>
      <c r="D1753" s="142"/>
      <c r="E1753" s="220"/>
      <c r="F1753" s="213"/>
      <c r="G1753" s="213"/>
      <c r="H1753" s="213"/>
      <c r="I1753" s="214"/>
      <c r="J1753" s="215"/>
      <c r="K1753" s="516"/>
      <c r="L1753" s="516"/>
      <c r="N1753" s="559"/>
      <c r="O1753" s="77"/>
      <c r="P1753" s="195"/>
      <c r="Q1753" s="77"/>
      <c r="V1753" s="535"/>
      <c r="W1753" s="535"/>
      <c r="X1753" s="535"/>
      <c r="Y1753" s="535"/>
      <c r="Z1753" s="535"/>
      <c r="AA1753" s="535"/>
      <c r="AB1753" s="535"/>
      <c r="AC1753" s="535"/>
      <c r="AD1753" s="535"/>
      <c r="AE1753" s="535"/>
      <c r="AF1753" s="535"/>
      <c r="AG1753" s="535"/>
      <c r="AH1753" s="535"/>
    </row>
    <row r="1754" ht="15.75" hidden="1" customHeight="1">
      <c r="A1754" s="142"/>
      <c r="B1754" s="142"/>
      <c r="C1754" s="220"/>
      <c r="D1754" s="142"/>
      <c r="E1754" s="220"/>
      <c r="F1754" s="213"/>
      <c r="G1754" s="213"/>
      <c r="H1754" s="213"/>
      <c r="I1754" s="214"/>
      <c r="J1754" s="215"/>
      <c r="K1754" s="516"/>
      <c r="L1754" s="516"/>
      <c r="N1754" s="559"/>
      <c r="O1754" s="77"/>
      <c r="P1754" s="195"/>
      <c r="Q1754" s="77"/>
    </row>
    <row r="1755" ht="15.75" hidden="1" customHeight="1">
      <c r="A1755" s="142"/>
      <c r="B1755" s="142"/>
      <c r="C1755" s="220"/>
      <c r="D1755" s="142"/>
      <c r="E1755" s="220"/>
      <c r="F1755" s="213"/>
      <c r="G1755" s="213"/>
      <c r="H1755" s="213"/>
      <c r="I1755" s="214"/>
      <c r="J1755" s="215"/>
      <c r="K1755" s="516"/>
      <c r="L1755" s="516"/>
      <c r="N1755" s="517"/>
      <c r="O1755" s="77"/>
      <c r="P1755" s="195"/>
      <c r="Q1755" s="77"/>
    </row>
    <row r="1756" ht="15.75" hidden="1" customHeight="1">
      <c r="A1756" s="142"/>
      <c r="B1756" s="142"/>
      <c r="C1756" s="220"/>
      <c r="D1756" s="142"/>
      <c r="E1756" s="220"/>
      <c r="F1756" s="213"/>
      <c r="G1756" s="213"/>
      <c r="H1756" s="213"/>
      <c r="I1756" s="214"/>
      <c r="J1756" s="556"/>
      <c r="K1756" s="557"/>
      <c r="L1756" s="557"/>
      <c r="N1756" s="517"/>
      <c r="O1756" s="77"/>
      <c r="P1756" s="195"/>
      <c r="Q1756" s="77"/>
    </row>
    <row r="1757" ht="15.75" hidden="1" customHeight="1">
      <c r="A1757" s="142"/>
      <c r="B1757" s="142"/>
      <c r="C1757" s="220"/>
      <c r="D1757" s="142"/>
      <c r="E1757" s="220"/>
      <c r="F1757" s="213"/>
      <c r="G1757" s="213"/>
      <c r="H1757" s="213"/>
      <c r="I1757" s="214"/>
      <c r="J1757" s="556"/>
      <c r="K1757" s="557"/>
      <c r="L1757" s="557"/>
      <c r="N1757" s="517"/>
      <c r="O1757" s="77"/>
      <c r="P1757" s="195"/>
      <c r="Q1757" s="77"/>
    </row>
    <row r="1758" ht="15.75" hidden="1" customHeight="1">
      <c r="A1758" s="142"/>
      <c r="B1758" s="142"/>
      <c r="C1758" s="220"/>
      <c r="D1758" s="142"/>
      <c r="E1758" s="220"/>
      <c r="F1758" s="213"/>
      <c r="G1758" s="213"/>
      <c r="H1758" s="213"/>
      <c r="I1758" s="214"/>
      <c r="J1758" s="215"/>
      <c r="K1758" s="516"/>
      <c r="L1758" s="516"/>
      <c r="N1758" s="517"/>
      <c r="O1758" s="77"/>
      <c r="P1758" s="195"/>
      <c r="Q1758" s="77"/>
    </row>
    <row r="1759" ht="15.75" hidden="1" customHeight="1">
      <c r="A1759" s="535"/>
      <c r="B1759" s="535"/>
      <c r="C1759" s="560"/>
      <c r="D1759" s="535"/>
      <c r="E1759" s="560"/>
      <c r="F1759" s="213"/>
      <c r="G1759" s="213"/>
      <c r="H1759" s="515"/>
      <c r="I1759" s="214"/>
      <c r="J1759" s="215"/>
      <c r="K1759" s="516"/>
      <c r="L1759" s="516"/>
      <c r="M1759" s="535"/>
      <c r="N1759" s="517"/>
      <c r="O1759" s="561"/>
      <c r="P1759" s="562"/>
      <c r="Q1759" s="77"/>
      <c r="R1759" s="535"/>
      <c r="S1759" s="535"/>
      <c r="T1759" s="535"/>
      <c r="U1759" s="535"/>
      <c r="V1759" s="535"/>
      <c r="W1759" s="535"/>
      <c r="X1759" s="535"/>
      <c r="Y1759" s="535"/>
      <c r="Z1759" s="535"/>
      <c r="AA1759" s="535"/>
      <c r="AB1759" s="535"/>
      <c r="AC1759" s="535"/>
      <c r="AD1759" s="535"/>
      <c r="AE1759" s="535"/>
      <c r="AF1759" s="535"/>
      <c r="AG1759" s="535"/>
      <c r="AH1759" s="535"/>
    </row>
    <row r="1760" ht="15.75" hidden="1" customHeight="1">
      <c r="A1760" s="535"/>
      <c r="B1760" s="535"/>
      <c r="C1760" s="560"/>
      <c r="D1760" s="535"/>
      <c r="E1760" s="560"/>
      <c r="F1760" s="213"/>
      <c r="G1760" s="213"/>
      <c r="H1760" s="515"/>
      <c r="I1760" s="214"/>
      <c r="J1760" s="556"/>
      <c r="K1760" s="557"/>
      <c r="L1760" s="557"/>
      <c r="M1760" s="535"/>
      <c r="N1760" s="517"/>
      <c r="O1760" s="561"/>
      <c r="P1760" s="562"/>
      <c r="Q1760" s="561"/>
      <c r="R1760" s="535"/>
      <c r="S1760" s="535"/>
      <c r="T1760" s="535"/>
      <c r="U1760" s="535"/>
      <c r="V1760" s="535"/>
      <c r="W1760" s="535"/>
      <c r="X1760" s="535"/>
      <c r="Y1760" s="535"/>
      <c r="Z1760" s="535"/>
      <c r="AA1760" s="535"/>
      <c r="AB1760" s="535"/>
      <c r="AC1760" s="535"/>
      <c r="AD1760" s="535"/>
      <c r="AE1760" s="535"/>
      <c r="AF1760" s="535"/>
      <c r="AG1760" s="535"/>
      <c r="AH1760" s="535"/>
    </row>
    <row r="1761" ht="15.75" hidden="1" customHeight="1">
      <c r="A1761" s="142"/>
      <c r="B1761" s="142"/>
      <c r="C1761" s="220"/>
      <c r="D1761" s="142"/>
      <c r="E1761" s="220"/>
      <c r="F1761" s="213"/>
      <c r="G1761" s="213"/>
      <c r="H1761" s="213"/>
      <c r="I1761" s="214"/>
      <c r="J1761" s="556"/>
      <c r="K1761" s="557"/>
      <c r="L1761" s="557"/>
      <c r="N1761" s="517"/>
      <c r="O1761" s="77"/>
      <c r="P1761" s="195"/>
      <c r="Q1761" s="561"/>
    </row>
    <row r="1762" ht="15.75" hidden="1" customHeight="1">
      <c r="A1762" s="142"/>
      <c r="B1762" s="142"/>
      <c r="C1762" s="220"/>
      <c r="D1762" s="142"/>
      <c r="E1762" s="220"/>
      <c r="F1762" s="213"/>
      <c r="G1762" s="213"/>
      <c r="H1762" s="213"/>
      <c r="I1762" s="214"/>
      <c r="J1762" s="215"/>
      <c r="K1762" s="516"/>
      <c r="L1762" s="516"/>
      <c r="N1762" s="517"/>
      <c r="O1762" s="77"/>
      <c r="P1762" s="195"/>
      <c r="Q1762" s="77"/>
    </row>
    <row r="1763" ht="15.75" hidden="1" customHeight="1">
      <c r="A1763" s="142"/>
      <c r="B1763" s="142"/>
      <c r="C1763" s="220"/>
      <c r="D1763" s="142"/>
      <c r="E1763" s="220"/>
      <c r="F1763" s="213"/>
      <c r="G1763" s="213"/>
      <c r="H1763" s="213"/>
      <c r="I1763" s="214"/>
      <c r="J1763" s="215"/>
      <c r="K1763" s="516"/>
      <c r="L1763" s="516"/>
      <c r="N1763" s="517"/>
      <c r="O1763" s="77"/>
      <c r="P1763" s="195"/>
      <c r="Q1763" s="77"/>
    </row>
    <row r="1764" ht="15.75" hidden="1" customHeight="1">
      <c r="A1764" s="142"/>
      <c r="B1764" s="142"/>
      <c r="C1764" s="220"/>
      <c r="D1764" s="142"/>
      <c r="E1764" s="220"/>
      <c r="F1764" s="213"/>
      <c r="G1764" s="213"/>
      <c r="H1764" s="213"/>
      <c r="I1764" s="214"/>
      <c r="J1764" s="215"/>
      <c r="K1764" s="516"/>
      <c r="L1764" s="516"/>
      <c r="N1764" s="517"/>
      <c r="O1764" s="77"/>
      <c r="P1764" s="195"/>
      <c r="Q1764" s="77"/>
    </row>
    <row r="1765" ht="15.75" hidden="1" customHeight="1">
      <c r="A1765" s="142"/>
      <c r="B1765" s="142"/>
      <c r="C1765" s="220"/>
      <c r="D1765" s="142"/>
      <c r="E1765" s="220"/>
      <c r="F1765" s="213"/>
      <c r="G1765" s="213"/>
      <c r="H1765" s="213"/>
      <c r="I1765" s="214"/>
      <c r="J1765" s="215"/>
      <c r="K1765" s="516"/>
      <c r="L1765" s="516"/>
      <c r="N1765" s="517"/>
      <c r="O1765" s="77"/>
      <c r="P1765" s="195"/>
      <c r="Q1765" s="77"/>
    </row>
    <row r="1766" ht="15.75" hidden="1" customHeight="1">
      <c r="A1766" s="142"/>
      <c r="B1766" s="142"/>
      <c r="C1766" s="220"/>
      <c r="D1766" s="142"/>
      <c r="E1766" s="220"/>
      <c r="F1766" s="213"/>
      <c r="G1766" s="213"/>
      <c r="H1766" s="213"/>
      <c r="I1766" s="214"/>
      <c r="J1766" s="215"/>
      <c r="K1766" s="516"/>
      <c r="L1766" s="516"/>
      <c r="N1766" s="517"/>
      <c r="O1766" s="77"/>
      <c r="P1766" s="195"/>
      <c r="Q1766" s="77"/>
    </row>
    <row r="1767" ht="15.75" hidden="1" customHeight="1">
      <c r="A1767" s="142"/>
      <c r="B1767" s="142"/>
      <c r="C1767" s="220"/>
      <c r="D1767" s="142"/>
      <c r="E1767" s="220"/>
      <c r="F1767" s="213"/>
      <c r="G1767" s="213"/>
      <c r="H1767" s="213"/>
      <c r="I1767" s="214"/>
      <c r="J1767" s="215"/>
      <c r="K1767" s="516"/>
      <c r="L1767" s="516"/>
      <c r="N1767" s="517"/>
      <c r="O1767" s="77"/>
      <c r="P1767" s="195"/>
      <c r="Q1767" s="77"/>
      <c r="V1767" s="257"/>
      <c r="W1767" s="257"/>
      <c r="X1767" s="257"/>
      <c r="Y1767" s="257"/>
      <c r="Z1767" s="257"/>
      <c r="AA1767" s="257"/>
      <c r="AB1767" s="257"/>
      <c r="AC1767" s="257"/>
      <c r="AD1767" s="257"/>
      <c r="AE1767" s="257"/>
      <c r="AF1767" s="257"/>
      <c r="AG1767" s="257"/>
      <c r="AH1767" s="257"/>
    </row>
    <row r="1768" ht="15.75" hidden="1" customHeight="1">
      <c r="A1768" s="142"/>
      <c r="B1768" s="142"/>
      <c r="C1768" s="220"/>
      <c r="D1768" s="142"/>
      <c r="E1768" s="220"/>
      <c r="F1768" s="213"/>
      <c r="G1768" s="213"/>
      <c r="H1768" s="213"/>
      <c r="I1768" s="214"/>
      <c r="J1768" s="215"/>
      <c r="K1768" s="516"/>
      <c r="L1768" s="516"/>
      <c r="N1768" s="517"/>
      <c r="O1768" s="77"/>
      <c r="P1768" s="195"/>
      <c r="Q1768" s="77"/>
    </row>
    <row r="1769" ht="15.75" hidden="1" customHeight="1">
      <c r="A1769" s="142"/>
      <c r="B1769" s="142"/>
      <c r="C1769" s="220"/>
      <c r="D1769" s="142"/>
      <c r="E1769" s="220"/>
      <c r="F1769" s="213"/>
      <c r="G1769" s="213"/>
      <c r="H1769" s="213"/>
      <c r="I1769" s="214"/>
      <c r="J1769" s="215"/>
      <c r="K1769" s="516"/>
      <c r="L1769" s="516"/>
      <c r="N1769" s="517"/>
      <c r="O1769" s="77"/>
      <c r="P1769" s="195"/>
      <c r="Q1769" s="77"/>
    </row>
    <row r="1770" ht="15.75" hidden="1" customHeight="1">
      <c r="A1770" s="142"/>
      <c r="B1770" s="142"/>
      <c r="C1770" s="220"/>
      <c r="D1770" s="142"/>
      <c r="E1770" s="220"/>
      <c r="F1770" s="213"/>
      <c r="G1770" s="213"/>
      <c r="H1770" s="213"/>
      <c r="I1770" s="214"/>
      <c r="J1770" s="215"/>
      <c r="K1770" s="516"/>
      <c r="L1770" s="516"/>
      <c r="N1770" s="517"/>
      <c r="O1770" s="77"/>
      <c r="P1770" s="195"/>
      <c r="Q1770" s="77"/>
    </row>
    <row r="1771" ht="15.75" hidden="1" customHeight="1">
      <c r="A1771" s="142"/>
      <c r="B1771" s="142"/>
      <c r="C1771" s="220"/>
      <c r="D1771" s="142"/>
      <c r="E1771" s="220"/>
      <c r="F1771" s="213"/>
      <c r="G1771" s="213"/>
      <c r="H1771" s="213"/>
      <c r="I1771" s="214"/>
      <c r="J1771" s="215"/>
      <c r="K1771" s="516"/>
      <c r="L1771" s="516"/>
      <c r="N1771" s="517"/>
      <c r="O1771" s="77"/>
      <c r="P1771" s="195"/>
      <c r="Q1771" s="77"/>
      <c r="V1771" s="257"/>
      <c r="W1771" s="257"/>
      <c r="X1771" s="257"/>
      <c r="Y1771" s="257"/>
      <c r="Z1771" s="257"/>
      <c r="AA1771" s="257"/>
      <c r="AB1771" s="257"/>
      <c r="AC1771" s="257"/>
      <c r="AD1771" s="257"/>
      <c r="AE1771" s="257"/>
      <c r="AF1771" s="257"/>
      <c r="AG1771" s="257"/>
      <c r="AH1771" s="257"/>
    </row>
    <row r="1772" ht="15.75" hidden="1" customHeight="1">
      <c r="A1772" s="257"/>
      <c r="B1772" s="257"/>
      <c r="C1772" s="211"/>
      <c r="D1772" s="257"/>
      <c r="E1772" s="211"/>
      <c r="F1772" s="213"/>
      <c r="G1772" s="213"/>
      <c r="H1772" s="372"/>
      <c r="I1772" s="214"/>
      <c r="J1772" s="215"/>
      <c r="K1772" s="516"/>
      <c r="L1772" s="516"/>
      <c r="M1772" s="257"/>
      <c r="N1772" s="517"/>
      <c r="O1772" s="141"/>
      <c r="P1772" s="518"/>
      <c r="Q1772" s="77"/>
      <c r="R1772" s="257"/>
      <c r="S1772" s="257"/>
      <c r="T1772" s="257"/>
      <c r="U1772" s="257"/>
    </row>
    <row r="1773" ht="15.75" hidden="1" customHeight="1">
      <c r="A1773" s="257"/>
      <c r="B1773" s="257"/>
      <c r="C1773" s="211"/>
      <c r="D1773" s="257"/>
      <c r="E1773" s="211"/>
      <c r="F1773" s="213"/>
      <c r="G1773" s="213"/>
      <c r="H1773" s="372"/>
      <c r="I1773" s="214"/>
      <c r="J1773" s="215"/>
      <c r="K1773" s="516"/>
      <c r="L1773" s="516"/>
      <c r="M1773" s="257"/>
      <c r="N1773" s="517"/>
      <c r="O1773" s="141"/>
      <c r="P1773" s="518"/>
      <c r="Q1773" s="141"/>
      <c r="R1773" s="257"/>
      <c r="S1773" s="257"/>
      <c r="T1773" s="257"/>
      <c r="U1773" s="257"/>
    </row>
    <row r="1774" ht="15.75" hidden="1" customHeight="1">
      <c r="A1774" s="142"/>
      <c r="B1774" s="142"/>
      <c r="C1774" s="220"/>
      <c r="D1774" s="142"/>
      <c r="E1774" s="220"/>
      <c r="F1774" s="213"/>
      <c r="G1774" s="213"/>
      <c r="H1774" s="213"/>
      <c r="I1774" s="214"/>
      <c r="J1774" s="215"/>
      <c r="K1774" s="516"/>
      <c r="L1774" s="516"/>
      <c r="N1774" s="517"/>
      <c r="O1774" s="77"/>
      <c r="P1774" s="195"/>
      <c r="Q1774" s="141"/>
    </row>
    <row r="1775" ht="15.75" hidden="1" customHeight="1">
      <c r="A1775" s="142"/>
      <c r="B1775" s="142"/>
      <c r="C1775" s="220"/>
      <c r="D1775" s="142"/>
      <c r="E1775" s="220"/>
      <c r="F1775" s="213"/>
      <c r="G1775" s="213"/>
      <c r="H1775" s="213"/>
      <c r="I1775" s="214"/>
      <c r="J1775" s="556"/>
      <c r="K1775" s="557"/>
      <c r="L1775" s="557"/>
      <c r="N1775" s="517"/>
      <c r="O1775" s="77"/>
      <c r="P1775" s="195"/>
      <c r="Q1775" s="77"/>
    </row>
    <row r="1776" ht="15.75" hidden="1" customHeight="1">
      <c r="A1776" s="142"/>
      <c r="B1776" s="142"/>
      <c r="C1776" s="220"/>
      <c r="D1776" s="142"/>
      <c r="E1776" s="220"/>
      <c r="F1776" s="213"/>
      <c r="G1776" s="213"/>
      <c r="H1776" s="213"/>
      <c r="I1776" s="214"/>
      <c r="J1776" s="215"/>
      <c r="K1776" s="516"/>
      <c r="L1776" s="516"/>
      <c r="N1776" s="517"/>
      <c r="O1776" s="77"/>
      <c r="P1776" s="195"/>
      <c r="Q1776" s="77"/>
    </row>
    <row r="1777" ht="15.75" hidden="1" customHeight="1">
      <c r="A1777" s="142"/>
      <c r="B1777" s="142"/>
      <c r="C1777" s="220"/>
      <c r="D1777" s="142"/>
      <c r="E1777" s="220"/>
      <c r="F1777" s="213"/>
      <c r="G1777" s="213"/>
      <c r="H1777" s="213"/>
      <c r="I1777" s="214"/>
      <c r="J1777" s="215"/>
      <c r="K1777" s="516"/>
      <c r="L1777" s="516"/>
      <c r="N1777" s="517"/>
      <c r="O1777" s="77"/>
      <c r="P1777" s="195"/>
      <c r="Q1777" s="77"/>
    </row>
    <row r="1778" ht="15.75" hidden="1" customHeight="1">
      <c r="A1778" s="142"/>
      <c r="B1778" s="142"/>
      <c r="C1778" s="220"/>
      <c r="D1778" s="142"/>
      <c r="E1778" s="220"/>
      <c r="F1778" s="213"/>
      <c r="G1778" s="213"/>
      <c r="H1778" s="213"/>
      <c r="I1778" s="214"/>
      <c r="J1778" s="215"/>
      <c r="K1778" s="516"/>
      <c r="L1778" s="516"/>
      <c r="N1778" s="517"/>
      <c r="O1778" s="77"/>
      <c r="P1778" s="195"/>
      <c r="Q1778" s="77"/>
    </row>
    <row r="1779" ht="15.75" hidden="1" customHeight="1">
      <c r="A1779" s="142"/>
      <c r="B1779" s="142"/>
      <c r="C1779" s="220"/>
      <c r="D1779" s="142"/>
      <c r="E1779" s="220"/>
      <c r="F1779" s="213"/>
      <c r="G1779" s="213"/>
      <c r="H1779" s="213"/>
      <c r="I1779" s="214"/>
      <c r="J1779" s="215"/>
      <c r="K1779" s="516"/>
      <c r="L1779" s="516"/>
      <c r="N1779" s="517"/>
      <c r="O1779" s="77"/>
      <c r="P1779" s="195"/>
      <c r="Q1779" s="77"/>
    </row>
    <row r="1780" ht="15.75" hidden="1" customHeight="1">
      <c r="A1780" s="371"/>
      <c r="B1780" s="371"/>
      <c r="C1780" s="335"/>
      <c r="D1780" s="371"/>
      <c r="E1780" s="335"/>
      <c r="F1780" s="337"/>
      <c r="G1780" s="337"/>
      <c r="H1780" s="337"/>
      <c r="I1780" s="214"/>
      <c r="J1780" s="215"/>
      <c r="K1780" s="516"/>
      <c r="L1780" s="516"/>
      <c r="M1780" s="371"/>
      <c r="N1780" s="341"/>
      <c r="O1780" s="342"/>
      <c r="P1780" s="459"/>
      <c r="Q1780" s="77"/>
      <c r="R1780" s="371"/>
      <c r="S1780" s="371"/>
      <c r="T1780" s="371"/>
      <c r="U1780" s="371"/>
      <c r="V1780" s="371"/>
      <c r="W1780" s="371"/>
      <c r="X1780" s="371"/>
      <c r="Y1780" s="371"/>
      <c r="Z1780" s="371"/>
      <c r="AA1780" s="371"/>
      <c r="AB1780" s="371"/>
      <c r="AC1780" s="371"/>
      <c r="AD1780" s="371"/>
      <c r="AE1780" s="371"/>
      <c r="AF1780" s="371"/>
      <c r="AG1780" s="371"/>
      <c r="AH1780" s="371"/>
    </row>
    <row r="1781" ht="15.75" hidden="1" customHeight="1">
      <c r="A1781" s="142"/>
      <c r="B1781" s="142"/>
      <c r="C1781" s="220"/>
      <c r="D1781" s="142"/>
      <c r="E1781" s="220"/>
      <c r="F1781" s="213"/>
      <c r="G1781" s="213"/>
      <c r="H1781" s="213"/>
      <c r="I1781" s="214"/>
      <c r="J1781" s="338"/>
      <c r="K1781" s="534"/>
      <c r="L1781" s="534"/>
      <c r="N1781" s="517"/>
      <c r="O1781" s="77"/>
      <c r="P1781" s="195"/>
      <c r="Q1781" s="342"/>
    </row>
    <row r="1782" ht="15.75" hidden="1" customHeight="1">
      <c r="A1782" s="142"/>
      <c r="B1782" s="142"/>
      <c r="C1782" s="220"/>
      <c r="D1782" s="142"/>
      <c r="E1782" s="220"/>
      <c r="F1782" s="213"/>
      <c r="G1782" s="213"/>
      <c r="H1782" s="213"/>
      <c r="I1782" s="214"/>
      <c r="J1782" s="215"/>
      <c r="K1782" s="516"/>
      <c r="L1782" s="516"/>
      <c r="N1782" s="517"/>
      <c r="O1782" s="77"/>
      <c r="P1782" s="195"/>
      <c r="Q1782" s="77"/>
    </row>
    <row r="1783" ht="15.75" hidden="1" customHeight="1">
      <c r="A1783" s="142"/>
      <c r="B1783" s="142"/>
      <c r="C1783" s="220"/>
      <c r="D1783" s="142"/>
      <c r="E1783" s="220"/>
      <c r="F1783" s="213"/>
      <c r="G1783" s="213"/>
      <c r="H1783" s="213"/>
      <c r="I1783" s="214"/>
      <c r="J1783" s="215"/>
      <c r="K1783" s="516"/>
      <c r="L1783" s="516"/>
      <c r="N1783" s="517"/>
      <c r="O1783" s="77"/>
      <c r="P1783" s="195"/>
      <c r="Q1783" s="77"/>
      <c r="V1783" s="257"/>
      <c r="W1783" s="257"/>
      <c r="X1783" s="257"/>
      <c r="Y1783" s="257"/>
      <c r="Z1783" s="257"/>
      <c r="AA1783" s="257"/>
      <c r="AB1783" s="257"/>
      <c r="AC1783" s="257"/>
      <c r="AD1783" s="257"/>
      <c r="AE1783" s="257"/>
      <c r="AF1783" s="257"/>
      <c r="AG1783" s="257"/>
      <c r="AH1783" s="257"/>
    </row>
    <row r="1784" ht="15.75" hidden="1" customHeight="1">
      <c r="A1784" s="142"/>
      <c r="B1784" s="142"/>
      <c r="C1784" s="220"/>
      <c r="D1784" s="142"/>
      <c r="E1784" s="220"/>
      <c r="F1784" s="213"/>
      <c r="G1784" s="213"/>
      <c r="H1784" s="213"/>
      <c r="I1784" s="214"/>
      <c r="J1784" s="215"/>
      <c r="K1784" s="516"/>
      <c r="L1784" s="516"/>
      <c r="N1784" s="517"/>
      <c r="O1784" s="77"/>
      <c r="P1784" s="195"/>
      <c r="Q1784" s="77"/>
    </row>
    <row r="1785" ht="15.75" hidden="1" customHeight="1">
      <c r="A1785" s="142"/>
      <c r="B1785" s="142"/>
      <c r="C1785" s="220"/>
      <c r="D1785" s="142"/>
      <c r="E1785" s="220"/>
      <c r="F1785" s="213"/>
      <c r="G1785" s="213"/>
      <c r="H1785" s="213"/>
      <c r="I1785" s="214"/>
      <c r="J1785" s="215"/>
      <c r="K1785" s="516"/>
      <c r="L1785" s="516"/>
      <c r="N1785" s="517"/>
      <c r="O1785" s="77"/>
      <c r="P1785" s="195"/>
      <c r="Q1785" s="77"/>
    </row>
    <row r="1786" ht="15.75" hidden="1" customHeight="1">
      <c r="A1786" s="142"/>
      <c r="B1786" s="142"/>
      <c r="C1786" s="220"/>
      <c r="D1786" s="142"/>
      <c r="E1786" s="220"/>
      <c r="F1786" s="213"/>
      <c r="G1786" s="213"/>
      <c r="H1786" s="213"/>
      <c r="I1786" s="214"/>
      <c r="J1786" s="215"/>
      <c r="K1786" s="516"/>
      <c r="L1786" s="516"/>
      <c r="N1786" s="517"/>
      <c r="O1786" s="77"/>
      <c r="P1786" s="195"/>
      <c r="Q1786" s="77"/>
    </row>
    <row r="1787" ht="15.75" hidden="1" customHeight="1">
      <c r="A1787" s="142"/>
      <c r="B1787" s="142"/>
      <c r="C1787" s="220"/>
      <c r="D1787" s="142"/>
      <c r="E1787" s="220"/>
      <c r="F1787" s="213"/>
      <c r="G1787" s="213"/>
      <c r="H1787" s="213"/>
      <c r="I1787" s="214"/>
      <c r="J1787" s="556"/>
      <c r="K1787" s="557"/>
      <c r="L1787" s="557"/>
      <c r="N1787" s="517"/>
      <c r="O1787" s="77"/>
      <c r="P1787" s="195"/>
      <c r="Q1787" s="77"/>
    </row>
    <row r="1788" ht="15.75" hidden="1" customHeight="1">
      <c r="A1788" s="142"/>
      <c r="B1788" s="142"/>
      <c r="C1788" s="220"/>
      <c r="D1788" s="142"/>
      <c r="E1788" s="220"/>
      <c r="F1788" s="213"/>
      <c r="G1788" s="213"/>
      <c r="H1788" s="213"/>
      <c r="I1788" s="214"/>
      <c r="J1788" s="556"/>
      <c r="K1788" s="557"/>
      <c r="L1788" s="557"/>
      <c r="N1788" s="517"/>
      <c r="O1788" s="77"/>
      <c r="P1788" s="195"/>
      <c r="Q1788" s="77"/>
    </row>
    <row r="1789" ht="15.75" hidden="1" customHeight="1">
      <c r="A1789" s="142"/>
      <c r="B1789" s="142"/>
      <c r="C1789" s="220"/>
      <c r="D1789" s="142"/>
      <c r="E1789" s="220"/>
      <c r="F1789" s="213"/>
      <c r="G1789" s="213"/>
      <c r="H1789" s="213"/>
      <c r="I1789" s="214"/>
      <c r="J1789" s="556"/>
      <c r="K1789" s="557"/>
      <c r="L1789" s="557"/>
      <c r="N1789" s="517"/>
      <c r="O1789" s="77"/>
      <c r="P1789" s="195"/>
      <c r="Q1789" s="77"/>
    </row>
    <row r="1790" ht="15.75" hidden="1" customHeight="1">
      <c r="A1790" s="142"/>
      <c r="B1790" s="142"/>
      <c r="C1790" s="220"/>
      <c r="D1790" s="142"/>
      <c r="E1790" s="220"/>
      <c r="F1790" s="213"/>
      <c r="G1790" s="213"/>
      <c r="H1790" s="213"/>
      <c r="I1790" s="214"/>
      <c r="J1790" s="556"/>
      <c r="K1790" s="557"/>
      <c r="L1790" s="557"/>
      <c r="N1790" s="517"/>
      <c r="O1790" s="77"/>
      <c r="P1790" s="195"/>
      <c r="Q1790" s="77"/>
    </row>
    <row r="1791" ht="15.75" hidden="1" customHeight="1">
      <c r="A1791" s="142"/>
      <c r="B1791" s="142"/>
      <c r="C1791" s="220"/>
      <c r="D1791" s="142"/>
      <c r="E1791" s="220"/>
      <c r="F1791" s="213"/>
      <c r="G1791" s="515"/>
      <c r="H1791" s="213"/>
      <c r="I1791" s="214"/>
      <c r="J1791" s="215"/>
      <c r="K1791" s="516"/>
      <c r="L1791" s="516"/>
      <c r="N1791" s="517"/>
      <c r="O1791" s="77"/>
      <c r="P1791" s="195"/>
      <c r="Q1791" s="77"/>
    </row>
    <row r="1792" ht="15.75" hidden="1" customHeight="1">
      <c r="A1792" s="142"/>
      <c r="B1792" s="142"/>
      <c r="C1792" s="220"/>
      <c r="D1792" s="142"/>
      <c r="E1792" s="220"/>
      <c r="F1792" s="213"/>
      <c r="G1792" s="213"/>
      <c r="H1792" s="213"/>
      <c r="I1792" s="214"/>
      <c r="J1792" s="215"/>
      <c r="K1792" s="516"/>
      <c r="L1792" s="516"/>
      <c r="N1792" s="517"/>
      <c r="O1792" s="77"/>
      <c r="P1792" s="195"/>
      <c r="Q1792" s="77"/>
    </row>
    <row r="1793" ht="15.75" hidden="1" customHeight="1">
      <c r="A1793" s="142"/>
      <c r="B1793" s="142"/>
      <c r="C1793" s="220"/>
      <c r="D1793" s="142"/>
      <c r="E1793" s="220"/>
      <c r="F1793" s="213"/>
      <c r="G1793" s="213"/>
      <c r="H1793" s="213"/>
      <c r="I1793" s="214"/>
      <c r="J1793" s="215"/>
      <c r="K1793" s="516"/>
      <c r="L1793" s="516"/>
      <c r="N1793" s="517"/>
      <c r="O1793" s="77"/>
      <c r="P1793" s="195"/>
      <c r="Q1793" s="77"/>
    </row>
    <row r="1794" ht="15.75" hidden="1" customHeight="1">
      <c r="A1794" s="142"/>
      <c r="B1794" s="142"/>
      <c r="C1794" s="220"/>
      <c r="D1794" s="142"/>
      <c r="E1794" s="220"/>
      <c r="F1794" s="213"/>
      <c r="G1794" s="213"/>
      <c r="H1794" s="213"/>
      <c r="I1794" s="214"/>
      <c r="J1794" s="215"/>
      <c r="K1794" s="516"/>
      <c r="L1794" s="516"/>
      <c r="N1794" s="517"/>
      <c r="O1794" s="77"/>
      <c r="P1794" s="195"/>
      <c r="Q1794" s="77"/>
    </row>
    <row r="1795" ht="15.75" hidden="1" customHeight="1">
      <c r="A1795" s="371"/>
      <c r="B1795" s="371"/>
      <c r="C1795" s="335"/>
      <c r="D1795" s="371"/>
      <c r="E1795" s="335"/>
      <c r="F1795" s="337"/>
      <c r="G1795" s="337"/>
      <c r="H1795" s="337"/>
      <c r="I1795" s="214"/>
      <c r="J1795" s="215"/>
      <c r="K1795" s="516"/>
      <c r="L1795" s="516"/>
      <c r="M1795" s="371"/>
      <c r="N1795" s="341"/>
      <c r="O1795" s="342"/>
      <c r="P1795" s="459"/>
      <c r="Q1795" s="77"/>
      <c r="R1795" s="371"/>
      <c r="S1795" s="371"/>
      <c r="T1795" s="371"/>
      <c r="U1795" s="371"/>
      <c r="V1795" s="371"/>
      <c r="W1795" s="371"/>
      <c r="X1795" s="371"/>
      <c r="Y1795" s="371"/>
      <c r="Z1795" s="371"/>
      <c r="AA1795" s="371"/>
      <c r="AB1795" s="371"/>
      <c r="AC1795" s="371"/>
      <c r="AD1795" s="371"/>
      <c r="AE1795" s="371"/>
      <c r="AF1795" s="371"/>
      <c r="AG1795" s="371"/>
      <c r="AH1795" s="371"/>
    </row>
    <row r="1796" ht="15.75" hidden="1" customHeight="1">
      <c r="A1796" s="142"/>
      <c r="B1796" s="142"/>
      <c r="C1796" s="220"/>
      <c r="D1796" s="142"/>
      <c r="E1796" s="220"/>
      <c r="F1796" s="213"/>
      <c r="G1796" s="213"/>
      <c r="H1796" s="213"/>
      <c r="I1796" s="214"/>
      <c r="J1796" s="338"/>
      <c r="K1796" s="534"/>
      <c r="L1796" s="534"/>
      <c r="N1796" s="517"/>
      <c r="O1796" s="77"/>
      <c r="P1796" s="195"/>
      <c r="Q1796" s="342"/>
    </row>
    <row r="1797" ht="15.75" hidden="1" customHeight="1">
      <c r="A1797" s="142"/>
      <c r="B1797" s="142"/>
      <c r="C1797" s="220"/>
      <c r="D1797" s="142"/>
      <c r="E1797" s="220"/>
      <c r="F1797" s="213"/>
      <c r="G1797" s="213"/>
      <c r="H1797" s="213"/>
      <c r="I1797" s="214"/>
      <c r="J1797" s="215"/>
      <c r="K1797" s="516"/>
      <c r="L1797" s="516"/>
      <c r="N1797" s="517"/>
      <c r="O1797" s="77"/>
      <c r="P1797" s="195"/>
      <c r="Q1797" s="77"/>
    </row>
    <row r="1798" ht="15.75" hidden="1" customHeight="1">
      <c r="A1798" s="142"/>
      <c r="B1798" s="142"/>
      <c r="C1798" s="220"/>
      <c r="D1798" s="142"/>
      <c r="E1798" s="220"/>
      <c r="F1798" s="213"/>
      <c r="G1798" s="213"/>
      <c r="H1798" s="213"/>
      <c r="I1798" s="214"/>
      <c r="J1798" s="215"/>
      <c r="K1798" s="516"/>
      <c r="L1798" s="516"/>
      <c r="N1798" s="517"/>
      <c r="O1798" s="77"/>
      <c r="P1798" s="195"/>
      <c r="Q1798" s="77"/>
    </row>
    <row r="1799" ht="15.75" hidden="1" customHeight="1">
      <c r="A1799" s="142"/>
      <c r="B1799" s="142"/>
      <c r="C1799" s="220"/>
      <c r="D1799" s="142"/>
      <c r="E1799" s="220"/>
      <c r="F1799" s="213"/>
      <c r="G1799" s="213"/>
      <c r="H1799" s="213"/>
      <c r="I1799" s="214"/>
      <c r="J1799" s="215"/>
      <c r="K1799" s="516"/>
      <c r="L1799" s="516"/>
      <c r="N1799" s="517"/>
      <c r="O1799" s="77"/>
      <c r="P1799" s="195"/>
      <c r="Q1799" s="77"/>
    </row>
    <row r="1800" ht="15.75" hidden="1" customHeight="1">
      <c r="A1800" s="142"/>
      <c r="B1800" s="142"/>
      <c r="C1800" s="220"/>
      <c r="D1800" s="142"/>
      <c r="E1800" s="220"/>
      <c r="F1800" s="213"/>
      <c r="G1800" s="515"/>
      <c r="H1800" s="213"/>
      <c r="I1800" s="214"/>
      <c r="J1800" s="215"/>
      <c r="K1800" s="516"/>
      <c r="L1800" s="516"/>
      <c r="N1800" s="517"/>
      <c r="O1800" s="77"/>
      <c r="P1800" s="195"/>
      <c r="Q1800" s="77"/>
    </row>
    <row r="1801" ht="15.75" hidden="1" customHeight="1">
      <c r="A1801" s="142"/>
      <c r="B1801" s="142"/>
      <c r="C1801" s="220"/>
      <c r="D1801" s="142"/>
      <c r="E1801" s="220"/>
      <c r="F1801" s="213"/>
      <c r="G1801" s="213"/>
      <c r="H1801" s="213"/>
      <c r="I1801" s="214"/>
      <c r="J1801" s="215"/>
      <c r="K1801" s="516"/>
      <c r="L1801" s="516"/>
      <c r="N1801" s="517"/>
      <c r="O1801" s="77"/>
      <c r="P1801" s="195"/>
      <c r="Q1801" s="77"/>
    </row>
    <row r="1802" ht="15.75" hidden="1" customHeight="1">
      <c r="A1802" s="142"/>
      <c r="B1802" s="142"/>
      <c r="C1802" s="220"/>
      <c r="D1802" s="142"/>
      <c r="E1802" s="220"/>
      <c r="F1802" s="213"/>
      <c r="G1802" s="213"/>
      <c r="H1802" s="213"/>
      <c r="I1802" s="214"/>
      <c r="J1802" s="215"/>
      <c r="K1802" s="516"/>
      <c r="L1802" s="516"/>
      <c r="N1802" s="517"/>
      <c r="O1802" s="77"/>
      <c r="P1802" s="195"/>
      <c r="Q1802" s="77"/>
    </row>
    <row r="1803" ht="15.75" hidden="1" customHeight="1">
      <c r="A1803" s="142"/>
      <c r="B1803" s="142"/>
      <c r="C1803" s="220"/>
      <c r="D1803" s="142"/>
      <c r="E1803" s="220"/>
      <c r="F1803" s="213"/>
      <c r="G1803" s="213"/>
      <c r="H1803" s="213"/>
      <c r="I1803" s="214"/>
      <c r="J1803" s="215"/>
      <c r="K1803" s="516"/>
      <c r="L1803" s="516"/>
      <c r="N1803" s="517"/>
      <c r="O1803" s="77"/>
      <c r="P1803" s="195"/>
      <c r="Q1803" s="77"/>
    </row>
    <row r="1804" ht="15.75" hidden="1" customHeight="1">
      <c r="A1804" s="142"/>
      <c r="B1804" s="142"/>
      <c r="C1804" s="220"/>
      <c r="D1804" s="142"/>
      <c r="E1804" s="220"/>
      <c r="F1804" s="213"/>
      <c r="G1804" s="213"/>
      <c r="H1804" s="213"/>
      <c r="I1804" s="214"/>
      <c r="J1804" s="215"/>
      <c r="K1804" s="516"/>
      <c r="L1804" s="516"/>
      <c r="N1804" s="517"/>
      <c r="O1804" s="563"/>
      <c r="P1804" s="564"/>
      <c r="Q1804" s="77"/>
    </row>
    <row r="1805" ht="15.75" hidden="1" customHeight="1">
      <c r="A1805" s="142"/>
      <c r="B1805" s="142"/>
      <c r="C1805" s="220"/>
      <c r="D1805" s="142"/>
      <c r="E1805" s="220"/>
      <c r="F1805" s="213"/>
      <c r="G1805" s="213"/>
      <c r="H1805" s="213"/>
      <c r="I1805" s="214"/>
      <c r="J1805" s="215"/>
      <c r="K1805" s="516"/>
      <c r="L1805" s="516"/>
      <c r="N1805" s="517"/>
      <c r="O1805" s="77"/>
      <c r="P1805" s="195"/>
      <c r="Q1805" s="563"/>
      <c r="V1805" s="535"/>
      <c r="W1805" s="535"/>
      <c r="X1805" s="535"/>
      <c r="Y1805" s="535"/>
      <c r="Z1805" s="535"/>
      <c r="AA1805" s="535"/>
      <c r="AB1805" s="535"/>
      <c r="AC1805" s="535"/>
      <c r="AD1805" s="535"/>
      <c r="AE1805" s="535"/>
      <c r="AF1805" s="535"/>
      <c r="AG1805" s="535"/>
      <c r="AH1805" s="535"/>
    </row>
    <row r="1806" ht="15.75" hidden="1" customHeight="1">
      <c r="A1806" s="142"/>
      <c r="B1806" s="142"/>
      <c r="C1806" s="220"/>
      <c r="D1806" s="142"/>
      <c r="E1806" s="220"/>
      <c r="F1806" s="213"/>
      <c r="G1806" s="213"/>
      <c r="H1806" s="213"/>
      <c r="I1806" s="214"/>
      <c r="J1806" s="215"/>
      <c r="K1806" s="516"/>
      <c r="L1806" s="516"/>
      <c r="N1806" s="517"/>
      <c r="O1806" s="77"/>
      <c r="P1806" s="195"/>
      <c r="Q1806" s="77"/>
    </row>
    <row r="1807" ht="15.75" hidden="1" customHeight="1">
      <c r="A1807" s="142"/>
      <c r="B1807" s="142"/>
      <c r="C1807" s="220"/>
      <c r="D1807" s="142"/>
      <c r="E1807" s="220"/>
      <c r="F1807" s="213"/>
      <c r="G1807" s="213"/>
      <c r="H1807" s="213"/>
      <c r="I1807" s="214"/>
      <c r="J1807" s="215"/>
      <c r="K1807" s="516"/>
      <c r="L1807" s="516"/>
      <c r="N1807" s="517"/>
      <c r="O1807" s="77"/>
      <c r="P1807" s="195"/>
      <c r="Q1807" s="77"/>
    </row>
    <row r="1808" ht="15.75" hidden="1" customHeight="1">
      <c r="A1808" s="142"/>
      <c r="B1808" s="142"/>
      <c r="C1808" s="220"/>
      <c r="D1808" s="142"/>
      <c r="E1808" s="220"/>
      <c r="F1808" s="213"/>
      <c r="G1808" s="213"/>
      <c r="H1808" s="213"/>
      <c r="I1808" s="214"/>
      <c r="J1808" s="215"/>
      <c r="K1808" s="516"/>
      <c r="L1808" s="516"/>
      <c r="N1808" s="517"/>
      <c r="O1808" s="77"/>
      <c r="P1808" s="195"/>
      <c r="Q1808" s="77"/>
    </row>
    <row r="1809" ht="15.75" hidden="1" customHeight="1">
      <c r="A1809" s="142"/>
      <c r="B1809" s="142"/>
      <c r="C1809" s="220"/>
      <c r="D1809" s="142"/>
      <c r="E1809" s="220"/>
      <c r="F1809" s="213"/>
      <c r="G1809" s="213"/>
      <c r="H1809" s="213"/>
      <c r="I1809" s="214"/>
      <c r="J1809" s="215"/>
      <c r="K1809" s="516"/>
      <c r="L1809" s="516"/>
      <c r="N1809" s="517"/>
      <c r="O1809" s="77"/>
      <c r="P1809" s="195"/>
      <c r="Q1809" s="77"/>
    </row>
    <row r="1810" ht="15.75" hidden="1" customHeight="1">
      <c r="A1810" s="142"/>
      <c r="B1810" s="142"/>
      <c r="C1810" s="220"/>
      <c r="D1810" s="142"/>
      <c r="E1810" s="220"/>
      <c r="F1810" s="213"/>
      <c r="G1810" s="213"/>
      <c r="H1810" s="213"/>
      <c r="I1810" s="214"/>
      <c r="J1810" s="215"/>
      <c r="K1810" s="516"/>
      <c r="L1810" s="516"/>
      <c r="N1810" s="517"/>
      <c r="O1810" s="77"/>
      <c r="P1810" s="195"/>
      <c r="Q1810" s="77"/>
    </row>
    <row r="1811" ht="15.75" hidden="1" customHeight="1">
      <c r="A1811" s="142"/>
      <c r="B1811" s="142"/>
      <c r="C1811" s="220"/>
      <c r="D1811" s="142"/>
      <c r="E1811" s="220"/>
      <c r="F1811" s="213"/>
      <c r="G1811" s="213"/>
      <c r="H1811" s="213"/>
      <c r="I1811" s="214"/>
      <c r="J1811" s="215"/>
      <c r="K1811" s="516"/>
      <c r="L1811" s="516"/>
      <c r="N1811" s="517"/>
      <c r="O1811" s="77"/>
      <c r="P1811" s="195"/>
      <c r="Q1811" s="77"/>
    </row>
    <row r="1812" ht="15.75" hidden="1" customHeight="1">
      <c r="A1812" s="142"/>
      <c r="B1812" s="142"/>
      <c r="C1812" s="220"/>
      <c r="D1812" s="142"/>
      <c r="E1812" s="220"/>
      <c r="F1812" s="213"/>
      <c r="G1812" s="213"/>
      <c r="H1812" s="213"/>
      <c r="I1812" s="214"/>
      <c r="J1812" s="215"/>
      <c r="K1812" s="516"/>
      <c r="L1812" s="516"/>
      <c r="N1812" s="517"/>
      <c r="O1812" s="77"/>
      <c r="P1812" s="195"/>
      <c r="Q1812" s="77"/>
    </row>
    <row r="1813" ht="15.75" hidden="1" customHeight="1">
      <c r="A1813" s="371"/>
      <c r="B1813" s="371"/>
      <c r="C1813" s="335"/>
      <c r="D1813" s="371"/>
      <c r="E1813" s="335"/>
      <c r="F1813" s="337"/>
      <c r="G1813" s="337"/>
      <c r="H1813" s="337"/>
      <c r="I1813" s="214"/>
      <c r="J1813" s="556"/>
      <c r="K1813" s="557"/>
      <c r="L1813" s="557"/>
      <c r="M1813" s="371"/>
      <c r="N1813" s="341"/>
      <c r="O1813" s="342"/>
      <c r="P1813" s="459"/>
      <c r="Q1813" s="77"/>
      <c r="R1813" s="371"/>
      <c r="S1813" s="371"/>
      <c r="T1813" s="371"/>
      <c r="U1813" s="371"/>
      <c r="V1813" s="371"/>
      <c r="W1813" s="371"/>
      <c r="X1813" s="371"/>
      <c r="Y1813" s="371"/>
      <c r="Z1813" s="371"/>
      <c r="AA1813" s="371"/>
      <c r="AB1813" s="371"/>
      <c r="AC1813" s="371"/>
      <c r="AD1813" s="371"/>
      <c r="AE1813" s="371"/>
      <c r="AF1813" s="371"/>
      <c r="AG1813" s="371"/>
      <c r="AH1813" s="371"/>
    </row>
    <row r="1814" ht="15.75" hidden="1" customHeight="1">
      <c r="A1814" s="142"/>
      <c r="B1814" s="142"/>
      <c r="C1814" s="220"/>
      <c r="D1814" s="142"/>
      <c r="E1814" s="220"/>
      <c r="F1814" s="213"/>
      <c r="G1814" s="213"/>
      <c r="H1814" s="213"/>
      <c r="I1814" s="214"/>
      <c r="J1814" s="338"/>
      <c r="K1814" s="534"/>
      <c r="L1814" s="534"/>
      <c r="N1814" s="517"/>
      <c r="O1814" s="77"/>
      <c r="P1814" s="195"/>
      <c r="Q1814" s="342"/>
    </row>
    <row r="1815" ht="15.75" hidden="1" customHeight="1">
      <c r="A1815" s="142"/>
      <c r="B1815" s="142"/>
      <c r="C1815" s="220"/>
      <c r="D1815" s="142"/>
      <c r="E1815" s="220"/>
      <c r="F1815" s="213"/>
      <c r="G1815" s="213"/>
      <c r="H1815" s="213"/>
      <c r="I1815" s="214"/>
      <c r="J1815" s="215"/>
      <c r="K1815" s="516"/>
      <c r="L1815" s="516"/>
      <c r="N1815" s="517"/>
      <c r="O1815" s="77"/>
      <c r="P1815" s="195"/>
      <c r="Q1815" s="77"/>
    </row>
    <row r="1816" ht="15.75" hidden="1" customHeight="1">
      <c r="A1816" s="142"/>
      <c r="B1816" s="142"/>
      <c r="C1816" s="220"/>
      <c r="D1816" s="142"/>
      <c r="E1816" s="220"/>
      <c r="F1816" s="213"/>
      <c r="G1816" s="213"/>
      <c r="H1816" s="213"/>
      <c r="I1816" s="214"/>
      <c r="J1816" s="215"/>
      <c r="K1816" s="516"/>
      <c r="L1816" s="516"/>
      <c r="N1816" s="517"/>
      <c r="O1816" s="77"/>
      <c r="P1816" s="195"/>
      <c r="Q1816" s="77"/>
    </row>
    <row r="1817" ht="15.75" hidden="1" customHeight="1">
      <c r="A1817" s="142"/>
      <c r="B1817" s="142"/>
      <c r="C1817" s="220"/>
      <c r="D1817" s="142"/>
      <c r="E1817" s="220"/>
      <c r="F1817" s="213"/>
      <c r="G1817" s="213"/>
      <c r="H1817" s="213"/>
      <c r="I1817" s="214"/>
      <c r="J1817" s="215"/>
      <c r="K1817" s="516"/>
      <c r="L1817" s="516"/>
      <c r="N1817" s="517"/>
      <c r="O1817" s="77"/>
      <c r="P1817" s="195"/>
      <c r="Q1817" s="77"/>
    </row>
    <row r="1818" ht="15.75" hidden="1" customHeight="1">
      <c r="A1818" s="142"/>
      <c r="B1818" s="142"/>
      <c r="C1818" s="220"/>
      <c r="D1818" s="142"/>
      <c r="E1818" s="220"/>
      <c r="F1818" s="213"/>
      <c r="G1818" s="213"/>
      <c r="H1818" s="213"/>
      <c r="I1818" s="214"/>
      <c r="J1818" s="215"/>
      <c r="K1818" s="516"/>
      <c r="L1818" s="516"/>
      <c r="N1818" s="517"/>
      <c r="O1818" s="77"/>
      <c r="P1818" s="195"/>
      <c r="Q1818" s="77"/>
    </row>
    <row r="1819" ht="15.75" hidden="1" customHeight="1">
      <c r="A1819" s="142"/>
      <c r="B1819" s="142"/>
      <c r="C1819" s="220"/>
      <c r="D1819" s="142"/>
      <c r="E1819" s="220"/>
      <c r="F1819" s="213"/>
      <c r="G1819" s="213"/>
      <c r="H1819" s="213"/>
      <c r="I1819" s="214"/>
      <c r="J1819" s="215"/>
      <c r="K1819" s="516"/>
      <c r="L1819" s="516"/>
      <c r="N1819" s="517"/>
      <c r="O1819" s="77"/>
      <c r="P1819" s="195"/>
      <c r="Q1819" s="77"/>
    </row>
    <row r="1820" ht="15.75" hidden="1" customHeight="1">
      <c r="A1820" s="142"/>
      <c r="B1820" s="142"/>
      <c r="C1820" s="220"/>
      <c r="D1820" s="142"/>
      <c r="E1820" s="220"/>
      <c r="F1820" s="213"/>
      <c r="G1820" s="213"/>
      <c r="H1820" s="213"/>
      <c r="I1820" s="214"/>
      <c r="J1820" s="215"/>
      <c r="K1820" s="516"/>
      <c r="L1820" s="516"/>
      <c r="N1820" s="517"/>
      <c r="O1820" s="77"/>
      <c r="P1820" s="195"/>
      <c r="Q1820" s="77"/>
    </row>
    <row r="1821" ht="15.75" hidden="1" customHeight="1">
      <c r="A1821" s="142"/>
      <c r="B1821" s="142"/>
      <c r="C1821" s="220"/>
      <c r="D1821" s="142"/>
      <c r="E1821" s="220"/>
      <c r="F1821" s="213"/>
      <c r="G1821" s="213"/>
      <c r="H1821" s="213"/>
      <c r="I1821" s="214"/>
      <c r="J1821" s="215"/>
      <c r="K1821" s="516"/>
      <c r="L1821" s="516"/>
      <c r="N1821" s="517"/>
      <c r="O1821" s="77"/>
      <c r="P1821" s="195"/>
      <c r="Q1821" s="77"/>
    </row>
    <row r="1822" ht="15.75" hidden="1" customHeight="1">
      <c r="A1822" s="142"/>
      <c r="B1822" s="142"/>
      <c r="C1822" s="220"/>
      <c r="D1822" s="142"/>
      <c r="E1822" s="220"/>
      <c r="F1822" s="213"/>
      <c r="G1822" s="213"/>
      <c r="H1822" s="213"/>
      <c r="I1822" s="214"/>
      <c r="J1822" s="215"/>
      <c r="K1822" s="516"/>
      <c r="L1822" s="516"/>
      <c r="N1822" s="517"/>
      <c r="O1822" s="77"/>
      <c r="P1822" s="195"/>
      <c r="Q1822" s="77"/>
    </row>
    <row r="1823" ht="15.75" hidden="1" customHeight="1">
      <c r="A1823" s="142"/>
      <c r="B1823" s="142"/>
      <c r="C1823" s="220"/>
      <c r="D1823" s="142"/>
      <c r="E1823" s="220"/>
      <c r="F1823" s="213"/>
      <c r="G1823" s="213"/>
      <c r="H1823" s="213"/>
      <c r="I1823" s="214"/>
      <c r="J1823" s="215"/>
      <c r="K1823" s="516"/>
      <c r="L1823" s="516"/>
      <c r="N1823" s="517"/>
      <c r="O1823" s="77"/>
      <c r="P1823" s="195"/>
      <c r="Q1823" s="77"/>
    </row>
    <row r="1824" ht="15.75" hidden="1" customHeight="1">
      <c r="A1824" s="142"/>
      <c r="B1824" s="142"/>
      <c r="C1824" s="220"/>
      <c r="D1824" s="142"/>
      <c r="E1824" s="220"/>
      <c r="F1824" s="213"/>
      <c r="G1824" s="213"/>
      <c r="H1824" s="213"/>
      <c r="I1824" s="214"/>
      <c r="J1824" s="556"/>
      <c r="K1824" s="557"/>
      <c r="L1824" s="557"/>
      <c r="N1824" s="517"/>
      <c r="O1824" s="77"/>
      <c r="P1824" s="195"/>
      <c r="Q1824" s="77"/>
    </row>
    <row r="1825" ht="15.75" hidden="1" customHeight="1">
      <c r="A1825" s="371"/>
      <c r="B1825" s="371"/>
      <c r="C1825" s="335"/>
      <c r="D1825" s="371"/>
      <c r="E1825" s="335"/>
      <c r="F1825" s="337"/>
      <c r="G1825" s="337"/>
      <c r="H1825" s="337"/>
      <c r="I1825" s="214"/>
      <c r="J1825" s="215"/>
      <c r="K1825" s="516"/>
      <c r="L1825" s="516"/>
      <c r="M1825" s="371"/>
      <c r="N1825" s="341"/>
      <c r="O1825" s="342"/>
      <c r="P1825" s="459"/>
      <c r="Q1825" s="77"/>
      <c r="R1825" s="371"/>
      <c r="S1825" s="371"/>
      <c r="T1825" s="371"/>
      <c r="U1825" s="371"/>
      <c r="V1825" s="371"/>
      <c r="W1825" s="371"/>
      <c r="X1825" s="371"/>
      <c r="Y1825" s="371"/>
      <c r="Z1825" s="371"/>
      <c r="AA1825" s="371"/>
      <c r="AB1825" s="371"/>
      <c r="AC1825" s="371"/>
      <c r="AD1825" s="371"/>
      <c r="AE1825" s="371"/>
      <c r="AF1825" s="371"/>
      <c r="AG1825" s="371"/>
      <c r="AH1825" s="371"/>
    </row>
    <row r="1826" ht="15.75" hidden="1" customHeight="1">
      <c r="A1826" s="142"/>
      <c r="B1826" s="142"/>
      <c r="C1826" s="220"/>
      <c r="D1826" s="142"/>
      <c r="E1826" s="220"/>
      <c r="F1826" s="213"/>
      <c r="G1826" s="213"/>
      <c r="H1826" s="213"/>
      <c r="I1826" s="214"/>
      <c r="J1826" s="338"/>
      <c r="K1826" s="534"/>
      <c r="L1826" s="534"/>
      <c r="N1826" s="517"/>
      <c r="O1826" s="77"/>
      <c r="P1826" s="195"/>
      <c r="Q1826" s="342"/>
    </row>
    <row r="1827" ht="15.75" hidden="1" customHeight="1">
      <c r="A1827" s="142"/>
      <c r="B1827" s="142"/>
      <c r="C1827" s="220"/>
      <c r="D1827" s="142"/>
      <c r="E1827" s="220"/>
      <c r="F1827" s="213"/>
      <c r="G1827" s="213"/>
      <c r="H1827" s="213"/>
      <c r="I1827" s="214"/>
      <c r="J1827" s="215"/>
      <c r="K1827" s="516"/>
      <c r="L1827" s="516"/>
      <c r="N1827" s="517"/>
      <c r="O1827" s="77"/>
      <c r="P1827" s="195"/>
      <c r="Q1827" s="77"/>
    </row>
    <row r="1828" ht="15.75" hidden="1" customHeight="1">
      <c r="A1828" s="142"/>
      <c r="B1828" s="142"/>
      <c r="C1828" s="220"/>
      <c r="D1828" s="142"/>
      <c r="E1828" s="220"/>
      <c r="F1828" s="213"/>
      <c r="G1828" s="213"/>
      <c r="H1828" s="213"/>
      <c r="I1828" s="214"/>
      <c r="J1828" s="215"/>
      <c r="K1828" s="516"/>
      <c r="L1828" s="516"/>
      <c r="N1828" s="517"/>
      <c r="O1828" s="77"/>
      <c r="P1828" s="195"/>
      <c r="Q1828" s="77"/>
    </row>
    <row r="1829" ht="15.75" hidden="1" customHeight="1">
      <c r="A1829" s="142"/>
      <c r="B1829" s="142"/>
      <c r="C1829" s="220"/>
      <c r="D1829" s="142"/>
      <c r="E1829" s="220"/>
      <c r="F1829" s="213"/>
      <c r="G1829" s="213"/>
      <c r="H1829" s="213"/>
      <c r="I1829" s="214"/>
      <c r="J1829" s="556"/>
      <c r="K1829" s="557"/>
      <c r="L1829" s="557"/>
      <c r="N1829" s="517"/>
      <c r="O1829" s="77"/>
      <c r="P1829" s="195"/>
      <c r="Q1829" s="77"/>
    </row>
    <row r="1830" ht="15.75" hidden="1" customHeight="1">
      <c r="A1830" s="142"/>
      <c r="B1830" s="142"/>
      <c r="C1830" s="220"/>
      <c r="D1830" s="142"/>
      <c r="E1830" s="220"/>
      <c r="F1830" s="213"/>
      <c r="G1830" s="213"/>
      <c r="H1830" s="213"/>
      <c r="I1830" s="214"/>
      <c r="J1830" s="556"/>
      <c r="K1830" s="557"/>
      <c r="L1830" s="557"/>
      <c r="N1830" s="517"/>
      <c r="O1830" s="77"/>
      <c r="P1830" s="195"/>
      <c r="Q1830" s="77"/>
    </row>
    <row r="1831" ht="15.75" hidden="1" customHeight="1">
      <c r="A1831" s="142"/>
      <c r="B1831" s="142"/>
      <c r="C1831" s="220"/>
      <c r="D1831" s="142"/>
      <c r="E1831" s="220"/>
      <c r="F1831" s="213"/>
      <c r="G1831" s="213"/>
      <c r="H1831" s="213"/>
      <c r="I1831" s="214"/>
      <c r="J1831" s="556"/>
      <c r="K1831" s="557"/>
      <c r="L1831" s="557"/>
      <c r="N1831" s="517"/>
      <c r="O1831" s="77"/>
      <c r="P1831" s="195"/>
      <c r="Q1831" s="77"/>
    </row>
    <row r="1832" ht="15.75" hidden="1" customHeight="1">
      <c r="A1832" s="142"/>
      <c r="B1832" s="142"/>
      <c r="C1832" s="220"/>
      <c r="D1832" s="142"/>
      <c r="E1832" s="220"/>
      <c r="F1832" s="213"/>
      <c r="G1832" s="213"/>
      <c r="H1832" s="213"/>
      <c r="I1832" s="214"/>
      <c r="J1832" s="215"/>
      <c r="K1832" s="516"/>
      <c r="L1832" s="516"/>
      <c r="N1832" s="517"/>
      <c r="O1832" s="77"/>
      <c r="P1832" s="195"/>
      <c r="Q1832" s="77"/>
    </row>
    <row r="1833" ht="15.75" hidden="1" customHeight="1">
      <c r="A1833" s="142"/>
      <c r="B1833" s="142"/>
      <c r="C1833" s="220"/>
      <c r="D1833" s="142"/>
      <c r="E1833" s="220"/>
      <c r="F1833" s="213"/>
      <c r="G1833" s="213"/>
      <c r="H1833" s="213"/>
      <c r="I1833" s="214"/>
      <c r="J1833" s="215"/>
      <c r="K1833" s="516"/>
      <c r="L1833" s="516"/>
      <c r="N1833" s="517"/>
      <c r="O1833" s="77"/>
      <c r="P1833" s="195"/>
      <c r="Q1833" s="77"/>
    </row>
    <row r="1834" ht="15.75" hidden="1" customHeight="1">
      <c r="A1834" s="535"/>
      <c r="B1834" s="535"/>
      <c r="C1834" s="560"/>
      <c r="D1834" s="535"/>
      <c r="E1834" s="560"/>
      <c r="F1834" s="213"/>
      <c r="G1834" s="213"/>
      <c r="H1834" s="515"/>
      <c r="I1834" s="214"/>
      <c r="J1834" s="215"/>
      <c r="K1834" s="516"/>
      <c r="L1834" s="516"/>
      <c r="M1834" s="535"/>
      <c r="N1834" s="565"/>
      <c r="O1834" s="561"/>
      <c r="P1834" s="562"/>
      <c r="Q1834" s="77"/>
      <c r="R1834" s="535"/>
      <c r="S1834" s="535"/>
      <c r="T1834" s="535"/>
      <c r="U1834" s="535"/>
    </row>
    <row r="1835" ht="15.75" hidden="1" customHeight="1">
      <c r="A1835" s="142"/>
      <c r="B1835" s="142"/>
      <c r="C1835" s="220"/>
      <c r="D1835" s="142"/>
      <c r="E1835" s="220"/>
      <c r="F1835" s="213"/>
      <c r="G1835" s="213"/>
      <c r="H1835" s="213"/>
      <c r="I1835" s="214"/>
      <c r="J1835" s="556"/>
      <c r="K1835" s="557"/>
      <c r="L1835" s="557"/>
      <c r="N1835" s="517"/>
      <c r="O1835" s="77"/>
      <c r="P1835" s="195"/>
      <c r="Q1835" s="561"/>
    </row>
    <row r="1836" ht="15.75" hidden="1" customHeight="1">
      <c r="A1836" s="142"/>
      <c r="B1836" s="142"/>
      <c r="C1836" s="220"/>
      <c r="D1836" s="142"/>
      <c r="E1836" s="220"/>
      <c r="F1836" s="213"/>
      <c r="G1836" s="213"/>
      <c r="H1836" s="213"/>
      <c r="I1836" s="214"/>
      <c r="J1836" s="215"/>
      <c r="K1836" s="516"/>
      <c r="L1836" s="516"/>
      <c r="N1836" s="517"/>
      <c r="O1836" s="77"/>
      <c r="P1836" s="195"/>
      <c r="Q1836" s="77"/>
    </row>
    <row r="1837" ht="15.75" hidden="1" customHeight="1">
      <c r="A1837" s="142"/>
      <c r="B1837" s="142"/>
      <c r="C1837" s="220"/>
      <c r="D1837" s="142"/>
      <c r="E1837" s="220"/>
      <c r="F1837" s="213"/>
      <c r="G1837" s="213"/>
      <c r="H1837" s="213"/>
      <c r="I1837" s="214"/>
      <c r="J1837" s="215"/>
      <c r="K1837" s="516"/>
      <c r="L1837" s="516"/>
      <c r="N1837" s="517"/>
      <c r="O1837" s="77"/>
      <c r="P1837" s="195"/>
      <c r="Q1837" s="77"/>
    </row>
    <row r="1838" ht="15.75" hidden="1" customHeight="1">
      <c r="A1838" s="371"/>
      <c r="B1838" s="371"/>
      <c r="C1838" s="335"/>
      <c r="D1838" s="371"/>
      <c r="E1838" s="335"/>
      <c r="F1838" s="337"/>
      <c r="G1838" s="337"/>
      <c r="H1838" s="337"/>
      <c r="I1838" s="214"/>
      <c r="J1838" s="215"/>
      <c r="K1838" s="516"/>
      <c r="L1838" s="516"/>
      <c r="M1838" s="371"/>
      <c r="N1838" s="341"/>
      <c r="O1838" s="342"/>
      <c r="P1838" s="459"/>
      <c r="Q1838" s="77"/>
      <c r="R1838" s="371"/>
      <c r="S1838" s="371"/>
      <c r="T1838" s="371"/>
      <c r="U1838" s="371"/>
      <c r="V1838" s="371"/>
      <c r="W1838" s="371"/>
      <c r="X1838" s="371"/>
      <c r="Y1838" s="371"/>
      <c r="Z1838" s="371"/>
      <c r="AA1838" s="371"/>
      <c r="AB1838" s="371"/>
      <c r="AC1838" s="371"/>
      <c r="AD1838" s="371"/>
      <c r="AE1838" s="371"/>
      <c r="AF1838" s="371"/>
      <c r="AG1838" s="371"/>
      <c r="AH1838" s="371"/>
    </row>
    <row r="1839" ht="15.75" hidden="1" customHeight="1">
      <c r="A1839" s="535"/>
      <c r="B1839" s="535"/>
      <c r="C1839" s="560"/>
      <c r="D1839" s="535"/>
      <c r="E1839" s="560"/>
      <c r="F1839" s="213"/>
      <c r="G1839" s="213"/>
      <c r="H1839" s="213"/>
      <c r="I1839" s="214"/>
      <c r="J1839" s="338"/>
      <c r="K1839" s="534"/>
      <c r="L1839" s="534"/>
      <c r="M1839" s="535"/>
      <c r="N1839" s="565"/>
      <c r="O1839" s="561"/>
      <c r="P1839" s="562"/>
      <c r="Q1839" s="342"/>
      <c r="R1839" s="535"/>
      <c r="S1839" s="535"/>
      <c r="T1839" s="535"/>
      <c r="U1839" s="535"/>
    </row>
    <row r="1840" ht="15.75" hidden="1" customHeight="1">
      <c r="A1840" s="142"/>
      <c r="B1840" s="142"/>
      <c r="C1840" s="220"/>
      <c r="D1840" s="142"/>
      <c r="E1840" s="220"/>
      <c r="F1840" s="213"/>
      <c r="G1840" s="213"/>
      <c r="H1840" s="213"/>
      <c r="I1840" s="214"/>
      <c r="J1840" s="556"/>
      <c r="K1840" s="557"/>
      <c r="L1840" s="557"/>
      <c r="N1840" s="517"/>
      <c r="O1840" s="77"/>
      <c r="P1840" s="195"/>
      <c r="Q1840" s="561"/>
    </row>
    <row r="1841" ht="15.75" hidden="1" customHeight="1">
      <c r="A1841" s="142"/>
      <c r="B1841" s="142"/>
      <c r="C1841" s="220"/>
      <c r="D1841" s="142"/>
      <c r="E1841" s="220"/>
      <c r="F1841" s="213"/>
      <c r="G1841" s="213"/>
      <c r="H1841" s="213"/>
      <c r="I1841" s="214"/>
      <c r="J1841" s="215"/>
      <c r="K1841" s="516"/>
      <c r="L1841" s="516"/>
      <c r="N1841" s="517"/>
      <c r="O1841" s="77"/>
      <c r="P1841" s="195"/>
      <c r="Q1841" s="77"/>
    </row>
    <row r="1842" ht="15.75" hidden="1" customHeight="1">
      <c r="A1842" s="142"/>
      <c r="B1842" s="142"/>
      <c r="C1842" s="220"/>
      <c r="D1842" s="142"/>
      <c r="E1842" s="220"/>
      <c r="F1842" s="213"/>
      <c r="G1842" s="213"/>
      <c r="H1842" s="213"/>
      <c r="I1842" s="214"/>
      <c r="J1842" s="215"/>
      <c r="K1842" s="516"/>
      <c r="L1842" s="516"/>
      <c r="N1842" s="517"/>
      <c r="O1842" s="77"/>
      <c r="P1842" s="195"/>
      <c r="Q1842" s="77"/>
    </row>
    <row r="1843" ht="15.75" hidden="1" customHeight="1">
      <c r="A1843" s="142"/>
      <c r="B1843" s="142"/>
      <c r="C1843" s="220"/>
      <c r="D1843" s="142"/>
      <c r="E1843" s="220"/>
      <c r="F1843" s="213"/>
      <c r="G1843" s="213"/>
      <c r="H1843" s="213"/>
      <c r="I1843" s="214"/>
      <c r="J1843" s="215"/>
      <c r="K1843" s="516"/>
      <c r="L1843" s="516"/>
      <c r="N1843" s="517"/>
      <c r="O1843" s="77"/>
      <c r="P1843" s="195"/>
      <c r="Q1843" s="77"/>
    </row>
    <row r="1844" ht="15.75" hidden="1" customHeight="1">
      <c r="A1844" s="535"/>
      <c r="B1844" s="535"/>
      <c r="C1844" s="560"/>
      <c r="D1844" s="535"/>
      <c r="E1844" s="560"/>
      <c r="F1844" s="213"/>
      <c r="G1844" s="213"/>
      <c r="H1844" s="213"/>
      <c r="I1844" s="214"/>
      <c r="J1844" s="215"/>
      <c r="K1844" s="516"/>
      <c r="L1844" s="516"/>
      <c r="M1844" s="535"/>
      <c r="N1844" s="565"/>
      <c r="O1844" s="561"/>
      <c r="P1844" s="562"/>
      <c r="Q1844" s="77"/>
      <c r="R1844" s="535"/>
      <c r="S1844" s="535"/>
      <c r="T1844" s="535"/>
      <c r="U1844" s="535"/>
    </row>
    <row r="1845" ht="15.75" hidden="1" customHeight="1">
      <c r="A1845" s="142"/>
      <c r="B1845" s="142"/>
      <c r="C1845" s="220"/>
      <c r="D1845" s="142"/>
      <c r="E1845" s="220"/>
      <c r="F1845" s="213"/>
      <c r="G1845" s="213"/>
      <c r="H1845" s="213"/>
      <c r="I1845" s="214"/>
      <c r="J1845" s="556"/>
      <c r="K1845" s="557"/>
      <c r="L1845" s="557"/>
      <c r="N1845" s="517"/>
      <c r="O1845" s="77"/>
      <c r="P1845" s="195"/>
      <c r="Q1845" s="561"/>
    </row>
    <row r="1846" ht="15.75" hidden="1" customHeight="1">
      <c r="A1846" s="142"/>
      <c r="B1846" s="142"/>
      <c r="C1846" s="220"/>
      <c r="D1846" s="142"/>
      <c r="E1846" s="220"/>
      <c r="F1846" s="213"/>
      <c r="G1846" s="213"/>
      <c r="H1846" s="213"/>
      <c r="I1846" s="214"/>
      <c r="J1846" s="215"/>
      <c r="K1846" s="516"/>
      <c r="L1846" s="516"/>
      <c r="N1846" s="517"/>
      <c r="O1846" s="77"/>
      <c r="P1846" s="195"/>
      <c r="Q1846" s="77"/>
    </row>
    <row r="1847" ht="15.75" hidden="1" customHeight="1">
      <c r="A1847" s="142"/>
      <c r="B1847" s="142"/>
      <c r="C1847" s="220"/>
      <c r="D1847" s="142"/>
      <c r="E1847" s="220"/>
      <c r="F1847" s="213"/>
      <c r="G1847" s="213"/>
      <c r="H1847" s="213"/>
      <c r="I1847" s="214"/>
      <c r="J1847" s="215"/>
      <c r="K1847" s="516"/>
      <c r="L1847" s="516"/>
      <c r="N1847" s="517"/>
      <c r="O1847" s="77"/>
      <c r="P1847" s="195"/>
      <c r="Q1847" s="77"/>
    </row>
    <row r="1848" ht="15.75" hidden="1" customHeight="1">
      <c r="A1848" s="142"/>
      <c r="B1848" s="142"/>
      <c r="C1848" s="220"/>
      <c r="D1848" s="142"/>
      <c r="E1848" s="220"/>
      <c r="F1848" s="213"/>
      <c r="G1848" s="213"/>
      <c r="H1848" s="213"/>
      <c r="I1848" s="214"/>
      <c r="J1848" s="215"/>
      <c r="K1848" s="516"/>
      <c r="L1848" s="516"/>
      <c r="N1848" s="517"/>
      <c r="O1848" s="77"/>
      <c r="P1848" s="195"/>
      <c r="Q1848" s="77"/>
    </row>
    <row r="1849" ht="15.75" hidden="1" customHeight="1">
      <c r="A1849" s="142"/>
      <c r="B1849" s="142"/>
      <c r="C1849" s="220"/>
      <c r="D1849" s="142"/>
      <c r="E1849" s="220"/>
      <c r="F1849" s="213"/>
      <c r="G1849" s="213"/>
      <c r="H1849" s="213"/>
      <c r="I1849" s="214"/>
      <c r="J1849" s="215"/>
      <c r="K1849" s="516"/>
      <c r="L1849" s="516"/>
      <c r="N1849" s="517"/>
      <c r="O1849" s="77"/>
      <c r="P1849" s="195"/>
      <c r="Q1849" s="77"/>
    </row>
    <row r="1850" ht="15.75" hidden="1" customHeight="1">
      <c r="A1850" s="142"/>
      <c r="B1850" s="142"/>
      <c r="C1850" s="220"/>
      <c r="D1850" s="142"/>
      <c r="E1850" s="220"/>
      <c r="F1850" s="213"/>
      <c r="G1850" s="213"/>
      <c r="H1850" s="213"/>
      <c r="I1850" s="214"/>
      <c r="J1850" s="215"/>
      <c r="K1850" s="516"/>
      <c r="L1850" s="516"/>
      <c r="N1850" s="517"/>
      <c r="O1850" s="77"/>
      <c r="P1850" s="195"/>
      <c r="Q1850" s="77"/>
    </row>
    <row r="1851" ht="15.75" hidden="1" customHeight="1">
      <c r="A1851" s="142"/>
      <c r="B1851" s="142"/>
      <c r="C1851" s="220"/>
      <c r="D1851" s="142"/>
      <c r="E1851" s="220"/>
      <c r="F1851" s="213"/>
      <c r="G1851" s="213"/>
      <c r="H1851" s="213"/>
      <c r="I1851" s="214"/>
      <c r="J1851" s="215"/>
      <c r="K1851" s="516"/>
      <c r="L1851" s="516"/>
      <c r="N1851" s="517"/>
      <c r="O1851" s="77"/>
      <c r="P1851" s="195"/>
      <c r="Q1851" s="77"/>
    </row>
    <row r="1852" ht="15.75" hidden="1" customHeight="1">
      <c r="A1852" s="142"/>
      <c r="B1852" s="142"/>
      <c r="C1852" s="220"/>
      <c r="D1852" s="142"/>
      <c r="E1852" s="220"/>
      <c r="F1852" s="213"/>
      <c r="G1852" s="213"/>
      <c r="H1852" s="213"/>
      <c r="I1852" s="214"/>
      <c r="J1852" s="215"/>
      <c r="K1852" s="516"/>
      <c r="L1852" s="516"/>
      <c r="N1852" s="517"/>
      <c r="O1852" s="77"/>
      <c r="P1852" s="195"/>
      <c r="Q1852" s="77"/>
    </row>
    <row r="1853" ht="15.75" hidden="1" customHeight="1">
      <c r="A1853" s="142"/>
      <c r="B1853" s="142"/>
      <c r="C1853" s="220"/>
      <c r="D1853" s="142"/>
      <c r="E1853" s="220"/>
      <c r="F1853" s="213"/>
      <c r="G1853" s="213"/>
      <c r="H1853" s="213"/>
      <c r="I1853" s="214"/>
      <c r="J1853" s="215"/>
      <c r="K1853" s="516"/>
      <c r="L1853" s="516"/>
      <c r="N1853" s="517"/>
      <c r="O1853" s="77"/>
      <c r="P1853" s="195"/>
      <c r="Q1853" s="77"/>
    </row>
  </sheetData>
  <autoFilter ref="$A$1:$AH$1853">
    <filterColumn colId="0">
      <filters/>
    </filterColumn>
    <sortState ref="A1:AH1853">
      <sortCondition ref="A1:A1853"/>
      <sortCondition ref="B1:B1853"/>
      <sortCondition ref="J1:J1853"/>
      <sortCondition ref="N1:N1853"/>
      <sortCondition ref="E1:E1853"/>
      <sortCondition descending="1" ref="L1:L1853"/>
      <sortCondition ref="D1:D1853"/>
    </sortState>
  </autoFilter>
  <customSheetViews>
    <customSheetView guid="{B4825561-D639-4A77-84C2-F7B7434A78BC}" filter="1" showAutoFilter="1">
      <autoFilter ref="$A$1:$U$1853"/>
    </customSheetView>
  </customSheetViews>
  <dataValidations>
    <dataValidation type="list" allowBlank="1" showInputMessage="1" showErrorMessage="1" prompt="Selecione apenas estados: Papelaria" sqref="B588:B597 B888 B902:B903 B935 B1348 B1431 B1534 B1541 B1544:B1545 B1558 B1647 B1672 B1751 B1783">
      <formula1>"Caneta,design,Diversos-Papelaria,Ink,lápis,Multicopias,Plastificaçao"</formula1>
    </dataValidation>
    <dataValidation type="list" allowBlank="1" showInputMessage="1" showErrorMessage="1" prompt="Selecione apenas cidades: Obra-&quot;2026&quot; estado Mao-de-obra&quot;2026&quot;" sqref="C340:C347 C349:C361 C363:C364 C366:C375 C377:C382 C384:C385 C387:C389 C391:C393 C395:C399 C401:C403 C918 C936 C944 C988 C1051">
      <formula1>""</formula1>
    </dataValidation>
    <dataValidation type="list" allowBlank="1" showInputMessage="1" showErrorMessage="1" prompt="Selecione apenas estados: Annualidad-Fixa" sqref="B682">
      <formula1>"AquaLabWaterTest,INTERPREV-Fiscalisacao,INTERPREV-Segurancaesaude,SOPFOGO-Extinctores,SOPFOGO-ManutencaoCentralIncendio,SPA,Gas inspection"</formula1>
    </dataValidation>
    <dataValidation type="list" allowBlank="1" showInputMessage="1" showErrorMessage="1" prompt="Selecione apenas cidades: PapelPack estado Toiletpaper" sqref="C582:C584 C831:C832 C860 C939 C948:C949">
      <formula1>""</formula1>
    </dataValidation>
    <dataValidation type="list" allowBlank="1" showInputMessage="1" showErrorMessage="1" prompt="Selecione apenas cidades: Hostelfurnitures estado Bedroom" sqref="C217:C219">
      <formula1>""</formula1>
    </dataValidation>
    <dataValidation type="list" allowBlank="1" showInputMessage="1" showErrorMessage="1" prompt="Selecione apenas estados: Cleaning" sqref="B1140 B1142 B1148:B1149 B1152:B1154 B1158 B1167:B1168 B1174 B1177 B1214 B1221">
      <formula1>"Bleach Toilet,Cifi,Dish wash Liquid,Diverso - Cleaning,Glass Cleaner,Mistolin,Mop,saco 10l,Softner,Sponges,trash bag 50l,Washing Powder"</formula1>
    </dataValidation>
    <dataValidation type="list" allowBlank="1" showInputMessage="1" showErrorMessage="1" prompt="Selecione apenas cidades: Café da manhã estado Muesli" sqref="C63">
      <formula1>""</formula1>
    </dataValidation>
    <dataValidation type="list" allowBlank="1" showInputMessage="1" showErrorMessage="1" prompt="Selecione apenas estados: Mensalidade-Fixa" sqref="B255:B294">
      <formula1>"ÁguaFAGAR,CityTax,Cloudbeds,Contabilidade,EnergiaEDP,Gaz,NOSInternet,Spotify"</formula1>
    </dataValidation>
    <dataValidation type="list" allowBlank="1" showInputMessage="1" showErrorMessage="1" prompt="Selecione apenas cidades: Mensalidade-Fixa estado NOSInternet" sqref="C288:C289">
      <formula1>""</formula1>
    </dataValidation>
    <dataValidation type="list" allowBlank="1" showInputMessage="1" showErrorMessage="1" prompt="Selecione apenas cidades: Obra-&quot;Season8&quot; estado material/tools&quot;Season8&quot;" sqref="C434 C443 C459 C462 C474 C485 C498 C508 C511 C514 C520:C523">
      <formula1>""</formula1>
    </dataValidation>
    <dataValidation type="list" allowBlank="1" showInputMessage="1" showErrorMessage="1" prompt="Selecione apenas estados: Despesas Pessoas / Private A" sqref="B1019 B1065 B1067 B1069 B1072 B1075:B1078 B1080:B1083 B1085:B1088 B1090 B1092:B1104 B1110:B1113 B1116:B1120 B1162 B1190:B1192 B1194 B1198:B1199 B1203:B1205 B1208:B1210 B1213 B1216 B1218 B1222 B1224 B1227:B1228 B1230 B1235 B1239:B1240 B1247:B1248 B1253:B1258 B1265:B1266 B1268:B1274 B1276:B1277 B1279:B1283 B1286 B1292:B1293 B1295 B1298 B1310 B1319 B1322 B1324 B1336">
      <formula1>"Adrien,Invest,Marketing,Rent Adri,Van"</formula1>
    </dataValidation>
    <dataValidation type="list" allowBlank="1" showInputMessage="1" showErrorMessage="1" prompt="Selecione apenas cidades: Cafédamanhã estado Tea" sqref="C74:C75">
      <formula1>""</formula1>
    </dataValidation>
    <dataValidation type="list" allowBlank="1" showInputMessage="1" showErrorMessage="1" prompt="Selecione apenas estados: Wages" sqref="B608:B653">
      <formula1>"2x2x2,barShift,Clarita-wages,Cleaning,Dinner,Excel,Food Staff,Manager,Marta-wages,Night shift,Pancakes,Reception Shift"</formula1>
    </dataValidation>
    <dataValidation type="list" allowBlank="1" showInputMessage="1" showErrorMessage="1" prompt="Selecione apenas cidades: Papelaria estado Caneta" sqref="C888">
      <formula1>""</formula1>
    </dataValidation>
    <dataValidation type="list" allowBlank="1" showInputMessage="1" showErrorMessage="1" prompt="Selecione apenas estados: Obra-Cafe" sqref="B324 B348 B365 B376 B383 B390 B404:B414 B420 B432 B434 B442:B443 B456 B459 B462 B471 B474 B478 B485 B487 B491 B498 B508 B511 B514 B520:B524 B534:B549">
      <formula1>"Furnitures-Cafe,MaodeObra-Cafe,Material/Tools-Cafe,Cafe/food-Cafe,Project/Admin-Cafe,Uber/ Transporte-Cafe"</formula1>
    </dataValidation>
    <dataValidation type="list" allowBlank="1" showInputMessage="1" showErrorMessage="1" prompt="Selecione apenas cidades: Liquor Bar estado Ginha" sqref="C252">
      <formula1>""</formula1>
    </dataValidation>
    <dataValidation type="list" allowBlank="1" showInputMessage="1" showErrorMessage="1" prompt="Selecione apenas estados: DinnerNight" sqref="B664:B665 B1675 B1840:B1843 B1845:B1847 B1849:B1850">
      <formula1>"food"</formula1>
    </dataValidation>
    <dataValidation type="list" allowBlank="1" showInputMessage="1" showErrorMessage="1" prompt="Selecione apenas estados: Wages" sqref="B742 B765 B776:B778 B814:B816 B819:B820 B834:B843 B845:B847 B874 B883 B899 B905 B909 B911 B956:B957">
      <formula1>"2x2x2,Clarita-wages,Cleaning,Dinner,Excel,Marta-wages,Nightshift,pancakes,Manager,ReceptionShift,barShift,Food Staff"</formula1>
    </dataValidation>
    <dataValidation type="list" allowBlank="1" showInputMessage="1" showErrorMessage="1" prompt="Selecione apenas cidades: Cleaning estado Diverso-Cleaning" sqref="C86:C95">
      <formula1>""</formula1>
    </dataValidation>
    <dataValidation type="list" allowBlank="1" showInputMessage="1" showErrorMessage="1" prompt="Selecione apenas estados: PapelPack" sqref="B825 B827 B1659:B1660 B1662 B1664:B1665 B1851:B1853">
      <formula1>"DiversosPapelpack,Gloves,Handsoap,Iva-PapelPack,KitchenRoll,SunsetFloorCleaner,Toiletpaper,TrashbagToilet,Trashbag120l"</formula1>
    </dataValidation>
    <dataValidation type="list" allowBlank="1" showInputMessage="1" showErrorMessage="1" prompt="Selecione apenas cidades: Papel Pack estado Iva-PapelPack" sqref="C567">
      <formula1>""</formula1>
    </dataValidation>
    <dataValidation type="list" allowBlank="1" showInputMessage="1" showErrorMessage="1" prompt="Selecione apenas estados: Café da manhã" sqref="B18:B19 B23:B50 B56:B61 B63 B65:B71 B73 B77">
      <formula1>"Banana,Butter,Cacao,Canela,Coffee,Coffee filter,Flakes,Flour,Fruits,Gas-Café da manhã,Jam,Milk,Muesli,Oil,Peanut butter,pepper,Salt,Sugar,Tea,Vegan"</formula1>
    </dataValidation>
    <dataValidation type="list" allowBlank="1" showInputMessage="1" showErrorMessage="1" prompt="Selecione apenas estados: Bpi" sqref="B11 B884 B901 B920 B951 B979 B998">
      <formula1>"Paylink,Fees,AliguerTPEREDUNICREMENSAL,Madalena8-BPI"</formula1>
    </dataValidation>
    <dataValidation type="list" allowBlank="1" showInputMessage="1" showErrorMessage="1" prompt="Selecione apenas cidades: Impostos estado INPI" sqref="C227 C683">
      <formula1>""</formula1>
    </dataValidation>
    <dataValidation type="list" allowBlank="1" showInputMessage="1" showErrorMessage="1" prompt="Selecione apenas estados: Bpi" sqref="B672">
      <formula1>"DepositDrop,Paylink,Fees,Airbnb cancelation,Airbnb comission,AliguerTPEREDUNICREMENSAL,Madalena8-BPI"</formula1>
    </dataValidation>
    <dataValidation type="list" allowBlank="1" showInputMessage="1" showErrorMessage="1" prompt="Selecione apenas cidades: Hostelfurnitures estado Bathroom" sqref="C1535">
      <formula1>"11"</formula1>
    </dataValidation>
    <dataValidation type="list" allowBlank="1" showInputMessage="1" showErrorMessage="1" prompt="Selecione apenas cidades: Café da manhã estado Banana" sqref="C18:C19">
      <formula1>""</formula1>
    </dataValidation>
    <dataValidation type="list" allowBlank="1" showInputMessage="1" showErrorMessage="1" prompt="Selecione apenas cidades: Transporte estado Bus" sqref="C977">
      <formula1>""</formula1>
    </dataValidation>
    <dataValidation type="list" allowBlank="1" showInputMessage="1" showErrorMessage="1" prompt="Selecione apenas estados: Bar" sqref="B1229">
      <formula1>"AppleCider,Beer,FruitCider,fruits-bar,Furniture,Greenwine,Icecube-Bar,liqueur,Sangria,Spirit,Verso3,Cachaça,Verso5"</formula1>
    </dataValidation>
    <dataValidation type="list" allowBlank="1" showInputMessage="1" showErrorMessage="1" prompt="Selecione apenas estados: PapelPack" sqref="B565:B566 B568:B570 B572 B584">
      <formula1>"DiversosPapelpack,Gloves,Handsoap,Iva-PapelPack,KitchenRoll,SunsetFloorCleaner,Toalha de mao,Toiletpaper,Trashbag120l,TrashbagToilet"</formula1>
    </dataValidation>
    <dataValidation type="list" allowBlank="1" showInputMessage="1" showErrorMessage="1" prompt="Selecione apenas cidades: Obra-&quot;2025&quot; estado Tools&quot;2025&quot;" sqref="C702 C708 C721:C724 C731:C733 C759 C767:C768 C771:C772 C796 C852 C858 C861:C862 C886">
      <formula1>""</formula1>
    </dataValidation>
    <dataValidation type="list" allowBlank="1" showInputMessage="1" showErrorMessage="1" prompt="Selecione apenas cidades: Café da manhã estado Flakes" sqref="C37:C38">
      <formula1>""</formula1>
    </dataValidation>
    <dataValidation type="list" allowBlank="1" showInputMessage="1" showErrorMessage="1" prompt="Selecione apenas cidades: Café da manhã estado Tea" sqref="C73">
      <formula1>""</formula1>
    </dataValidation>
    <dataValidation type="list" allowBlank="1" showErrorMessage="1" sqref="A240 A269:A279 A904 A907 A910">
      <formula1>Lista!$A$3:$A$1042</formula1>
    </dataValidation>
    <dataValidation type="list" allowBlank="1" showInputMessage="1" showErrorMessage="1" prompt="Selecione apenas cidades: Bpi estado Fees" sqref="C10:C16 C672 C901 C920 C979 C998">
      <formula1>""</formula1>
    </dataValidation>
    <dataValidation type="list" allowBlank="1" showInputMessage="1" showErrorMessage="1" prompt="Selecione apenas cidades: Obra-&quot;Season8&quot; estado material/tools&quot;Season8&quot;" sqref="C487">
      <formula1>""</formula1>
    </dataValidation>
    <dataValidation type="list" allowBlank="1" showInputMessage="1" showErrorMessage="1" prompt="Selecione apenas cidades: Mensalidade-Fixa estado Contabilidade" sqref="C269:C270">
      <formula1>""</formula1>
    </dataValidation>
    <dataValidation type="list" allowBlank="1" showInputMessage="1" showErrorMessage="1" prompt="Selecione apenas estados: Annualidad-Fixa" sqref="B3">
      <formula1>"AquaLabWaterTest,Gas inspection,INTERPREV-Fiscalisacao,INTERPREV-Segurancaesaude,License,SOPFOGO-Extinctores,SOPFOGO-ManutencaoCentralIncendio,SPA"</formula1>
    </dataValidation>
    <dataValidation type="list" allowBlank="1" showInputMessage="1" showErrorMessage="1" prompt="Selecione apenas estados: Papel Pack" sqref="B1303">
      <formula1>"Gloves,Handsoap,Iva - Papel Pack,Kitchen Roll,Sunset Floor Cleaner,Toilet paper,Trash bag  Toilet,Trash bag 120l,Diversos Papel pack"</formula1>
    </dataValidation>
    <dataValidation type="list" allowBlank="1" showInputMessage="1" showErrorMessage="1" prompt="Selecione apenas cidades: Marketing estado others-marketing" sqref="C253:C254 C684 C686 C689:C690">
      <formula1>""</formula1>
    </dataValidation>
    <dataValidation type="list" allowBlank="1" showInputMessage="1" showErrorMessage="1" prompt="Selecione apenas estados: Bike" sqref="B1225">
      <formula1>"Fixing,Rubber"</formula1>
    </dataValidation>
    <dataValidation type="list" allowBlank="1" showErrorMessage="1" sqref="R4 R220 R222:R223 R318 D2:D1853">
      <formula1>'Lista 2'!$B$2:$B$20</formula1>
    </dataValidation>
    <dataValidation type="list" allowBlank="1" showInputMessage="1" showErrorMessage="1" prompt="Selecione apenas cidades: Café da manhã estado Butter" sqref="C23:C26">
      <formula1>""</formula1>
    </dataValidation>
    <dataValidation type="list" allowBlank="1" showInputMessage="1" showErrorMessage="1" prompt="Selecione apenas cidades: DespesasPessoas/PrivateA estado Invest" sqref="C182:C185 C656">
      <formula1>""</formula1>
    </dataValidation>
    <dataValidation type="list" allowBlank="1" showInputMessage="1" showErrorMessage="1" prompt="Selecione apenas estados: bedbugsprotocol" sqref="B1290 B1487 B1500:B1502 B1510 B1512 B1542 B1549 B1559 B1569 B1572 B1576 B1598 B1610 B1614 B1616 B1691 B1704 B1729 B1738 B1740 B1747 B1790 B1848">
      <formula1>"Desinfection,Diverso-bedbugsprotocol,laundry,Weapons"</formula1>
    </dataValidation>
    <dataValidation type="list" allowBlank="1" showInputMessage="1" showErrorMessage="1" prompt="Selecione apenas cidades: Café da manhã estado Coffee" sqref="C29:C36">
      <formula1>""</formula1>
    </dataValidation>
    <dataValidation type="list" allowBlank="1" showInputMessage="1" showErrorMessage="1" prompt="Selecione apenas cidades: Obra-Cafe estado MaodeObra-Cafe" sqref="C338:C339 C348 C365">
      <formula1>","</formula1>
    </dataValidation>
    <dataValidation type="list" allowBlank="1" showInputMessage="1" showErrorMessage="1" prompt="Selecione apenas cidades: mensalidade-Fixa estado Spotify" sqref="C590">
      <formula1>""</formula1>
    </dataValidation>
    <dataValidation type="list" allowBlank="1" showInputMessage="1" showErrorMessage="1" prompt="Selecione apenas estados: Bpi" sqref="B1079">
      <formula1>"DepositDrop,Fees,Aliguer TPE REDUNICRE MENSAL,Madalena8-BPI"</formula1>
    </dataValidation>
    <dataValidation type="list" allowBlank="1" showInputMessage="1" showErrorMessage="1" prompt="Selecione apenas cidades: Café da manhã estado Flour" sqref="C39:C44">
      <formula1>""</formula1>
    </dataValidation>
    <dataValidation type="list" allowBlank="1" showInputMessage="1" showErrorMessage="1" prompt="Selecione apenas cidades: Annualidad-Fixa estado INTERPREV-Segurancaesaude" sqref="C682">
      <formula1>""</formula1>
    </dataValidation>
    <dataValidation type="list" allowBlank="1" showInputMessage="1" showErrorMessage="1" prompt="Selecione apenas estados: Booking.com" sqref="B1249 B1523 B1526 B1735:B1736">
      <formula1>"Othertaxs,Paymentcommision"</formula1>
    </dataValidation>
    <dataValidation type="list" allowBlank="1" showInputMessage="1" showErrorMessage="1" prompt="Selecione apenas cidades: Hostel furnitures estado General" sqref="C222 C224">
      <formula1>""</formula1>
    </dataValidation>
    <dataValidation type="list" allowBlank="1" showInputMessage="1" showErrorMessage="1" prompt="Selecione apenas cidades: Café da manhã estado Peanut butter" sqref="C69:C70">
      <formula1>""</formula1>
    </dataValidation>
    <dataValidation type="list" allowBlank="1" showInputMessage="1" showErrorMessage="1" prompt="Selecione apenas estados: shopping" sqref="B1754">
      <formula1>"bag"</formula1>
    </dataValidation>
    <dataValidation type="list" allowBlank="1" showInputMessage="1" showErrorMessage="1" prompt="Selecione apenas cidades: Annualidad-Fixa estado Aqua Lab Water Test" sqref="C2">
      <formula1>""</formula1>
    </dataValidation>
    <dataValidation type="list" allowBlank="1" showInputMessage="1" showErrorMessage="1" prompt="Selecione apenas cidades: Despesas Pessoas estado Adrien" sqref="C142 C160">
      <formula1>""</formula1>
    </dataValidation>
    <dataValidation type="list" allowBlank="1" showInputMessage="1" showErrorMessage="1" prompt="Selecione apenas cidades: mensalidade-Fixa estado ÁguaFAGAR" sqref="C257:C261 C754 C877 C915 C952 C991 C1037">
      <formula1>""</formula1>
    </dataValidation>
    <dataValidation type="list" allowBlank="1" showInputMessage="1" showErrorMessage="1" prompt="Selecione apenas estados: DespesasPessoas/PrivateA" sqref="B114:B141 B143:B159 B161:B180 B182:B185 B656 B661 B668:B671 B673 B675 B678:B679 B685 B691:B697 B735 B737:B741 B744:B753 B755:B758 B761:B763 B784:B793 B804:B813 B833 B844 B848 B864 B870 B873 B875 B878 B880 B892:B894 B922 B924:B925 B928:B932 B941 B953:B955 B958 B961:B962 B966:B972 B974:B976 B980:B983 B986 B989:B990 B994:B995 B999:B1003 B1007:B1013 B1016:B1018 B1020:B1021 B1023:B1034 B1038 B1040:B1047 B1246 B1296 B1301 B1318 B1339:B1340 B1349 B1352:B1353 B1355:B1360 B1361:C1361 B1363:B1364 B1366:B1369 B1375:B1377 B1380:B1383 B1388:B1389 B1391:B1392 B1399 B1401 B1403 B1405 B1407 B1415:B1418 B1420:B1421 B1429 B1434 B1439 B1458 B1463:B1464 B1469:B1470 B1474 B1478:B1481 B1485:B1486 B1490 B1497:B1499 B1503 B1505 B1508:B1509 B1511 B1513:B1515 B1519 B1521:B1522 B1524 B1527 B1531:B1532 B1536 B1538 B1548 B1550:B1551 B1555:B1557 B1566 B1575 B1579 B1581 B1583 B1585 B1591 B1595 B1600 B1608:B1609 B1613 B1618 B1620 B1623 B1625:B1627 B1630 B1640 B1642:B1646 B1648:B1649 B1657:B1658 B1663 B1666:B1670 B1676:B1677 B1680:B1684 B1690 B1695 B1720:B1725 B1731:B1733 B1764:B1767 B1776:B1779 B1781:B1782 B1795 B1807:B1808 B1811 B1815:B1817 B1819:B1820 B1826 B1831:B1833 B1835 B1837">
      <formula1>"Adrien,Invest,Marketing,RentAdri,Van"</formula1>
    </dataValidation>
    <dataValidation type="list" allowBlank="1" showInputMessage="1" showErrorMessage="1" prompt="Selecione apenas cidades: Cleaning estado Ttrash bag 50l" sqref="C109:C110">
      <formula1>""</formula1>
    </dataValidation>
    <dataValidation type="list" allowBlank="1" showInputMessage="1" showErrorMessage="1" prompt="Selecione apenas estados: Bar" sqref="B4:B9">
      <formula1>"AppleCider,Beer,Beer 1L,Cachaça,Coca,FruitCider,fruits-bar,Furniture,Greenwine,Ice tea,Icecube-Bar,liqueur,red bull,Sangria,Sprite,Verso3,Verso5,Vinho tinto,water"</formula1>
    </dataValidation>
    <dataValidation type="list" allowBlank="1" showInputMessage="1" showErrorMessage="1" prompt="Selecione apenas cidades: Drop estado FromMBtoAdrianMoney" sqref="C195">
      <formula1>""</formula1>
    </dataValidation>
    <dataValidation type="list" allowBlank="1" showInputMessage="1" showErrorMessage="1" prompt="Selecione apenas cidades: mensalidade-Fixa estado EnergiaEDP" sqref="C282:C287 C687 C872 C912 C934 C942 C985 C1015">
      <formula1>""</formula1>
    </dataValidation>
    <dataValidation type="list" allowBlank="1" showInputMessage="1" showErrorMessage="1" prompt="Selecione apenas estados: Papel Pack" sqref="B563:B564 B567 B571 B573:B583 B585:B587">
      <formula1>"Diversos Papel Pack,Gloves,Handsoap,Iva-PapelPack,KitchenRoll,Sunset Floor Cleaner,Toalha de mao,Toiletpaper,Trashbag 120l,Trashbag Toilet"</formula1>
    </dataValidation>
    <dataValidation type="list" allowBlank="1" showInputMessage="1" showErrorMessage="1" prompt="Selecione apenas cidades: Obra-&quot;2025&quot; estado Mao-de-obra&quot;2025&quot;" sqref="C114 C657:C659 C681 C698 C707 C718:C720 C725:C730 C734 C736 C743 C770 C773:C775 C794:C795 C797:C803 C822 C826 C828 C863 C867:C868 C885 C1056">
      <formula1>""</formula1>
    </dataValidation>
    <dataValidation type="list" allowBlank="1" showInputMessage="1" showErrorMessage="1" prompt="Selecione apenas cidades: Café da manhã estado Canela" sqref="C28">
      <formula1>""</formula1>
    </dataValidation>
    <dataValidation type="list" allowBlank="1" showInputMessage="1" showErrorMessage="1" prompt="Selecione apenas estados: Drop" sqref="B1126 B1236 B1309 B1311 B1347 B1351 B1410 B1426:B1427 B1472 B1491 B1516 B1528 B1578 B1673 B1726:B1727 B1741 B1762 B1785 B1821:B1822 B1836">
      <formula1>"Adriendrop,Clarita,Marta"</formula1>
    </dataValidation>
    <dataValidation type="list" allowBlank="1" showInputMessage="1" showErrorMessage="1" prompt="Selecione apenas estados: Drop" sqref="B186:B215">
      <formula1>"Adrien drop,Deposit Drop,From MB to Adrien Money,From Drop to Adrien Money,Jar,From Adrian Money to Drop,From Bpi to Revolut,From Paypal to Revolut,From MB to Drop"</formula1>
    </dataValidation>
    <dataValidation type="list" allowBlank="1" showInputMessage="1" showErrorMessage="1" prompt="Selecione apenas cidades: Mensalidade-Fixa estado CityTax" sqref="C262:C263">
      <formula1>""</formula1>
    </dataValidation>
    <dataValidation type="list" allowBlank="1" showInputMessage="1" showErrorMessage="1" prompt="Selecione apenas cidades: Cafédamanhã estado Banana" sqref="C20:C22">
      <formula1>""</formula1>
    </dataValidation>
    <dataValidation type="list" allowBlank="1" showInputMessage="1" showErrorMessage="1" prompt="Selecione apenas estados: Hostelfurnitures" sqref="B216:B219 B662 B666:B667 B674 B688 B850 B1342 B1422 B1430 B1535 B1543 B1582 B1584 B1661 B1678 B1730 B1752 B1792 B1794 B1798:B1799 B1804">
      <formula1>"Bathroom,Bedroom,Bedroom""Blankets"",Bedroom""Sheets"",electromenager,General,Kitchen,Plants,Rooftop,Staff"</formula1>
    </dataValidation>
    <dataValidation type="list" allowBlank="1" showInputMessage="1" showErrorMessage="1" prompt="Selecione apenas cidades: Drop estado From MB to Drop" sqref="C192:C194">
      <formula1>""</formula1>
    </dataValidation>
    <dataValidation type="list" allowBlank="1" showInputMessage="1" showErrorMessage="1" prompt="Selecione apenas cidades: Hostel furnitures estado Bedroom" sqref="C216">
      <formula1>""</formula1>
    </dataValidation>
    <dataValidation type="list" allowBlank="1" showInputMessage="1" showErrorMessage="1" prompt="Selecione apenas estados: Bpi" sqref="B10 B12:B17">
      <formula1>"AliguerTPEREDUNICREMENSAL,Fees,Madalena8-BPI,Paylink"</formula1>
    </dataValidation>
    <dataValidation type="list" allowBlank="1" showInputMessage="1" showErrorMessage="1" prompt="Selecione apenas cidades: mensalidade-Fixa estado CityTax" sqref="C817:C818 C926">
      <formula1>""</formula1>
    </dataValidation>
    <dataValidation type="list" allowBlank="1" showInputMessage="1" showErrorMessage="1" prompt="Selecione apenas estados: Bar" sqref="B1106 B1333 B1373 B1444 B1533 B1589 B1694 B1749:B1750 B1753 B1791 B1800">
      <formula1>"AppleCider,Beer,FruitCider,fruits-bar,Furniture,Greenwine,Icecube-Bar,liqueur,Sangria,Spirit,Verso3,Verso5"</formula1>
    </dataValidation>
    <dataValidation type="list" allowBlank="1" showInputMessage="1" showErrorMessage="1" prompt="Selecione apenas cidades: PapelPack estado Handsoap" sqref="C565:C566 C855">
      <formula1>""</formula1>
    </dataValidation>
    <dataValidation type="list" allowBlank="1" showInputMessage="1" showErrorMessage="1" prompt="Selecione apenas estados: Wages" sqref="B1062 B1091 B1132 B1251:B1252 B1312 B1328:B1331 B1337 B1370:B1371 B1393:B1396 B1412 B1428 B1459:B1462 B1473 B1476 B1488:B1489 B1493:B1496 B1504 B1547 B1554 B1562:B1565 B1574 B1587:B1588 B1599 B1601:B1604 B1636:B1637 B1641 B1651:B1656 B1674 B1685:B1689 B1718:B1719 B1742:B1745 B1755:B1757 B1774 B1786:B1789 B1812 B1823 B1828:B1830">
      <formula1>"2x2x2,Clarita-wages,Cleaning,Dinner,Excel,Marta-wages,Nightshift,pancakes,ReceptionShift,barShift"</formula1>
    </dataValidation>
    <dataValidation type="list" allowBlank="1" showInputMessage="1" showErrorMessage="1" prompt="Selecione apenas estados: Drop" sqref="B1064 B1107 B1160 B1178:B1179 B1181 B1234 B1238 B1278 B1299:B1300">
      <formula1>"Clarita,Marta,Adrien drop"</formula1>
    </dataValidation>
    <dataValidation type="list" allowBlank="1" showInputMessage="1" showErrorMessage="1" prompt="Selecione apenas cidades: Cleaning estado Dishwash Liquid" sqref="C83:C84">
      <formula1>""</formula1>
    </dataValidation>
    <dataValidation type="list" allowBlank="1" showInputMessage="1" showErrorMessage="1" prompt="Selecione apenas cidades: Others estado Other" sqref="C557:C562">
      <formula1>""</formula1>
    </dataValidation>
    <dataValidation type="list" allowBlank="1" showInputMessage="1" showErrorMessage="1" prompt="Selecione apenas cidades: Café da manhã estado Fruits" sqref="C45">
      <formula1>""</formula1>
    </dataValidation>
    <dataValidation type="list" allowBlank="1" showInputMessage="1" showErrorMessage="1" prompt="Selecione apenas estados: Hostel furnitures" sqref="B220:B225">
      <formula1>"Bathroom,Bedroom,Bedroom""Blankets"",Bedroom""Sheets"",Electromenager,General,Kitchen,Plants,Rooftop,Staff"</formula1>
    </dataValidation>
    <dataValidation type="list" allowBlank="1" showInputMessage="1" showErrorMessage="1" prompt="Selecione apenas cidades: DespesasPessoas/PrivateA estado Adrien" sqref="C115:C126 C128:C141 C143:C159 C161:C180 C661 C668:C671 C673 C675 C678:C679 C685 C691:C697 C735 C737:C741 C744:C753 C755:C758 C761:C763 C784:C793 C804:C813 C833 C844 C848 C864 C870 C873 C875 C878 C880 C892:C894 C922 C924:C925 C928:C932 C941 C953:C955 C958 C961:C962 C966:C972 C974:C976 C980:C982 C986 C989:C990 C994:C995 C999:C1003 C1007:C1013 C1016:C1021 C1023:C1033 C1040:C1047">
      <formula1>""</formula1>
    </dataValidation>
    <dataValidation type="list" allowBlank="1" showInputMessage="1" showErrorMessage="1" prompt="Selecione apenas cidades: Drop estado From Adrian Money to Drop" sqref="C186:C187">
      <formula1>""</formula1>
    </dataValidation>
    <dataValidation type="list" allowBlank="1" showInputMessage="1" showErrorMessage="1" prompt="Selecione apenas estados: mensalidade-Fixa" sqref="B687 B754 B817:B818 B821 B849 B872 B876:B877 B895 B898 B900 B912 B915 B919 B921 B923 B926 B934 B942 B952 B973 B978 B985 B991 B996 B1004:B1005 B1015 B1037 B1378 B1436 B1525 B1529:B1530 B1553 B1586 B1619 B1624 B1671 B1717 B1728 B1737 B1771 B1784 B1814">
      <formula1>"ÁguaFAGAR,CityTax,Cloudbeds,Contabilidade,EnergiaEDP,Gaz,NOSInternet,Spotify"</formula1>
    </dataValidation>
    <dataValidation type="list" allowBlank="1" showInputMessage="1" showErrorMessage="1" prompt="Selecione apenas cidades: Bar estado Beer" sqref="C4:C9">
      <formula1>""</formula1>
    </dataValidation>
    <dataValidation type="list" allowBlank="1" showInputMessage="1" showErrorMessage="1" prompt="Selecione apenas estados: Bar" sqref="B663">
      <formula1>"AppleCider,Beer,FruitCider,fruits-bar,Furniture,Greenwine,Icecube-Bar,liqueur,Sangria,Spirit,Beer 1L,water,red bull,Verso3,Cachaça,Vinho tinto,Verso5,Coca"</formula1>
    </dataValidation>
    <dataValidation type="list" allowBlank="1" showInputMessage="1" showErrorMessage="1" prompt="Selecione apenas cidades: Refund estado Refund" sqref="C112:C113 C598 C866 C913 C927">
      <formula1>""</formula1>
    </dataValidation>
    <dataValidation type="list" allowBlank="1" showInputMessage="1" showErrorMessage="1" prompt="Selecione apenas cidades: Obra-&quot;Season8&quot; estado MaodeObraSeason8" sqref="C376 C383 C390 C404:C414">
      <formula1>""</formula1>
    </dataValidation>
    <dataValidation type="list" allowBlank="1" showInputMessage="1" showErrorMessage="1" prompt="Selecione apenas cidades: Others estado Dryer" sqref="C550:C554">
      <formula1>""</formula1>
    </dataValidation>
    <dataValidation type="list" allowBlank="1" showInputMessage="1" showErrorMessage="1" prompt="Selecione apenas estados: Bar" sqref="B1215 B1231 B1233">
      <formula1>"Apple Cider,Beer,Fruit Cider,Furniture,Green wine,Ice cube - Bar,Sangria,Verso3,Verso5"</formula1>
    </dataValidation>
    <dataValidation type="list" allowBlank="1" showInputMessage="1" showErrorMessage="1" prompt="Selecione apenas cidades: Obra-&quot;2026&quot; estado Project/Admin&quot;2026&quot;" sqref="C526:C527 C529:C533">
      <formula1>""</formula1>
    </dataValidation>
    <dataValidation type="list" allowBlank="1" showInputMessage="1" showErrorMessage="1" prompt="Selecione apenas estados: Wages" sqref="B904 B907 B910">
      <formula1>"2x2x2,Clarita-wages,Cleaning,Dinner,Excel,Marta-wages,Nightshift,pancakes,ReceptionShift,barShift,Food Staff"</formula1>
    </dataValidation>
    <dataValidation type="list" allowBlank="1" showInputMessage="1" showErrorMessage="1" prompt="Selecione apenas estados: Impostos" sqref="B1066 B1241">
      <formula1>"Imi 10,Imi 8,IRS,IVA,Seg. Soc."</formula1>
    </dataValidation>
    <dataValidation type="list" allowBlank="1" showInputMessage="1" showErrorMessage="1" prompt="Selecione apenas cidades: Wages estado Nightshift" sqref="C776:C778">
      <formula1>""</formula1>
    </dataValidation>
    <dataValidation type="list" allowBlank="1" showInputMessage="1" showErrorMessage="1" prompt="Selecione apenas cidades: Obra-&quot;2026&quot; estado Cafe/food&quot;2026&quot;" sqref="C297:C317">
      <formula1>""</formula1>
    </dataValidation>
    <dataValidation type="list" allowBlank="1" showInputMessage="1" showErrorMessage="1" prompt="Selecione apenas cidades: Cleaning estado saco10l" sqref="C99:C102">
      <formula1>""</formula1>
    </dataValidation>
    <dataValidation type="list" allowBlank="1" showInputMessage="1" showErrorMessage="1" prompt="Selecione apenas cidades: Wages estado Pancakes" sqref="C615 C622:C623">
      <formula1>""</formula1>
    </dataValidation>
    <dataValidation type="list" allowBlank="1" showInputMessage="1" showErrorMessage="1" prompt="Selecione apenas cidades: Bar estado liqueur" sqref="C663">
      <formula1>""</formula1>
    </dataValidation>
    <dataValidation type="list" allowBlank="1" showInputMessage="1" showErrorMessage="1" prompt="Selecione apenas estados: Bar" sqref="B1058:B1060">
      <formula1>"Apple Cider,Beer,Fruit Cider,fruits - bar,Furniture,Green wine,Ice cube - Bar,Sangria,Verso3,Verso5"</formula1>
    </dataValidation>
    <dataValidation type="list" allowBlank="1" showInputMessage="1" showErrorMessage="1" prompt="Selecione apenas cidades: mensalidade-Fixa estado Cloudbeds" sqref="C266:C268 C876 C900 C921">
      <formula1>""</formula1>
    </dataValidation>
    <dataValidation type="list" allowBlank="1" showInputMessage="1" showErrorMessage="1" prompt="Selecione apenas cidades: PapelPack estado Iva-PapelPack" sqref="C568:C570 C824:C825 C856 C937 C946">
      <formula1>""</formula1>
    </dataValidation>
    <dataValidation type="list" allowBlank="1" showInputMessage="1" showErrorMessage="1" prompt="Selecione apenas cidades: Obra-&quot;Season7&quot; estado material&quot;Season7&quot;" sqref="C879">
      <formula1>""</formula1>
    </dataValidation>
    <dataValidation type="list" allowBlank="1" showInputMessage="1" showErrorMessage="1" prompt="Selecione apenas cidades: mensalidade-Fixa estado Contabilidade" sqref="C271:C279 C849 C895 C923 C978 C1005">
      <formula1>""</formula1>
    </dataValidation>
    <dataValidation type="list" allowBlank="1" showInputMessage="1" showErrorMessage="1" prompt="Selecione apenas cidades: Obra-&quot;2026&quot; estado Uber/ Transporte&quot;2026&quot;" sqref="C536:C540 C542:C544 C546:C549">
      <formula1>""</formula1>
    </dataValidation>
    <dataValidation type="list" allowBlank="1" showInputMessage="1" showErrorMessage="1" prompt="Selecione apenas estados: Transporte" sqref="B599:B605">
      <formula1>"Bus,UberCopter"</formula1>
    </dataValidation>
    <dataValidation type="list" allowBlank="1" showInputMessage="1" showErrorMessage="1" prompt="Selecione apenas estados: LiquorBar" sqref="B1539:B1540">
      <formula1>"Amarguinha,Aperol,Beirao,Ginha,Maciera,Medronho,PateldeNata,Portwine"</formula1>
    </dataValidation>
    <dataValidation type="list" allowBlank="1" showInputMessage="1" showErrorMessage="1" prompt="Selecione apenas cidades: Wages estado Night shift" sqref="C610">
      <formula1>""</formula1>
    </dataValidation>
    <dataValidation type="list" allowBlank="1" showInputMessage="1" showErrorMessage="1" prompt="Selecione apenas estados: Commission" sqref="B654">
      <formula1>"Airbnb cancelation,Airbnb comission,Booking Other taxs,Booking Paymentcommision"</formula1>
    </dataValidation>
    <dataValidation type="list" allowBlank="1" showInputMessage="1" showErrorMessage="1" prompt="Selecione apenas cidades: Cafédamanhã estado oil" sqref="C541">
      <formula1>""</formula1>
    </dataValidation>
    <dataValidation type="list" allowBlank="1" showInputMessage="1" showErrorMessage="1" prompt="Selecione apenas estados: Commission" sqref="B889 B916:B917 B959:B960 B964:B965">
      <formula1>"Booking Other taxs,Booking Paymentcommision,Airbnb cancelation,Airbnb comission"</formula1>
    </dataValidation>
    <dataValidation type="list" allowBlank="1" showInputMessage="1" showErrorMessage="1" prompt="Selecione apenas cidades: Hostel furnitures estado Electromenager" sqref="C220:C221">
      <formula1>""</formula1>
    </dataValidation>
    <dataValidation type="list" allowBlank="1" showInputMessage="1" showErrorMessage="1" prompt="Selecione apenas cidades: Insurance estado CFE" sqref="C250:C251 C764 C963">
      <formula1>""</formula1>
    </dataValidation>
    <dataValidation type="list" allowBlank="1" showInputMessage="1" showErrorMessage="1" prompt="Selecione apenas estados: ChillPills" sqref="B1443 B1734">
      <formula1>"Pills"</formula1>
    </dataValidation>
    <dataValidation type="list" allowBlank="1" showInputMessage="1" showErrorMessage="1" prompt="Selecione apenas estados: Obra-Cafe" sqref="B525:B533">
      <formula1>"Furnitures-Cafe,MaodeObra-Cafe,Material/Tools-Cafe,Cafe/food-Cafe,Project/Admin-Cafe"</formula1>
    </dataValidation>
    <dataValidation type="list" allowBlank="1" showInputMessage="1" showErrorMessage="1" prompt="Selecione apenas cidades: PapelPack estado TrashbagToilet" sqref="C586">
      <formula1>""</formula1>
    </dataValidation>
    <dataValidation type="list" allowBlank="1" showInputMessage="1" showErrorMessage="1" prompt="Selecione apenas estados: Refund" sqref="B866 B913 B927">
      <formula1>"Refund,Airbnb"</formula1>
    </dataValidation>
    <dataValidation type="list" allowBlank="1" showInputMessage="1" showErrorMessage="1" prompt="Selecione apenas cidades: Impostos estado Imi" sqref="C881 C992">
      <formula1>""</formula1>
    </dataValidation>
    <dataValidation type="list" allowBlank="1" showInputMessage="1" showErrorMessage="1" prompt="Selecione apenas cidades: PapelPack estado Toalha de mao" sqref="C576 C579 C829:C830 C857 C938">
      <formula1>""</formula1>
    </dataValidation>
    <dataValidation type="list" allowBlank="1" showInputMessage="1" showErrorMessage="1" prompt="Selecione apenas cidades: Cleaning estado DishwashLiquid" sqref="C85">
      <formula1>""</formula1>
    </dataValidation>
    <dataValidation type="list" allowBlank="1" showInputMessage="1" showErrorMessage="1" prompt="Selecione apenas cidades: Insurance estado Madalena8" sqref="C851">
      <formula1>""</formula1>
    </dataValidation>
    <dataValidation type="list" allowBlank="1" showInputMessage="1" showErrorMessage="1" prompt="Selecione apenas estados: Bar" sqref="B1705 B1708 B1715">
      <formula1>"AppleCider,Beer,FruitCider,fruits-bar,Furniture,Greenwine,Icecube-Bar,liqueur,Sangria,Spirit,Coca,water,red bull,Verso3,Cachaça,Verso5"</formula1>
    </dataValidation>
    <dataValidation type="list" allowBlank="1" showInputMessage="1" showErrorMessage="1" prompt="Selecione apenas estados: Others" sqref="B550:B562 B1244 B1287 B1346 B1365 B1379 B1384:B1385 B1390 B1402 B1404 B1406 B1409 B1696 B1780 B1813 B1825 B1838">
      <formula1>"Dryer,Key,Other"</formula1>
    </dataValidation>
    <dataValidation type="list" allowBlank="1" showInputMessage="1" showErrorMessage="1" prompt="Selecione apenas estados: Impostos" sqref="B226:B237">
      <formula1>"Imi,Imi10,Imi8,INPI,IRS,IVA,Seg.Soc."</formula1>
    </dataValidation>
    <dataValidation type="list" allowBlank="1" showInputMessage="1" showErrorMessage="1" prompt="Selecione apenas cidades: PapelPack estado Gloves" sqref="C823">
      <formula1>""</formula1>
    </dataValidation>
    <dataValidation type="list" allowBlank="1" showInputMessage="1" showErrorMessage="1" prompt="Selecione apenas cidades: Drop estado FromAdrianMoneytoDrop" sqref="C188:C190">
      <formula1>""</formula1>
    </dataValidation>
    <dataValidation type="list" allowBlank="1" showInputMessage="1" showErrorMessage="1" prompt="Selecione apenas cidades: Cafédamanhã estado Vegan" sqref="C76 C78:C80">
      <formula1>""</formula1>
    </dataValidation>
    <dataValidation type="list" allowBlank="1" showInputMessage="1" showErrorMessage="1" prompt="Selecione apenas cidades: Papel Pack estado Toiletpaper" sqref="C580:C581">
      <formula1>""</formula1>
    </dataValidation>
    <dataValidation type="list" allowBlank="1" showInputMessage="1" showErrorMessage="1" prompt="Selecione apenas cidades: Wages estado 2x2x2" sqref="C765 C883 C905">
      <formula1>""</formula1>
    </dataValidation>
    <dataValidation type="list" allowBlank="1" showInputMessage="1" showErrorMessage="1" prompt="Selecione apenas estados: Cleaning" sqref="B81:B97 B109:B111">
      <formula1>"Bleach Toilet,Cifi,Dishwash Liquid,Diverso-Cleaning,Glass Cleaner,Mistolin,Mop,saco10l,Softner,Sponges,Ttrash bag 50l,Washing Powder"</formula1>
    </dataValidation>
    <dataValidation type="list" allowBlank="1" showInputMessage="1" showErrorMessage="1" prompt="Selecione apenas cidades: Wages estado Cleaning" sqref="C606:C607 C904 C907 C910">
      <formula1>""</formula1>
    </dataValidation>
    <dataValidation type="list" allowBlank="1" showInputMessage="1" showErrorMessage="1" prompt="Selecione apenas cidades: Cafédamanhã estado Sugar" sqref="C72">
      <formula1>""</formula1>
    </dataValidation>
    <dataValidation type="list" allowBlank="1" showInputMessage="1" showErrorMessage="1" prompt="Selecione apenas cidades: mensalidade-Fixa estado NOSInternet" sqref="C290:C294 C821 C898 C919 C973 C996">
      <formula1>""</formula1>
    </dataValidation>
    <dataValidation type="list" allowBlank="1" showInputMessage="1" showErrorMessage="1" prompt="Selecione apenas cidades: Impostos estado Seg.Soc." sqref="C231:C237 C896:C897 C943 C950 C987 C997 C1014 C1035">
      <formula1>""</formula1>
    </dataValidation>
    <dataValidation type="list" allowBlank="1" showInputMessage="1" showErrorMessage="1" prompt="Selecione apenas cidades: Café da manhã estado Cacao" sqref="C27">
      <formula1>""</formula1>
    </dataValidation>
    <dataValidation type="list" allowBlank="1" showInputMessage="1" showErrorMessage="1" prompt="Selecione apenas estados: Cafédamanhã" sqref="B20:B22 B51:B55 B62 B64 B72 B74:B76 B78:B80 B1314:B1317 B1320:B1321 B1325 B1335 B1345 B1362 B1408 B1435 B1438 B1440:B1442 B1447 B1449:B1450 B1452 B1457 B1537">
      <formula1>"Banana,Butter,Cacao,canela,Coffee,coffeefilter,Flakes,Flour,fruits,gas-Cafédamanhã,Jam,milk,Muesli,oil,peanutbutter,pepper,Salt,Sugar,Tea,Vegan"</formula1>
    </dataValidation>
    <dataValidation type="list" allowBlank="1" showInputMessage="1" showErrorMessage="1" prompt="Selecione apenas estados: Marketing" sqref="B1196">
      <formula1>"others - marketing"</formula1>
    </dataValidation>
    <dataValidation type="list" allowBlank="1" showInputMessage="1" showErrorMessage="1" prompt="Selecione apenas cidades: Wages estado Reception Shift" sqref="C652:C653">
      <formula1>""</formula1>
    </dataValidation>
    <dataValidation type="list" allowBlank="1" showInputMessage="1" showErrorMessage="1" prompt="Selecione apenas estados: Cafédamanhã" sqref="B1226 B1546 B1561 B1580 B1590 B1592:B1594 B1596 B1615 B1633 B1650 B1679 B1697:B1703 B1706 B1711:B1712 B1714 B1716 B1796:B1797 B1801 B1806">
      <formula1>"Lollipop,Banana,Butter,Cacao,canela,Coffee,coffeefilter,Flakes,Flour,fruits,gas-Cafédamanhã,Jam,milk,Muesli,oil,peanutbutter,pepper,Salt,Sugar,Tea,Vegan"</formula1>
    </dataValidation>
    <dataValidation type="list" allowBlank="1" showInputMessage="1" showErrorMessage="1" prompt="Selecione apenas cidades: Papel Pack estado Toalha de mao" sqref="C577:C578">
      <formula1>""</formula1>
    </dataValidation>
    <dataValidation type="list" allowBlank="1" showInputMessage="1" showErrorMessage="1" prompt="Selecione apenas estados: Wages" sqref="B606:B607">
      <formula1>"2x2x2,barShift,Clarita-wages,Cleaning,Dinner,Excel,Food Staff,Manager,Marta-wages,Nightshift,pancakes,ReceptionShift"</formula1>
    </dataValidation>
    <dataValidation type="list" allowBlank="1" showInputMessage="1" showErrorMessage="1" prompt="Selecione apenas estados: Bpi" sqref="B1289 B1386 B1506 B1560 B1611 B1758 B1824">
      <formula1>"DepositDrop,Fees,AliguerTPEREDUNICREMENSAL,Madalena8-BPI"</formula1>
    </dataValidation>
    <dataValidation type="list" allowBlank="1" showInputMessage="1" showErrorMessage="1" prompt="Selecione apenas cidades: Drop estado From Bpi to Revolut" sqref="C191">
      <formula1>""</formula1>
    </dataValidation>
    <dataValidation type="list" allowBlank="1" showInputMessage="1" showErrorMessage="1" prompt="Selecione apenas cidades: Annualidad-Fixa estado INTERPREV-Fiscalisacao" sqref="C3">
      <formula1>""</formula1>
    </dataValidation>
    <dataValidation type="list" allowBlank="1" showInputMessage="1" showErrorMessage="1" prompt="Selecione apenas cidades: Cafédamanhã estado milk" sqref="C57 C59:C61">
      <formula1>""</formula1>
    </dataValidation>
    <dataValidation type="list" allowBlank="1" showInputMessage="1" showErrorMessage="1" prompt="Selecione apenas cidades: Obra-&quot;2026&quot; estado Furnitures2026&quot;" sqref="C323 C325:C337">
      <formula1>""</formula1>
    </dataValidation>
    <dataValidation type="list" allowBlank="1" showInputMessage="1" showErrorMessage="1" prompt="Selecione apenas cidades: Obra-Cafe estado Project/Admin-Cafe" sqref="C525 C528">
      <formula1>""</formula1>
    </dataValidation>
    <dataValidation type="list" allowBlank="1" showInputMessage="1" showErrorMessage="1" prompt="Selecione apenas estados: Lillipop" sqref="B1350">
      <formula1>"Lollipop"</formula1>
    </dataValidation>
    <dataValidation type="list" allowBlank="1" showInputMessage="1" showErrorMessage="1" prompt="Selecione apenas cidades: Papel Pack estado Diversos Papel Pack" sqref="C563">
      <formula1>""</formula1>
    </dataValidation>
    <dataValidation type="list" allowBlank="1" showInputMessage="1" showErrorMessage="1" prompt="Selecione apenas estados: Cleaning" sqref="B98:B108 B1323 B1446 B1453 B1456 B1692 B1707 B1709:B1710 B1713 B1739 B1802">
      <formula1>"BleachToilet,Cifi,DishwashLiquid,Diverso-Cleaning,GlassCleaner,Mistolin,Mop,saco10l,Softner,Sponges,trashbag50l,WashingPowder"</formula1>
    </dataValidation>
    <dataValidation type="list" allowBlank="1" showInputMessage="1" showErrorMessage="1" prompt="Selecione apenas estados: Commission" sqref="B780:B783 B890:B891">
      <formula1>"Booking Other taxs,Booking Paymentcommision,Airbnb cancelation,Airbnb comission,Paylink"</formula1>
    </dataValidation>
    <dataValidation type="list" allowBlank="1" showInputMessage="1" showErrorMessage="1" prompt="Selecione apenas cidades: Impostos estado IRS" sqref="C228:C229 C676:C677 C882 C1054">
      <formula1>""</formula1>
    </dataValidation>
    <dataValidation type="list" allowBlank="1" showInputMessage="1" showErrorMessage="1" prompt="Selecione apenas cidades: Papel Pack estado Handsoap" sqref="C564">
      <formula1>""</formula1>
    </dataValidation>
    <dataValidation type="list" allowBlank="1" showInputMessage="1" showErrorMessage="1" prompt="Selecione apenas estados: Obra-&quot;2025&quot;" sqref="B657:B660 B680:B681 B698 B701:B708 B710:B712 B714:B716 B718:B734 B736 B743 B759 B767:B775 B794:B803 B822 B826 B828 B852 B858:B859 B861:B863 B867:B869 B871 B885:B887 B1056">
      <formula1>"Furnitures2025"",Material""2025"",Agua""2025"",Eletricidade""2025"",Incêncio""2025"",Mao-de-obra""2025"",Tools""2025"""</formula1>
    </dataValidation>
    <dataValidation type="list" allowBlank="1" showInputMessage="1" showErrorMessage="1" prompt="Selecione apenas cidades: Commission estado Booking Other taxs" sqref="C782 C890 C916 C964">
      <formula1>""</formula1>
    </dataValidation>
    <dataValidation type="list" allowBlank="1" showInputMessage="1" showErrorMessage="1" prompt="Selecione apenas cidades: Hostelfurnitures estado General" sqref="C223 C662 C666:C667 C674 C688 C850">
      <formula1>""</formula1>
    </dataValidation>
    <dataValidation type="list" allowBlank="1" showInputMessage="1" showErrorMessage="1" prompt="Selecione apenas cidades: Insurance estado Aggema" sqref="C238:C249 C865 C906 C908 C933 C984 C1006">
      <formula1>""</formula1>
    </dataValidation>
    <dataValidation type="list" allowBlank="1" showInputMessage="1" showErrorMessage="1" prompt="Selecione apenas estados: Annualidad-Fixa" sqref="B1243">
      <formula1>"AquaLabWaterTest,INTERPREV-Fiscalisacao,INTERPREV-Segurancaesaude,SOPFOGO-Extinctores,SOPFOGO-ManutencaoCentralIncendio,SPA"</formula1>
    </dataValidation>
    <dataValidation type="list" allowBlank="1" showInputMessage="1" showErrorMessage="1" prompt="Cliquez ici et saisissez une valeur dans la liste des éléments" sqref="B1237">
      <formula1>"2 x 2 x 2,Clarita - wages,Cleaning,Dinner,Excel,Marta - wages,Night shift,pancakes,Reception Shift,bar Shift"</formula1>
    </dataValidation>
    <dataValidation type="list" allowBlank="1" showInputMessage="1" showErrorMessage="1" prompt="Selecione apenas cidades: Wages estado pancakes" sqref="C611:C614 C616:C621 C742 C814:C816 C874 C899 C911">
      <formula1>""</formula1>
    </dataValidation>
    <dataValidation type="list" allowBlank="1" showInputMessage="1" showErrorMessage="1" prompt="Selecione apenas estados: Impostos" sqref="B1413 B1552">
      <formula1>"Imi10,Imi8,IRS,IVA,Seg.Soc."</formula1>
    </dataValidation>
    <dataValidation type="list" allowBlank="1" showInputMessage="1" showErrorMessage="1" prompt="Selecione apenas cidades: Cleaning estado Bleach Toilet" sqref="C81:C82">
      <formula1>""</formula1>
    </dataValidation>
    <dataValidation type="list" allowBlank="1" showInputMessage="1" showErrorMessage="1" prompt="Selecione apenas cidades: Others estado Key" sqref="C555:C556">
      <formula1>""</formula1>
    </dataValidation>
    <dataValidation type="list" allowBlank="1" showInputMessage="1" showErrorMessage="1" prompt="Selecione apenas cidades: Commission estado Airbnb cancelation" sqref="C780 C959">
      <formula1>""</formula1>
    </dataValidation>
    <dataValidation type="list" allowBlank="1" showInputMessage="1" showErrorMessage="1" prompt="Selecione apenas cidades: Wages estado Manager" sqref="C820">
      <formula1>""</formula1>
    </dataValidation>
    <dataValidation type="list" allowBlank="1" showInputMessage="1" showErrorMessage="1" prompt="Selecione apenas cidades: Papelaria estado design" sqref="C1541 C1558 C1647 C1672">
      <formula1>"333"</formula1>
    </dataValidation>
    <dataValidation type="list" allowBlank="1" showInputMessage="1" showErrorMessage="1" prompt="Selecione apenas cidades: Cleaning estado Softner" sqref="C103:C108">
      <formula1>""</formula1>
    </dataValidation>
    <dataValidation type="list" allowBlank="1" showInputMessage="1" showErrorMessage="1" prompt="Selecione apenas cidades: Wages estado Excel" sqref="C608:C609 C819 C909 C956">
      <formula1>""</formula1>
    </dataValidation>
    <dataValidation type="list" allowBlank="1" showInputMessage="1" showErrorMessage="1" prompt="Selecione apenas cidades: Hostelfurnitures estado Kitchen" sqref="C225 C1582 C1678">
      <formula1>"222"</formula1>
    </dataValidation>
    <dataValidation type="list" allowBlank="1" showInputMessage="1" showErrorMessage="1" prompt="Selecione apenas estados: Annualidad-Fixa" sqref="B2">
      <formula1>"Aqua Lab Water Test,Gas inspection,INTERPREV-Fiscalisacao,INTERPREV-Segurancaesaude,License,SOPFOGO-Extinctores,SOPFOGO-Manutencao Central Incendio,SPA"</formula1>
    </dataValidation>
    <dataValidation type="list" allowBlank="1" showInputMessage="1" showErrorMessage="1" prompt="Selecione apenas estados: Despesas Pessoas" sqref="B142 B160 B181">
      <formula1>"Adrien,Invest,Marketing,Rent Adri,Van"</formula1>
    </dataValidation>
    <dataValidation type="list" allowBlank="1" showInputMessage="1" showErrorMessage="1" prompt="Selecione apenas estados: Marketing" sqref="B253:B254 B684 B686 B689:B690">
      <formula1>"others-marketing"</formula1>
    </dataValidation>
    <dataValidation type="list" allowBlank="1" showInputMessage="1" showErrorMessage="1" prompt="Selecione apenas estados: Refund" sqref="B1150 B1161 B1212 B1291 B1313 B1437 B1568">
      <formula1>"Refund"</formula1>
    </dataValidation>
    <dataValidation type="list" allowBlank="1" showInputMessage="1" showErrorMessage="1" prompt="Selecione apenas cidades: DinnerNight estado food" sqref="C664:C665">
      <formula1>""</formula1>
    </dataValidation>
    <dataValidation type="list" allowBlank="1" showInputMessage="1" showErrorMessage="1" prompt="Selecione apenas estados: Liquor Bar" sqref="B252">
      <formula1>"Amarguinha,Aperol,Beirao,Ginha,Maciera,Medronho,Pastel de Nata,Port Wine"</formula1>
    </dataValidation>
    <dataValidation type="list" allowBlank="1" showInputMessage="1" showErrorMessage="1" prompt="Selecione apenas cidades: Cafédamanhã estado Jam" sqref="C51:C55">
      <formula1>""</formula1>
    </dataValidation>
    <dataValidation type="list" allowBlank="1" showInputMessage="1" showErrorMessage="1" prompt="Selecione apenas estados: bed bugs protocol" sqref="B1163 B1176 B1184 B1193 B1285">
      <formula1>"Desinfection,Diverso - bed bugs protocol,laundry,Weapons"</formula1>
    </dataValidation>
    <dataValidation type="list" allowBlank="1" showInputMessage="1" showErrorMessage="1" prompt="Selecione apenas cidades: Mensalidade-Fixa estado ÁguaFAGAR" sqref="C255:C256">
      <formula1>""</formula1>
    </dataValidation>
    <dataValidation type="list" allowBlank="1" showInputMessage="1" showErrorMessage="1" prompt="Selecione apenas estados: Papelaria" sqref="B1171 B1223">
      <formula1>"Caneta,design,Diversos - Papelaria,Ink,lápis,Multicopias,Plastificaçao"</formula1>
    </dataValidation>
    <dataValidation type="list" allowBlank="1" showInputMessage="1" showErrorMessage="1" prompt="Selecione apenas cidades: Wages estado ReceptionShift" sqref="C624:C651 C834:C843 C845:C847 C957">
      <formula1>""</formula1>
    </dataValidation>
    <dataValidation type="list" allowBlank="1" showInputMessage="1" showErrorMessage="1" prompt="Selecione apenas cidades: Annualidad-Fixa estado AquaLabWaterTest" sqref="C766 C914">
      <formula1>""</formula1>
    </dataValidation>
    <dataValidation type="list" allowBlank="1" showInputMessage="1" showErrorMessage="1" prompt="Selecione apenas cidades: Café da manhã estado Jam" sqref="C50">
      <formula1>""</formula1>
    </dataValidation>
    <dataValidation type="list" allowBlank="1" showInputMessage="1" showErrorMessage="1" prompt="Selecione apenas cidades: Café da manhã estado Vegan" sqref="C77">
      <formula1>""</formula1>
    </dataValidation>
    <dataValidation type="list" allowBlank="1" showInputMessage="1" showErrorMessage="1" prompt="Selecione apenas estados: Transporte" sqref="B977 B1022 B1036 B1039 B1048 B1050 B1052:B1053">
      <formula1>"UberCopter,Bus"</formula1>
    </dataValidation>
    <dataValidation type="list" allowBlank="1" showInputMessage="1" showErrorMessage="1" prompt="Selecione apenas cidades: Hostel furnitures estado Bathroom" sqref="C1275">
      <formula1>"11"</formula1>
    </dataValidation>
    <dataValidation type="list" allowBlank="1" showInputMessage="1" showErrorMessage="1" prompt="Selecione apenas cidades: Drop estado FromMBtoDrop" sqref="C198:C215">
      <formula1>""</formula1>
    </dataValidation>
    <dataValidation type="list" allowBlank="1" showInputMessage="1" showErrorMessage="1" prompt="Selecione apenas cidades: Obra-&quot;2025&quot; estado Material&quot;2025&quot;" sqref="C660 C680 C869 C887">
      <formula1>""</formula1>
    </dataValidation>
    <dataValidation type="list" allowBlank="1" showInputMessage="1" showErrorMessage="1" prompt="Selecione apenas estados: Obra" sqref="B1089 B1372 B1374 B1387 B1397:B1398 B1400 B1411 B1414 B1475 B1477 B1507 B1517:B1518 B1520 B1567 B1570:B1571 B1573 B1577 B1605:B1607 B1612 B1617 B1621:B1622 B1628:B1629 B1631:B1632 B1638 B1746 B1748 B1759:B1761 B1763 B1769:B1770 B1772:B1773 B1793 B1803 B1818 B1834 B1839 B1844">
      <formula1>"""NomeoftheProject"",MaodeObra""NomeoftheProject"",Materiel""NomeoftheProject"",Tools""NomeoftheProject"""</formula1>
    </dataValidation>
    <dataValidation type="list" allowBlank="1" showInputMessage="1" showErrorMessage="1" prompt="Selecione apenas estados: PapelPack" sqref="B823:B824 B829:B832 B853:B857 B860 B937:B940 B945:B949">
      <formula1>"DiversosPapelpack,Toalha de mao,Gloves,Handsoap,Iva-PapelPack,KitchenRoll,SunsetFloorCleaner,Toiletpaper,TrashbagToilet,Trashbag120l"</formula1>
    </dataValidation>
    <dataValidation type="list" allowBlank="1" showInputMessage="1" showErrorMessage="1" prompt="Selecione apenas estados: Café da manhã" sqref="B1123 B1135:B1139 B1141 B1143 B1145 B1147 B1151 B1155:B1157 B1159 B1169:B1170 B1175 B1200:B1201 B1206:B1207 B1211 B1217 B1220 B1232">
      <formula1>"Banana,Butter,Cacao,canela,Coffee,Flakes,Flour,fruits,gas - Café da manhã,Jam,milk,Muesli,oil,peanut butter,pepper,Salt,Sugar,Tea,Vegan"</formula1>
    </dataValidation>
    <dataValidation type="list" allowBlank="1" showInputMessage="1" showErrorMessage="1" prompt="Selecione apenas estados: Obra-&quot;2026&quot;" sqref="B918 B936 B944 B988 B1051">
      <formula1>"Furnitures2026"",Material""2026"",Agua""2026"",Eletricidade""2026"",Incêncio""2026"",Mao-de-obra""2026"",Tools""2026"""</formula1>
    </dataValidation>
    <dataValidation type="list" allowBlank="1" showInputMessage="1" showErrorMessage="1" prompt="Selecione apenas cidades: Papel Pack estado KitchenRoll" sqref="C571">
      <formula1>""</formula1>
    </dataValidation>
    <dataValidation type="list" allowBlank="1" showInputMessage="1" showErrorMessage="1" prompt="Selecione apenas cidades: Hostel furnitures estado Kitchen" sqref="C1121 C1146 C1172">
      <formula1>"222"</formula1>
    </dataValidation>
    <dataValidation type="list" allowBlank="1" showInputMessage="1" showErrorMessage="1" prompt="Selecione apenas cidades: PapelPack estado DiversosPapelpack" sqref="C853:C854 C945">
      <formula1>""</formula1>
    </dataValidation>
    <dataValidation type="list" allowBlank="1" showErrorMessage="1" sqref="A10 A12 A230:A231 A241 A251 A660 A680 A1197 A1200:A1201 A1206:A1207 A1211 A1214 A1217 A1220:A1221 A1239:A1245 A1247:A1248 A1251:A1287 A1290:A1296 A1298:A1300 A1303 A1324 A1326 A1497 A1500 A1780">
      <formula1>Lista!$A$1:$A$203</formula1>
    </dataValidation>
    <dataValidation type="list" allowBlank="1" showInputMessage="1" showErrorMessage="1" prompt="Selecione apenas cidades: Papel Pack estado Trashbag Toilet" sqref="C585 C587">
      <formula1>""</formula1>
    </dataValidation>
    <dataValidation type="list" allowBlank="1" showErrorMessage="1" sqref="A2:A9 A11 A13:A229 A232:A239 A242:A250 A252:A268 A280:A659 A661:A679 A681:A903 A905:A906 A908:A909 A911:A949 A951 A956 A958:A1196 A1198:A1199 A1202:A1205 A1208:A1210 A1212:A1213 A1215:A1216 A1218:A1219 A1222:A1238 A1246 A1249:A1250 A1288:A1289 A1297 A1301:A1302 A1304:A1323 A1325 A1327:A1496 A1498:A1499 A1501:A1779 A1781:A1853">
      <formula1>Lista!$A$3:$A$1041</formula1>
    </dataValidation>
    <dataValidation type="list" allowBlank="1" showInputMessage="1" showErrorMessage="1" prompt="Selecione apenas estados: Insurance" sqref="B238:B251 B764 B851 B865 B906 B908 B933 B963 B984 B1006 B1334 B1492 B1597 B1775">
      <formula1>"Aggema,Auto,CFE,Madalena10,Madalena8,Res.Civ.Hostel"</formula1>
    </dataValidation>
    <dataValidation type="list" allowBlank="1" showInputMessage="1" showErrorMessage="1" prompt="Selecione apenas estados: Obra-Cafe" sqref="B295:B323 B325:B347 B349:B364 B366:B375 B377:B382 B384:B389 B391:B403 B415:B419 B421:B431 B433 B435:B441 B444:B455 B457:B458 B460:B461 B463:B470 B472:B473 B475:B477 B479:B484 B486 B488:B490 B492:B497 B499:B507 B509:B510 B512:B513 B515:B519">
      <formula1>"Furnitures-Cafe,MaodeObra-Cafe,Material/Tools-Cafe,Cafe/food-Cafe"</formula1>
    </dataValidation>
    <dataValidation type="list" allowBlank="1" showInputMessage="1" showErrorMessage="1" prompt="Selecione apenas cidades: Transporte estado UberCopter" sqref="C599:C605 C1022 C1036 C1039 C1048 C1050 C1052:C1053">
      <formula1>""</formula1>
    </dataValidation>
    <dataValidation type="list" allowBlank="1" showInputMessage="1" showErrorMessage="1" prompt="Selecione apenas estados: Obra-&quot;2025&quot;" sqref="B699:B700 B709 B713 B717">
      <formula1>"Furnitures2025"",Material""2025"",Agua""2025"",Eletricidade""2025"",Incêncio""2025"",Mao-de-obra""2025"""</formula1>
    </dataValidation>
    <dataValidation type="list" allowBlank="1" showInputMessage="1" showErrorMessage="1" prompt="Selecione apenas cidades: Café da manhã estado Gas-Café da manhã" sqref="C46:C49">
      <formula1>""</formula1>
    </dataValidation>
    <dataValidation type="list" allowBlank="1" showInputMessage="1" showErrorMessage="1" prompt="Selecione apenas cidades: Cafédamanhã estado Muesli" sqref="C62 C64">
      <formula1>""</formula1>
    </dataValidation>
    <dataValidation type="list" allowBlank="1" showInputMessage="1" showErrorMessage="1" prompt="Kliknij i wpisz wartość z listy elementów" sqref="B1114">
      <formula1>"Amarguinha,Beirao,Ginha,Maciera,Medronho,Patel de Nata,Port wine,Aperol"</formula1>
    </dataValidation>
    <dataValidation type="list" allowBlank="1" showErrorMessage="1" sqref="A950 A952:A955 A957">
      <formula1>Lista!$A$3:$A$1032</formula1>
    </dataValidation>
    <dataValidation type="list" allowBlank="1" showInputMessage="1" showErrorMessage="1" prompt="Selecione apenas cidades: Obra-&quot;Season8&quot; estado furniture&quot;Season8&quot;" sqref="C319:C320">
      <formula1>""</formula1>
    </dataValidation>
    <dataValidation type="list" allowBlank="1" showInputMessage="1" showErrorMessage="1" prompt="Selecione apenas cidades: Despesas Pessoas estado Invest" sqref="C181">
      <formula1>""</formula1>
    </dataValidation>
    <dataValidation type="list" allowBlank="1" showInputMessage="1" showErrorMessage="1" prompt="Selecione apenas cidades: PapelPack estado KitchenRoll" sqref="C572 C827">
      <formula1>""</formula1>
    </dataValidation>
    <dataValidation type="list" allowBlank="1" showInputMessage="1" showErrorMessage="1" prompt="Selecione apenas cidades: Commission estado Booking Paymentcommision" sqref="C783 C917 C965">
      <formula1>""</formula1>
    </dataValidation>
    <dataValidation type="list" allowBlank="1" showInputMessage="1" showErrorMessage="1" prompt="Selecione apenas cidades: Mensalidade-Fixa estado Cloudbeds" sqref="C264:C265">
      <formula1>""</formula1>
    </dataValidation>
    <dataValidation type="list" allowBlank="1" showInputMessage="1" showErrorMessage="1" prompt="Selecione apenas cidades: Papel Pack estado Sunset Floor Cleaner" sqref="C573 C575">
      <formula1>""</formula1>
    </dataValidation>
    <dataValidation type="list" allowBlank="1" showInputMessage="1" showErrorMessage="1" prompt="Selecione apenas estados: Hostel furnitures" sqref="B1108 B1121 B1144 B1146 B1172 B1185 B1202 B1219 B1275">
      <formula1>"Bathroom,Bedroom,Bedroom ""Blankets"",Bedroom ""Sheets"",electromenager,General,Kitchen,Plants,Roof top,Staff"</formula1>
    </dataValidation>
    <dataValidation type="list" allowBlank="1" showInputMessage="1" showErrorMessage="1" prompt="Selecione apenas estados: Refund" sqref="B112:B113 B598">
      <formula1>"Airbnb,Refund"</formula1>
    </dataValidation>
    <dataValidation type="list" allowBlank="1" showInputMessage="1" showErrorMessage="1" prompt="Selecione apenas cidades: Obra-Cafe estado Uber/ Transporte-Cafe" sqref="C534:C535">
      <formula1>""</formula1>
    </dataValidation>
    <dataValidation type="list" allowBlank="1" showInputMessage="1" showErrorMessage="1" prompt="Selecione apenas estados: Impostos" sqref="B683 B881:B882 B896:B897 B943 B950 B987 B992:B993 B997 B1014 B1035 B1049 B1054">
      <formula1>"Imi10,Imi8,Imi,IRS,IVA,INPI,Seg.Soc."</formula1>
    </dataValidation>
    <dataValidation type="list" allowBlank="1" showInputMessage="1" showErrorMessage="1" prompt="Selecione apenas cidades: Bpi estado Paylink" sqref="C17 C779 C884 C951">
      <formula1>","</formula1>
    </dataValidation>
    <dataValidation type="list" allowBlank="1" showInputMessage="1" showErrorMessage="1" prompt="Selecione apenas cidades: PapelPack estado Trashbag120l" sqref="C940">
      <formula1>""</formula1>
    </dataValidation>
    <dataValidation type="list" allowBlank="1" showInputMessage="1" showErrorMessage="1" prompt="Selecione apenas cidades: Obra-Cafe estado Furnitures-Cafe" sqref="C318 C321:C322 C324">
      <formula1>""</formula1>
    </dataValidation>
    <dataValidation type="list" allowBlank="1" showInputMessage="1" showErrorMessage="1" prompt="Selecione apenas cidades: Commission estado Airbnb comission" sqref="C654 C781 C889 C960">
      <formula1>""</formula1>
    </dataValidation>
    <dataValidation type="list" allowBlank="1" showInputMessage="1" showErrorMessage="1" prompt="Selecione apenas cidades: Cleaning estado Mistolin" sqref="C98">
      <formula1>""</formula1>
    </dataValidation>
    <dataValidation type="list" allowBlank="1" showInputMessage="1" showErrorMessage="1" prompt="Selecione apenas cidades: Impostos estado IVA" sqref="C230 C993 C1049">
      <formula1>""</formula1>
    </dataValidation>
    <dataValidation type="list" allowBlank="1" showInputMessage="1" showErrorMessage="1" prompt="Selecione apenas cidades: Mensalidade-Fixa estado EnergiaEDP" sqref="C280:C281">
      <formula1>""</formula1>
    </dataValidation>
    <dataValidation type="list" allowBlank="1" showInputMessage="1" showErrorMessage="1" prompt="Selecione apenas cidades: mensalidade-Fixa estado CityTax" sqref="C1004">
      <formula1>""</formula1>
    </dataValidation>
    <dataValidation type="list" allowBlank="1" showInputMessage="1" showErrorMessage="1" prompt="Selecione apenas estados: Bpi" sqref="B1259">
      <formula1>"Deposit Drop,Fees,Madalena 8 - BPI"</formula1>
    </dataValidation>
    <dataValidation type="list" allowBlank="1" showInputMessage="1" showErrorMessage="1" prompt="Selecione apenas cidades: Obra-&quot;2026&quot; estado Material/Tools&quot;2026&quot;" sqref="C362 C415:C418 C422:C431 C433 C435:C442 C444:C455 C457:C458 C460:C461 C463:C470 C472:C473 C475:C477 C479:C484 C486 C488:C490 C492:C497 C499:C507 C509:C510 C512:C513 C515:C519">
      <formula1>""</formula1>
    </dataValidation>
    <dataValidation type="list" allowBlank="1" showInputMessage="1" showErrorMessage="1" prompt="Selecione apenas estados: Obra-&quot;Season7&quot;" sqref="B879">
      <formula1>"Furnitures""Season7"",MaodeObra""Season7"",material""Season7"""</formula1>
    </dataValidation>
    <dataValidation type="list" allowBlank="1" showInputMessage="1" showErrorMessage="1" prompt="Selecione apenas cidades: Cafédamanhã estado peanutbutter" sqref="C67:C68 C71">
      <formula1>""</formula1>
    </dataValidation>
    <dataValidation type="list" allowBlank="1" showInputMessage="1" showErrorMessage="1" prompt="Selecione apenas cidades: Obra-Cafe estado Cafe/food-Cafe" sqref="C295:C296">
      <formula1>""</formula1>
    </dataValidation>
    <dataValidation type="list" allowBlank="1" showInputMessage="1" showErrorMessage="1" prompt="Selecione apenas estados: Transporte" sqref="B1061 B1105 B1128 B1173 B1284 B1288 B1297 B1302 B1304:B1308 B1338 B1341 B1343:B1344 B1354 B1419 B1423:B1425 B1432:B1433 B1445 B1448 B1451 B1454:B1455 B1465:B1468 B1482:B1484 B1768 B1805 B1809:B1810">
      <formula1>"UberCopter"</formula1>
    </dataValidation>
    <dataValidation type="list" allowBlank="1" showInputMessage="1" showErrorMessage="1" prompt="Selecione apenas cidades: Impostos estado Imi10" sqref="C226">
      <formula1>""</formula1>
    </dataValidation>
    <dataValidation type="list" allowBlank="1" showInputMessage="1" showErrorMessage="1" prompt="Selecione apenas cidades: PapelPack estado SunsetFloorCleaner" sqref="C574 C947">
      <formula1>""</formula1>
    </dataValidation>
    <dataValidation type="list" allowBlank="1" showInputMessage="1" showErrorMessage="1" prompt="Selecione apenas cidades: Cleaning estado trashbag50l" sqref="C111">
      <formula1>""</formula1>
    </dataValidation>
    <dataValidation type="list" allowBlank="1" showInputMessage="1" showErrorMessage="1" prompt="Selecione apenas estados: mensalidade - Fixa" sqref="B1068 B1084 B1127 B1182 B1195 B1242 B1245 B1267 B1294 B1326:B1327 B1471">
      <formula1>"Água FAGAR,City Tax,Cloudbeds,Contabilidade,Energia EDP,Gaz,NOS Internet,Spotify"</formula1>
    </dataValidation>
    <dataValidation type="list" allowBlank="1" showInputMessage="1" showErrorMessage="1" prompt="Selecione apenas cidades: Cleaning estado Glass Cleaner" sqref="C96:C97">
      <formula1>""</formula1>
    </dataValidation>
    <dataValidation type="list" allowBlank="1" showInputMessage="1" showErrorMessage="1" prompt="Selecione apenas estados: Insurance" sqref="B1063 B1332">
      <formula1>"Aggema,Auto,CFE,Madalena 10,Madalena 8,Res. Civ. Hostel"</formula1>
    </dataValidation>
    <dataValidation type="list" allowBlank="1" showInputMessage="1" showErrorMessage="1" prompt="Selecione apenas cidades: Obra-Cafe estado Material/Tools-Cafe" sqref="C419:C421 C432 C524">
      <formula1>""</formula1>
    </dataValidation>
    <dataValidation type="custom" allowBlank="1" showDropDown="1" showErrorMessage="1" sqref="C1 E1:E421 E423:E467 E469:E482 E484:E489 E491:E873 C1096 C1110 C1117 C1199 C1224 C1228 C1230 C1248 C1266 C1268:C1269 C1273:C1274 C1277 C1280 C1297 C1300 C1302 C1304:C1306 C1308 C1341 C1344 C1353 C1355 C1357 C1364 C1366:C1369 C1375 C1380:C1383 C1391 C1405 C1407 C1417 C1445 C1448 C1451 C1454 C1463 C1466 C1480 C1511 C1514:C1515 C1545 C1548 C1617 C1626 C1640 C1642:C1643 C1645:C1646 C1648:C1649 C1666:C1667 C1670 C1673 C1684 C1714 C1733 C1738 C1840 C1842:C1843 C1845:C1846 C1849:C1850 E875:E1853">
      <formula1>OR(NOT(ISERROR(DATEVALUE(C1))), AND(ISNUMBER(C1), LEFT(CELL("format", C1))="D"))</formula1>
    </dataValidation>
    <dataValidation type="list" allowBlank="1" showInputMessage="1" showErrorMessage="1" prompt="Selecione apenas cidades: Obra-&quot;2026&quot; estado Mao-de-obra&quot;2026&quot;" sqref="C386 C394 C400">
      <formula1>","</formula1>
    </dataValidation>
    <dataValidation type="list" allowBlank="1" showInputMessage="1" showErrorMessage="1" prompt="Selecione apenas estados: Wages" sqref="B1070:B1071 B1073:B1074 B1124:B1125 B1129:B1131 B1133:B1134 B1180 B1183 B1186:B1189 B1197 B1260:B1264">
      <formula1>"2 x 2 x 2,Clarita - wages,Cleaning,Dinner,Excel,Marta - wages,Night shift,pancakes,Reception Shift"</formula1>
    </dataValidation>
    <dataValidation type="list" allowBlank="1" showInputMessage="1" showErrorMessage="1" prompt="Selecione apenas estados: Annualidad-Fixa" sqref="B766 B914">
      <formula1>"AquaLabWaterTest,INTERPREV-Fiscalisacao,INTERPREV-Segurancaesaude,SOPFOGO-Extinctores,SOPFOGO-ManutencaoCentralIncendio,SPA,License,Gas inspection"</formula1>
    </dataValidation>
    <dataValidation type="list" allowBlank="1" showInputMessage="1" showErrorMessage="1" prompt="Selecione apenas cidades: Café da manhã estado Milk" sqref="C56 C58">
      <formula1>""</formula1>
    </dataValidation>
    <dataValidation type="list" allowBlank="1" showInputMessage="1" showErrorMessage="1" prompt="Selecione apenas cidades: Papelaria estado Diversos-Papelaria" sqref="C588:C589 C591:C597 C902:C903 C935">
      <formula1>""</formula1>
    </dataValidation>
    <dataValidation type="list" allowBlank="1" showInputMessage="1" showErrorMessage="1" prompt="Selecione apenas cidades: Café da manhã estado Oil" sqref="C65:C66">
      <formula1>""</formula1>
    </dataValidation>
    <dataValidation type="list" allowBlank="1" showInputMessage="1" showErrorMessage="1" prompt="Selecione apenas cidades: Obra-&quot;2025&quot; estado Furnitures2025&quot;" sqref="C769 C859 C871">
      <formula1>""</formula1>
    </dataValidation>
    <dataValidation type="list" allowBlank="1" showInputMessage="1" showErrorMessage="1" prompt="Cliquez ici et saisissez une valeur dans la liste des éléments" sqref="B1057 B1109 B1115 B1122 B1164:B1165">
      <formula1>"Apple Cider,Beer,Fruit Cider,Furniture,Green wine,Ice cube - Bar,Sangria,Verso3,Verso5,liqueur"</formula1>
    </dataValidation>
    <dataValidation type="list" allowBlank="1" showInputMessage="1" showErrorMessage="1" prompt="Selecione apenas estados: Bpi" sqref="B779">
      <formula1>"Paylink,DepositDrop,Fees,AliguerTPEREDUNICREMENSAL,Madalena8-BPI"</formula1>
    </dataValidation>
    <dataValidation type="list" allowBlank="1" showInputMessage="1" showErrorMessage="1" prompt="Selecione apenas estados: Impostos" sqref="B676:B677 B1634:B1635 B1639 B1693 B1827">
      <formula1>"Imi10,Imi8,Imi,IRS,IVA,Seg.Soc."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0"/>
  <sheetData>
    <row r="1">
      <c r="A1" s="241" t="s">
        <v>378</v>
      </c>
      <c r="B1" s="242" t="s">
        <v>353</v>
      </c>
      <c r="C1" s="242" t="s">
        <v>304</v>
      </c>
      <c r="D1" s="242" t="s">
        <v>379</v>
      </c>
      <c r="E1" s="241" t="s">
        <v>380</v>
      </c>
      <c r="F1" s="241" t="s">
        <v>381</v>
      </c>
      <c r="G1" s="241" t="s">
        <v>382</v>
      </c>
      <c r="H1" s="241" t="s">
        <v>383</v>
      </c>
      <c r="I1" s="241" t="s">
        <v>384</v>
      </c>
      <c r="J1" s="241" t="s">
        <v>385</v>
      </c>
      <c r="K1" s="241" t="s">
        <v>386</v>
      </c>
    </row>
    <row r="2" hidden="1">
      <c r="A2" s="243">
        <v>46143.0</v>
      </c>
      <c r="B2" s="244">
        <f t="shared" ref="B2:B108" si="1">day(A2)</f>
        <v>1</v>
      </c>
      <c r="C2" s="244">
        <f t="shared" ref="C2:C108" si="2">MONTH(A2)</f>
        <v>5</v>
      </c>
      <c r="D2" s="244"/>
      <c r="E2" s="245">
        <v>40.0</v>
      </c>
      <c r="F2" s="82" t="s">
        <v>327</v>
      </c>
      <c r="G2" s="235"/>
      <c r="H2" s="235"/>
      <c r="I2" s="246" t="s">
        <v>387</v>
      </c>
      <c r="J2" s="243">
        <v>46143.0</v>
      </c>
      <c r="K2" s="243">
        <v>46144.0</v>
      </c>
    </row>
    <row r="3" hidden="1">
      <c r="A3" s="243">
        <v>46143.0</v>
      </c>
      <c r="B3" s="244">
        <f t="shared" si="1"/>
        <v>1</v>
      </c>
      <c r="C3" s="244">
        <f t="shared" si="2"/>
        <v>5</v>
      </c>
      <c r="D3" s="244"/>
      <c r="E3" s="247">
        <v>135.0</v>
      </c>
      <c r="F3" s="82" t="s">
        <v>352</v>
      </c>
      <c r="G3" s="235"/>
      <c r="H3" s="235"/>
      <c r="I3" s="246" t="s">
        <v>388</v>
      </c>
      <c r="J3" s="243">
        <v>46143.0</v>
      </c>
      <c r="K3" s="243">
        <v>46146.0</v>
      </c>
    </row>
    <row r="4" hidden="1">
      <c r="A4" s="243">
        <v>46144.0</v>
      </c>
      <c r="B4" s="244">
        <f t="shared" si="1"/>
        <v>2</v>
      </c>
      <c r="C4" s="244">
        <f t="shared" si="2"/>
        <v>5</v>
      </c>
      <c r="D4" s="244"/>
      <c r="E4" s="245">
        <v>45.0</v>
      </c>
      <c r="F4" s="82" t="s">
        <v>327</v>
      </c>
      <c r="G4" s="235"/>
      <c r="H4" s="235"/>
      <c r="I4" s="246" t="s">
        <v>389</v>
      </c>
      <c r="J4" s="243">
        <v>46144.0</v>
      </c>
      <c r="K4" s="243">
        <v>46145.0</v>
      </c>
    </row>
    <row r="5" hidden="1">
      <c r="A5" s="243">
        <v>46145.0</v>
      </c>
      <c r="B5" s="244">
        <f t="shared" si="1"/>
        <v>3</v>
      </c>
      <c r="C5" s="244">
        <f t="shared" si="2"/>
        <v>5</v>
      </c>
      <c r="D5" s="244"/>
      <c r="E5" s="245">
        <v>160.0</v>
      </c>
      <c r="F5" s="82" t="s">
        <v>10</v>
      </c>
      <c r="G5" s="235"/>
      <c r="H5" s="235"/>
      <c r="I5" s="246" t="s">
        <v>390</v>
      </c>
      <c r="J5" s="243">
        <v>46144.0</v>
      </c>
      <c r="K5" s="243">
        <f>J5+7</f>
        <v>46151</v>
      </c>
    </row>
    <row r="6" hidden="1">
      <c r="A6" s="243">
        <v>46147.0</v>
      </c>
      <c r="B6" s="244">
        <f t="shared" si="1"/>
        <v>5</v>
      </c>
      <c r="C6" s="244">
        <f t="shared" si="2"/>
        <v>5</v>
      </c>
      <c r="D6" s="244"/>
      <c r="E6" s="245">
        <v>90.0</v>
      </c>
      <c r="F6" s="82" t="s">
        <v>10</v>
      </c>
      <c r="G6" s="235"/>
      <c r="H6" s="235"/>
      <c r="I6" s="246" t="s">
        <v>391</v>
      </c>
      <c r="J6" s="243">
        <v>46147.0</v>
      </c>
      <c r="K6" s="243">
        <v>46148.0</v>
      </c>
    </row>
    <row r="7" hidden="1">
      <c r="A7" s="243">
        <v>46148.0</v>
      </c>
      <c r="B7" s="244">
        <f t="shared" si="1"/>
        <v>6</v>
      </c>
      <c r="C7" s="244">
        <f t="shared" si="2"/>
        <v>5</v>
      </c>
      <c r="D7" s="244"/>
      <c r="E7" s="245">
        <v>45.0</v>
      </c>
      <c r="F7" s="82" t="s">
        <v>327</v>
      </c>
      <c r="G7" s="235"/>
      <c r="H7" s="235"/>
      <c r="I7" s="246" t="s">
        <v>392</v>
      </c>
      <c r="J7" s="243">
        <v>46148.0</v>
      </c>
      <c r="K7" s="243">
        <v>46149.0</v>
      </c>
    </row>
    <row r="8" hidden="1">
      <c r="A8" s="243">
        <v>46153.0</v>
      </c>
      <c r="B8" s="244">
        <f t="shared" si="1"/>
        <v>11</v>
      </c>
      <c r="C8" s="244">
        <f t="shared" si="2"/>
        <v>5</v>
      </c>
      <c r="D8" s="244"/>
      <c r="E8" s="245">
        <v>45.0</v>
      </c>
      <c r="F8" s="82" t="s">
        <v>10</v>
      </c>
      <c r="G8" s="235"/>
      <c r="H8" s="235"/>
      <c r="I8" s="246" t="s">
        <v>393</v>
      </c>
      <c r="J8" s="243">
        <v>46153.0</v>
      </c>
      <c r="K8" s="243">
        <v>46154.0</v>
      </c>
    </row>
    <row r="9" hidden="1">
      <c r="A9" s="243">
        <v>46154.0</v>
      </c>
      <c r="B9" s="244">
        <f t="shared" si="1"/>
        <v>12</v>
      </c>
      <c r="C9" s="244">
        <f t="shared" si="2"/>
        <v>5</v>
      </c>
      <c r="D9" s="244"/>
      <c r="E9" s="245">
        <v>45.0</v>
      </c>
      <c r="F9" s="82" t="s">
        <v>10</v>
      </c>
      <c r="G9" s="235"/>
      <c r="H9" s="235"/>
      <c r="I9" s="246" t="s">
        <v>394</v>
      </c>
      <c r="J9" s="243">
        <v>46154.0</v>
      </c>
      <c r="K9" s="243">
        <v>46155.0</v>
      </c>
    </row>
    <row r="10" hidden="1">
      <c r="A10" s="243">
        <v>46157.0</v>
      </c>
      <c r="B10" s="244">
        <f t="shared" si="1"/>
        <v>15</v>
      </c>
      <c r="C10" s="244">
        <f t="shared" si="2"/>
        <v>5</v>
      </c>
      <c r="D10" s="244"/>
      <c r="E10" s="245">
        <v>40.0</v>
      </c>
      <c r="F10" s="32" t="s">
        <v>327</v>
      </c>
      <c r="G10" s="235"/>
      <c r="H10" s="235"/>
      <c r="I10" s="82" t="s">
        <v>395</v>
      </c>
      <c r="J10" s="243">
        <v>46157.0</v>
      </c>
      <c r="K10" s="243">
        <v>46158.0</v>
      </c>
    </row>
    <row r="11" hidden="1">
      <c r="A11" s="243">
        <v>46158.0</v>
      </c>
      <c r="B11" s="244">
        <f t="shared" si="1"/>
        <v>16</v>
      </c>
      <c r="C11" s="244">
        <f t="shared" si="2"/>
        <v>5</v>
      </c>
      <c r="D11" s="244"/>
      <c r="E11" s="245">
        <v>35.0</v>
      </c>
      <c r="F11" s="32" t="s">
        <v>327</v>
      </c>
      <c r="G11" s="235"/>
      <c r="H11" s="235"/>
      <c r="I11" s="82" t="s">
        <v>396</v>
      </c>
      <c r="J11" s="243">
        <v>46158.0</v>
      </c>
      <c r="K11" s="243">
        <v>46159.0</v>
      </c>
    </row>
    <row r="12" hidden="1">
      <c r="A12" s="243">
        <v>46159.0</v>
      </c>
      <c r="B12" s="244">
        <f t="shared" si="1"/>
        <v>17</v>
      </c>
      <c r="C12" s="244">
        <f t="shared" si="2"/>
        <v>5</v>
      </c>
      <c r="D12" s="244"/>
      <c r="E12" s="245">
        <v>35.0</v>
      </c>
      <c r="F12" s="82" t="s">
        <v>327</v>
      </c>
      <c r="G12" s="235"/>
      <c r="H12" s="235"/>
      <c r="I12" s="246" t="s">
        <v>397</v>
      </c>
      <c r="J12" s="243">
        <v>46158.0</v>
      </c>
      <c r="K12" s="243">
        <v>46159.0</v>
      </c>
    </row>
    <row r="13" hidden="1">
      <c r="A13" s="243">
        <v>46160.0</v>
      </c>
      <c r="B13" s="244">
        <f t="shared" si="1"/>
        <v>18</v>
      </c>
      <c r="C13" s="244">
        <f t="shared" si="2"/>
        <v>5</v>
      </c>
      <c r="D13" s="244"/>
      <c r="E13" s="245">
        <v>35.0</v>
      </c>
      <c r="F13" s="82" t="s">
        <v>352</v>
      </c>
      <c r="G13" s="235"/>
      <c r="H13" s="235"/>
      <c r="I13" s="246" t="s">
        <v>398</v>
      </c>
      <c r="J13" s="243">
        <v>46160.0</v>
      </c>
      <c r="K13" s="243">
        <v>46161.0</v>
      </c>
    </row>
    <row r="14" hidden="1">
      <c r="A14" s="243">
        <v>46160.0</v>
      </c>
      <c r="B14" s="244">
        <f t="shared" si="1"/>
        <v>18</v>
      </c>
      <c r="C14" s="244">
        <f t="shared" si="2"/>
        <v>5</v>
      </c>
      <c r="D14" s="244"/>
      <c r="E14" s="245">
        <v>35.0</v>
      </c>
      <c r="F14" s="82" t="s">
        <v>327</v>
      </c>
      <c r="G14" s="235"/>
      <c r="H14" s="235"/>
      <c r="I14" s="246" t="s">
        <v>397</v>
      </c>
      <c r="J14" s="243">
        <v>46160.0</v>
      </c>
      <c r="K14" s="243">
        <v>46161.0</v>
      </c>
    </row>
    <row r="15" hidden="1">
      <c r="A15" s="243">
        <v>46161.0</v>
      </c>
      <c r="B15" s="244">
        <f t="shared" si="1"/>
        <v>19</v>
      </c>
      <c r="C15" s="244">
        <f t="shared" si="2"/>
        <v>5</v>
      </c>
      <c r="D15" s="244"/>
      <c r="E15" s="245">
        <v>70.0</v>
      </c>
      <c r="F15" s="82" t="s">
        <v>327</v>
      </c>
      <c r="G15" s="235"/>
      <c r="H15" s="235"/>
      <c r="I15" s="246" t="s">
        <v>397</v>
      </c>
      <c r="J15" s="243">
        <v>46161.0</v>
      </c>
      <c r="K15" s="243">
        <v>46163.0</v>
      </c>
    </row>
    <row r="16" hidden="1">
      <c r="A16" s="243">
        <v>46161.0</v>
      </c>
      <c r="B16" s="244">
        <f t="shared" si="1"/>
        <v>19</v>
      </c>
      <c r="C16" s="244">
        <f t="shared" si="2"/>
        <v>5</v>
      </c>
      <c r="D16" s="244"/>
      <c r="E16" s="245">
        <v>35.0</v>
      </c>
      <c r="F16" s="82" t="s">
        <v>352</v>
      </c>
      <c r="G16" s="235"/>
      <c r="H16" s="235"/>
      <c r="I16" s="246" t="s">
        <v>398</v>
      </c>
      <c r="J16" s="243">
        <v>46161.0</v>
      </c>
      <c r="K16" s="243">
        <v>46162.0</v>
      </c>
    </row>
    <row r="17" hidden="1">
      <c r="A17" s="243">
        <v>46164.0</v>
      </c>
      <c r="B17" s="244">
        <f t="shared" si="1"/>
        <v>22</v>
      </c>
      <c r="C17" s="244">
        <f t="shared" si="2"/>
        <v>5</v>
      </c>
      <c r="D17" s="244"/>
      <c r="E17" s="245">
        <v>95.0</v>
      </c>
      <c r="F17" s="82" t="s">
        <v>327</v>
      </c>
      <c r="G17" s="235"/>
      <c r="H17" s="235"/>
      <c r="I17" s="246" t="s">
        <v>399</v>
      </c>
      <c r="J17" s="243">
        <v>46164.0</v>
      </c>
      <c r="K17" s="243">
        <f>J17+3</f>
        <v>46167</v>
      </c>
    </row>
    <row r="18" hidden="1">
      <c r="A18" s="243">
        <v>46165.0</v>
      </c>
      <c r="B18" s="244">
        <f t="shared" si="1"/>
        <v>23</v>
      </c>
      <c r="C18" s="244">
        <f t="shared" si="2"/>
        <v>5</v>
      </c>
      <c r="D18" s="244"/>
      <c r="E18" s="245">
        <v>35.0</v>
      </c>
      <c r="F18" s="82" t="s">
        <v>327</v>
      </c>
      <c r="G18" s="235"/>
      <c r="H18" s="235"/>
      <c r="I18" s="246" t="s">
        <v>400</v>
      </c>
      <c r="J18" s="243">
        <v>46164.0</v>
      </c>
      <c r="K18" s="243">
        <v>46165.0</v>
      </c>
    </row>
    <row r="19" hidden="1">
      <c r="A19" s="243">
        <v>46165.0</v>
      </c>
      <c r="B19" s="244">
        <f t="shared" si="1"/>
        <v>23</v>
      </c>
      <c r="C19" s="244">
        <f t="shared" si="2"/>
        <v>5</v>
      </c>
      <c r="D19" s="244"/>
      <c r="E19" s="245">
        <v>35.0</v>
      </c>
      <c r="F19" s="82" t="s">
        <v>10</v>
      </c>
      <c r="G19" s="235"/>
      <c r="H19" s="235"/>
      <c r="I19" s="246" t="s">
        <v>401</v>
      </c>
      <c r="J19" s="243">
        <v>46164.0</v>
      </c>
      <c r="K19" s="243">
        <v>46165.0</v>
      </c>
    </row>
    <row r="20" hidden="1">
      <c r="A20" s="243">
        <v>46168.0</v>
      </c>
      <c r="B20" s="244">
        <f t="shared" si="1"/>
        <v>26</v>
      </c>
      <c r="C20" s="244">
        <f t="shared" si="2"/>
        <v>5</v>
      </c>
      <c r="D20" s="244"/>
      <c r="E20" s="245">
        <v>45.0</v>
      </c>
      <c r="F20" s="82" t="s">
        <v>327</v>
      </c>
      <c r="G20" s="235"/>
      <c r="H20" s="235"/>
      <c r="I20" s="246" t="s">
        <v>403</v>
      </c>
      <c r="J20" s="243">
        <v>46168.0</v>
      </c>
      <c r="K20" s="243">
        <v>46169.0</v>
      </c>
    </row>
    <row r="21" hidden="1">
      <c r="A21" s="243">
        <v>46168.0</v>
      </c>
      <c r="B21" s="244">
        <f t="shared" si="1"/>
        <v>26</v>
      </c>
      <c r="C21" s="244">
        <f t="shared" si="2"/>
        <v>5</v>
      </c>
      <c r="D21" s="244"/>
      <c r="E21" s="245">
        <v>81.0</v>
      </c>
      <c r="F21" s="82" t="s">
        <v>327</v>
      </c>
      <c r="G21" s="235"/>
      <c r="H21" s="235"/>
      <c r="I21" s="246" t="s">
        <v>404</v>
      </c>
      <c r="J21" s="243">
        <v>46168.0</v>
      </c>
      <c r="K21" s="243">
        <v>46169.0</v>
      </c>
    </row>
    <row r="22" hidden="1">
      <c r="A22" s="243">
        <v>46168.0</v>
      </c>
      <c r="B22" s="244">
        <f t="shared" si="1"/>
        <v>26</v>
      </c>
      <c r="C22" s="244">
        <f t="shared" si="2"/>
        <v>5</v>
      </c>
      <c r="D22" s="244"/>
      <c r="E22" s="245">
        <v>45.0</v>
      </c>
      <c r="F22" s="82" t="s">
        <v>352</v>
      </c>
      <c r="G22" s="235"/>
      <c r="H22" s="235"/>
      <c r="I22" s="246" t="s">
        <v>406</v>
      </c>
      <c r="J22" s="243">
        <v>46168.0</v>
      </c>
      <c r="K22" s="243">
        <v>46169.0</v>
      </c>
    </row>
    <row r="23" hidden="1">
      <c r="A23" s="243">
        <v>46172.0</v>
      </c>
      <c r="B23" s="244">
        <f t="shared" si="1"/>
        <v>30</v>
      </c>
      <c r="C23" s="244">
        <f t="shared" si="2"/>
        <v>5</v>
      </c>
      <c r="D23" s="244"/>
      <c r="E23" s="245">
        <v>35.0</v>
      </c>
      <c r="F23" s="82" t="s">
        <v>10</v>
      </c>
      <c r="G23" s="235"/>
      <c r="H23" s="235"/>
      <c r="I23" s="246" t="s">
        <v>407</v>
      </c>
      <c r="J23" s="243">
        <v>46172.0</v>
      </c>
      <c r="K23" s="243">
        <v>46173.0</v>
      </c>
    </row>
    <row r="24" hidden="1">
      <c r="A24" s="243">
        <v>46173.0</v>
      </c>
      <c r="B24" s="244">
        <f t="shared" si="1"/>
        <v>31</v>
      </c>
      <c r="C24" s="244">
        <f t="shared" si="2"/>
        <v>5</v>
      </c>
      <c r="D24" s="244"/>
      <c r="E24" s="245">
        <v>70.0</v>
      </c>
      <c r="F24" s="82" t="s">
        <v>327</v>
      </c>
      <c r="G24" s="235"/>
      <c r="H24" s="235"/>
      <c r="I24" s="246" t="s">
        <v>408</v>
      </c>
      <c r="J24" s="243">
        <v>46173.0</v>
      </c>
      <c r="K24" s="243">
        <v>46174.0</v>
      </c>
    </row>
    <row r="25" hidden="1">
      <c r="A25" s="243">
        <v>46174.0</v>
      </c>
      <c r="B25" s="244">
        <f t="shared" si="1"/>
        <v>1</v>
      </c>
      <c r="C25" s="244">
        <f t="shared" si="2"/>
        <v>6</v>
      </c>
      <c r="D25" s="244"/>
      <c r="E25" s="245">
        <v>70.0</v>
      </c>
      <c r="F25" s="82" t="s">
        <v>327</v>
      </c>
      <c r="G25" s="235"/>
      <c r="H25" s="235"/>
      <c r="I25" s="246" t="s">
        <v>409</v>
      </c>
      <c r="J25" s="243">
        <v>46174.0</v>
      </c>
      <c r="K25" s="243">
        <v>46176.0</v>
      </c>
    </row>
    <row r="26" hidden="1">
      <c r="A26" s="243">
        <v>46174.0</v>
      </c>
      <c r="B26" s="244">
        <f t="shared" si="1"/>
        <v>1</v>
      </c>
      <c r="C26" s="244">
        <f t="shared" si="2"/>
        <v>6</v>
      </c>
      <c r="D26" s="244"/>
      <c r="E26" s="245">
        <v>70.0</v>
      </c>
      <c r="F26" s="82" t="s">
        <v>10</v>
      </c>
      <c r="G26" s="235"/>
      <c r="H26" s="235"/>
      <c r="I26" s="246" t="s">
        <v>410</v>
      </c>
      <c r="J26" s="243">
        <v>46174.0</v>
      </c>
      <c r="K26" s="243">
        <v>46176.0</v>
      </c>
    </row>
    <row r="27" hidden="1">
      <c r="A27" s="243">
        <v>46176.0</v>
      </c>
      <c r="B27" s="244">
        <f t="shared" si="1"/>
        <v>3</v>
      </c>
      <c r="C27" s="244">
        <f t="shared" si="2"/>
        <v>6</v>
      </c>
      <c r="D27" s="244"/>
      <c r="E27" s="245">
        <v>97.5</v>
      </c>
      <c r="F27" s="82" t="s">
        <v>327</v>
      </c>
      <c r="G27" s="235"/>
      <c r="H27" s="235"/>
      <c r="I27" s="246" t="s">
        <v>411</v>
      </c>
      <c r="J27" s="243">
        <v>46176.0</v>
      </c>
      <c r="K27" s="243">
        <v>46179.0</v>
      </c>
    </row>
    <row r="28" hidden="1">
      <c r="A28" s="243">
        <v>46177.0</v>
      </c>
      <c r="B28" s="244">
        <f t="shared" si="1"/>
        <v>4</v>
      </c>
      <c r="C28" s="244">
        <f t="shared" si="2"/>
        <v>6</v>
      </c>
      <c r="D28" s="244"/>
      <c r="E28" s="245">
        <v>96.0</v>
      </c>
      <c r="F28" s="82" t="s">
        <v>327</v>
      </c>
      <c r="G28" s="235"/>
      <c r="H28" s="235"/>
      <c r="I28" s="246" t="s">
        <v>412</v>
      </c>
      <c r="J28" s="243">
        <v>46177.0</v>
      </c>
      <c r="K28" s="243">
        <v>46180.0</v>
      </c>
    </row>
    <row r="29" hidden="1">
      <c r="A29" s="243">
        <v>46178.0</v>
      </c>
      <c r="B29" s="244">
        <f t="shared" si="1"/>
        <v>5</v>
      </c>
      <c r="C29" s="244">
        <f t="shared" si="2"/>
        <v>6</v>
      </c>
      <c r="D29" s="244"/>
      <c r="E29" s="245">
        <v>34.0</v>
      </c>
      <c r="F29" s="82" t="s">
        <v>327</v>
      </c>
      <c r="G29" s="235"/>
      <c r="H29" s="235"/>
      <c r="I29" s="246" t="s">
        <v>414</v>
      </c>
      <c r="J29" s="243">
        <v>46178.0</v>
      </c>
      <c r="K29" s="243">
        <v>46179.0</v>
      </c>
    </row>
    <row r="30" hidden="1">
      <c r="A30" s="243">
        <v>46179.0</v>
      </c>
      <c r="B30" s="244">
        <f t="shared" si="1"/>
        <v>6</v>
      </c>
      <c r="C30" s="244">
        <f t="shared" si="2"/>
        <v>6</v>
      </c>
      <c r="D30" s="244"/>
      <c r="E30" s="245">
        <v>140.0</v>
      </c>
      <c r="F30" s="82" t="s">
        <v>352</v>
      </c>
      <c r="G30" s="235"/>
      <c r="H30" s="235"/>
      <c r="I30" s="246" t="s">
        <v>415</v>
      </c>
      <c r="J30" s="243">
        <v>46179.0</v>
      </c>
      <c r="K30" s="243">
        <v>46184.0</v>
      </c>
    </row>
    <row r="31" hidden="1">
      <c r="A31" s="243">
        <v>46184.0</v>
      </c>
      <c r="B31" s="244">
        <f t="shared" si="1"/>
        <v>11</v>
      </c>
      <c r="C31" s="244">
        <f t="shared" si="2"/>
        <v>6</v>
      </c>
      <c r="D31" s="244"/>
      <c r="E31" s="245">
        <v>129.0</v>
      </c>
      <c r="F31" s="82" t="s">
        <v>327</v>
      </c>
      <c r="G31" s="235"/>
      <c r="H31" s="235"/>
      <c r="I31" s="246" t="s">
        <v>416</v>
      </c>
      <c r="J31" s="243">
        <f t="shared" ref="J31:J49" si="3">A31</f>
        <v>46184</v>
      </c>
      <c r="K31" s="243">
        <v>46188.0</v>
      </c>
    </row>
    <row r="32" hidden="1">
      <c r="A32" s="248">
        <v>46186.0</v>
      </c>
      <c r="B32" s="244">
        <f t="shared" si="1"/>
        <v>13</v>
      </c>
      <c r="C32" s="244">
        <f t="shared" si="2"/>
        <v>6</v>
      </c>
      <c r="E32" s="32">
        <v>47.0</v>
      </c>
      <c r="F32" s="32" t="s">
        <v>352</v>
      </c>
      <c r="I32" s="32" t="s">
        <v>418</v>
      </c>
      <c r="J32" s="243">
        <f t="shared" si="3"/>
        <v>46186</v>
      </c>
      <c r="K32" s="248">
        <v>46187.0</v>
      </c>
    </row>
    <row r="33" hidden="1">
      <c r="A33" s="248">
        <v>46187.0</v>
      </c>
      <c r="B33" s="244">
        <f t="shared" si="1"/>
        <v>14</v>
      </c>
      <c r="C33" s="244">
        <f t="shared" si="2"/>
        <v>6</v>
      </c>
      <c r="E33" s="32">
        <v>35.0</v>
      </c>
      <c r="F33" s="32" t="s">
        <v>327</v>
      </c>
      <c r="I33" s="32" t="s">
        <v>419</v>
      </c>
      <c r="J33" s="243">
        <f t="shared" si="3"/>
        <v>46187</v>
      </c>
      <c r="K33" s="248">
        <v>46188.0</v>
      </c>
    </row>
    <row r="34" hidden="1">
      <c r="A34" s="248">
        <v>46189.0</v>
      </c>
      <c r="B34" s="244">
        <f t="shared" si="1"/>
        <v>16</v>
      </c>
      <c r="C34" s="244">
        <f t="shared" si="2"/>
        <v>6</v>
      </c>
      <c r="E34" s="32">
        <v>200.0</v>
      </c>
      <c r="F34" s="32" t="s">
        <v>10</v>
      </c>
      <c r="I34" s="32" t="s">
        <v>420</v>
      </c>
      <c r="J34" s="243">
        <f t="shared" si="3"/>
        <v>46189</v>
      </c>
      <c r="K34" s="249">
        <f>J34+5</f>
        <v>46194</v>
      </c>
    </row>
    <row r="35" hidden="1">
      <c r="A35" s="248">
        <v>46190.0</v>
      </c>
      <c r="B35" s="244">
        <f t="shared" si="1"/>
        <v>17</v>
      </c>
      <c r="C35" s="244">
        <f t="shared" si="2"/>
        <v>6</v>
      </c>
      <c r="E35" s="32">
        <v>35.0</v>
      </c>
      <c r="F35" s="32" t="s">
        <v>327</v>
      </c>
      <c r="I35" s="32" t="s">
        <v>421</v>
      </c>
      <c r="J35" s="243">
        <f t="shared" si="3"/>
        <v>46190</v>
      </c>
      <c r="K35" s="249">
        <f t="shared" ref="K35:K37" si="4">J35+1</f>
        <v>46191</v>
      </c>
    </row>
    <row r="36" hidden="1">
      <c r="A36" s="248">
        <v>46191.0</v>
      </c>
      <c r="B36" s="244">
        <f t="shared" si="1"/>
        <v>18</v>
      </c>
      <c r="C36" s="244">
        <f t="shared" si="2"/>
        <v>6</v>
      </c>
      <c r="E36" s="32">
        <v>45.0</v>
      </c>
      <c r="F36" s="32" t="s">
        <v>327</v>
      </c>
      <c r="I36" s="32" t="s">
        <v>422</v>
      </c>
      <c r="J36" s="243">
        <f t="shared" si="3"/>
        <v>46191</v>
      </c>
      <c r="K36" s="249">
        <f t="shared" si="4"/>
        <v>46192</v>
      </c>
    </row>
    <row r="37" hidden="1">
      <c r="A37" s="248">
        <v>46191.0</v>
      </c>
      <c r="B37" s="244">
        <f t="shared" si="1"/>
        <v>18</v>
      </c>
      <c r="C37" s="244">
        <f t="shared" si="2"/>
        <v>6</v>
      </c>
      <c r="E37" s="32">
        <v>40.5</v>
      </c>
      <c r="F37" s="32" t="s">
        <v>352</v>
      </c>
      <c r="I37" s="32" t="s">
        <v>423</v>
      </c>
      <c r="J37" s="243">
        <f t="shared" si="3"/>
        <v>46191</v>
      </c>
      <c r="K37" s="249">
        <f t="shared" si="4"/>
        <v>46192</v>
      </c>
    </row>
    <row r="38" hidden="1">
      <c r="A38" s="248">
        <v>46191.0</v>
      </c>
      <c r="B38" s="244">
        <f t="shared" si="1"/>
        <v>18</v>
      </c>
      <c r="C38" s="244">
        <f t="shared" si="2"/>
        <v>6</v>
      </c>
      <c r="E38" s="32">
        <v>103.5</v>
      </c>
      <c r="F38" s="32" t="s">
        <v>327</v>
      </c>
      <c r="I38" s="32" t="s">
        <v>424</v>
      </c>
      <c r="J38" s="243">
        <f t="shared" si="3"/>
        <v>46191</v>
      </c>
      <c r="K38" s="249">
        <f>J38+3</f>
        <v>46194</v>
      </c>
    </row>
    <row r="39" hidden="1">
      <c r="A39" s="248">
        <v>46192.0</v>
      </c>
      <c r="B39" s="244">
        <f t="shared" si="1"/>
        <v>19</v>
      </c>
      <c r="C39" s="244">
        <f t="shared" si="2"/>
        <v>6</v>
      </c>
      <c r="E39" s="32">
        <v>100.0</v>
      </c>
      <c r="F39" s="32" t="s">
        <v>327</v>
      </c>
      <c r="I39" s="32" t="s">
        <v>425</v>
      </c>
      <c r="J39" s="243">
        <f t="shared" si="3"/>
        <v>46192</v>
      </c>
      <c r="K39" s="249">
        <f>J39+2</f>
        <v>46194</v>
      </c>
    </row>
    <row r="40" hidden="1">
      <c r="A40" s="248">
        <v>46193.0</v>
      </c>
      <c r="B40" s="244">
        <f t="shared" si="1"/>
        <v>20</v>
      </c>
      <c r="C40" s="244">
        <f t="shared" si="2"/>
        <v>6</v>
      </c>
      <c r="E40" s="32">
        <v>45.0</v>
      </c>
      <c r="F40" s="32" t="s">
        <v>327</v>
      </c>
      <c r="I40" s="32" t="s">
        <v>426</v>
      </c>
      <c r="J40" s="243">
        <f t="shared" si="3"/>
        <v>46193</v>
      </c>
      <c r="K40" s="249">
        <f t="shared" ref="K40:K42" si="5">J40+1</f>
        <v>46194</v>
      </c>
    </row>
    <row r="41" hidden="1">
      <c r="A41" s="248">
        <v>46194.0</v>
      </c>
      <c r="B41" s="244">
        <f t="shared" si="1"/>
        <v>21</v>
      </c>
      <c r="C41" s="244">
        <f t="shared" si="2"/>
        <v>6</v>
      </c>
      <c r="E41" s="32">
        <v>35.0</v>
      </c>
      <c r="F41" s="32" t="s">
        <v>327</v>
      </c>
      <c r="I41" s="32" t="s">
        <v>427</v>
      </c>
      <c r="J41" s="243">
        <f t="shared" si="3"/>
        <v>46194</v>
      </c>
      <c r="K41" s="249">
        <f t="shared" si="5"/>
        <v>46195</v>
      </c>
    </row>
    <row r="42" hidden="1">
      <c r="A42" s="248">
        <v>46195.0</v>
      </c>
      <c r="B42" s="244">
        <f t="shared" si="1"/>
        <v>22</v>
      </c>
      <c r="C42" s="244">
        <f t="shared" si="2"/>
        <v>6</v>
      </c>
      <c r="E42" s="32">
        <v>35.0</v>
      </c>
      <c r="F42" s="32" t="s">
        <v>352</v>
      </c>
      <c r="I42" s="32" t="s">
        <v>428</v>
      </c>
      <c r="J42" s="243">
        <f t="shared" si="3"/>
        <v>46195</v>
      </c>
      <c r="K42" s="249">
        <f t="shared" si="5"/>
        <v>46196</v>
      </c>
    </row>
    <row r="43" hidden="1">
      <c r="A43" s="248">
        <v>46195.0</v>
      </c>
      <c r="B43" s="244">
        <f t="shared" si="1"/>
        <v>22</v>
      </c>
      <c r="C43" s="244">
        <f t="shared" si="2"/>
        <v>6</v>
      </c>
      <c r="E43" s="32">
        <v>94.5</v>
      </c>
      <c r="F43" s="32" t="s">
        <v>10</v>
      </c>
      <c r="I43" s="32" t="s">
        <v>429</v>
      </c>
      <c r="J43" s="243">
        <f t="shared" si="3"/>
        <v>46195</v>
      </c>
      <c r="K43" s="249">
        <f>J43+3</f>
        <v>46198</v>
      </c>
    </row>
    <row r="44" hidden="1">
      <c r="A44" s="248">
        <v>46195.0</v>
      </c>
      <c r="B44" s="244">
        <f t="shared" si="1"/>
        <v>22</v>
      </c>
      <c r="C44" s="244">
        <f t="shared" si="2"/>
        <v>6</v>
      </c>
      <c r="E44" s="32">
        <v>55.0</v>
      </c>
      <c r="F44" s="32" t="s">
        <v>352</v>
      </c>
      <c r="I44" s="32" t="s">
        <v>430</v>
      </c>
      <c r="J44" s="243">
        <f t="shared" si="3"/>
        <v>46195</v>
      </c>
      <c r="K44" s="249">
        <f>J44+1</f>
        <v>46196</v>
      </c>
    </row>
    <row r="45" hidden="1">
      <c r="A45" s="248">
        <v>46196.0</v>
      </c>
      <c r="B45" s="244">
        <f t="shared" si="1"/>
        <v>23</v>
      </c>
      <c r="C45" s="244">
        <f t="shared" si="2"/>
        <v>6</v>
      </c>
      <c r="E45" s="32">
        <v>70.0</v>
      </c>
      <c r="F45" s="32" t="s">
        <v>327</v>
      </c>
      <c r="I45" s="32" t="s">
        <v>431</v>
      </c>
      <c r="J45" s="243">
        <f t="shared" si="3"/>
        <v>46196</v>
      </c>
      <c r="K45" s="249">
        <f>J45+2</f>
        <v>46198</v>
      </c>
    </row>
    <row r="46" hidden="1">
      <c r="A46" s="248">
        <v>46196.0</v>
      </c>
      <c r="B46" s="244">
        <f t="shared" si="1"/>
        <v>23</v>
      </c>
      <c r="C46" s="244">
        <f t="shared" si="2"/>
        <v>6</v>
      </c>
      <c r="E46" s="32">
        <v>70.0</v>
      </c>
      <c r="F46" s="32" t="s">
        <v>352</v>
      </c>
      <c r="I46" s="32" t="s">
        <v>432</v>
      </c>
      <c r="J46" s="243">
        <f t="shared" si="3"/>
        <v>46196</v>
      </c>
      <c r="K46" s="249">
        <f t="shared" ref="K46:K50" si="6">J46+1</f>
        <v>46197</v>
      </c>
    </row>
    <row r="47" hidden="1">
      <c r="A47" s="248">
        <v>46197.0</v>
      </c>
      <c r="B47" s="244">
        <f t="shared" si="1"/>
        <v>24</v>
      </c>
      <c r="C47" s="244">
        <f t="shared" si="2"/>
        <v>6</v>
      </c>
      <c r="E47" s="32">
        <v>70.0</v>
      </c>
      <c r="F47" s="32" t="s">
        <v>352</v>
      </c>
      <c r="I47" s="32" t="s">
        <v>433</v>
      </c>
      <c r="J47" s="243">
        <f t="shared" si="3"/>
        <v>46197</v>
      </c>
      <c r="K47" s="249">
        <f t="shared" si="6"/>
        <v>46198</v>
      </c>
    </row>
    <row r="48" hidden="1">
      <c r="A48" s="248">
        <v>46197.0</v>
      </c>
      <c r="B48" s="244">
        <f t="shared" si="1"/>
        <v>24</v>
      </c>
      <c r="C48" s="244">
        <f t="shared" si="2"/>
        <v>6</v>
      </c>
      <c r="E48" s="32">
        <v>50.0</v>
      </c>
      <c r="F48" s="32" t="s">
        <v>352</v>
      </c>
      <c r="I48" s="32" t="s">
        <v>434</v>
      </c>
      <c r="J48" s="243">
        <f t="shared" si="3"/>
        <v>46197</v>
      </c>
      <c r="K48" s="249">
        <f t="shared" si="6"/>
        <v>46198</v>
      </c>
    </row>
    <row r="49" hidden="1">
      <c r="A49" s="248">
        <v>46198.0</v>
      </c>
      <c r="B49" s="244">
        <f t="shared" si="1"/>
        <v>25</v>
      </c>
      <c r="C49" s="244">
        <f t="shared" si="2"/>
        <v>6</v>
      </c>
      <c r="E49" s="32">
        <v>35.0</v>
      </c>
      <c r="F49" s="32" t="s">
        <v>327</v>
      </c>
      <c r="I49" s="32" t="s">
        <v>435</v>
      </c>
      <c r="J49" s="243">
        <f t="shared" si="3"/>
        <v>46198</v>
      </c>
      <c r="K49" s="249">
        <f t="shared" si="6"/>
        <v>46199</v>
      </c>
    </row>
    <row r="50" hidden="1">
      <c r="A50" s="248">
        <v>46199.0</v>
      </c>
      <c r="B50" s="244">
        <f t="shared" si="1"/>
        <v>26</v>
      </c>
      <c r="C50" s="244">
        <f t="shared" si="2"/>
        <v>6</v>
      </c>
      <c r="E50" s="32">
        <v>40.0</v>
      </c>
      <c r="F50" s="32" t="s">
        <v>327</v>
      </c>
      <c r="I50" s="32" t="s">
        <v>436</v>
      </c>
      <c r="J50" s="243">
        <v>46198.0</v>
      </c>
      <c r="K50" s="249">
        <f t="shared" si="6"/>
        <v>46199</v>
      </c>
    </row>
    <row r="51" hidden="1">
      <c r="A51" s="248">
        <v>46200.0</v>
      </c>
      <c r="B51" s="244">
        <f t="shared" si="1"/>
        <v>27</v>
      </c>
      <c r="C51" s="244">
        <f t="shared" si="2"/>
        <v>6</v>
      </c>
      <c r="F51" s="32" t="s">
        <v>327</v>
      </c>
      <c r="I51" s="32" t="s">
        <v>437</v>
      </c>
      <c r="J51" s="243">
        <f t="shared" ref="J51:J108" si="7">A51</f>
        <v>46200</v>
      </c>
    </row>
    <row r="52" hidden="1">
      <c r="A52" s="248">
        <v>46200.0</v>
      </c>
      <c r="B52" s="244">
        <f t="shared" si="1"/>
        <v>27</v>
      </c>
      <c r="C52" s="244">
        <f t="shared" si="2"/>
        <v>6</v>
      </c>
      <c r="E52" s="32">
        <v>35.0</v>
      </c>
      <c r="F52" s="32" t="s">
        <v>327</v>
      </c>
      <c r="I52" s="32" t="s">
        <v>438</v>
      </c>
      <c r="J52" s="243">
        <f t="shared" si="7"/>
        <v>46200</v>
      </c>
      <c r="K52" s="249">
        <f t="shared" ref="K52:K57" si="8">J52+1</f>
        <v>46201</v>
      </c>
    </row>
    <row r="53" hidden="1">
      <c r="A53" s="248">
        <v>46201.0</v>
      </c>
      <c r="B53" s="244">
        <f t="shared" si="1"/>
        <v>28</v>
      </c>
      <c r="C53" s="244">
        <f t="shared" si="2"/>
        <v>6</v>
      </c>
      <c r="E53" s="32">
        <v>20.0</v>
      </c>
      <c r="F53" s="32" t="s">
        <v>327</v>
      </c>
      <c r="I53" s="32" t="s">
        <v>438</v>
      </c>
      <c r="J53" s="243">
        <f t="shared" si="7"/>
        <v>46201</v>
      </c>
      <c r="K53" s="249">
        <f t="shared" si="8"/>
        <v>46202</v>
      </c>
    </row>
    <row r="54" hidden="1">
      <c r="A54" s="248">
        <v>46201.0</v>
      </c>
      <c r="B54" s="244">
        <f t="shared" si="1"/>
        <v>28</v>
      </c>
      <c r="C54" s="244">
        <f t="shared" si="2"/>
        <v>6</v>
      </c>
      <c r="E54" s="32">
        <v>35.0</v>
      </c>
      <c r="F54" s="32" t="s">
        <v>10</v>
      </c>
      <c r="I54" s="32" t="s">
        <v>437</v>
      </c>
      <c r="J54" s="243">
        <f t="shared" si="7"/>
        <v>46201</v>
      </c>
      <c r="K54" s="249">
        <f t="shared" si="8"/>
        <v>46202</v>
      </c>
    </row>
    <row r="55" hidden="1">
      <c r="A55" s="248">
        <v>46201.0</v>
      </c>
      <c r="B55" s="244">
        <f t="shared" si="1"/>
        <v>28</v>
      </c>
      <c r="C55" s="244">
        <f t="shared" si="2"/>
        <v>6</v>
      </c>
      <c r="E55" s="32">
        <v>35.0</v>
      </c>
      <c r="F55" s="32" t="s">
        <v>327</v>
      </c>
      <c r="I55" s="32" t="s">
        <v>439</v>
      </c>
      <c r="J55" s="243">
        <f t="shared" si="7"/>
        <v>46201</v>
      </c>
      <c r="K55" s="249">
        <f t="shared" si="8"/>
        <v>46202</v>
      </c>
    </row>
    <row r="56" hidden="1">
      <c r="A56" s="248">
        <v>46202.0</v>
      </c>
      <c r="B56" s="244">
        <f t="shared" si="1"/>
        <v>29</v>
      </c>
      <c r="C56" s="244">
        <f t="shared" si="2"/>
        <v>6</v>
      </c>
      <c r="E56" s="32">
        <v>25.0</v>
      </c>
      <c r="F56" s="32" t="s">
        <v>327</v>
      </c>
      <c r="I56" s="32" t="s">
        <v>440</v>
      </c>
      <c r="J56" s="243">
        <f t="shared" si="7"/>
        <v>46202</v>
      </c>
      <c r="K56" s="249">
        <f t="shared" si="8"/>
        <v>46203</v>
      </c>
    </row>
    <row r="57" hidden="1">
      <c r="A57" s="248">
        <v>46203.0</v>
      </c>
      <c r="B57" s="244">
        <f t="shared" si="1"/>
        <v>30</v>
      </c>
      <c r="C57" s="244">
        <f t="shared" si="2"/>
        <v>6</v>
      </c>
      <c r="E57" s="32">
        <v>35.0</v>
      </c>
      <c r="F57" s="32" t="s">
        <v>327</v>
      </c>
      <c r="I57" s="32" t="s">
        <v>441</v>
      </c>
      <c r="J57" s="243">
        <f t="shared" si="7"/>
        <v>46203</v>
      </c>
      <c r="K57" s="249">
        <f t="shared" si="8"/>
        <v>46204</v>
      </c>
    </row>
    <row r="58" hidden="1">
      <c r="A58" s="248">
        <v>46203.0</v>
      </c>
      <c r="B58" s="244">
        <f t="shared" si="1"/>
        <v>30</v>
      </c>
      <c r="C58" s="244">
        <f t="shared" si="2"/>
        <v>6</v>
      </c>
      <c r="E58" s="32">
        <v>0.0</v>
      </c>
      <c r="F58" s="32" t="s">
        <v>352</v>
      </c>
      <c r="I58" s="32" t="s">
        <v>442</v>
      </c>
      <c r="J58" s="243">
        <f t="shared" si="7"/>
        <v>46203</v>
      </c>
      <c r="K58" s="248">
        <v>46204.0</v>
      </c>
    </row>
    <row r="59" hidden="1">
      <c r="A59" s="248">
        <v>46203.0</v>
      </c>
      <c r="B59" s="244">
        <f t="shared" si="1"/>
        <v>30</v>
      </c>
      <c r="C59" s="244">
        <f t="shared" si="2"/>
        <v>6</v>
      </c>
      <c r="E59" s="32">
        <v>0.0</v>
      </c>
      <c r="F59" s="32" t="s">
        <v>10</v>
      </c>
      <c r="I59" s="32" t="s">
        <v>442</v>
      </c>
      <c r="J59" s="243">
        <f t="shared" si="7"/>
        <v>46203</v>
      </c>
      <c r="K59" s="248">
        <v>46204.0</v>
      </c>
    </row>
    <row r="60">
      <c r="A60" s="248">
        <v>46204.0</v>
      </c>
      <c r="B60" s="244">
        <f t="shared" si="1"/>
        <v>1</v>
      </c>
      <c r="C60" s="244">
        <f t="shared" si="2"/>
        <v>7</v>
      </c>
      <c r="E60" s="32">
        <v>15.0</v>
      </c>
      <c r="F60" s="32" t="s">
        <v>327</v>
      </c>
      <c r="I60" s="32" t="s">
        <v>444</v>
      </c>
      <c r="J60" s="243">
        <f t="shared" si="7"/>
        <v>46204</v>
      </c>
      <c r="K60" s="249">
        <f t="shared" ref="K60:K62" si="9">J60+1</f>
        <v>46205</v>
      </c>
    </row>
    <row r="61">
      <c r="A61" s="248">
        <v>46205.0</v>
      </c>
      <c r="B61" s="244">
        <f t="shared" si="1"/>
        <v>2</v>
      </c>
      <c r="C61" s="244">
        <f t="shared" si="2"/>
        <v>7</v>
      </c>
      <c r="E61" s="32">
        <v>25.0</v>
      </c>
      <c r="F61" s="32" t="s">
        <v>327</v>
      </c>
      <c r="I61" s="32" t="s">
        <v>441</v>
      </c>
      <c r="J61" s="243">
        <f t="shared" si="7"/>
        <v>46205</v>
      </c>
      <c r="K61" s="249">
        <f t="shared" si="9"/>
        <v>46206</v>
      </c>
    </row>
    <row r="62">
      <c r="A62" s="248">
        <v>46205.0</v>
      </c>
      <c r="B62" s="244">
        <f t="shared" si="1"/>
        <v>2</v>
      </c>
      <c r="C62" s="244">
        <f t="shared" si="2"/>
        <v>7</v>
      </c>
      <c r="D62" s="32">
        <v>2.0</v>
      </c>
      <c r="E62" s="32">
        <v>70.0</v>
      </c>
      <c r="F62" s="32" t="s">
        <v>327</v>
      </c>
      <c r="I62" s="32" t="s">
        <v>445</v>
      </c>
      <c r="J62" s="243">
        <f t="shared" si="7"/>
        <v>46205</v>
      </c>
      <c r="K62" s="249">
        <f t="shared" si="9"/>
        <v>46206</v>
      </c>
    </row>
    <row r="63">
      <c r="A63" s="248">
        <v>46206.0</v>
      </c>
      <c r="B63" s="244">
        <f t="shared" si="1"/>
        <v>3</v>
      </c>
      <c r="C63" s="244">
        <f t="shared" si="2"/>
        <v>7</v>
      </c>
      <c r="E63" s="32">
        <v>65.0</v>
      </c>
      <c r="F63" s="32" t="s">
        <v>327</v>
      </c>
      <c r="I63" s="32" t="s">
        <v>446</v>
      </c>
      <c r="J63" s="243">
        <f t="shared" si="7"/>
        <v>46206</v>
      </c>
      <c r="K63" s="249">
        <f>J63+2</f>
        <v>46208</v>
      </c>
    </row>
    <row r="64">
      <c r="A64" s="248">
        <v>46206.0</v>
      </c>
      <c r="B64" s="244">
        <f t="shared" si="1"/>
        <v>3</v>
      </c>
      <c r="C64" s="244">
        <f t="shared" si="2"/>
        <v>7</v>
      </c>
      <c r="E64" s="32">
        <v>35.0</v>
      </c>
      <c r="F64" s="32" t="s">
        <v>327</v>
      </c>
      <c r="I64" s="32" t="s">
        <v>447</v>
      </c>
      <c r="J64" s="243">
        <f t="shared" si="7"/>
        <v>46206</v>
      </c>
      <c r="K64" s="249">
        <f t="shared" ref="K64:K76" si="10">J64+1</f>
        <v>46207</v>
      </c>
    </row>
    <row r="65">
      <c r="A65" s="248">
        <v>46206.0</v>
      </c>
      <c r="B65" s="244">
        <f t="shared" si="1"/>
        <v>3</v>
      </c>
      <c r="C65" s="244">
        <f t="shared" si="2"/>
        <v>7</v>
      </c>
      <c r="E65" s="32">
        <v>33.0</v>
      </c>
      <c r="F65" s="32" t="s">
        <v>352</v>
      </c>
      <c r="I65" s="32" t="s">
        <v>448</v>
      </c>
      <c r="J65" s="243">
        <f t="shared" si="7"/>
        <v>46206</v>
      </c>
      <c r="K65" s="249">
        <f t="shared" si="10"/>
        <v>46207</v>
      </c>
    </row>
    <row r="66">
      <c r="A66" s="248">
        <v>46207.0</v>
      </c>
      <c r="B66" s="244">
        <f t="shared" si="1"/>
        <v>4</v>
      </c>
      <c r="C66" s="244">
        <f t="shared" si="2"/>
        <v>7</v>
      </c>
      <c r="E66" s="32">
        <v>25.0</v>
      </c>
      <c r="F66" s="32" t="s">
        <v>327</v>
      </c>
      <c r="I66" s="32" t="s">
        <v>449</v>
      </c>
      <c r="J66" s="243">
        <f t="shared" si="7"/>
        <v>46207</v>
      </c>
      <c r="K66" s="249">
        <f t="shared" si="10"/>
        <v>46208</v>
      </c>
    </row>
    <row r="67">
      <c r="A67" s="248">
        <v>46209.0</v>
      </c>
      <c r="B67" s="244">
        <f t="shared" si="1"/>
        <v>6</v>
      </c>
      <c r="C67" s="244">
        <f t="shared" si="2"/>
        <v>7</v>
      </c>
      <c r="E67" s="32">
        <v>32.0</v>
      </c>
      <c r="F67" s="32" t="s">
        <v>327</v>
      </c>
      <c r="I67" s="32" t="s">
        <v>450</v>
      </c>
      <c r="J67" s="243">
        <f t="shared" si="7"/>
        <v>46209</v>
      </c>
      <c r="K67" s="249">
        <f t="shared" si="10"/>
        <v>46210</v>
      </c>
    </row>
    <row r="68">
      <c r="A68" s="248">
        <v>46209.0</v>
      </c>
      <c r="B68" s="244">
        <f t="shared" si="1"/>
        <v>6</v>
      </c>
      <c r="C68" s="244">
        <f t="shared" si="2"/>
        <v>7</v>
      </c>
      <c r="E68" s="32">
        <v>35.0</v>
      </c>
      <c r="F68" s="32" t="s">
        <v>327</v>
      </c>
      <c r="I68" s="32" t="s">
        <v>451</v>
      </c>
      <c r="J68" s="243">
        <f t="shared" si="7"/>
        <v>46209</v>
      </c>
      <c r="K68" s="249">
        <f t="shared" si="10"/>
        <v>46210</v>
      </c>
    </row>
    <row r="69">
      <c r="A69" s="248">
        <v>46210.0</v>
      </c>
      <c r="B69" s="244">
        <f t="shared" si="1"/>
        <v>7</v>
      </c>
      <c r="C69" s="244">
        <f t="shared" si="2"/>
        <v>7</v>
      </c>
      <c r="E69" s="32">
        <v>32.0</v>
      </c>
      <c r="F69" s="32" t="s">
        <v>327</v>
      </c>
      <c r="I69" s="32" t="s">
        <v>452</v>
      </c>
      <c r="J69" s="243">
        <f t="shared" si="7"/>
        <v>46210</v>
      </c>
      <c r="K69" s="249">
        <f t="shared" si="10"/>
        <v>46211</v>
      </c>
    </row>
    <row r="70">
      <c r="A70" s="248">
        <v>46210.0</v>
      </c>
      <c r="B70" s="244">
        <f t="shared" si="1"/>
        <v>7</v>
      </c>
      <c r="C70" s="244">
        <f t="shared" si="2"/>
        <v>7</v>
      </c>
      <c r="E70" s="32">
        <v>50.0</v>
      </c>
      <c r="F70" s="32" t="s">
        <v>327</v>
      </c>
      <c r="I70" s="32" t="s">
        <v>453</v>
      </c>
      <c r="J70" s="243">
        <f t="shared" si="7"/>
        <v>46210</v>
      </c>
      <c r="K70" s="249">
        <f t="shared" si="10"/>
        <v>46211</v>
      </c>
    </row>
    <row r="71">
      <c r="A71" s="248">
        <v>46210.0</v>
      </c>
      <c r="B71" s="244">
        <f t="shared" si="1"/>
        <v>7</v>
      </c>
      <c r="C71" s="244">
        <f t="shared" si="2"/>
        <v>7</v>
      </c>
      <c r="E71" s="32">
        <v>32.0</v>
      </c>
      <c r="F71" s="32" t="s">
        <v>327</v>
      </c>
      <c r="I71" s="32" t="s">
        <v>454</v>
      </c>
      <c r="J71" s="243">
        <f t="shared" si="7"/>
        <v>46210</v>
      </c>
      <c r="K71" s="249">
        <f t="shared" si="10"/>
        <v>46211</v>
      </c>
    </row>
    <row r="72">
      <c r="A72" s="248">
        <v>46211.0</v>
      </c>
      <c r="B72" s="244">
        <f t="shared" si="1"/>
        <v>8</v>
      </c>
      <c r="C72" s="244">
        <f t="shared" si="2"/>
        <v>7</v>
      </c>
      <c r="E72" s="32">
        <v>35.0</v>
      </c>
      <c r="F72" s="32" t="s">
        <v>327</v>
      </c>
      <c r="I72" s="32" t="s">
        <v>455</v>
      </c>
      <c r="J72" s="243">
        <f t="shared" si="7"/>
        <v>46211</v>
      </c>
      <c r="K72" s="249">
        <f t="shared" si="10"/>
        <v>46212</v>
      </c>
    </row>
    <row r="73">
      <c r="A73" s="248">
        <v>46214.0</v>
      </c>
      <c r="B73" s="244">
        <f t="shared" si="1"/>
        <v>11</v>
      </c>
      <c r="C73" s="244">
        <f t="shared" si="2"/>
        <v>7</v>
      </c>
      <c r="E73" s="32">
        <v>30.0</v>
      </c>
      <c r="F73" s="32" t="s">
        <v>327</v>
      </c>
      <c r="I73" s="32" t="s">
        <v>449</v>
      </c>
      <c r="J73" s="243">
        <f t="shared" si="7"/>
        <v>46214</v>
      </c>
      <c r="K73" s="249">
        <f t="shared" si="10"/>
        <v>46215</v>
      </c>
    </row>
    <row r="74">
      <c r="A74" s="248">
        <v>46215.0</v>
      </c>
      <c r="B74" s="244">
        <f t="shared" si="1"/>
        <v>12</v>
      </c>
      <c r="C74" s="244">
        <f t="shared" si="2"/>
        <v>7</v>
      </c>
      <c r="E74" s="32">
        <v>35.0</v>
      </c>
      <c r="F74" s="32" t="s">
        <v>327</v>
      </c>
      <c r="I74" s="32" t="s">
        <v>456</v>
      </c>
      <c r="J74" s="243">
        <f t="shared" si="7"/>
        <v>46215</v>
      </c>
      <c r="K74" s="249">
        <f t="shared" si="10"/>
        <v>46216</v>
      </c>
    </row>
    <row r="75">
      <c r="A75" s="248">
        <v>46215.0</v>
      </c>
      <c r="B75" s="244">
        <f t="shared" si="1"/>
        <v>12</v>
      </c>
      <c r="C75" s="244">
        <f t="shared" si="2"/>
        <v>7</v>
      </c>
      <c r="E75" s="32">
        <v>35.0</v>
      </c>
      <c r="F75" s="32" t="s">
        <v>10</v>
      </c>
      <c r="I75" s="32" t="s">
        <v>457</v>
      </c>
      <c r="J75" s="243">
        <f t="shared" si="7"/>
        <v>46215</v>
      </c>
      <c r="K75" s="249">
        <f t="shared" si="10"/>
        <v>46216</v>
      </c>
    </row>
    <row r="76">
      <c r="A76" s="248">
        <v>46216.0</v>
      </c>
      <c r="B76" s="244">
        <f t="shared" si="1"/>
        <v>13</v>
      </c>
      <c r="C76" s="244">
        <f t="shared" si="2"/>
        <v>7</v>
      </c>
      <c r="E76" s="32">
        <v>35.0</v>
      </c>
      <c r="F76" s="32" t="s">
        <v>327</v>
      </c>
      <c r="I76" s="32" t="s">
        <v>458</v>
      </c>
      <c r="J76" s="243">
        <f t="shared" si="7"/>
        <v>46216</v>
      </c>
      <c r="K76" s="249">
        <f t="shared" si="10"/>
        <v>46217</v>
      </c>
    </row>
    <row r="77">
      <c r="A77" s="248">
        <v>46217.0</v>
      </c>
      <c r="B77" s="244">
        <f t="shared" si="1"/>
        <v>14</v>
      </c>
      <c r="C77" s="244">
        <f t="shared" si="2"/>
        <v>7</v>
      </c>
      <c r="E77" s="32">
        <v>110.0</v>
      </c>
      <c r="F77" s="32" t="s">
        <v>327</v>
      </c>
      <c r="I77" s="32" t="s">
        <v>459</v>
      </c>
      <c r="J77" s="243">
        <f t="shared" si="7"/>
        <v>46217</v>
      </c>
      <c r="K77" s="249">
        <f>J77+2</f>
        <v>46219</v>
      </c>
    </row>
    <row r="78">
      <c r="A78" s="248">
        <v>46217.0</v>
      </c>
      <c r="B78" s="244">
        <f t="shared" si="1"/>
        <v>14</v>
      </c>
      <c r="C78" s="244">
        <f t="shared" si="2"/>
        <v>7</v>
      </c>
      <c r="E78" s="32">
        <v>35.0</v>
      </c>
      <c r="F78" s="32" t="s">
        <v>10</v>
      </c>
      <c r="I78" s="32" t="s">
        <v>460</v>
      </c>
      <c r="J78" s="243">
        <f t="shared" si="7"/>
        <v>46217</v>
      </c>
      <c r="K78" s="249">
        <f t="shared" ref="K78:K80" si="11">J78+1</f>
        <v>46218</v>
      </c>
    </row>
    <row r="79">
      <c r="A79" s="248">
        <v>46217.0</v>
      </c>
      <c r="B79" s="244">
        <f t="shared" si="1"/>
        <v>14</v>
      </c>
      <c r="C79" s="244">
        <f t="shared" si="2"/>
        <v>7</v>
      </c>
      <c r="D79" s="32">
        <v>2.0</v>
      </c>
      <c r="E79" s="32">
        <v>82.0</v>
      </c>
      <c r="F79" s="32" t="s">
        <v>327</v>
      </c>
      <c r="I79" s="32" t="s">
        <v>461</v>
      </c>
      <c r="J79" s="243">
        <f t="shared" si="7"/>
        <v>46217</v>
      </c>
      <c r="K79" s="249">
        <f t="shared" si="11"/>
        <v>46218</v>
      </c>
    </row>
    <row r="80">
      <c r="A80" s="248">
        <v>46218.0</v>
      </c>
      <c r="B80" s="244">
        <f t="shared" si="1"/>
        <v>15</v>
      </c>
      <c r="C80" s="244">
        <f t="shared" si="2"/>
        <v>7</v>
      </c>
      <c r="E80" s="32">
        <v>35.0</v>
      </c>
      <c r="F80" s="32" t="s">
        <v>327</v>
      </c>
      <c r="I80" s="32" t="s">
        <v>460</v>
      </c>
      <c r="J80" s="243">
        <f t="shared" si="7"/>
        <v>46218</v>
      </c>
      <c r="K80" s="249">
        <f t="shared" si="11"/>
        <v>46219</v>
      </c>
    </row>
    <row r="81">
      <c r="A81" s="248">
        <v>46215.0</v>
      </c>
      <c r="B81" s="244">
        <f t="shared" si="1"/>
        <v>12</v>
      </c>
      <c r="C81" s="244">
        <f t="shared" si="2"/>
        <v>7</v>
      </c>
      <c r="E81" s="32">
        <v>346.5</v>
      </c>
      <c r="F81" s="32" t="s">
        <v>352</v>
      </c>
      <c r="I81" s="32" t="s">
        <v>462</v>
      </c>
      <c r="J81" s="243">
        <f t="shared" si="7"/>
        <v>46215</v>
      </c>
      <c r="K81" s="249">
        <f>J81+7</f>
        <v>46222</v>
      </c>
    </row>
    <row r="82">
      <c r="A82" s="248">
        <v>46220.0</v>
      </c>
      <c r="B82" s="244">
        <f t="shared" si="1"/>
        <v>17</v>
      </c>
      <c r="C82" s="244">
        <f t="shared" si="2"/>
        <v>7</v>
      </c>
      <c r="E82" s="32">
        <v>42.0</v>
      </c>
      <c r="F82" s="32" t="s">
        <v>327</v>
      </c>
      <c r="I82" s="32" t="s">
        <v>463</v>
      </c>
      <c r="J82" s="243">
        <f t="shared" si="7"/>
        <v>46220</v>
      </c>
      <c r="K82" s="249">
        <f t="shared" ref="K82:K85" si="12">J82+1</f>
        <v>46221</v>
      </c>
    </row>
    <row r="83">
      <c r="A83" s="248">
        <v>46220.0</v>
      </c>
      <c r="B83" s="244">
        <f t="shared" si="1"/>
        <v>17</v>
      </c>
      <c r="C83" s="244">
        <f t="shared" si="2"/>
        <v>7</v>
      </c>
      <c r="E83" s="32">
        <v>30.0</v>
      </c>
      <c r="F83" s="32" t="s">
        <v>327</v>
      </c>
      <c r="I83" s="32" t="s">
        <v>449</v>
      </c>
      <c r="J83" s="243">
        <f t="shared" si="7"/>
        <v>46220</v>
      </c>
      <c r="K83" s="249">
        <f t="shared" si="12"/>
        <v>46221</v>
      </c>
    </row>
    <row r="84">
      <c r="A84" s="248">
        <v>46219.0</v>
      </c>
      <c r="B84" s="244">
        <f t="shared" si="1"/>
        <v>16</v>
      </c>
      <c r="C84" s="244">
        <f t="shared" si="2"/>
        <v>7</v>
      </c>
      <c r="E84" s="32">
        <v>50.0</v>
      </c>
      <c r="F84" s="32" t="s">
        <v>352</v>
      </c>
      <c r="I84" s="32" t="s">
        <v>418</v>
      </c>
      <c r="J84" s="243">
        <f t="shared" si="7"/>
        <v>46219</v>
      </c>
      <c r="K84" s="249">
        <f t="shared" si="12"/>
        <v>46220</v>
      </c>
    </row>
    <row r="85">
      <c r="A85" s="248">
        <v>46221.0</v>
      </c>
      <c r="B85" s="244">
        <f t="shared" si="1"/>
        <v>18</v>
      </c>
      <c r="C85" s="244">
        <f t="shared" si="2"/>
        <v>7</v>
      </c>
      <c r="E85" s="32">
        <v>39.5</v>
      </c>
      <c r="F85" s="32" t="s">
        <v>327</v>
      </c>
      <c r="I85" s="32" t="s">
        <v>465</v>
      </c>
      <c r="J85" s="243">
        <f t="shared" si="7"/>
        <v>46221</v>
      </c>
      <c r="K85" s="249">
        <f t="shared" si="12"/>
        <v>46222</v>
      </c>
    </row>
    <row r="86">
      <c r="A86" s="248">
        <v>46222.0</v>
      </c>
      <c r="B86" s="244">
        <f t="shared" si="1"/>
        <v>19</v>
      </c>
      <c r="C86" s="244">
        <f t="shared" si="2"/>
        <v>7</v>
      </c>
      <c r="E86" s="32">
        <v>68.0</v>
      </c>
      <c r="F86" s="32" t="s">
        <v>327</v>
      </c>
      <c r="J86" s="243">
        <f t="shared" si="7"/>
        <v>46222</v>
      </c>
      <c r="K86" s="249">
        <f>J86+2</f>
        <v>46224</v>
      </c>
    </row>
    <row r="87">
      <c r="A87" s="248">
        <v>46223.0</v>
      </c>
      <c r="B87" s="244">
        <f t="shared" si="1"/>
        <v>20</v>
      </c>
      <c r="C87" s="244">
        <f t="shared" si="2"/>
        <v>7</v>
      </c>
      <c r="D87" s="32">
        <v>2.0</v>
      </c>
      <c r="E87" s="32">
        <v>490.0</v>
      </c>
      <c r="F87" s="32" t="s">
        <v>327</v>
      </c>
      <c r="I87" s="32" t="s">
        <v>466</v>
      </c>
      <c r="J87" s="243">
        <f t="shared" si="7"/>
        <v>46223</v>
      </c>
      <c r="K87" s="249">
        <f>J87+7</f>
        <v>46230</v>
      </c>
    </row>
    <row r="88">
      <c r="A88" s="248">
        <v>46222.0</v>
      </c>
      <c r="B88" s="244">
        <f t="shared" si="1"/>
        <v>19</v>
      </c>
      <c r="C88" s="244">
        <f t="shared" si="2"/>
        <v>7</v>
      </c>
      <c r="E88" s="32">
        <v>35.0</v>
      </c>
      <c r="F88" s="32" t="s">
        <v>352</v>
      </c>
      <c r="J88" s="243">
        <f t="shared" si="7"/>
        <v>46222</v>
      </c>
      <c r="K88" s="249">
        <f>J88+1</f>
        <v>46223</v>
      </c>
    </row>
    <row r="89">
      <c r="A89" s="248">
        <v>46225.0</v>
      </c>
      <c r="B89" s="244">
        <f t="shared" si="1"/>
        <v>22</v>
      </c>
      <c r="C89" s="244">
        <f t="shared" si="2"/>
        <v>7</v>
      </c>
      <c r="E89" s="32">
        <v>60.0</v>
      </c>
      <c r="F89" s="32" t="s">
        <v>327</v>
      </c>
      <c r="J89" s="243">
        <f t="shared" si="7"/>
        <v>46225</v>
      </c>
      <c r="K89" s="249">
        <f>J89+2</f>
        <v>46227</v>
      </c>
    </row>
    <row r="90">
      <c r="A90" s="248">
        <v>46225.0</v>
      </c>
      <c r="B90" s="244">
        <f t="shared" si="1"/>
        <v>22</v>
      </c>
      <c r="C90" s="244">
        <f t="shared" si="2"/>
        <v>7</v>
      </c>
      <c r="E90" s="32">
        <v>35.0</v>
      </c>
      <c r="F90" s="32" t="s">
        <v>327</v>
      </c>
      <c r="J90" s="243">
        <f t="shared" si="7"/>
        <v>46225</v>
      </c>
      <c r="K90" s="249">
        <f t="shared" ref="K90:K93" si="13">J90+1</f>
        <v>46226</v>
      </c>
    </row>
    <row r="91">
      <c r="A91" s="248">
        <v>46223.0</v>
      </c>
      <c r="B91" s="244">
        <f t="shared" si="1"/>
        <v>20</v>
      </c>
      <c r="C91" s="244">
        <f t="shared" si="2"/>
        <v>7</v>
      </c>
      <c r="E91" s="32">
        <v>45.0</v>
      </c>
      <c r="F91" s="32" t="s">
        <v>10</v>
      </c>
      <c r="I91" s="32" t="s">
        <v>468</v>
      </c>
      <c r="J91" s="243">
        <f t="shared" si="7"/>
        <v>46223</v>
      </c>
      <c r="K91" s="249">
        <f t="shared" si="13"/>
        <v>46224</v>
      </c>
    </row>
    <row r="92">
      <c r="A92" s="248">
        <v>46225.0</v>
      </c>
      <c r="B92" s="244">
        <f t="shared" si="1"/>
        <v>22</v>
      </c>
      <c r="C92" s="244">
        <f t="shared" si="2"/>
        <v>7</v>
      </c>
      <c r="E92" s="32">
        <v>35.0</v>
      </c>
      <c r="F92" s="32" t="s">
        <v>327</v>
      </c>
      <c r="J92" s="243">
        <f t="shared" si="7"/>
        <v>46225</v>
      </c>
      <c r="K92" s="249">
        <f t="shared" si="13"/>
        <v>46226</v>
      </c>
    </row>
    <row r="93">
      <c r="A93" s="248">
        <v>46226.0</v>
      </c>
      <c r="B93" s="244">
        <f t="shared" si="1"/>
        <v>23</v>
      </c>
      <c r="C93" s="244">
        <f t="shared" si="2"/>
        <v>7</v>
      </c>
      <c r="E93" s="32">
        <v>10.0</v>
      </c>
      <c r="F93" s="32" t="s">
        <v>327</v>
      </c>
      <c r="I93" s="32" t="s">
        <v>469</v>
      </c>
      <c r="J93" s="243">
        <f t="shared" si="7"/>
        <v>46226</v>
      </c>
      <c r="K93" s="249">
        <f t="shared" si="13"/>
        <v>46227</v>
      </c>
    </row>
    <row r="94">
      <c r="A94" s="248">
        <v>46227.0</v>
      </c>
      <c r="B94" s="244">
        <f t="shared" si="1"/>
        <v>24</v>
      </c>
      <c r="C94" s="244">
        <f t="shared" si="2"/>
        <v>7</v>
      </c>
      <c r="E94" s="32">
        <v>110.0</v>
      </c>
      <c r="F94" s="32" t="s">
        <v>327</v>
      </c>
      <c r="I94" s="32" t="s">
        <v>449</v>
      </c>
      <c r="J94" s="243">
        <f t="shared" si="7"/>
        <v>46227</v>
      </c>
      <c r="K94" s="249">
        <f>J94+2</f>
        <v>46229</v>
      </c>
    </row>
    <row r="95">
      <c r="A95" s="248">
        <v>46228.0</v>
      </c>
      <c r="B95" s="244">
        <f t="shared" si="1"/>
        <v>25</v>
      </c>
      <c r="C95" s="244">
        <f t="shared" si="2"/>
        <v>7</v>
      </c>
      <c r="E95" s="32">
        <v>40.0</v>
      </c>
      <c r="F95" s="32" t="s">
        <v>327</v>
      </c>
      <c r="I95" s="32" t="s">
        <v>469</v>
      </c>
      <c r="J95" s="243">
        <f t="shared" si="7"/>
        <v>46228</v>
      </c>
      <c r="K95" s="249">
        <f t="shared" ref="K95:K96" si="14">J95+1</f>
        <v>46229</v>
      </c>
    </row>
    <row r="96">
      <c r="A96" s="248">
        <v>46228.0</v>
      </c>
      <c r="B96" s="244">
        <f t="shared" si="1"/>
        <v>25</v>
      </c>
      <c r="C96" s="244">
        <f t="shared" si="2"/>
        <v>7</v>
      </c>
      <c r="E96" s="32">
        <v>30.0</v>
      </c>
      <c r="F96" s="32" t="s">
        <v>327</v>
      </c>
      <c r="I96" s="32" t="s">
        <v>469</v>
      </c>
      <c r="J96" s="243">
        <f t="shared" si="7"/>
        <v>46228</v>
      </c>
      <c r="K96" s="249">
        <f t="shared" si="14"/>
        <v>46229</v>
      </c>
    </row>
    <row r="97">
      <c r="A97" s="248">
        <v>46229.0</v>
      </c>
      <c r="B97" s="244">
        <f t="shared" si="1"/>
        <v>26</v>
      </c>
      <c r="C97" s="244">
        <f t="shared" si="2"/>
        <v>7</v>
      </c>
      <c r="E97" s="32">
        <v>99.0</v>
      </c>
      <c r="F97" s="32" t="s">
        <v>327</v>
      </c>
      <c r="I97" s="32" t="s">
        <v>470</v>
      </c>
      <c r="J97" s="243">
        <f t="shared" si="7"/>
        <v>46229</v>
      </c>
      <c r="K97" s="249">
        <f>J97+2</f>
        <v>46231</v>
      </c>
    </row>
    <row r="98">
      <c r="A98" s="248">
        <v>46229.0</v>
      </c>
      <c r="B98" s="244">
        <f t="shared" si="1"/>
        <v>26</v>
      </c>
      <c r="C98" s="244">
        <f t="shared" si="2"/>
        <v>7</v>
      </c>
      <c r="E98" s="32">
        <v>30.0</v>
      </c>
      <c r="F98" s="32" t="s">
        <v>327</v>
      </c>
      <c r="I98" s="32" t="s">
        <v>449</v>
      </c>
      <c r="J98" s="243">
        <f t="shared" si="7"/>
        <v>46229</v>
      </c>
      <c r="K98" s="249">
        <f t="shared" ref="K98:K108" si="15">J98+1</f>
        <v>46230</v>
      </c>
    </row>
    <row r="99">
      <c r="A99" s="248">
        <v>46229.0</v>
      </c>
      <c r="B99" s="244">
        <f t="shared" si="1"/>
        <v>26</v>
      </c>
      <c r="C99" s="244">
        <f t="shared" si="2"/>
        <v>7</v>
      </c>
      <c r="E99" s="32">
        <v>30.0</v>
      </c>
      <c r="F99" s="32" t="s">
        <v>327</v>
      </c>
      <c r="I99" s="32" t="s">
        <v>449</v>
      </c>
      <c r="J99" s="243">
        <f t="shared" si="7"/>
        <v>46229</v>
      </c>
      <c r="K99" s="249">
        <f t="shared" si="15"/>
        <v>46230</v>
      </c>
    </row>
    <row r="100">
      <c r="A100" s="248">
        <v>46230.0</v>
      </c>
      <c r="B100" s="244">
        <f t="shared" si="1"/>
        <v>27</v>
      </c>
      <c r="C100" s="244">
        <f t="shared" si="2"/>
        <v>7</v>
      </c>
      <c r="E100" s="32">
        <v>44.0</v>
      </c>
      <c r="F100" s="32" t="s">
        <v>327</v>
      </c>
      <c r="I100" s="32" t="s">
        <v>470</v>
      </c>
      <c r="J100" s="243">
        <f t="shared" si="7"/>
        <v>46230</v>
      </c>
      <c r="K100" s="249">
        <f t="shared" si="15"/>
        <v>46231</v>
      </c>
    </row>
    <row r="101">
      <c r="A101" s="261">
        <v>46230.0</v>
      </c>
      <c r="B101" s="244">
        <f t="shared" si="1"/>
        <v>27</v>
      </c>
      <c r="C101" s="244">
        <f t="shared" si="2"/>
        <v>7</v>
      </c>
      <c r="E101" s="32">
        <v>30.0</v>
      </c>
      <c r="F101" s="32" t="s">
        <v>327</v>
      </c>
      <c r="I101" s="32" t="s">
        <v>449</v>
      </c>
      <c r="J101" s="243">
        <f t="shared" si="7"/>
        <v>46230</v>
      </c>
      <c r="K101" s="249">
        <f t="shared" si="15"/>
        <v>46231</v>
      </c>
    </row>
    <row r="102">
      <c r="A102" s="248">
        <v>46231.0</v>
      </c>
      <c r="B102" s="244">
        <f t="shared" si="1"/>
        <v>28</v>
      </c>
      <c r="C102" s="244">
        <f t="shared" si="2"/>
        <v>7</v>
      </c>
      <c r="D102" s="32">
        <v>2.0</v>
      </c>
      <c r="E102" s="32">
        <v>60.0</v>
      </c>
      <c r="F102" s="32" t="s">
        <v>327</v>
      </c>
      <c r="I102" s="32" t="s">
        <v>449</v>
      </c>
      <c r="J102" s="243">
        <f t="shared" si="7"/>
        <v>46231</v>
      </c>
      <c r="K102" s="249">
        <f t="shared" si="15"/>
        <v>46232</v>
      </c>
    </row>
    <row r="103">
      <c r="A103" s="248">
        <v>46233.0</v>
      </c>
      <c r="B103" s="244">
        <f t="shared" si="1"/>
        <v>30</v>
      </c>
      <c r="C103" s="244">
        <f t="shared" si="2"/>
        <v>7</v>
      </c>
      <c r="E103" s="32">
        <v>30.0</v>
      </c>
      <c r="F103" s="32" t="s">
        <v>327</v>
      </c>
      <c r="I103" s="32" t="s">
        <v>472</v>
      </c>
      <c r="J103" s="243">
        <f t="shared" si="7"/>
        <v>46233</v>
      </c>
      <c r="K103" s="249">
        <f t="shared" si="15"/>
        <v>46234</v>
      </c>
    </row>
    <row r="104">
      <c r="A104" s="262"/>
      <c r="B104" s="263">
        <f t="shared" si="1"/>
        <v>30</v>
      </c>
      <c r="C104" s="263">
        <f t="shared" si="2"/>
        <v>12</v>
      </c>
      <c r="D104" s="264">
        <v>2.0</v>
      </c>
      <c r="E104" s="264">
        <v>82.0</v>
      </c>
      <c r="F104" s="264" t="s">
        <v>327</v>
      </c>
      <c r="G104" s="265"/>
      <c r="H104" s="265"/>
      <c r="I104" s="264" t="s">
        <v>461</v>
      </c>
      <c r="J104" s="266" t="str">
        <f t="shared" si="7"/>
        <v/>
      </c>
      <c r="K104" s="267">
        <f t="shared" si="15"/>
        <v>1</v>
      </c>
      <c r="L104" s="265"/>
      <c r="M104" s="265"/>
      <c r="N104" s="265"/>
      <c r="O104" s="265"/>
      <c r="P104" s="265"/>
      <c r="Q104" s="265"/>
      <c r="R104" s="265"/>
      <c r="S104" s="265"/>
      <c r="T104" s="265"/>
      <c r="U104" s="265"/>
      <c r="V104" s="265"/>
      <c r="W104" s="265"/>
      <c r="X104" s="265"/>
      <c r="Y104" s="265"/>
      <c r="Z104" s="265"/>
    </row>
    <row r="105">
      <c r="A105" s="248">
        <v>46232.0</v>
      </c>
      <c r="B105" s="244">
        <f t="shared" si="1"/>
        <v>29</v>
      </c>
      <c r="C105" s="244">
        <f t="shared" si="2"/>
        <v>7</v>
      </c>
      <c r="E105" s="32">
        <v>35.0</v>
      </c>
      <c r="F105" s="32" t="s">
        <v>352</v>
      </c>
      <c r="I105" s="32" t="s">
        <v>473</v>
      </c>
      <c r="J105" s="243">
        <f t="shared" si="7"/>
        <v>46232</v>
      </c>
      <c r="K105" s="249">
        <f t="shared" si="15"/>
        <v>46233</v>
      </c>
    </row>
    <row r="106">
      <c r="A106" s="248">
        <v>46233.0</v>
      </c>
      <c r="B106" s="244">
        <f t="shared" si="1"/>
        <v>30</v>
      </c>
      <c r="C106" s="244">
        <f t="shared" si="2"/>
        <v>7</v>
      </c>
      <c r="E106" s="32">
        <v>45.0</v>
      </c>
      <c r="F106" s="32" t="s">
        <v>327</v>
      </c>
      <c r="I106" s="32" t="s">
        <v>474</v>
      </c>
      <c r="J106" s="243">
        <f t="shared" si="7"/>
        <v>46233</v>
      </c>
      <c r="K106" s="249">
        <f t="shared" si="15"/>
        <v>46234</v>
      </c>
    </row>
    <row r="107">
      <c r="A107" s="243">
        <v>46234.0</v>
      </c>
      <c r="B107" s="244">
        <f t="shared" si="1"/>
        <v>31</v>
      </c>
      <c r="C107" s="244">
        <f t="shared" si="2"/>
        <v>7</v>
      </c>
      <c r="D107" s="244"/>
      <c r="E107" s="245">
        <v>30.0</v>
      </c>
      <c r="F107" s="82" t="s">
        <v>327</v>
      </c>
      <c r="G107" s="235"/>
      <c r="H107" s="235"/>
      <c r="I107" s="32" t="s">
        <v>449</v>
      </c>
      <c r="J107" s="243">
        <f t="shared" si="7"/>
        <v>46234</v>
      </c>
      <c r="K107" s="249">
        <f t="shared" si="15"/>
        <v>46235</v>
      </c>
    </row>
    <row r="108">
      <c r="A108" s="243">
        <v>46234.0</v>
      </c>
      <c r="B108" s="244">
        <f t="shared" si="1"/>
        <v>31</v>
      </c>
      <c r="C108" s="244">
        <f t="shared" si="2"/>
        <v>7</v>
      </c>
      <c r="E108" s="32">
        <v>45.0</v>
      </c>
      <c r="F108" s="82" t="s">
        <v>327</v>
      </c>
      <c r="I108" s="32" t="s">
        <v>475</v>
      </c>
      <c r="J108" s="243">
        <f t="shared" si="7"/>
        <v>46234</v>
      </c>
      <c r="K108" s="249">
        <f t="shared" si="15"/>
        <v>46235</v>
      </c>
    </row>
    <row r="109">
      <c r="A109" s="248"/>
      <c r="B109" s="244"/>
      <c r="C109" s="244"/>
      <c r="J109" s="243"/>
    </row>
    <row r="110">
      <c r="J110" s="243" t="str">
        <f t="shared" ref="J110:J111" si="16">A110</f>
        <v/>
      </c>
      <c r="K110" s="249">
        <f t="shared" ref="K110:K111" si="17">J110+1</f>
        <v>1</v>
      </c>
    </row>
    <row r="111">
      <c r="J111" s="243" t="str">
        <f t="shared" si="16"/>
        <v/>
      </c>
      <c r="K111" s="249">
        <f t="shared" si="17"/>
        <v>1</v>
      </c>
    </row>
  </sheetData>
  <autoFilter ref="$A$1:$Z$995">
    <filterColumn colId="2">
      <filters blank="1">
        <filter val="12"/>
        <filter val="7"/>
      </filters>
    </filterColumn>
    <sortState ref="A1:Z995">
      <sortCondition ref="B1:B995"/>
      <sortCondition ref="I1:I995"/>
    </sortState>
  </autoFil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2.63"/>
    <col customWidth="1" min="2" max="2" width="5.75"/>
    <col customWidth="1" min="3" max="3" width="6.0"/>
    <col customWidth="1" min="4" max="4" width="5.88"/>
    <col customWidth="1" min="5" max="5" width="17.75"/>
    <col customWidth="1" min="6" max="7" width="9.38"/>
    <col customWidth="1" min="8" max="8" width="12.0"/>
    <col customWidth="1" min="9" max="9" width="12.88"/>
  </cols>
  <sheetData>
    <row r="1">
      <c r="A1" s="272" t="s">
        <v>481</v>
      </c>
      <c r="B1" s="273"/>
      <c r="C1" s="273"/>
      <c r="D1" s="273"/>
      <c r="E1" s="273"/>
      <c r="F1" s="273"/>
      <c r="G1" s="273"/>
      <c r="H1" s="273"/>
      <c r="I1" s="275"/>
      <c r="J1" s="276"/>
      <c r="K1" s="276"/>
      <c r="L1" s="276"/>
      <c r="M1" s="276"/>
      <c r="N1" s="276"/>
      <c r="O1" s="276"/>
      <c r="P1" s="276"/>
      <c r="Q1" s="276"/>
      <c r="R1" s="276"/>
      <c r="S1" s="276"/>
      <c r="T1" s="276"/>
      <c r="U1" s="276"/>
      <c r="V1" s="276"/>
      <c r="W1" s="276"/>
      <c r="X1" s="276"/>
    </row>
    <row r="2">
      <c r="A2" s="277" t="s">
        <v>23</v>
      </c>
      <c r="B2" s="277" t="s">
        <v>483</v>
      </c>
      <c r="C2" s="279" t="s">
        <v>484</v>
      </c>
      <c r="D2" s="279" t="s">
        <v>485</v>
      </c>
      <c r="E2" s="280" t="s">
        <v>486</v>
      </c>
      <c r="F2" s="281" t="s">
        <v>487</v>
      </c>
      <c r="G2" s="281" t="s">
        <v>488</v>
      </c>
      <c r="H2" s="281" t="s">
        <v>9</v>
      </c>
      <c r="I2" s="282" t="s">
        <v>489</v>
      </c>
      <c r="J2" s="276"/>
      <c r="K2" s="276"/>
      <c r="L2" s="276"/>
      <c r="M2" s="276"/>
      <c r="N2" s="276"/>
      <c r="O2" s="276"/>
      <c r="P2" s="276"/>
      <c r="Q2" s="276"/>
      <c r="R2" s="276"/>
      <c r="S2" s="276"/>
      <c r="T2" s="276"/>
      <c r="U2" s="276"/>
      <c r="V2" s="276"/>
      <c r="W2" s="276"/>
      <c r="X2" s="276"/>
    </row>
    <row r="3" ht="15.75" customHeight="1">
      <c r="A3" s="283">
        <v>46143.0</v>
      </c>
      <c r="B3" s="284">
        <f t="shared" ref="B3:B251" si="1">day(A3)</f>
        <v>1</v>
      </c>
      <c r="C3" s="284">
        <f t="shared" ref="C3:C251" si="2">month(A3)</f>
        <v>5</v>
      </c>
      <c r="D3" s="284">
        <f t="shared" ref="D3:D251" si="3">year(A3)</f>
        <v>2026</v>
      </c>
      <c r="E3" s="285" t="s">
        <v>250</v>
      </c>
      <c r="F3" s="286">
        <v>2.0</v>
      </c>
      <c r="G3" s="287">
        <v>2.0</v>
      </c>
      <c r="H3" s="288">
        <f t="shared" ref="H3:H154" si="4">F3*G3</f>
        <v>4</v>
      </c>
      <c r="I3" s="285" t="s">
        <v>319</v>
      </c>
      <c r="J3" s="276"/>
      <c r="K3" s="276"/>
      <c r="L3" s="276"/>
      <c r="M3" s="276"/>
      <c r="N3" s="276"/>
      <c r="O3" s="276"/>
      <c r="P3" s="276"/>
      <c r="Q3" s="276"/>
      <c r="R3" s="276"/>
      <c r="S3" s="276"/>
      <c r="T3" s="276"/>
      <c r="U3" s="276"/>
      <c r="V3" s="276"/>
      <c r="W3" s="276"/>
      <c r="X3" s="276"/>
    </row>
    <row r="4" ht="15.75" customHeight="1">
      <c r="A4" s="283">
        <v>46144.0</v>
      </c>
      <c r="B4" s="284">
        <f t="shared" si="1"/>
        <v>2</v>
      </c>
      <c r="C4" s="284">
        <f t="shared" si="2"/>
        <v>5</v>
      </c>
      <c r="D4" s="284">
        <f t="shared" si="3"/>
        <v>2026</v>
      </c>
      <c r="E4" s="285" t="s">
        <v>228</v>
      </c>
      <c r="F4" s="286">
        <v>1.0</v>
      </c>
      <c r="G4" s="287">
        <v>15.0</v>
      </c>
      <c r="H4" s="288">
        <f t="shared" si="4"/>
        <v>15</v>
      </c>
      <c r="I4" s="285" t="s">
        <v>319</v>
      </c>
      <c r="J4" s="276"/>
      <c r="K4" s="276"/>
      <c r="L4" s="276"/>
      <c r="M4" s="276"/>
      <c r="N4" s="276"/>
      <c r="O4" s="276"/>
      <c r="P4" s="276"/>
      <c r="Q4" s="276"/>
      <c r="R4" s="276"/>
      <c r="S4" s="276"/>
      <c r="T4" s="276"/>
      <c r="U4" s="276"/>
      <c r="V4" s="276"/>
      <c r="W4" s="276"/>
      <c r="X4" s="276"/>
    </row>
    <row r="5" ht="15.75" customHeight="1">
      <c r="A5" s="283">
        <v>46144.0</v>
      </c>
      <c r="B5" s="284">
        <f t="shared" si="1"/>
        <v>2</v>
      </c>
      <c r="C5" s="284">
        <f t="shared" si="2"/>
        <v>5</v>
      </c>
      <c r="D5" s="284">
        <f t="shared" si="3"/>
        <v>2026</v>
      </c>
      <c r="E5" s="285" t="s">
        <v>272</v>
      </c>
      <c r="F5" s="286">
        <v>1.0</v>
      </c>
      <c r="G5" s="287">
        <v>10.0</v>
      </c>
      <c r="H5" s="288">
        <f t="shared" si="4"/>
        <v>10</v>
      </c>
      <c r="I5" s="285" t="s">
        <v>319</v>
      </c>
      <c r="J5" s="276"/>
      <c r="K5" s="276"/>
      <c r="L5" s="276"/>
      <c r="M5" s="276"/>
      <c r="N5" s="276"/>
      <c r="O5" s="276"/>
      <c r="P5" s="276"/>
      <c r="Q5" s="276"/>
      <c r="R5" s="276"/>
      <c r="S5" s="276"/>
      <c r="T5" s="276"/>
      <c r="U5" s="276"/>
      <c r="V5" s="276"/>
      <c r="W5" s="276"/>
      <c r="X5" s="276"/>
    </row>
    <row r="6" ht="15.75" customHeight="1">
      <c r="A6" s="283">
        <v>46144.0</v>
      </c>
      <c r="B6" s="284">
        <f t="shared" si="1"/>
        <v>2</v>
      </c>
      <c r="C6" s="284">
        <f t="shared" si="2"/>
        <v>5</v>
      </c>
      <c r="D6" s="284">
        <f t="shared" si="3"/>
        <v>2026</v>
      </c>
      <c r="E6" s="285" t="s">
        <v>250</v>
      </c>
      <c r="F6" s="286">
        <v>2.0</v>
      </c>
      <c r="G6" s="287">
        <v>2.0</v>
      </c>
      <c r="H6" s="288">
        <f t="shared" si="4"/>
        <v>4</v>
      </c>
      <c r="I6" s="285" t="s">
        <v>319</v>
      </c>
      <c r="J6" s="276"/>
      <c r="K6" s="276"/>
      <c r="L6" s="276"/>
      <c r="M6" s="276"/>
      <c r="N6" s="276"/>
      <c r="O6" s="276"/>
      <c r="P6" s="276"/>
      <c r="Q6" s="276"/>
      <c r="R6" s="276"/>
      <c r="S6" s="276"/>
      <c r="T6" s="276"/>
      <c r="U6" s="276"/>
      <c r="V6" s="276"/>
      <c r="W6" s="276"/>
      <c r="X6" s="276"/>
    </row>
    <row r="7" ht="15.75" customHeight="1">
      <c r="A7" s="283">
        <v>46145.0</v>
      </c>
      <c r="B7" s="284">
        <f t="shared" si="1"/>
        <v>3</v>
      </c>
      <c r="C7" s="284">
        <f t="shared" si="2"/>
        <v>5</v>
      </c>
      <c r="D7" s="284">
        <f t="shared" si="3"/>
        <v>2026</v>
      </c>
      <c r="E7" s="285" t="s">
        <v>272</v>
      </c>
      <c r="F7" s="286">
        <v>1.0</v>
      </c>
      <c r="G7" s="287">
        <v>10.0</v>
      </c>
      <c r="H7" s="288">
        <f t="shared" si="4"/>
        <v>10</v>
      </c>
      <c r="I7" s="285" t="s">
        <v>319</v>
      </c>
      <c r="J7" s="64"/>
      <c r="K7" s="276"/>
      <c r="L7" s="276"/>
      <c r="M7" s="276"/>
      <c r="N7" s="276"/>
      <c r="O7" s="276"/>
      <c r="P7" s="276"/>
      <c r="Q7" s="276"/>
      <c r="R7" s="276"/>
      <c r="S7" s="276"/>
      <c r="T7" s="276"/>
      <c r="U7" s="276"/>
      <c r="V7" s="276"/>
      <c r="W7" s="276"/>
      <c r="X7" s="276"/>
    </row>
    <row r="8" ht="15.75" customHeight="1">
      <c r="A8" s="283">
        <v>46145.0</v>
      </c>
      <c r="B8" s="284">
        <f t="shared" si="1"/>
        <v>3</v>
      </c>
      <c r="C8" s="284">
        <f t="shared" si="2"/>
        <v>5</v>
      </c>
      <c r="D8" s="284">
        <f t="shared" si="3"/>
        <v>2026</v>
      </c>
      <c r="E8" s="285" t="s">
        <v>272</v>
      </c>
      <c r="F8" s="286">
        <v>1.0</v>
      </c>
      <c r="G8" s="287">
        <v>10.0</v>
      </c>
      <c r="H8" s="288">
        <f t="shared" si="4"/>
        <v>10</v>
      </c>
      <c r="I8" s="285" t="s">
        <v>319</v>
      </c>
      <c r="J8" s="276"/>
      <c r="K8" s="276"/>
      <c r="L8" s="276"/>
      <c r="M8" s="276"/>
      <c r="N8" s="276"/>
      <c r="O8" s="276"/>
      <c r="P8" s="276"/>
      <c r="Q8" s="276"/>
      <c r="R8" s="276"/>
      <c r="S8" s="276"/>
      <c r="T8" s="276"/>
      <c r="U8" s="276"/>
      <c r="V8" s="276"/>
      <c r="W8" s="276"/>
      <c r="X8" s="276"/>
    </row>
    <row r="9" ht="15.75" customHeight="1">
      <c r="A9" s="283">
        <v>46145.0</v>
      </c>
      <c r="B9" s="284">
        <f t="shared" si="1"/>
        <v>3</v>
      </c>
      <c r="C9" s="284">
        <f t="shared" si="2"/>
        <v>5</v>
      </c>
      <c r="D9" s="284">
        <f t="shared" si="3"/>
        <v>2026</v>
      </c>
      <c r="E9" s="285" t="s">
        <v>250</v>
      </c>
      <c r="F9" s="286">
        <v>6.0</v>
      </c>
      <c r="G9" s="287">
        <v>2.0</v>
      </c>
      <c r="H9" s="288">
        <f t="shared" si="4"/>
        <v>12</v>
      </c>
      <c r="I9" s="285" t="s">
        <v>319</v>
      </c>
      <c r="J9" s="276"/>
      <c r="K9" s="276"/>
      <c r="L9" s="276"/>
      <c r="M9" s="276"/>
      <c r="N9" s="276"/>
      <c r="O9" s="276"/>
      <c r="P9" s="276"/>
      <c r="Q9" s="276"/>
      <c r="R9" s="276"/>
      <c r="S9" s="276"/>
      <c r="T9" s="276"/>
      <c r="U9" s="276"/>
      <c r="V9" s="276"/>
      <c r="W9" s="276"/>
      <c r="X9" s="276"/>
    </row>
    <row r="10" ht="15.75" customHeight="1">
      <c r="A10" s="289">
        <v>46146.0</v>
      </c>
      <c r="B10" s="284">
        <f t="shared" si="1"/>
        <v>4</v>
      </c>
      <c r="C10" s="284">
        <f t="shared" si="2"/>
        <v>5</v>
      </c>
      <c r="D10" s="284">
        <f t="shared" si="3"/>
        <v>2026</v>
      </c>
      <c r="E10" s="285" t="s">
        <v>228</v>
      </c>
      <c r="F10" s="285">
        <v>2.0</v>
      </c>
      <c r="G10" s="290">
        <v>15.0</v>
      </c>
      <c r="H10" s="288">
        <f t="shared" si="4"/>
        <v>30</v>
      </c>
      <c r="I10" s="285" t="s">
        <v>319</v>
      </c>
      <c r="J10" s="276"/>
      <c r="K10" s="276"/>
      <c r="L10" s="276"/>
      <c r="M10" s="276"/>
      <c r="N10" s="276"/>
      <c r="O10" s="276"/>
      <c r="P10" s="276"/>
      <c r="Q10" s="276"/>
      <c r="R10" s="276"/>
      <c r="S10" s="276"/>
      <c r="T10" s="276"/>
      <c r="U10" s="276"/>
      <c r="V10" s="276"/>
      <c r="W10" s="276"/>
      <c r="X10" s="276"/>
    </row>
    <row r="11" ht="15.75" customHeight="1">
      <c r="A11" s="289">
        <v>46146.0</v>
      </c>
      <c r="B11" s="284">
        <f t="shared" si="1"/>
        <v>4</v>
      </c>
      <c r="C11" s="284">
        <f t="shared" si="2"/>
        <v>5</v>
      </c>
      <c r="D11" s="284">
        <f t="shared" si="3"/>
        <v>2026</v>
      </c>
      <c r="E11" s="285" t="s">
        <v>272</v>
      </c>
      <c r="F11" s="285">
        <v>1.0</v>
      </c>
      <c r="G11" s="290">
        <v>5.0</v>
      </c>
      <c r="H11" s="288">
        <f t="shared" si="4"/>
        <v>5</v>
      </c>
      <c r="I11" s="285" t="s">
        <v>319</v>
      </c>
      <c r="J11" s="276"/>
      <c r="K11" s="276"/>
      <c r="L11" s="276"/>
      <c r="M11" s="276"/>
      <c r="N11" s="276"/>
      <c r="O11" s="276"/>
      <c r="P11" s="276"/>
      <c r="Q11" s="276"/>
      <c r="R11" s="276"/>
      <c r="S11" s="276"/>
      <c r="T11" s="276"/>
      <c r="U11" s="276"/>
      <c r="V11" s="276"/>
      <c r="W11" s="276"/>
      <c r="X11" s="276"/>
    </row>
    <row r="12" ht="15.75" customHeight="1">
      <c r="A12" s="289">
        <v>46146.0</v>
      </c>
      <c r="B12" s="284">
        <f t="shared" si="1"/>
        <v>4</v>
      </c>
      <c r="C12" s="284">
        <f t="shared" si="2"/>
        <v>5</v>
      </c>
      <c r="D12" s="284">
        <f t="shared" si="3"/>
        <v>2026</v>
      </c>
      <c r="E12" s="285" t="s">
        <v>250</v>
      </c>
      <c r="F12" s="285">
        <v>2.0</v>
      </c>
      <c r="G12" s="290">
        <v>2.0</v>
      </c>
      <c r="H12" s="288">
        <f t="shared" si="4"/>
        <v>4</v>
      </c>
      <c r="I12" s="285" t="s">
        <v>319</v>
      </c>
      <c r="J12" s="276"/>
      <c r="K12" s="276"/>
      <c r="L12" s="276"/>
      <c r="M12" s="276"/>
      <c r="N12" s="276"/>
      <c r="O12" s="276"/>
      <c r="P12" s="276"/>
      <c r="Q12" s="276"/>
      <c r="R12" s="276"/>
      <c r="S12" s="276"/>
      <c r="T12" s="276"/>
      <c r="U12" s="276"/>
      <c r="V12" s="276"/>
      <c r="W12" s="276"/>
      <c r="X12" s="276"/>
    </row>
    <row r="13" ht="15.75" customHeight="1">
      <c r="A13" s="289">
        <v>46147.0</v>
      </c>
      <c r="B13" s="284">
        <f t="shared" si="1"/>
        <v>5</v>
      </c>
      <c r="C13" s="284">
        <f t="shared" si="2"/>
        <v>5</v>
      </c>
      <c r="D13" s="284">
        <f t="shared" si="3"/>
        <v>2026</v>
      </c>
      <c r="E13" s="285" t="s">
        <v>250</v>
      </c>
      <c r="F13" s="285">
        <v>7.0</v>
      </c>
      <c r="G13" s="290">
        <v>2.0</v>
      </c>
      <c r="H13" s="288">
        <f t="shared" si="4"/>
        <v>14</v>
      </c>
      <c r="I13" s="285" t="s">
        <v>319</v>
      </c>
      <c r="J13" s="276"/>
      <c r="K13" s="276"/>
      <c r="L13" s="276"/>
      <c r="M13" s="276"/>
      <c r="N13" s="276"/>
      <c r="O13" s="276"/>
      <c r="P13" s="276"/>
      <c r="Q13" s="276"/>
      <c r="R13" s="276"/>
      <c r="S13" s="276"/>
      <c r="T13" s="276"/>
      <c r="U13" s="276"/>
      <c r="V13" s="276"/>
      <c r="W13" s="276"/>
      <c r="X13" s="276"/>
    </row>
    <row r="14" ht="15.75" customHeight="1">
      <c r="A14" s="283">
        <v>46148.0</v>
      </c>
      <c r="B14" s="284">
        <f t="shared" si="1"/>
        <v>6</v>
      </c>
      <c r="C14" s="284">
        <f t="shared" si="2"/>
        <v>5</v>
      </c>
      <c r="D14" s="284">
        <f t="shared" si="3"/>
        <v>2026</v>
      </c>
      <c r="E14" s="285" t="s">
        <v>250</v>
      </c>
      <c r="F14" s="286">
        <v>5.0</v>
      </c>
      <c r="G14" s="287">
        <v>2.0</v>
      </c>
      <c r="H14" s="288">
        <f t="shared" si="4"/>
        <v>10</v>
      </c>
      <c r="I14" s="285" t="s">
        <v>319</v>
      </c>
      <c r="J14" s="276"/>
      <c r="K14" s="276"/>
      <c r="L14" s="276"/>
      <c r="M14" s="276"/>
      <c r="N14" s="276"/>
      <c r="O14" s="276"/>
      <c r="P14" s="276"/>
      <c r="Q14" s="276"/>
      <c r="R14" s="276"/>
      <c r="S14" s="276"/>
      <c r="T14" s="276"/>
      <c r="U14" s="276"/>
      <c r="V14" s="276"/>
      <c r="W14" s="276"/>
      <c r="X14" s="276"/>
    </row>
    <row r="15" ht="15.75" customHeight="1">
      <c r="A15" s="283">
        <v>46148.0</v>
      </c>
      <c r="B15" s="284">
        <f t="shared" si="1"/>
        <v>6</v>
      </c>
      <c r="C15" s="284">
        <f t="shared" si="2"/>
        <v>5</v>
      </c>
      <c r="D15" s="284">
        <f t="shared" si="3"/>
        <v>2026</v>
      </c>
      <c r="E15" s="285" t="s">
        <v>250</v>
      </c>
      <c r="F15" s="285">
        <v>2.0</v>
      </c>
      <c r="G15" s="290">
        <v>2.0</v>
      </c>
      <c r="H15" s="288">
        <f t="shared" si="4"/>
        <v>4</v>
      </c>
      <c r="I15" s="285" t="s">
        <v>319</v>
      </c>
      <c r="J15" s="276"/>
      <c r="K15" s="276"/>
      <c r="L15" s="276"/>
      <c r="M15" s="276"/>
      <c r="N15" s="276"/>
      <c r="O15" s="276"/>
      <c r="P15" s="276"/>
      <c r="Q15" s="276"/>
      <c r="R15" s="276"/>
      <c r="S15" s="276"/>
      <c r="T15" s="276"/>
      <c r="U15" s="276"/>
      <c r="V15" s="276"/>
      <c r="W15" s="276"/>
      <c r="X15" s="276"/>
    </row>
    <row r="16" ht="15.75" customHeight="1">
      <c r="A16" s="289">
        <v>46149.0</v>
      </c>
      <c r="B16" s="284">
        <f t="shared" si="1"/>
        <v>7</v>
      </c>
      <c r="C16" s="284">
        <f t="shared" si="2"/>
        <v>5</v>
      </c>
      <c r="D16" s="284">
        <f t="shared" si="3"/>
        <v>2026</v>
      </c>
      <c r="E16" s="285" t="s">
        <v>250</v>
      </c>
      <c r="F16" s="285">
        <v>6.0</v>
      </c>
      <c r="G16" s="290">
        <v>2.0</v>
      </c>
      <c r="H16" s="288">
        <f t="shared" si="4"/>
        <v>12</v>
      </c>
      <c r="I16" s="285" t="s">
        <v>319</v>
      </c>
      <c r="J16" s="276"/>
      <c r="K16" s="276"/>
      <c r="L16" s="276"/>
      <c r="M16" s="276"/>
      <c r="N16" s="276"/>
      <c r="O16" s="276"/>
      <c r="P16" s="276"/>
      <c r="Q16" s="276"/>
      <c r="R16" s="276"/>
      <c r="S16" s="276"/>
      <c r="T16" s="276"/>
      <c r="U16" s="276"/>
      <c r="V16" s="276"/>
      <c r="W16" s="276"/>
      <c r="X16" s="276"/>
    </row>
    <row r="17" ht="15.75" customHeight="1">
      <c r="A17" s="297">
        <v>46150.0</v>
      </c>
      <c r="B17" s="284">
        <f t="shared" si="1"/>
        <v>8</v>
      </c>
      <c r="C17" s="284">
        <f t="shared" si="2"/>
        <v>5</v>
      </c>
      <c r="D17" s="284">
        <f t="shared" si="3"/>
        <v>2026</v>
      </c>
      <c r="E17" s="285" t="s">
        <v>250</v>
      </c>
      <c r="F17" s="285">
        <v>2.0</v>
      </c>
      <c r="G17" s="290">
        <v>2.0</v>
      </c>
      <c r="H17" s="288">
        <f t="shared" si="4"/>
        <v>4</v>
      </c>
      <c r="I17" s="285" t="s">
        <v>319</v>
      </c>
      <c r="J17" s="276"/>
      <c r="K17" s="276"/>
      <c r="L17" s="276"/>
      <c r="M17" s="276"/>
      <c r="N17" s="276"/>
      <c r="O17" s="276"/>
      <c r="P17" s="276"/>
      <c r="Q17" s="276"/>
      <c r="R17" s="276"/>
      <c r="S17" s="276"/>
      <c r="T17" s="276"/>
      <c r="U17" s="276"/>
      <c r="V17" s="276"/>
      <c r="W17" s="276"/>
      <c r="X17" s="276"/>
    </row>
    <row r="18" ht="15.75" customHeight="1">
      <c r="A18" s="297">
        <v>46150.0</v>
      </c>
      <c r="B18" s="284">
        <f t="shared" si="1"/>
        <v>8</v>
      </c>
      <c r="C18" s="284">
        <f t="shared" si="2"/>
        <v>5</v>
      </c>
      <c r="D18" s="284">
        <f t="shared" si="3"/>
        <v>2026</v>
      </c>
      <c r="E18" s="285" t="s">
        <v>222</v>
      </c>
      <c r="F18" s="35">
        <v>1.0</v>
      </c>
      <c r="G18" s="290">
        <v>1.5</v>
      </c>
      <c r="H18" s="288">
        <f t="shared" si="4"/>
        <v>1.5</v>
      </c>
      <c r="I18" s="285" t="s">
        <v>319</v>
      </c>
      <c r="J18" s="276"/>
      <c r="K18" s="276"/>
      <c r="L18" s="276"/>
      <c r="M18" s="276"/>
      <c r="N18" s="276"/>
      <c r="O18" s="276"/>
      <c r="P18" s="276"/>
      <c r="Q18" s="276"/>
      <c r="R18" s="276"/>
      <c r="S18" s="276"/>
      <c r="T18" s="276"/>
      <c r="U18" s="276"/>
      <c r="V18" s="276"/>
      <c r="W18" s="276"/>
      <c r="X18" s="276"/>
    </row>
    <row r="19" ht="15.75" customHeight="1">
      <c r="A19" s="289">
        <v>46151.0</v>
      </c>
      <c r="B19" s="284">
        <f t="shared" si="1"/>
        <v>9</v>
      </c>
      <c r="C19" s="284">
        <f t="shared" si="2"/>
        <v>5</v>
      </c>
      <c r="D19" s="284">
        <f t="shared" si="3"/>
        <v>2026</v>
      </c>
      <c r="E19" s="285" t="s">
        <v>250</v>
      </c>
      <c r="F19" s="285">
        <v>9.0</v>
      </c>
      <c r="G19" s="290">
        <v>2.0</v>
      </c>
      <c r="H19" s="288">
        <f t="shared" si="4"/>
        <v>18</v>
      </c>
      <c r="I19" s="285" t="s">
        <v>319</v>
      </c>
      <c r="J19" s="276"/>
      <c r="K19" s="276"/>
      <c r="L19" s="276"/>
      <c r="M19" s="276"/>
      <c r="N19" s="276"/>
      <c r="O19" s="276"/>
      <c r="P19" s="276"/>
      <c r="Q19" s="276"/>
      <c r="R19" s="276"/>
      <c r="S19" s="276"/>
      <c r="T19" s="276"/>
      <c r="U19" s="276"/>
      <c r="V19" s="276"/>
      <c r="W19" s="276"/>
      <c r="X19" s="276"/>
    </row>
    <row r="20" ht="15.75" customHeight="1">
      <c r="A20" s="297">
        <v>46152.0</v>
      </c>
      <c r="B20" s="284">
        <f t="shared" si="1"/>
        <v>10</v>
      </c>
      <c r="C20" s="284">
        <f t="shared" si="2"/>
        <v>5</v>
      </c>
      <c r="D20" s="284">
        <f t="shared" si="3"/>
        <v>2026</v>
      </c>
      <c r="E20" s="285" t="s">
        <v>250</v>
      </c>
      <c r="F20" s="285">
        <v>1.0</v>
      </c>
      <c r="G20" s="290">
        <v>5.0</v>
      </c>
      <c r="H20" s="288">
        <f t="shared" si="4"/>
        <v>5</v>
      </c>
      <c r="I20" s="285" t="s">
        <v>319</v>
      </c>
      <c r="J20" s="276"/>
      <c r="K20" s="276"/>
      <c r="L20" s="276"/>
      <c r="M20" s="276"/>
      <c r="N20" s="276"/>
      <c r="O20" s="276"/>
      <c r="P20" s="276"/>
      <c r="Q20" s="276"/>
      <c r="R20" s="276"/>
      <c r="S20" s="276"/>
      <c r="T20" s="276"/>
      <c r="U20" s="276"/>
      <c r="V20" s="276"/>
      <c r="W20" s="276"/>
      <c r="X20" s="276"/>
    </row>
    <row r="21" ht="15.75" customHeight="1">
      <c r="A21" s="297">
        <v>46152.0</v>
      </c>
      <c r="B21" s="284">
        <f t="shared" si="1"/>
        <v>10</v>
      </c>
      <c r="C21" s="284">
        <f t="shared" si="2"/>
        <v>5</v>
      </c>
      <c r="D21" s="284">
        <f t="shared" si="3"/>
        <v>2026</v>
      </c>
      <c r="E21" s="285" t="s">
        <v>275</v>
      </c>
      <c r="F21" s="285">
        <v>1.0</v>
      </c>
      <c r="G21" s="290">
        <v>15.0</v>
      </c>
      <c r="H21" s="288">
        <f t="shared" si="4"/>
        <v>15</v>
      </c>
      <c r="I21" s="285" t="s">
        <v>319</v>
      </c>
      <c r="J21" s="276"/>
      <c r="K21" s="276"/>
      <c r="L21" s="276"/>
      <c r="M21" s="276"/>
      <c r="N21" s="276"/>
      <c r="O21" s="276"/>
      <c r="P21" s="276"/>
      <c r="Q21" s="276"/>
      <c r="R21" s="276"/>
      <c r="S21" s="276"/>
      <c r="T21" s="276"/>
      <c r="U21" s="276"/>
      <c r="V21" s="276"/>
      <c r="W21" s="276"/>
      <c r="X21" s="276"/>
    </row>
    <row r="22" ht="15.75" customHeight="1">
      <c r="A22" s="297">
        <v>46152.0</v>
      </c>
      <c r="B22" s="284">
        <f t="shared" si="1"/>
        <v>10</v>
      </c>
      <c r="C22" s="284">
        <f t="shared" si="2"/>
        <v>5</v>
      </c>
      <c r="D22" s="284">
        <f t="shared" si="3"/>
        <v>2026</v>
      </c>
      <c r="E22" s="285" t="s">
        <v>272</v>
      </c>
      <c r="F22" s="35">
        <v>8.0</v>
      </c>
      <c r="G22" s="290">
        <v>5.0</v>
      </c>
      <c r="H22" s="288">
        <f t="shared" si="4"/>
        <v>40</v>
      </c>
      <c r="I22" s="285" t="s">
        <v>319</v>
      </c>
      <c r="J22" s="276"/>
      <c r="K22" s="276"/>
      <c r="L22" s="276"/>
      <c r="M22" s="276"/>
      <c r="N22" s="276"/>
      <c r="O22" s="276"/>
      <c r="P22" s="276"/>
      <c r="Q22" s="276"/>
      <c r="R22" s="276"/>
      <c r="S22" s="276"/>
      <c r="T22" s="276"/>
      <c r="U22" s="276"/>
      <c r="V22" s="276"/>
      <c r="W22" s="276"/>
      <c r="X22" s="276"/>
    </row>
    <row r="23" ht="15.75" customHeight="1">
      <c r="A23" s="289">
        <v>46153.0</v>
      </c>
      <c r="B23" s="284">
        <f t="shared" si="1"/>
        <v>11</v>
      </c>
      <c r="C23" s="284">
        <f t="shared" si="2"/>
        <v>5</v>
      </c>
      <c r="D23" s="284">
        <f t="shared" si="3"/>
        <v>2026</v>
      </c>
      <c r="E23" s="285" t="s">
        <v>250</v>
      </c>
      <c r="F23" s="35">
        <v>7.0</v>
      </c>
      <c r="G23" s="290">
        <v>2.0</v>
      </c>
      <c r="H23" s="288">
        <f t="shared" si="4"/>
        <v>14</v>
      </c>
      <c r="I23" s="285" t="s">
        <v>319</v>
      </c>
      <c r="J23" s="276"/>
      <c r="K23" s="276"/>
      <c r="L23" s="276"/>
      <c r="M23" s="276"/>
      <c r="N23" s="276"/>
      <c r="O23" s="276"/>
      <c r="P23" s="276"/>
      <c r="Q23" s="276"/>
      <c r="R23" s="276"/>
      <c r="S23" s="276"/>
      <c r="T23" s="276"/>
      <c r="U23" s="276"/>
      <c r="V23" s="276"/>
      <c r="W23" s="276"/>
      <c r="X23" s="276"/>
    </row>
    <row r="24" ht="15.75" customHeight="1">
      <c r="A24" s="289">
        <v>46154.0</v>
      </c>
      <c r="B24" s="284">
        <f t="shared" si="1"/>
        <v>12</v>
      </c>
      <c r="C24" s="284">
        <f t="shared" si="2"/>
        <v>5</v>
      </c>
      <c r="D24" s="284">
        <f t="shared" si="3"/>
        <v>2026</v>
      </c>
      <c r="E24" s="285" t="s">
        <v>228</v>
      </c>
      <c r="F24" s="35">
        <v>1.0</v>
      </c>
      <c r="G24" s="290">
        <v>15.0</v>
      </c>
      <c r="H24" s="288">
        <f t="shared" si="4"/>
        <v>15</v>
      </c>
      <c r="I24" s="285" t="s">
        <v>319</v>
      </c>
      <c r="J24" s="276"/>
      <c r="K24" s="276"/>
      <c r="L24" s="276"/>
      <c r="M24" s="276"/>
      <c r="N24" s="276"/>
      <c r="O24" s="276"/>
      <c r="P24" s="276"/>
      <c r="Q24" s="276"/>
      <c r="R24" s="276"/>
      <c r="S24" s="276"/>
      <c r="T24" s="276"/>
      <c r="U24" s="276"/>
      <c r="V24" s="276"/>
      <c r="W24" s="276"/>
      <c r="X24" s="276"/>
    </row>
    <row r="25" ht="15.75" customHeight="1">
      <c r="A25" s="289">
        <v>46154.0</v>
      </c>
      <c r="B25" s="284">
        <f t="shared" si="1"/>
        <v>12</v>
      </c>
      <c r="C25" s="284">
        <f t="shared" si="2"/>
        <v>5</v>
      </c>
      <c r="D25" s="284">
        <f t="shared" si="3"/>
        <v>2026</v>
      </c>
      <c r="E25" s="285" t="s">
        <v>250</v>
      </c>
      <c r="F25" s="35">
        <v>1.0</v>
      </c>
      <c r="G25" s="290">
        <v>2.0</v>
      </c>
      <c r="H25" s="288">
        <f t="shared" si="4"/>
        <v>2</v>
      </c>
      <c r="I25" s="285" t="s">
        <v>319</v>
      </c>
      <c r="J25" s="276"/>
      <c r="K25" s="276"/>
      <c r="L25" s="276"/>
      <c r="M25" s="276"/>
      <c r="N25" s="276"/>
      <c r="O25" s="276"/>
      <c r="P25" s="276"/>
      <c r="Q25" s="276"/>
      <c r="R25" s="276"/>
      <c r="S25" s="276"/>
      <c r="T25" s="276"/>
      <c r="U25" s="276"/>
      <c r="V25" s="276"/>
      <c r="W25" s="276"/>
      <c r="X25" s="276"/>
    </row>
    <row r="26" ht="15.75" customHeight="1">
      <c r="A26" s="289">
        <v>46156.0</v>
      </c>
      <c r="B26" s="284">
        <f t="shared" si="1"/>
        <v>14</v>
      </c>
      <c r="C26" s="284">
        <f t="shared" si="2"/>
        <v>5</v>
      </c>
      <c r="D26" s="284">
        <f t="shared" si="3"/>
        <v>2026</v>
      </c>
      <c r="E26" s="285" t="s">
        <v>250</v>
      </c>
      <c r="F26" s="35">
        <v>6.0</v>
      </c>
      <c r="G26" s="290">
        <v>2.0</v>
      </c>
      <c r="H26" s="288">
        <f t="shared" si="4"/>
        <v>12</v>
      </c>
      <c r="I26" s="285" t="s">
        <v>319</v>
      </c>
      <c r="J26" s="276"/>
      <c r="K26" s="276"/>
      <c r="L26" s="276"/>
      <c r="M26" s="276"/>
      <c r="N26" s="276"/>
      <c r="O26" s="276"/>
      <c r="P26" s="276"/>
      <c r="Q26" s="276"/>
      <c r="R26" s="276"/>
      <c r="S26" s="276"/>
      <c r="T26" s="276"/>
      <c r="U26" s="276"/>
      <c r="V26" s="276"/>
      <c r="W26" s="276"/>
      <c r="X26" s="276"/>
    </row>
    <row r="27" ht="15.75" customHeight="1">
      <c r="A27" s="297">
        <v>46157.0</v>
      </c>
      <c r="B27" s="284">
        <f t="shared" si="1"/>
        <v>15</v>
      </c>
      <c r="C27" s="284">
        <f t="shared" si="2"/>
        <v>5</v>
      </c>
      <c r="D27" s="284">
        <f t="shared" si="3"/>
        <v>2026</v>
      </c>
      <c r="E27" s="285" t="s">
        <v>277</v>
      </c>
      <c r="F27" s="35">
        <v>1.0</v>
      </c>
      <c r="G27" s="290">
        <v>12.0</v>
      </c>
      <c r="H27" s="288">
        <f t="shared" si="4"/>
        <v>12</v>
      </c>
      <c r="I27" s="285" t="s">
        <v>319</v>
      </c>
      <c r="J27" s="276"/>
      <c r="K27" s="276"/>
      <c r="L27" s="276"/>
      <c r="M27" s="276"/>
      <c r="N27" s="276"/>
      <c r="O27" s="276"/>
      <c r="P27" s="276"/>
      <c r="Q27" s="276"/>
      <c r="R27" s="276"/>
      <c r="S27" s="276"/>
      <c r="T27" s="276"/>
      <c r="U27" s="276"/>
      <c r="V27" s="276"/>
      <c r="W27" s="276"/>
      <c r="X27" s="276"/>
    </row>
    <row r="28" ht="15.75" customHeight="1">
      <c r="A28" s="289">
        <v>46157.0</v>
      </c>
      <c r="B28" s="284">
        <f t="shared" si="1"/>
        <v>15</v>
      </c>
      <c r="C28" s="284">
        <f t="shared" si="2"/>
        <v>5</v>
      </c>
      <c r="D28" s="284">
        <f t="shared" si="3"/>
        <v>2026</v>
      </c>
      <c r="E28" s="285" t="s">
        <v>250</v>
      </c>
      <c r="F28" s="285">
        <v>6.0</v>
      </c>
      <c r="G28" s="290">
        <v>2.0</v>
      </c>
      <c r="H28" s="288">
        <f t="shared" si="4"/>
        <v>12</v>
      </c>
      <c r="I28" s="285" t="s">
        <v>319</v>
      </c>
      <c r="J28" s="276"/>
      <c r="K28" s="276"/>
      <c r="L28" s="276"/>
      <c r="M28" s="276"/>
      <c r="N28" s="276"/>
      <c r="O28" s="276"/>
      <c r="P28" s="276"/>
      <c r="Q28" s="276"/>
      <c r="R28" s="276"/>
      <c r="S28" s="276"/>
      <c r="T28" s="276"/>
      <c r="U28" s="276"/>
      <c r="V28" s="276"/>
      <c r="W28" s="276"/>
      <c r="X28" s="276"/>
    </row>
    <row r="29" ht="15.75" customHeight="1">
      <c r="A29" s="297">
        <v>46158.0</v>
      </c>
      <c r="B29" s="284">
        <f t="shared" si="1"/>
        <v>16</v>
      </c>
      <c r="C29" s="284">
        <f t="shared" si="2"/>
        <v>5</v>
      </c>
      <c r="D29" s="284">
        <f t="shared" si="3"/>
        <v>2026</v>
      </c>
      <c r="E29" s="285" t="s">
        <v>228</v>
      </c>
      <c r="F29" s="285">
        <v>1.0</v>
      </c>
      <c r="G29" s="290">
        <v>15.0</v>
      </c>
      <c r="H29" s="288">
        <f t="shared" si="4"/>
        <v>15</v>
      </c>
      <c r="I29" s="285" t="s">
        <v>319</v>
      </c>
      <c r="J29" s="276"/>
      <c r="K29" s="276"/>
      <c r="L29" s="276"/>
      <c r="M29" s="276"/>
      <c r="N29" s="276"/>
      <c r="O29" s="276"/>
      <c r="P29" s="276"/>
      <c r="Q29" s="276"/>
      <c r="R29" s="276"/>
      <c r="S29" s="276"/>
      <c r="T29" s="276"/>
      <c r="U29" s="276"/>
      <c r="V29" s="276"/>
      <c r="W29" s="276"/>
      <c r="X29" s="276"/>
    </row>
    <row r="30" ht="15.75" customHeight="1">
      <c r="A30" s="297">
        <v>46158.0</v>
      </c>
      <c r="B30" s="284">
        <f t="shared" si="1"/>
        <v>16</v>
      </c>
      <c r="C30" s="284">
        <f t="shared" si="2"/>
        <v>5</v>
      </c>
      <c r="D30" s="284">
        <f t="shared" si="3"/>
        <v>2026</v>
      </c>
      <c r="E30" s="285" t="s">
        <v>250</v>
      </c>
      <c r="F30" s="285">
        <v>4.0</v>
      </c>
      <c r="G30" s="290">
        <v>2.0</v>
      </c>
      <c r="H30" s="288">
        <f t="shared" si="4"/>
        <v>8</v>
      </c>
      <c r="I30" s="285" t="s">
        <v>319</v>
      </c>
      <c r="J30" s="276"/>
      <c r="K30" s="276"/>
      <c r="L30" s="276"/>
      <c r="M30" s="276"/>
      <c r="N30" s="276"/>
      <c r="O30" s="276"/>
      <c r="P30" s="276"/>
      <c r="Q30" s="276"/>
      <c r="R30" s="276"/>
      <c r="S30" s="276"/>
      <c r="T30" s="276"/>
      <c r="U30" s="276"/>
      <c r="V30" s="276"/>
      <c r="W30" s="276"/>
      <c r="X30" s="276"/>
    </row>
    <row r="31" ht="15.75" customHeight="1">
      <c r="A31" s="297">
        <v>46159.0</v>
      </c>
      <c r="B31" s="284">
        <f t="shared" si="1"/>
        <v>17</v>
      </c>
      <c r="C31" s="284">
        <f t="shared" si="2"/>
        <v>5</v>
      </c>
      <c r="D31" s="284">
        <f t="shared" si="3"/>
        <v>2026</v>
      </c>
      <c r="E31" s="285" t="s">
        <v>228</v>
      </c>
      <c r="F31" s="35">
        <v>1.0</v>
      </c>
      <c r="G31" s="290">
        <v>15.0</v>
      </c>
      <c r="H31" s="288">
        <f t="shared" si="4"/>
        <v>15</v>
      </c>
      <c r="I31" s="285" t="s">
        <v>319</v>
      </c>
      <c r="J31" s="276"/>
      <c r="K31" s="276"/>
      <c r="L31" s="276"/>
      <c r="M31" s="276"/>
      <c r="N31" s="276"/>
      <c r="O31" s="276"/>
      <c r="P31" s="276"/>
      <c r="Q31" s="276"/>
      <c r="R31" s="276"/>
      <c r="S31" s="276"/>
      <c r="T31" s="276"/>
      <c r="U31" s="276"/>
      <c r="V31" s="276"/>
      <c r="W31" s="276"/>
      <c r="X31" s="276"/>
    </row>
    <row r="32" ht="15.75" customHeight="1">
      <c r="A32" s="297">
        <v>46159.0</v>
      </c>
      <c r="B32" s="284">
        <f t="shared" si="1"/>
        <v>17</v>
      </c>
      <c r="C32" s="284">
        <f t="shared" si="2"/>
        <v>5</v>
      </c>
      <c r="D32" s="284">
        <f t="shared" si="3"/>
        <v>2026</v>
      </c>
      <c r="E32" s="285" t="s">
        <v>228</v>
      </c>
      <c r="F32" s="35">
        <v>1.0</v>
      </c>
      <c r="G32" s="290">
        <v>15.0</v>
      </c>
      <c r="H32" s="288">
        <f t="shared" si="4"/>
        <v>15</v>
      </c>
      <c r="I32" s="285" t="s">
        <v>319</v>
      </c>
      <c r="J32" s="276"/>
      <c r="K32" s="276"/>
      <c r="L32" s="276"/>
      <c r="M32" s="276"/>
      <c r="N32" s="276"/>
      <c r="O32" s="276"/>
      <c r="P32" s="276"/>
      <c r="Q32" s="276"/>
      <c r="R32" s="276"/>
      <c r="S32" s="276"/>
      <c r="T32" s="276"/>
      <c r="U32" s="276"/>
      <c r="V32" s="276"/>
      <c r="W32" s="276"/>
      <c r="X32" s="276"/>
    </row>
    <row r="33" ht="15.75" customHeight="1">
      <c r="A33" s="297">
        <v>46159.0</v>
      </c>
      <c r="B33" s="284">
        <f t="shared" si="1"/>
        <v>17</v>
      </c>
      <c r="C33" s="284">
        <f t="shared" si="2"/>
        <v>5</v>
      </c>
      <c r="D33" s="284">
        <f t="shared" si="3"/>
        <v>2026</v>
      </c>
      <c r="E33" s="285" t="s">
        <v>272</v>
      </c>
      <c r="F33" s="285">
        <v>1.0</v>
      </c>
      <c r="G33" s="290">
        <v>10.0</v>
      </c>
      <c r="H33" s="288">
        <f t="shared" si="4"/>
        <v>10</v>
      </c>
      <c r="I33" s="285" t="s">
        <v>319</v>
      </c>
      <c r="J33" s="276"/>
      <c r="K33" s="276"/>
      <c r="L33" s="276"/>
      <c r="M33" s="276"/>
      <c r="N33" s="276"/>
      <c r="O33" s="276"/>
      <c r="P33" s="276"/>
      <c r="Q33" s="276"/>
      <c r="R33" s="276"/>
      <c r="S33" s="276"/>
      <c r="T33" s="276"/>
      <c r="U33" s="276"/>
      <c r="V33" s="276"/>
      <c r="W33" s="276"/>
      <c r="X33" s="276"/>
    </row>
    <row r="34" ht="15.75" customHeight="1">
      <c r="A34" s="297">
        <v>46159.0</v>
      </c>
      <c r="B34" s="284">
        <f t="shared" si="1"/>
        <v>17</v>
      </c>
      <c r="C34" s="284">
        <f t="shared" si="2"/>
        <v>5</v>
      </c>
      <c r="D34" s="284">
        <f t="shared" si="3"/>
        <v>2026</v>
      </c>
      <c r="E34" s="285" t="s">
        <v>250</v>
      </c>
      <c r="F34" s="286">
        <v>1.0</v>
      </c>
      <c r="G34" s="287">
        <v>2.0</v>
      </c>
      <c r="H34" s="288">
        <f t="shared" si="4"/>
        <v>2</v>
      </c>
      <c r="I34" s="285" t="s">
        <v>319</v>
      </c>
      <c r="J34" s="276"/>
      <c r="K34" s="276"/>
      <c r="L34" s="276"/>
      <c r="M34" s="276"/>
      <c r="N34" s="276"/>
      <c r="O34" s="276"/>
      <c r="P34" s="276"/>
      <c r="Q34" s="276"/>
      <c r="R34" s="276"/>
      <c r="S34" s="276"/>
      <c r="T34" s="276"/>
      <c r="U34" s="276"/>
      <c r="V34" s="276"/>
      <c r="W34" s="276"/>
      <c r="X34" s="276"/>
    </row>
    <row r="35" ht="15.75" customHeight="1">
      <c r="A35" s="297">
        <v>46159.0</v>
      </c>
      <c r="B35" s="284">
        <f t="shared" si="1"/>
        <v>17</v>
      </c>
      <c r="C35" s="284">
        <f t="shared" si="2"/>
        <v>5</v>
      </c>
      <c r="D35" s="284">
        <f t="shared" si="3"/>
        <v>2026</v>
      </c>
      <c r="E35" s="285" t="s">
        <v>228</v>
      </c>
      <c r="F35" s="35">
        <v>1.0</v>
      </c>
      <c r="G35" s="290">
        <v>15.0</v>
      </c>
      <c r="H35" s="288">
        <f t="shared" si="4"/>
        <v>15</v>
      </c>
      <c r="I35" s="285" t="s">
        <v>319</v>
      </c>
      <c r="J35" s="64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</row>
    <row r="36" ht="15.75" customHeight="1">
      <c r="A36" s="308">
        <v>46160.0</v>
      </c>
      <c r="B36" s="284">
        <f t="shared" si="1"/>
        <v>18</v>
      </c>
      <c r="C36" s="284">
        <f t="shared" si="2"/>
        <v>5</v>
      </c>
      <c r="D36" s="284">
        <f t="shared" si="3"/>
        <v>2026</v>
      </c>
      <c r="E36" s="285" t="s">
        <v>275</v>
      </c>
      <c r="F36" s="286">
        <v>1.0</v>
      </c>
      <c r="G36" s="287">
        <v>15.0</v>
      </c>
      <c r="H36" s="288">
        <f t="shared" si="4"/>
        <v>15</v>
      </c>
      <c r="I36" s="285" t="s">
        <v>319</v>
      </c>
      <c r="J36" s="64"/>
      <c r="K36" s="276"/>
      <c r="L36" s="276"/>
      <c r="M36" s="276"/>
      <c r="N36" s="276"/>
      <c r="O36" s="276"/>
      <c r="P36" s="276"/>
      <c r="Q36" s="276"/>
      <c r="R36" s="276"/>
      <c r="S36" s="276"/>
      <c r="T36" s="276"/>
      <c r="U36" s="276"/>
      <c r="V36" s="276"/>
      <c r="W36" s="276"/>
      <c r="X36" s="276"/>
    </row>
    <row r="37" ht="15.75" customHeight="1">
      <c r="A37" s="308">
        <v>46160.0</v>
      </c>
      <c r="B37" s="284">
        <f t="shared" si="1"/>
        <v>18</v>
      </c>
      <c r="C37" s="284">
        <f t="shared" si="2"/>
        <v>5</v>
      </c>
      <c r="D37" s="284">
        <f t="shared" si="3"/>
        <v>2026</v>
      </c>
      <c r="E37" s="285" t="s">
        <v>250</v>
      </c>
      <c r="F37" s="285">
        <v>16.0</v>
      </c>
      <c r="G37" s="290">
        <v>2.0</v>
      </c>
      <c r="H37" s="288">
        <f t="shared" si="4"/>
        <v>32</v>
      </c>
      <c r="I37" s="285" t="s">
        <v>319</v>
      </c>
      <c r="J37" s="64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</row>
    <row r="38" ht="15.75" customHeight="1">
      <c r="A38" s="289">
        <v>46160.0</v>
      </c>
      <c r="B38" s="284">
        <f t="shared" si="1"/>
        <v>18</v>
      </c>
      <c r="C38" s="284">
        <f t="shared" si="2"/>
        <v>5</v>
      </c>
      <c r="D38" s="284">
        <f t="shared" si="3"/>
        <v>2026</v>
      </c>
      <c r="E38" s="285" t="s">
        <v>228</v>
      </c>
      <c r="F38" s="285">
        <v>1.0</v>
      </c>
      <c r="G38" s="290">
        <v>-15.0</v>
      </c>
      <c r="H38" s="288">
        <f t="shared" si="4"/>
        <v>-15</v>
      </c>
      <c r="I38" s="285" t="s">
        <v>319</v>
      </c>
      <c r="J38" s="64"/>
      <c r="K38" s="276"/>
      <c r="L38" s="276"/>
      <c r="M38" s="276"/>
      <c r="N38" s="276"/>
      <c r="O38" s="276"/>
      <c r="P38" s="276"/>
      <c r="Q38" s="276"/>
      <c r="R38" s="276"/>
      <c r="S38" s="276"/>
      <c r="T38" s="276"/>
      <c r="U38" s="276"/>
      <c r="V38" s="276"/>
      <c r="W38" s="276"/>
      <c r="X38" s="276"/>
    </row>
    <row r="39" ht="15.75" customHeight="1">
      <c r="A39" s="308">
        <v>46161.0</v>
      </c>
      <c r="B39" s="284">
        <f t="shared" si="1"/>
        <v>19</v>
      </c>
      <c r="C39" s="284">
        <f t="shared" si="2"/>
        <v>5</v>
      </c>
      <c r="D39" s="284">
        <f t="shared" si="3"/>
        <v>2026</v>
      </c>
      <c r="E39" s="285" t="s">
        <v>272</v>
      </c>
      <c r="F39" s="286">
        <v>1.0</v>
      </c>
      <c r="G39" s="287">
        <v>10.0</v>
      </c>
      <c r="H39" s="288">
        <f t="shared" si="4"/>
        <v>10</v>
      </c>
      <c r="I39" s="285" t="s">
        <v>319</v>
      </c>
      <c r="J39" s="64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</row>
    <row r="40" ht="15.75" customHeight="1">
      <c r="A40" s="308">
        <v>46161.0</v>
      </c>
      <c r="B40" s="284">
        <f t="shared" si="1"/>
        <v>19</v>
      </c>
      <c r="C40" s="284">
        <f t="shared" si="2"/>
        <v>5</v>
      </c>
      <c r="D40" s="284">
        <f t="shared" si="3"/>
        <v>2026</v>
      </c>
      <c r="E40" s="285" t="s">
        <v>250</v>
      </c>
      <c r="F40" s="286">
        <v>2.0</v>
      </c>
      <c r="G40" s="287">
        <v>2.0</v>
      </c>
      <c r="H40" s="288">
        <f t="shared" si="4"/>
        <v>4</v>
      </c>
      <c r="I40" s="285" t="s">
        <v>319</v>
      </c>
      <c r="J40" s="64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</row>
    <row r="41" ht="15.75" customHeight="1">
      <c r="A41" s="308">
        <v>46162.0</v>
      </c>
      <c r="B41" s="284">
        <f t="shared" si="1"/>
        <v>20</v>
      </c>
      <c r="C41" s="284">
        <f t="shared" si="2"/>
        <v>5</v>
      </c>
      <c r="D41" s="284">
        <f t="shared" si="3"/>
        <v>2026</v>
      </c>
      <c r="E41" s="285" t="s">
        <v>258</v>
      </c>
      <c r="F41" s="286">
        <v>1.0</v>
      </c>
      <c r="G41" s="287">
        <v>1.0</v>
      </c>
      <c r="H41" s="288">
        <f t="shared" si="4"/>
        <v>1</v>
      </c>
      <c r="I41" s="285" t="s">
        <v>319</v>
      </c>
      <c r="J41" s="64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</row>
    <row r="42" ht="15.75" customHeight="1">
      <c r="A42" s="308">
        <v>46162.0</v>
      </c>
      <c r="B42" s="284">
        <f t="shared" si="1"/>
        <v>20</v>
      </c>
      <c r="C42" s="284">
        <f t="shared" si="2"/>
        <v>5</v>
      </c>
      <c r="D42" s="284">
        <f t="shared" si="3"/>
        <v>2026</v>
      </c>
      <c r="E42" s="285" t="s">
        <v>250</v>
      </c>
      <c r="F42" s="286">
        <v>5.0</v>
      </c>
      <c r="G42" s="287">
        <v>2.0</v>
      </c>
      <c r="H42" s="288">
        <f t="shared" si="4"/>
        <v>10</v>
      </c>
      <c r="I42" s="285" t="s">
        <v>319</v>
      </c>
      <c r="J42" s="64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</row>
    <row r="43" ht="15.75" customHeight="1">
      <c r="A43" s="308">
        <v>46163.0</v>
      </c>
      <c r="B43" s="284">
        <f t="shared" si="1"/>
        <v>21</v>
      </c>
      <c r="C43" s="284">
        <f t="shared" si="2"/>
        <v>5</v>
      </c>
      <c r="D43" s="284">
        <f t="shared" si="3"/>
        <v>2026</v>
      </c>
      <c r="E43" s="285" t="s">
        <v>250</v>
      </c>
      <c r="F43" s="286">
        <v>1.0</v>
      </c>
      <c r="G43" s="287">
        <v>2.0</v>
      </c>
      <c r="H43" s="288">
        <f t="shared" si="4"/>
        <v>2</v>
      </c>
      <c r="I43" s="285" t="s">
        <v>319</v>
      </c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</row>
    <row r="44" ht="15.75" customHeight="1">
      <c r="A44" s="308">
        <v>46166.0</v>
      </c>
      <c r="B44" s="284">
        <f t="shared" si="1"/>
        <v>24</v>
      </c>
      <c r="C44" s="284">
        <f t="shared" si="2"/>
        <v>5</v>
      </c>
      <c r="D44" s="284">
        <f t="shared" si="3"/>
        <v>2026</v>
      </c>
      <c r="E44" s="312" t="s">
        <v>250</v>
      </c>
      <c r="F44" s="313">
        <v>3.0</v>
      </c>
      <c r="G44" s="314">
        <v>2.0</v>
      </c>
      <c r="H44" s="288">
        <f t="shared" si="4"/>
        <v>6</v>
      </c>
      <c r="I44" s="285" t="s">
        <v>319</v>
      </c>
      <c r="J44" s="64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</row>
    <row r="45" ht="15.75" customHeight="1">
      <c r="A45" s="308">
        <v>46167.0</v>
      </c>
      <c r="B45" s="284">
        <f t="shared" si="1"/>
        <v>25</v>
      </c>
      <c r="C45" s="284">
        <f t="shared" si="2"/>
        <v>5</v>
      </c>
      <c r="D45" s="284">
        <f t="shared" si="3"/>
        <v>2026</v>
      </c>
      <c r="E45" s="285" t="s">
        <v>275</v>
      </c>
      <c r="F45" s="286">
        <v>1.0</v>
      </c>
      <c r="G45" s="287">
        <v>15.0</v>
      </c>
      <c r="H45" s="288">
        <f t="shared" si="4"/>
        <v>15</v>
      </c>
      <c r="I45" s="285" t="s">
        <v>319</v>
      </c>
      <c r="J45" s="64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</row>
    <row r="46" ht="15.75" customHeight="1">
      <c r="A46" s="308">
        <v>46167.0</v>
      </c>
      <c r="B46" s="284">
        <f t="shared" si="1"/>
        <v>25</v>
      </c>
      <c r="C46" s="284">
        <f t="shared" si="2"/>
        <v>5</v>
      </c>
      <c r="D46" s="284">
        <f t="shared" si="3"/>
        <v>2026</v>
      </c>
      <c r="E46" s="312" t="s">
        <v>250</v>
      </c>
      <c r="F46" s="313">
        <v>1.0</v>
      </c>
      <c r="G46" s="314">
        <v>2.0</v>
      </c>
      <c r="H46" s="288">
        <f t="shared" si="4"/>
        <v>2</v>
      </c>
      <c r="I46" s="285" t="s">
        <v>319</v>
      </c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</row>
    <row r="47" ht="15.75" customHeight="1">
      <c r="A47" s="289">
        <v>46168.0</v>
      </c>
      <c r="B47" s="284">
        <f t="shared" si="1"/>
        <v>26</v>
      </c>
      <c r="C47" s="284">
        <f t="shared" si="2"/>
        <v>5</v>
      </c>
      <c r="D47" s="284">
        <f t="shared" si="3"/>
        <v>2026</v>
      </c>
      <c r="E47" s="285" t="s">
        <v>250</v>
      </c>
      <c r="F47" s="285">
        <v>2.0</v>
      </c>
      <c r="G47" s="290">
        <v>2.5</v>
      </c>
      <c r="H47" s="288">
        <f t="shared" si="4"/>
        <v>5</v>
      </c>
      <c r="I47" s="285" t="s">
        <v>319</v>
      </c>
      <c r="J47" s="64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</row>
    <row r="48" ht="15.75" customHeight="1">
      <c r="A48" s="308">
        <v>46169.0</v>
      </c>
      <c r="B48" s="284">
        <f t="shared" si="1"/>
        <v>27</v>
      </c>
      <c r="C48" s="284">
        <f t="shared" si="2"/>
        <v>5</v>
      </c>
      <c r="D48" s="284">
        <f t="shared" si="3"/>
        <v>2026</v>
      </c>
      <c r="E48" s="312" t="s">
        <v>250</v>
      </c>
      <c r="F48" s="313">
        <v>1.0</v>
      </c>
      <c r="G48" s="314">
        <v>2.0</v>
      </c>
      <c r="H48" s="288">
        <f t="shared" si="4"/>
        <v>2</v>
      </c>
      <c r="I48" s="285" t="s">
        <v>319</v>
      </c>
      <c r="J48" s="64"/>
      <c r="K48" s="276"/>
      <c r="L48" s="276"/>
      <c r="M48" s="276"/>
      <c r="N48" s="276"/>
      <c r="O48" s="276"/>
      <c r="P48" s="276"/>
      <c r="Q48" s="276"/>
      <c r="R48" s="276"/>
      <c r="S48" s="276"/>
      <c r="T48" s="276"/>
      <c r="U48" s="276"/>
      <c r="V48" s="276"/>
      <c r="W48" s="276"/>
      <c r="X48" s="276"/>
    </row>
    <row r="49" ht="15.75" customHeight="1">
      <c r="A49" s="308">
        <v>46170.0</v>
      </c>
      <c r="B49" s="284">
        <f t="shared" si="1"/>
        <v>28</v>
      </c>
      <c r="C49" s="284">
        <f t="shared" si="2"/>
        <v>5</v>
      </c>
      <c r="D49" s="284">
        <f t="shared" si="3"/>
        <v>2026</v>
      </c>
      <c r="E49" s="285" t="s">
        <v>250</v>
      </c>
      <c r="F49" s="285">
        <v>7.0</v>
      </c>
      <c r="G49" s="290">
        <v>2.0</v>
      </c>
      <c r="H49" s="288">
        <f t="shared" si="4"/>
        <v>14</v>
      </c>
      <c r="I49" s="285" t="s">
        <v>319</v>
      </c>
      <c r="J49" s="64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</row>
    <row r="50" ht="15.75" customHeight="1">
      <c r="A50" s="308">
        <v>46171.0</v>
      </c>
      <c r="B50" s="284">
        <f t="shared" si="1"/>
        <v>29</v>
      </c>
      <c r="C50" s="284">
        <f t="shared" si="2"/>
        <v>5</v>
      </c>
      <c r="D50" s="284">
        <f t="shared" si="3"/>
        <v>2026</v>
      </c>
      <c r="E50" s="285" t="s">
        <v>250</v>
      </c>
      <c r="F50" s="285"/>
      <c r="G50" s="290"/>
      <c r="H50" s="288">
        <f t="shared" si="4"/>
        <v>0</v>
      </c>
      <c r="I50" s="285" t="s">
        <v>319</v>
      </c>
      <c r="J50" s="64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</row>
    <row r="51" ht="15.75" customHeight="1">
      <c r="A51" s="308">
        <v>46171.0</v>
      </c>
      <c r="B51" s="284">
        <f t="shared" si="1"/>
        <v>29</v>
      </c>
      <c r="C51" s="284">
        <f t="shared" si="2"/>
        <v>5</v>
      </c>
      <c r="D51" s="284">
        <f t="shared" si="3"/>
        <v>2026</v>
      </c>
      <c r="E51" s="285" t="s">
        <v>272</v>
      </c>
      <c r="F51" s="285">
        <v>1.0</v>
      </c>
      <c r="G51" s="290">
        <v>9.0</v>
      </c>
      <c r="H51" s="288">
        <f t="shared" si="4"/>
        <v>9</v>
      </c>
      <c r="I51" s="285" t="s">
        <v>319</v>
      </c>
      <c r="J51" s="64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</row>
    <row r="52" ht="15.75" customHeight="1">
      <c r="A52" s="308">
        <v>46171.0</v>
      </c>
      <c r="B52" s="284">
        <f t="shared" si="1"/>
        <v>29</v>
      </c>
      <c r="C52" s="284">
        <f t="shared" si="2"/>
        <v>5</v>
      </c>
      <c r="D52" s="284">
        <f t="shared" si="3"/>
        <v>2026</v>
      </c>
      <c r="E52" s="285" t="s">
        <v>250</v>
      </c>
      <c r="F52" s="285">
        <v>5.0</v>
      </c>
      <c r="G52" s="290">
        <v>2.0</v>
      </c>
      <c r="H52" s="288">
        <f t="shared" si="4"/>
        <v>10</v>
      </c>
      <c r="I52" s="285" t="s">
        <v>319</v>
      </c>
      <c r="J52" s="64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</row>
    <row r="53" ht="15.75" customHeight="1">
      <c r="A53" s="289">
        <v>46173.0</v>
      </c>
      <c r="B53" s="284">
        <f t="shared" si="1"/>
        <v>31</v>
      </c>
      <c r="C53" s="284">
        <f t="shared" si="2"/>
        <v>5</v>
      </c>
      <c r="D53" s="284">
        <f t="shared" si="3"/>
        <v>2026</v>
      </c>
      <c r="E53" s="285" t="s">
        <v>250</v>
      </c>
      <c r="F53" s="285">
        <v>5.0</v>
      </c>
      <c r="G53" s="290">
        <v>2.0</v>
      </c>
      <c r="H53" s="288">
        <f t="shared" si="4"/>
        <v>10</v>
      </c>
      <c r="I53" s="285" t="s">
        <v>319</v>
      </c>
      <c r="J53" s="64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</row>
    <row r="54" ht="15.75" customHeight="1">
      <c r="A54" s="289">
        <v>46173.0</v>
      </c>
      <c r="B54" s="284">
        <f t="shared" si="1"/>
        <v>31</v>
      </c>
      <c r="C54" s="284">
        <f t="shared" si="2"/>
        <v>5</v>
      </c>
      <c r="D54" s="284">
        <f t="shared" si="3"/>
        <v>2026</v>
      </c>
      <c r="E54" s="285" t="s">
        <v>250</v>
      </c>
      <c r="F54" s="285">
        <v>2.0</v>
      </c>
      <c r="G54" s="290">
        <v>2.0</v>
      </c>
      <c r="H54" s="288">
        <f t="shared" si="4"/>
        <v>4</v>
      </c>
      <c r="I54" s="285" t="s">
        <v>319</v>
      </c>
      <c r="J54" s="64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</row>
    <row r="55" ht="15.75" customHeight="1">
      <c r="A55" s="289">
        <v>46174.0</v>
      </c>
      <c r="B55" s="284">
        <f t="shared" si="1"/>
        <v>1</v>
      </c>
      <c r="C55" s="284">
        <f t="shared" si="2"/>
        <v>6</v>
      </c>
      <c r="D55" s="284">
        <f t="shared" si="3"/>
        <v>2026</v>
      </c>
      <c r="E55" s="285" t="s">
        <v>250</v>
      </c>
      <c r="F55" s="35">
        <v>1.0</v>
      </c>
      <c r="G55" s="290">
        <v>2.0</v>
      </c>
      <c r="H55" s="288">
        <f t="shared" si="4"/>
        <v>2</v>
      </c>
      <c r="I55" s="285" t="s">
        <v>319</v>
      </c>
      <c r="J55" s="64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</row>
    <row r="56" ht="15.75" customHeight="1">
      <c r="A56" s="289">
        <v>46174.0</v>
      </c>
      <c r="B56" s="284">
        <f t="shared" si="1"/>
        <v>1</v>
      </c>
      <c r="C56" s="284">
        <f t="shared" si="2"/>
        <v>6</v>
      </c>
      <c r="D56" s="284">
        <f t="shared" si="3"/>
        <v>2026</v>
      </c>
      <c r="E56" s="285" t="s">
        <v>275</v>
      </c>
      <c r="F56" s="35">
        <v>1.0</v>
      </c>
      <c r="G56" s="290">
        <v>15.0</v>
      </c>
      <c r="H56" s="288">
        <f t="shared" si="4"/>
        <v>15</v>
      </c>
      <c r="I56" s="285" t="s">
        <v>319</v>
      </c>
      <c r="J56" s="64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</row>
    <row r="57" ht="15.75" customHeight="1">
      <c r="A57" s="289">
        <v>46176.0</v>
      </c>
      <c r="B57" s="284">
        <f t="shared" si="1"/>
        <v>3</v>
      </c>
      <c r="C57" s="284">
        <f t="shared" si="2"/>
        <v>6</v>
      </c>
      <c r="D57" s="284">
        <f t="shared" si="3"/>
        <v>2026</v>
      </c>
      <c r="E57" s="285" t="s">
        <v>250</v>
      </c>
      <c r="F57" s="35">
        <v>2.0</v>
      </c>
      <c r="G57" s="290">
        <v>2.0</v>
      </c>
      <c r="H57" s="288">
        <f t="shared" si="4"/>
        <v>4</v>
      </c>
      <c r="I57" s="285" t="s">
        <v>319</v>
      </c>
      <c r="J57" s="64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</row>
    <row r="58" ht="15.75" customHeight="1">
      <c r="A58" s="289">
        <v>46177.0</v>
      </c>
      <c r="B58" s="284">
        <f t="shared" si="1"/>
        <v>4</v>
      </c>
      <c r="C58" s="284">
        <f t="shared" si="2"/>
        <v>6</v>
      </c>
      <c r="D58" s="284">
        <f t="shared" si="3"/>
        <v>2026</v>
      </c>
      <c r="E58" s="285" t="s">
        <v>250</v>
      </c>
      <c r="F58" s="285">
        <v>1.0</v>
      </c>
      <c r="G58" s="290">
        <v>2.0</v>
      </c>
      <c r="H58" s="288">
        <f t="shared" si="4"/>
        <v>2</v>
      </c>
      <c r="I58" s="285" t="s">
        <v>319</v>
      </c>
      <c r="J58" s="64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</row>
    <row r="59" ht="15.75" customHeight="1">
      <c r="A59" s="289">
        <v>46177.0</v>
      </c>
      <c r="B59" s="284">
        <f t="shared" si="1"/>
        <v>4</v>
      </c>
      <c r="C59" s="284">
        <f t="shared" si="2"/>
        <v>6</v>
      </c>
      <c r="D59" s="284">
        <f t="shared" si="3"/>
        <v>2026</v>
      </c>
      <c r="E59" s="285" t="s">
        <v>272</v>
      </c>
      <c r="F59" s="35">
        <v>1.0</v>
      </c>
      <c r="G59" s="290">
        <v>5.0</v>
      </c>
      <c r="H59" s="288">
        <f t="shared" si="4"/>
        <v>5</v>
      </c>
      <c r="I59" s="285" t="s">
        <v>319</v>
      </c>
      <c r="J59" s="64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</row>
    <row r="60" ht="15.75" customHeight="1">
      <c r="A60" s="289">
        <v>46177.0</v>
      </c>
      <c r="B60" s="284">
        <f t="shared" si="1"/>
        <v>4</v>
      </c>
      <c r="C60" s="284">
        <f t="shared" si="2"/>
        <v>6</v>
      </c>
      <c r="D60" s="284">
        <f t="shared" si="3"/>
        <v>2026</v>
      </c>
      <c r="E60" s="285" t="s">
        <v>250</v>
      </c>
      <c r="F60" s="35">
        <v>4.0</v>
      </c>
      <c r="G60" s="290">
        <v>2.0</v>
      </c>
      <c r="H60" s="288">
        <f t="shared" si="4"/>
        <v>8</v>
      </c>
      <c r="I60" s="285" t="s">
        <v>319</v>
      </c>
      <c r="J60" s="64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</row>
    <row r="61" ht="15.75" customHeight="1">
      <c r="A61" s="289">
        <v>46177.0</v>
      </c>
      <c r="B61" s="284">
        <f t="shared" si="1"/>
        <v>4</v>
      </c>
      <c r="C61" s="284">
        <f t="shared" si="2"/>
        <v>6</v>
      </c>
      <c r="D61" s="284">
        <f t="shared" si="3"/>
        <v>2026</v>
      </c>
      <c r="E61" s="285" t="s">
        <v>250</v>
      </c>
      <c r="F61" s="285">
        <v>5.0</v>
      </c>
      <c r="G61" s="290">
        <v>2.0</v>
      </c>
      <c r="H61" s="288">
        <f t="shared" si="4"/>
        <v>10</v>
      </c>
      <c r="I61" s="285" t="s">
        <v>319</v>
      </c>
      <c r="J61" s="64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</row>
    <row r="62" ht="15.75" customHeight="1">
      <c r="A62" s="289">
        <v>46177.0</v>
      </c>
      <c r="B62" s="284">
        <f t="shared" si="1"/>
        <v>4</v>
      </c>
      <c r="C62" s="284">
        <f t="shared" si="2"/>
        <v>6</v>
      </c>
      <c r="D62" s="284">
        <f t="shared" si="3"/>
        <v>2026</v>
      </c>
      <c r="E62" s="285" t="s">
        <v>250</v>
      </c>
      <c r="F62" s="285">
        <v>2.0</v>
      </c>
      <c r="G62" s="290">
        <v>2.0</v>
      </c>
      <c r="H62" s="288">
        <f t="shared" si="4"/>
        <v>4</v>
      </c>
      <c r="I62" s="285" t="s">
        <v>319</v>
      </c>
      <c r="J62" s="64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</row>
    <row r="63" ht="15.75" customHeight="1">
      <c r="A63" s="289">
        <v>46177.0</v>
      </c>
      <c r="B63" s="284">
        <f t="shared" si="1"/>
        <v>4</v>
      </c>
      <c r="C63" s="284">
        <f t="shared" si="2"/>
        <v>6</v>
      </c>
      <c r="D63" s="284">
        <f t="shared" si="3"/>
        <v>2026</v>
      </c>
      <c r="E63" s="285" t="s">
        <v>275</v>
      </c>
      <c r="F63" s="286">
        <v>1.0</v>
      </c>
      <c r="G63" s="287">
        <v>15.0</v>
      </c>
      <c r="H63" s="288">
        <f t="shared" si="4"/>
        <v>15</v>
      </c>
      <c r="I63" s="285" t="s">
        <v>319</v>
      </c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</row>
    <row r="64" ht="15.75" customHeight="1">
      <c r="A64" s="297">
        <v>46178.0</v>
      </c>
      <c r="B64" s="284">
        <f t="shared" si="1"/>
        <v>5</v>
      </c>
      <c r="C64" s="284">
        <f t="shared" si="2"/>
        <v>6</v>
      </c>
      <c r="D64" s="284">
        <f t="shared" si="3"/>
        <v>2026</v>
      </c>
      <c r="E64" s="313" t="s">
        <v>272</v>
      </c>
      <c r="F64" s="313">
        <v>1.0</v>
      </c>
      <c r="G64" s="319">
        <v>7.0</v>
      </c>
      <c r="H64" s="288">
        <f t="shared" si="4"/>
        <v>7</v>
      </c>
      <c r="I64" s="285" t="s">
        <v>319</v>
      </c>
      <c r="J64" s="64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</row>
    <row r="65" ht="15.75" customHeight="1">
      <c r="A65" s="297">
        <v>46178.0</v>
      </c>
      <c r="B65" s="284">
        <f t="shared" si="1"/>
        <v>5</v>
      </c>
      <c r="C65" s="284">
        <f t="shared" si="2"/>
        <v>6</v>
      </c>
      <c r="D65" s="284">
        <f t="shared" si="3"/>
        <v>2026</v>
      </c>
      <c r="E65" s="285" t="s">
        <v>250</v>
      </c>
      <c r="F65" s="285">
        <v>1.0</v>
      </c>
      <c r="G65" s="290">
        <v>2.0</v>
      </c>
      <c r="H65" s="288">
        <f t="shared" si="4"/>
        <v>2</v>
      </c>
      <c r="I65" s="285" t="s">
        <v>319</v>
      </c>
      <c r="J65" s="276"/>
      <c r="K65" s="276"/>
      <c r="L65" s="276"/>
      <c r="M65" s="276"/>
      <c r="N65" s="276"/>
      <c r="O65" s="276"/>
      <c r="P65" s="276"/>
      <c r="Q65" s="276"/>
      <c r="R65" s="276"/>
      <c r="S65" s="276"/>
      <c r="T65" s="276"/>
      <c r="U65" s="276"/>
      <c r="V65" s="276"/>
      <c r="W65" s="276"/>
      <c r="X65" s="276"/>
    </row>
    <row r="66" ht="15.75" customHeight="1">
      <c r="A66" s="297">
        <v>46178.0</v>
      </c>
      <c r="B66" s="284">
        <f t="shared" si="1"/>
        <v>5</v>
      </c>
      <c r="C66" s="284">
        <f t="shared" si="2"/>
        <v>6</v>
      </c>
      <c r="D66" s="284">
        <f t="shared" si="3"/>
        <v>2026</v>
      </c>
      <c r="E66" s="285" t="s">
        <v>250</v>
      </c>
      <c r="F66" s="285">
        <v>5.0</v>
      </c>
      <c r="G66" s="290">
        <v>2.0</v>
      </c>
      <c r="H66" s="288">
        <f t="shared" si="4"/>
        <v>10</v>
      </c>
      <c r="I66" s="285" t="s">
        <v>319</v>
      </c>
      <c r="J66" s="64"/>
      <c r="K66" s="276"/>
      <c r="L66" s="276"/>
      <c r="M66" s="276"/>
      <c r="N66" s="276"/>
      <c r="O66" s="276"/>
      <c r="P66" s="276"/>
      <c r="Q66" s="276"/>
      <c r="R66" s="276"/>
      <c r="S66" s="276"/>
      <c r="T66" s="276"/>
      <c r="U66" s="276"/>
      <c r="V66" s="276"/>
      <c r="W66" s="276"/>
      <c r="X66" s="276"/>
    </row>
    <row r="67" ht="15.75" customHeight="1">
      <c r="A67" s="297">
        <v>46179.0</v>
      </c>
      <c r="B67" s="284">
        <f t="shared" si="1"/>
        <v>6</v>
      </c>
      <c r="C67" s="284">
        <f t="shared" si="2"/>
        <v>6</v>
      </c>
      <c r="D67" s="284">
        <f t="shared" si="3"/>
        <v>2026</v>
      </c>
      <c r="E67" s="285" t="s">
        <v>272</v>
      </c>
      <c r="F67" s="35">
        <v>1.0</v>
      </c>
      <c r="G67" s="290">
        <v>10.0</v>
      </c>
      <c r="H67" s="288">
        <f t="shared" si="4"/>
        <v>10</v>
      </c>
      <c r="I67" s="285" t="s">
        <v>319</v>
      </c>
      <c r="J67" s="64"/>
      <c r="K67" s="276"/>
      <c r="L67" s="276"/>
      <c r="M67" s="276"/>
      <c r="N67" s="276"/>
      <c r="O67" s="276"/>
      <c r="P67" s="276"/>
      <c r="Q67" s="276"/>
      <c r="R67" s="276"/>
      <c r="S67" s="276"/>
      <c r="T67" s="276"/>
      <c r="U67" s="276"/>
      <c r="V67" s="276"/>
      <c r="W67" s="276"/>
      <c r="X67" s="276"/>
    </row>
    <row r="68" ht="15.75" customHeight="1">
      <c r="A68" s="297">
        <v>46179.0</v>
      </c>
      <c r="B68" s="284">
        <f t="shared" si="1"/>
        <v>6</v>
      </c>
      <c r="C68" s="284">
        <f t="shared" si="2"/>
        <v>6</v>
      </c>
      <c r="D68" s="284">
        <f t="shared" si="3"/>
        <v>2026</v>
      </c>
      <c r="E68" s="285" t="s">
        <v>250</v>
      </c>
      <c r="F68" s="35">
        <v>2.0</v>
      </c>
      <c r="G68" s="290">
        <v>2.0</v>
      </c>
      <c r="H68" s="288">
        <f t="shared" si="4"/>
        <v>4</v>
      </c>
      <c r="I68" s="285" t="s">
        <v>319</v>
      </c>
      <c r="J68" s="64"/>
      <c r="K68" s="276"/>
      <c r="L68" s="276"/>
      <c r="M68" s="276"/>
      <c r="N68" s="276"/>
      <c r="O68" s="276"/>
      <c r="P68" s="276"/>
      <c r="Q68" s="276"/>
      <c r="R68" s="276"/>
      <c r="S68" s="276"/>
      <c r="T68" s="276"/>
      <c r="U68" s="276"/>
      <c r="V68" s="276"/>
      <c r="W68" s="276"/>
      <c r="X68" s="276"/>
    </row>
    <row r="69" ht="15.75" customHeight="1">
      <c r="A69" s="297">
        <v>46179.0</v>
      </c>
      <c r="B69" s="284">
        <f t="shared" si="1"/>
        <v>6</v>
      </c>
      <c r="C69" s="284">
        <f t="shared" si="2"/>
        <v>6</v>
      </c>
      <c r="D69" s="284">
        <f t="shared" si="3"/>
        <v>2026</v>
      </c>
      <c r="E69" s="285" t="s">
        <v>250</v>
      </c>
      <c r="F69" s="285">
        <v>2.0</v>
      </c>
      <c r="G69" s="290">
        <v>2.5</v>
      </c>
      <c r="H69" s="288">
        <f t="shared" si="4"/>
        <v>5</v>
      </c>
      <c r="I69" s="285" t="s">
        <v>319</v>
      </c>
      <c r="J69" s="276"/>
      <c r="K69" s="276"/>
      <c r="L69" s="276"/>
      <c r="M69" s="276"/>
      <c r="N69" s="276"/>
      <c r="O69" s="276"/>
      <c r="P69" s="276"/>
      <c r="Q69" s="276"/>
      <c r="R69" s="276"/>
      <c r="S69" s="276"/>
      <c r="T69" s="276"/>
      <c r="U69" s="276"/>
      <c r="V69" s="276"/>
      <c r="W69" s="276"/>
      <c r="X69" s="276"/>
    </row>
    <row r="70" ht="15.75" customHeight="1">
      <c r="A70" s="297">
        <v>46180.0</v>
      </c>
      <c r="B70" s="284">
        <f t="shared" si="1"/>
        <v>7</v>
      </c>
      <c r="C70" s="284">
        <f t="shared" si="2"/>
        <v>6</v>
      </c>
      <c r="D70" s="284">
        <f t="shared" si="3"/>
        <v>2026</v>
      </c>
      <c r="E70" s="312" t="s">
        <v>228</v>
      </c>
      <c r="F70" s="312">
        <v>1.0</v>
      </c>
      <c r="G70" s="319">
        <v>15.0</v>
      </c>
      <c r="H70" s="288">
        <f t="shared" si="4"/>
        <v>15</v>
      </c>
      <c r="I70" s="285" t="s">
        <v>319</v>
      </c>
      <c r="J70" s="64"/>
      <c r="K70" s="276"/>
      <c r="L70" s="276"/>
      <c r="M70" s="276"/>
      <c r="N70" s="276"/>
      <c r="O70" s="276"/>
      <c r="P70" s="276"/>
      <c r="Q70" s="276"/>
      <c r="R70" s="276"/>
      <c r="S70" s="276"/>
      <c r="T70" s="276"/>
      <c r="U70" s="276"/>
      <c r="V70" s="276"/>
      <c r="W70" s="276"/>
      <c r="X70" s="276"/>
    </row>
    <row r="71" ht="15.75" customHeight="1">
      <c r="A71" s="297">
        <v>46180.0</v>
      </c>
      <c r="B71" s="284">
        <f t="shared" si="1"/>
        <v>7</v>
      </c>
      <c r="C71" s="284">
        <f t="shared" si="2"/>
        <v>6</v>
      </c>
      <c r="D71" s="284">
        <f t="shared" si="3"/>
        <v>2026</v>
      </c>
      <c r="E71" s="285" t="s">
        <v>250</v>
      </c>
      <c r="F71" s="285">
        <v>1.0</v>
      </c>
      <c r="G71" s="290">
        <v>2.0</v>
      </c>
      <c r="H71" s="288">
        <f t="shared" si="4"/>
        <v>2</v>
      </c>
      <c r="I71" s="285" t="s">
        <v>319</v>
      </c>
      <c r="J71" s="64"/>
      <c r="K71" s="276"/>
      <c r="L71" s="276"/>
      <c r="M71" s="276"/>
      <c r="N71" s="276"/>
      <c r="O71" s="276"/>
      <c r="P71" s="276"/>
      <c r="Q71" s="276"/>
      <c r="R71" s="276"/>
      <c r="S71" s="276"/>
      <c r="T71" s="276"/>
      <c r="U71" s="276"/>
      <c r="V71" s="276"/>
      <c r="W71" s="276"/>
      <c r="X71" s="276"/>
    </row>
    <row r="72" ht="15.75" customHeight="1">
      <c r="A72" s="297">
        <v>46180.0</v>
      </c>
      <c r="B72" s="284">
        <f t="shared" si="1"/>
        <v>7</v>
      </c>
      <c r="C72" s="284">
        <f t="shared" si="2"/>
        <v>6</v>
      </c>
      <c r="D72" s="284">
        <f t="shared" si="3"/>
        <v>2026</v>
      </c>
      <c r="E72" s="285" t="s">
        <v>250</v>
      </c>
      <c r="F72" s="285">
        <v>2.0</v>
      </c>
      <c r="G72" s="290">
        <v>2.0</v>
      </c>
      <c r="H72" s="288">
        <f t="shared" si="4"/>
        <v>4</v>
      </c>
      <c r="I72" s="285" t="s">
        <v>319</v>
      </c>
      <c r="J72" s="276"/>
      <c r="K72" s="276"/>
      <c r="L72" s="276"/>
      <c r="M72" s="276"/>
      <c r="N72" s="276"/>
      <c r="O72" s="276"/>
      <c r="P72" s="276"/>
      <c r="Q72" s="276"/>
      <c r="R72" s="276"/>
      <c r="S72" s="276"/>
      <c r="T72" s="276"/>
      <c r="U72" s="276"/>
      <c r="V72" s="276"/>
      <c r="W72" s="276"/>
      <c r="X72" s="276"/>
    </row>
    <row r="73" ht="15.75" customHeight="1">
      <c r="A73" s="297">
        <v>46181.0</v>
      </c>
      <c r="B73" s="284">
        <f t="shared" si="1"/>
        <v>8</v>
      </c>
      <c r="C73" s="284">
        <f t="shared" si="2"/>
        <v>6</v>
      </c>
      <c r="D73" s="284">
        <f t="shared" si="3"/>
        <v>2026</v>
      </c>
      <c r="E73" s="285" t="s">
        <v>272</v>
      </c>
      <c r="F73" s="35">
        <v>2.0</v>
      </c>
      <c r="G73" s="290">
        <v>7.0</v>
      </c>
      <c r="H73" s="288">
        <f t="shared" si="4"/>
        <v>14</v>
      </c>
      <c r="I73" s="285" t="s">
        <v>319</v>
      </c>
      <c r="J73" s="64"/>
      <c r="K73" s="276"/>
      <c r="L73" s="276"/>
      <c r="M73" s="276"/>
      <c r="N73" s="276"/>
      <c r="O73" s="276"/>
      <c r="P73" s="276"/>
      <c r="Q73" s="276"/>
      <c r="R73" s="276"/>
      <c r="S73" s="276"/>
      <c r="T73" s="276"/>
      <c r="U73" s="276"/>
      <c r="V73" s="276"/>
      <c r="W73" s="276"/>
      <c r="X73" s="276"/>
    </row>
    <row r="74" ht="15.75" customHeight="1">
      <c r="A74" s="297">
        <v>46181.0</v>
      </c>
      <c r="B74" s="284">
        <f t="shared" si="1"/>
        <v>8</v>
      </c>
      <c r="C74" s="284">
        <f t="shared" si="2"/>
        <v>6</v>
      </c>
      <c r="D74" s="284">
        <f t="shared" si="3"/>
        <v>2026</v>
      </c>
      <c r="E74" s="285" t="s">
        <v>250</v>
      </c>
      <c r="F74" s="285">
        <v>1.0</v>
      </c>
      <c r="G74" s="290">
        <v>2.0</v>
      </c>
      <c r="H74" s="288">
        <f t="shared" si="4"/>
        <v>2</v>
      </c>
      <c r="I74" s="285" t="s">
        <v>319</v>
      </c>
      <c r="J74" s="64"/>
      <c r="K74" s="276"/>
      <c r="L74" s="276"/>
      <c r="M74" s="276"/>
      <c r="N74" s="276"/>
      <c r="O74" s="276"/>
      <c r="P74" s="276"/>
      <c r="Q74" s="276"/>
      <c r="R74" s="276"/>
      <c r="S74" s="276"/>
      <c r="T74" s="276"/>
      <c r="U74" s="276"/>
      <c r="V74" s="276"/>
      <c r="W74" s="276"/>
      <c r="X74" s="276"/>
    </row>
    <row r="75" ht="15.75" customHeight="1">
      <c r="A75" s="297">
        <f t="shared" ref="A75:A78" si="5">A74</f>
        <v>46181</v>
      </c>
      <c r="B75" s="284">
        <f t="shared" si="1"/>
        <v>8</v>
      </c>
      <c r="C75" s="284">
        <f t="shared" si="2"/>
        <v>6</v>
      </c>
      <c r="D75" s="284">
        <f t="shared" si="3"/>
        <v>2026</v>
      </c>
      <c r="E75" s="285" t="s">
        <v>250</v>
      </c>
      <c r="F75" s="35">
        <v>5.0</v>
      </c>
      <c r="G75" s="290">
        <v>2.0</v>
      </c>
      <c r="H75" s="288">
        <f t="shared" si="4"/>
        <v>10</v>
      </c>
      <c r="I75" s="285" t="s">
        <v>319</v>
      </c>
      <c r="J75" s="64"/>
      <c r="K75" s="276"/>
      <c r="L75" s="276"/>
      <c r="M75" s="276"/>
      <c r="N75" s="276"/>
      <c r="O75" s="276"/>
      <c r="P75" s="276"/>
      <c r="Q75" s="276"/>
      <c r="R75" s="276"/>
      <c r="S75" s="276"/>
      <c r="T75" s="276"/>
      <c r="U75" s="276"/>
      <c r="V75" s="276"/>
      <c r="W75" s="276"/>
      <c r="X75" s="276"/>
    </row>
    <row r="76" ht="15.75" customHeight="1">
      <c r="A76" s="297">
        <f t="shared" si="5"/>
        <v>46181</v>
      </c>
      <c r="B76" s="284">
        <f t="shared" si="1"/>
        <v>8</v>
      </c>
      <c r="C76" s="284">
        <f t="shared" si="2"/>
        <v>6</v>
      </c>
      <c r="D76" s="284">
        <f t="shared" si="3"/>
        <v>2026</v>
      </c>
      <c r="E76" s="285" t="s">
        <v>250</v>
      </c>
      <c r="F76" s="35">
        <v>5.0</v>
      </c>
      <c r="G76" s="290">
        <v>2.0</v>
      </c>
      <c r="H76" s="288">
        <f t="shared" si="4"/>
        <v>10</v>
      </c>
      <c r="I76" s="285" t="s">
        <v>319</v>
      </c>
      <c r="J76" s="64"/>
      <c r="K76" s="276"/>
      <c r="L76" s="276"/>
      <c r="M76" s="276"/>
      <c r="N76" s="276"/>
      <c r="O76" s="276"/>
      <c r="P76" s="276"/>
      <c r="Q76" s="276"/>
      <c r="R76" s="276"/>
      <c r="S76" s="276"/>
      <c r="T76" s="276"/>
      <c r="U76" s="276"/>
      <c r="V76" s="276"/>
      <c r="W76" s="276"/>
      <c r="X76" s="276"/>
    </row>
    <row r="77" ht="15.75" customHeight="1">
      <c r="A77" s="297">
        <f t="shared" si="5"/>
        <v>46181</v>
      </c>
      <c r="B77" s="284">
        <f t="shared" si="1"/>
        <v>8</v>
      </c>
      <c r="C77" s="284">
        <f t="shared" si="2"/>
        <v>6</v>
      </c>
      <c r="D77" s="284">
        <f t="shared" si="3"/>
        <v>2026</v>
      </c>
      <c r="E77" s="285" t="s">
        <v>275</v>
      </c>
      <c r="F77" s="35">
        <v>1.0</v>
      </c>
      <c r="G77" s="290">
        <v>15.0</v>
      </c>
      <c r="H77" s="288">
        <f t="shared" si="4"/>
        <v>15</v>
      </c>
      <c r="I77" s="285" t="s">
        <v>319</v>
      </c>
      <c r="J77" s="276"/>
      <c r="K77" s="276"/>
      <c r="L77" s="276"/>
      <c r="M77" s="276"/>
      <c r="N77" s="276"/>
      <c r="O77" s="276"/>
      <c r="P77" s="276"/>
      <c r="Q77" s="276"/>
      <c r="R77" s="276"/>
      <c r="S77" s="276"/>
      <c r="T77" s="276"/>
      <c r="U77" s="276"/>
      <c r="V77" s="276"/>
      <c r="W77" s="276"/>
      <c r="X77" s="276"/>
    </row>
    <row r="78" ht="15.75" customHeight="1">
      <c r="A78" s="297">
        <f t="shared" si="5"/>
        <v>46181</v>
      </c>
      <c r="B78" s="284">
        <f t="shared" si="1"/>
        <v>8</v>
      </c>
      <c r="C78" s="284">
        <f t="shared" si="2"/>
        <v>6</v>
      </c>
      <c r="D78" s="284">
        <f t="shared" si="3"/>
        <v>2026</v>
      </c>
      <c r="E78" s="285" t="s">
        <v>250</v>
      </c>
      <c r="F78" s="285">
        <v>3.0</v>
      </c>
      <c r="G78" s="290">
        <v>2.0</v>
      </c>
      <c r="H78" s="288">
        <f t="shared" si="4"/>
        <v>6</v>
      </c>
      <c r="I78" s="285" t="s">
        <v>319</v>
      </c>
      <c r="J78" s="64"/>
      <c r="K78" s="276"/>
      <c r="L78" s="276"/>
      <c r="M78" s="276"/>
      <c r="N78" s="276"/>
      <c r="O78" s="276"/>
      <c r="P78" s="276"/>
      <c r="Q78" s="276"/>
      <c r="R78" s="276"/>
      <c r="S78" s="276"/>
      <c r="T78" s="276"/>
      <c r="U78" s="276"/>
      <c r="V78" s="276"/>
      <c r="W78" s="276"/>
      <c r="X78" s="276"/>
    </row>
    <row r="79" ht="15.75" customHeight="1">
      <c r="A79" s="297">
        <v>46182.0</v>
      </c>
      <c r="B79" s="284">
        <f t="shared" si="1"/>
        <v>9</v>
      </c>
      <c r="C79" s="284">
        <f t="shared" si="2"/>
        <v>6</v>
      </c>
      <c r="D79" s="284">
        <f t="shared" si="3"/>
        <v>2026</v>
      </c>
      <c r="E79" s="285" t="s">
        <v>250</v>
      </c>
      <c r="F79" s="285">
        <v>1.0</v>
      </c>
      <c r="G79" s="290">
        <v>2.0</v>
      </c>
      <c r="H79" s="288">
        <f t="shared" si="4"/>
        <v>2</v>
      </c>
      <c r="I79" s="285" t="s">
        <v>319</v>
      </c>
      <c r="J79" s="64"/>
      <c r="K79" s="276"/>
      <c r="L79" s="276"/>
      <c r="M79" s="276"/>
      <c r="N79" s="276"/>
      <c r="O79" s="276"/>
      <c r="P79" s="276"/>
      <c r="Q79" s="276"/>
      <c r="R79" s="276"/>
      <c r="S79" s="276"/>
      <c r="T79" s="276"/>
      <c r="U79" s="276"/>
      <c r="V79" s="276"/>
      <c r="W79" s="276"/>
      <c r="X79" s="276"/>
    </row>
    <row r="80" ht="15.75" customHeight="1">
      <c r="A80" s="297">
        <v>46184.0</v>
      </c>
      <c r="B80" s="284">
        <f t="shared" si="1"/>
        <v>11</v>
      </c>
      <c r="C80" s="284">
        <f t="shared" si="2"/>
        <v>6</v>
      </c>
      <c r="D80" s="284">
        <f t="shared" si="3"/>
        <v>2026</v>
      </c>
      <c r="E80" s="285" t="s">
        <v>250</v>
      </c>
      <c r="F80" s="285">
        <v>1.0</v>
      </c>
      <c r="G80" s="290">
        <v>2.0</v>
      </c>
      <c r="H80" s="288">
        <f t="shared" si="4"/>
        <v>2</v>
      </c>
      <c r="I80" s="285" t="s">
        <v>319</v>
      </c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  <row r="81" ht="15.75" customHeight="1">
      <c r="A81" s="297">
        <f>A80</f>
        <v>46184</v>
      </c>
      <c r="B81" s="284">
        <f t="shared" si="1"/>
        <v>11</v>
      </c>
      <c r="C81" s="284">
        <f t="shared" si="2"/>
        <v>6</v>
      </c>
      <c r="D81" s="284">
        <f t="shared" si="3"/>
        <v>2026</v>
      </c>
      <c r="E81" s="285" t="s">
        <v>250</v>
      </c>
      <c r="F81" s="35">
        <v>1.0</v>
      </c>
      <c r="G81" s="290">
        <v>2.0</v>
      </c>
      <c r="H81" s="288">
        <f t="shared" si="4"/>
        <v>2</v>
      </c>
      <c r="I81" s="285" t="s">
        <v>319</v>
      </c>
      <c r="J81" s="64"/>
      <c r="K81" s="276"/>
      <c r="L81" s="276"/>
      <c r="M81" s="276"/>
      <c r="N81" s="276"/>
      <c r="O81" s="276"/>
      <c r="P81" s="276"/>
      <c r="Q81" s="276"/>
      <c r="R81" s="276"/>
      <c r="S81" s="276"/>
      <c r="T81" s="276"/>
      <c r="U81" s="276"/>
      <c r="V81" s="276"/>
      <c r="W81" s="276"/>
      <c r="X81" s="276"/>
    </row>
    <row r="82" ht="15.75" customHeight="1">
      <c r="A82" s="297">
        <v>46185.0</v>
      </c>
      <c r="B82" s="284">
        <f t="shared" si="1"/>
        <v>12</v>
      </c>
      <c r="C82" s="284">
        <f t="shared" si="2"/>
        <v>6</v>
      </c>
      <c r="D82" s="284">
        <f t="shared" si="3"/>
        <v>2026</v>
      </c>
      <c r="E82" s="285" t="s">
        <v>250</v>
      </c>
      <c r="F82" s="35">
        <v>1.0</v>
      </c>
      <c r="G82" s="290">
        <v>2.0</v>
      </c>
      <c r="H82" s="288">
        <f t="shared" si="4"/>
        <v>2</v>
      </c>
      <c r="I82" s="285" t="s">
        <v>319</v>
      </c>
      <c r="J82" s="276"/>
      <c r="K82" s="276"/>
      <c r="L82" s="276"/>
      <c r="M82" s="276"/>
      <c r="N82" s="276"/>
      <c r="O82" s="276"/>
      <c r="P82" s="276"/>
      <c r="Q82" s="276"/>
      <c r="R82" s="276"/>
      <c r="S82" s="276"/>
      <c r="T82" s="276"/>
      <c r="U82" s="276"/>
      <c r="V82" s="276"/>
      <c r="W82" s="276"/>
      <c r="X82" s="276"/>
    </row>
    <row r="83" ht="15.75" customHeight="1">
      <c r="A83" s="297">
        <f t="shared" ref="A83:A84" si="6">A82</f>
        <v>46185</v>
      </c>
      <c r="B83" s="284">
        <f t="shared" si="1"/>
        <v>12</v>
      </c>
      <c r="C83" s="284">
        <f t="shared" si="2"/>
        <v>6</v>
      </c>
      <c r="D83" s="284">
        <f t="shared" si="3"/>
        <v>2026</v>
      </c>
      <c r="E83" s="285" t="s">
        <v>275</v>
      </c>
      <c r="F83" s="35">
        <v>1.0</v>
      </c>
      <c r="G83" s="290">
        <v>5.0</v>
      </c>
      <c r="H83" s="288">
        <f t="shared" si="4"/>
        <v>5</v>
      </c>
      <c r="I83" s="285" t="s">
        <v>319</v>
      </c>
      <c r="J83" s="64"/>
      <c r="K83" s="276"/>
      <c r="L83" s="276"/>
      <c r="M83" s="276"/>
      <c r="N83" s="276"/>
      <c r="O83" s="276"/>
      <c r="P83" s="276"/>
      <c r="Q83" s="276"/>
      <c r="R83" s="276"/>
      <c r="S83" s="276"/>
      <c r="T83" s="276"/>
      <c r="U83" s="276"/>
      <c r="V83" s="276"/>
      <c r="W83" s="276"/>
      <c r="X83" s="276"/>
    </row>
    <row r="84" ht="15.75" customHeight="1">
      <c r="A84" s="297">
        <f t="shared" si="6"/>
        <v>46185</v>
      </c>
      <c r="B84" s="284">
        <f t="shared" si="1"/>
        <v>12</v>
      </c>
      <c r="C84" s="284">
        <f t="shared" si="2"/>
        <v>6</v>
      </c>
      <c r="D84" s="284">
        <f t="shared" si="3"/>
        <v>2026</v>
      </c>
      <c r="E84" s="285" t="s">
        <v>250</v>
      </c>
      <c r="F84" s="286">
        <v>1.0</v>
      </c>
      <c r="G84" s="287">
        <v>2.0</v>
      </c>
      <c r="H84" s="288">
        <f t="shared" si="4"/>
        <v>2</v>
      </c>
      <c r="I84" s="285" t="s">
        <v>319</v>
      </c>
      <c r="J84" s="64"/>
      <c r="K84" s="276"/>
      <c r="L84" s="276"/>
      <c r="M84" s="276"/>
      <c r="N84" s="276"/>
      <c r="O84" s="276"/>
      <c r="P84" s="276"/>
      <c r="Q84" s="276"/>
      <c r="R84" s="276"/>
      <c r="S84" s="276"/>
      <c r="T84" s="276"/>
      <c r="U84" s="276"/>
      <c r="V84" s="276"/>
      <c r="W84" s="276"/>
      <c r="X84" s="276"/>
    </row>
    <row r="85" ht="15.75" customHeight="1">
      <c r="A85" s="297">
        <v>46186.0</v>
      </c>
      <c r="B85" s="284">
        <f t="shared" si="1"/>
        <v>13</v>
      </c>
      <c r="C85" s="284">
        <f t="shared" si="2"/>
        <v>6</v>
      </c>
      <c r="D85" s="284">
        <f t="shared" si="3"/>
        <v>2026</v>
      </c>
      <c r="E85" s="285" t="s">
        <v>275</v>
      </c>
      <c r="F85" s="285">
        <v>1.0</v>
      </c>
      <c r="G85" s="290">
        <v>10.0</v>
      </c>
      <c r="H85" s="288">
        <f t="shared" si="4"/>
        <v>10</v>
      </c>
      <c r="I85" s="285" t="s">
        <v>319</v>
      </c>
      <c r="J85" s="276"/>
      <c r="K85" s="276"/>
      <c r="L85" s="276"/>
      <c r="M85" s="276"/>
      <c r="N85" s="276"/>
      <c r="O85" s="276"/>
      <c r="P85" s="276"/>
      <c r="Q85" s="276"/>
      <c r="R85" s="276"/>
      <c r="S85" s="276"/>
      <c r="T85" s="276"/>
      <c r="U85" s="276"/>
      <c r="V85" s="276"/>
      <c r="W85" s="276"/>
      <c r="X85" s="276"/>
    </row>
    <row r="86" ht="15.75" customHeight="1">
      <c r="A86" s="297">
        <f>A85</f>
        <v>46186</v>
      </c>
      <c r="B86" s="284">
        <f t="shared" si="1"/>
        <v>13</v>
      </c>
      <c r="C86" s="284">
        <f t="shared" si="2"/>
        <v>6</v>
      </c>
      <c r="D86" s="284">
        <f t="shared" si="3"/>
        <v>2026</v>
      </c>
      <c r="E86" s="285" t="s">
        <v>250</v>
      </c>
      <c r="F86" s="285">
        <v>15.0</v>
      </c>
      <c r="G86" s="290">
        <v>2.0</v>
      </c>
      <c r="H86" s="288">
        <f t="shared" si="4"/>
        <v>30</v>
      </c>
      <c r="I86" s="285" t="s">
        <v>319</v>
      </c>
      <c r="J86" s="64"/>
      <c r="K86" s="276"/>
      <c r="L86" s="276"/>
      <c r="M86" s="276"/>
      <c r="N86" s="276"/>
      <c r="O86" s="276"/>
      <c r="P86" s="276"/>
      <c r="Q86" s="276"/>
      <c r="R86" s="276"/>
      <c r="S86" s="276"/>
      <c r="T86" s="276"/>
      <c r="U86" s="276"/>
      <c r="V86" s="276"/>
      <c r="W86" s="276"/>
      <c r="X86" s="276"/>
    </row>
    <row r="87" ht="15.75" customHeight="1">
      <c r="A87" s="297">
        <v>46187.0</v>
      </c>
      <c r="B87" s="284">
        <f t="shared" si="1"/>
        <v>14</v>
      </c>
      <c r="C87" s="284">
        <f t="shared" si="2"/>
        <v>6</v>
      </c>
      <c r="D87" s="284">
        <f t="shared" si="3"/>
        <v>2026</v>
      </c>
      <c r="E87" s="285" t="s">
        <v>272</v>
      </c>
      <c r="F87" s="35">
        <v>1.0</v>
      </c>
      <c r="G87" s="290">
        <v>10.0</v>
      </c>
      <c r="H87" s="288">
        <f t="shared" si="4"/>
        <v>10</v>
      </c>
      <c r="I87" s="285" t="s">
        <v>319</v>
      </c>
      <c r="J87" s="64"/>
      <c r="K87" s="64"/>
      <c r="L87" s="276"/>
      <c r="M87" s="276"/>
      <c r="N87" s="276"/>
      <c r="O87" s="276"/>
      <c r="P87" s="276"/>
      <c r="Q87" s="276"/>
      <c r="R87" s="276"/>
      <c r="S87" s="276"/>
      <c r="T87" s="276"/>
      <c r="U87" s="276"/>
      <c r="V87" s="276"/>
      <c r="W87" s="276"/>
      <c r="X87" s="276"/>
    </row>
    <row r="88" ht="15.75" customHeight="1">
      <c r="A88" s="297">
        <f t="shared" ref="A88:A89" si="7">A87</f>
        <v>46187</v>
      </c>
      <c r="B88" s="284">
        <f t="shared" si="1"/>
        <v>14</v>
      </c>
      <c r="C88" s="284">
        <f t="shared" si="2"/>
        <v>6</v>
      </c>
      <c r="D88" s="284">
        <f t="shared" si="3"/>
        <v>2026</v>
      </c>
      <c r="E88" s="285" t="s">
        <v>250</v>
      </c>
      <c r="F88" s="35">
        <v>2.0</v>
      </c>
      <c r="G88" s="290">
        <v>2.0</v>
      </c>
      <c r="H88" s="288">
        <f t="shared" si="4"/>
        <v>4</v>
      </c>
      <c r="I88" s="285" t="s">
        <v>319</v>
      </c>
      <c r="J88" s="276"/>
      <c r="K88" s="276"/>
      <c r="L88" s="276"/>
      <c r="M88" s="276"/>
      <c r="N88" s="276"/>
      <c r="O88" s="276"/>
      <c r="P88" s="276"/>
      <c r="Q88" s="276"/>
      <c r="R88" s="276"/>
      <c r="S88" s="276"/>
      <c r="T88" s="276"/>
      <c r="U88" s="276"/>
      <c r="V88" s="276"/>
      <c r="W88" s="276"/>
      <c r="X88" s="276"/>
    </row>
    <row r="89" ht="15.75" customHeight="1">
      <c r="A89" s="297">
        <f t="shared" si="7"/>
        <v>46187</v>
      </c>
      <c r="B89" s="284">
        <f t="shared" si="1"/>
        <v>14</v>
      </c>
      <c r="C89" s="284">
        <f t="shared" si="2"/>
        <v>6</v>
      </c>
      <c r="D89" s="284">
        <f t="shared" si="3"/>
        <v>2026</v>
      </c>
      <c r="E89" s="285" t="s">
        <v>258</v>
      </c>
      <c r="F89" s="35">
        <v>1.0</v>
      </c>
      <c r="G89" s="290">
        <v>1.0</v>
      </c>
      <c r="H89" s="288">
        <f t="shared" si="4"/>
        <v>1</v>
      </c>
      <c r="I89" s="285" t="s">
        <v>319</v>
      </c>
      <c r="J89" s="276"/>
      <c r="K89" s="276"/>
      <c r="L89" s="276"/>
      <c r="M89" s="276"/>
      <c r="N89" s="276"/>
      <c r="O89" s="276"/>
      <c r="P89" s="276"/>
      <c r="Q89" s="276"/>
      <c r="R89" s="276"/>
      <c r="S89" s="276"/>
      <c r="T89" s="276"/>
      <c r="U89" s="276"/>
      <c r="V89" s="276"/>
      <c r="W89" s="276"/>
      <c r="X89" s="276"/>
    </row>
    <row r="90" ht="15.75" customHeight="1">
      <c r="A90" s="297">
        <v>46188.0</v>
      </c>
      <c r="B90" s="284">
        <f t="shared" si="1"/>
        <v>15</v>
      </c>
      <c r="C90" s="284">
        <f t="shared" si="2"/>
        <v>6</v>
      </c>
      <c r="D90" s="284">
        <f t="shared" si="3"/>
        <v>2026</v>
      </c>
      <c r="E90" s="285" t="s">
        <v>272</v>
      </c>
      <c r="F90" s="285">
        <v>1.0</v>
      </c>
      <c r="G90" s="290">
        <v>5.0</v>
      </c>
      <c r="H90" s="288">
        <f t="shared" si="4"/>
        <v>5</v>
      </c>
      <c r="I90" s="285" t="s">
        <v>319</v>
      </c>
      <c r="J90" s="276"/>
      <c r="K90" s="276"/>
      <c r="L90" s="276"/>
      <c r="M90" s="276"/>
      <c r="N90" s="276"/>
      <c r="O90" s="276"/>
      <c r="P90" s="276"/>
      <c r="Q90" s="276"/>
      <c r="R90" s="276"/>
      <c r="S90" s="276"/>
      <c r="T90" s="276"/>
      <c r="U90" s="276"/>
      <c r="V90" s="276"/>
      <c r="W90" s="276"/>
      <c r="X90" s="276"/>
    </row>
    <row r="91" ht="15.75" customHeight="1">
      <c r="A91" s="297">
        <f>A90</f>
        <v>46188</v>
      </c>
      <c r="B91" s="284">
        <f t="shared" si="1"/>
        <v>15</v>
      </c>
      <c r="C91" s="284">
        <f t="shared" si="2"/>
        <v>6</v>
      </c>
      <c r="D91" s="284">
        <f t="shared" si="3"/>
        <v>2026</v>
      </c>
      <c r="E91" s="285" t="s">
        <v>272</v>
      </c>
      <c r="F91" s="35">
        <v>2.0</v>
      </c>
      <c r="G91" s="290">
        <v>5.0</v>
      </c>
      <c r="H91" s="288">
        <f t="shared" si="4"/>
        <v>10</v>
      </c>
      <c r="I91" s="285" t="s">
        <v>319</v>
      </c>
      <c r="J91" s="276"/>
      <c r="K91" s="276"/>
      <c r="L91" s="276"/>
      <c r="M91" s="276"/>
      <c r="N91" s="276"/>
      <c r="O91" s="276"/>
      <c r="P91" s="276"/>
      <c r="Q91" s="276"/>
      <c r="R91" s="276"/>
      <c r="S91" s="276"/>
      <c r="T91" s="276"/>
      <c r="U91" s="276"/>
      <c r="V91" s="276"/>
      <c r="W91" s="276"/>
      <c r="X91" s="276"/>
    </row>
    <row r="92" ht="15.75" customHeight="1">
      <c r="A92" s="297">
        <v>46189.0</v>
      </c>
      <c r="B92" s="284">
        <f t="shared" si="1"/>
        <v>16</v>
      </c>
      <c r="C92" s="284">
        <f t="shared" si="2"/>
        <v>6</v>
      </c>
      <c r="D92" s="284">
        <f t="shared" si="3"/>
        <v>2026</v>
      </c>
      <c r="E92" s="285" t="s">
        <v>250</v>
      </c>
      <c r="F92" s="35">
        <v>1.0</v>
      </c>
      <c r="G92" s="290">
        <v>2.0</v>
      </c>
      <c r="H92" s="288">
        <f t="shared" si="4"/>
        <v>2</v>
      </c>
      <c r="I92" s="285" t="s">
        <v>319</v>
      </c>
      <c r="J92" s="276"/>
      <c r="K92" s="276"/>
      <c r="L92" s="276"/>
      <c r="M92" s="276"/>
      <c r="N92" s="276"/>
      <c r="O92" s="276"/>
      <c r="P92" s="276"/>
      <c r="Q92" s="276"/>
      <c r="R92" s="276"/>
      <c r="S92" s="276"/>
      <c r="T92" s="276"/>
      <c r="U92" s="276"/>
      <c r="V92" s="276"/>
      <c r="W92" s="276"/>
      <c r="X92" s="276"/>
    </row>
    <row r="93" ht="15.75" customHeight="1">
      <c r="A93" s="297">
        <f>A92</f>
        <v>46189</v>
      </c>
      <c r="B93" s="284">
        <f t="shared" si="1"/>
        <v>16</v>
      </c>
      <c r="C93" s="284">
        <f t="shared" si="2"/>
        <v>6</v>
      </c>
      <c r="D93" s="284">
        <f t="shared" si="3"/>
        <v>2026</v>
      </c>
      <c r="E93" s="312" t="s">
        <v>250</v>
      </c>
      <c r="F93" s="312">
        <v>2.0</v>
      </c>
      <c r="G93" s="319">
        <v>2.0</v>
      </c>
      <c r="H93" s="288">
        <f t="shared" si="4"/>
        <v>4</v>
      </c>
      <c r="I93" s="285" t="s">
        <v>319</v>
      </c>
      <c r="J93" s="276"/>
      <c r="K93" s="276"/>
      <c r="L93" s="276"/>
      <c r="M93" s="276"/>
      <c r="N93" s="276"/>
      <c r="O93" s="276"/>
      <c r="P93" s="276"/>
      <c r="Q93" s="276"/>
      <c r="R93" s="276"/>
      <c r="S93" s="276"/>
      <c r="T93" s="276"/>
      <c r="U93" s="276"/>
      <c r="V93" s="276"/>
      <c r="W93" s="276"/>
      <c r="X93" s="276"/>
    </row>
    <row r="94" ht="15.75" customHeight="1">
      <c r="A94" s="297">
        <v>46190.0</v>
      </c>
      <c r="B94" s="284">
        <f t="shared" si="1"/>
        <v>17</v>
      </c>
      <c r="C94" s="284">
        <f t="shared" si="2"/>
        <v>6</v>
      </c>
      <c r="D94" s="284">
        <f t="shared" si="3"/>
        <v>2026</v>
      </c>
      <c r="E94" s="285" t="s">
        <v>250</v>
      </c>
      <c r="F94" s="35">
        <v>2.0</v>
      </c>
      <c r="G94" s="290">
        <v>2.0</v>
      </c>
      <c r="H94" s="288">
        <f t="shared" si="4"/>
        <v>4</v>
      </c>
      <c r="I94" s="285" t="s">
        <v>319</v>
      </c>
      <c r="J94" s="64"/>
      <c r="K94" s="276"/>
      <c r="L94" s="276"/>
      <c r="M94" s="276"/>
      <c r="N94" s="276"/>
      <c r="O94" s="276"/>
      <c r="P94" s="276"/>
      <c r="Q94" s="276"/>
      <c r="R94" s="276"/>
      <c r="S94" s="276"/>
      <c r="T94" s="276"/>
      <c r="U94" s="276"/>
      <c r="V94" s="276"/>
      <c r="W94" s="276"/>
      <c r="X94" s="276"/>
    </row>
    <row r="95" ht="15.75" customHeight="1">
      <c r="A95" s="297">
        <f t="shared" ref="A95:A96" si="8">A94</f>
        <v>46190</v>
      </c>
      <c r="B95" s="284">
        <f t="shared" si="1"/>
        <v>17</v>
      </c>
      <c r="C95" s="284">
        <f t="shared" si="2"/>
        <v>6</v>
      </c>
      <c r="D95" s="284">
        <f t="shared" si="3"/>
        <v>2026</v>
      </c>
      <c r="E95" s="285" t="s">
        <v>272</v>
      </c>
      <c r="F95" s="286">
        <v>1.0</v>
      </c>
      <c r="G95" s="287">
        <v>5.0</v>
      </c>
      <c r="H95" s="288">
        <f t="shared" si="4"/>
        <v>5</v>
      </c>
      <c r="I95" s="285" t="s">
        <v>319</v>
      </c>
      <c r="J95" s="64"/>
      <c r="K95" s="276"/>
      <c r="L95" s="276"/>
      <c r="M95" s="276"/>
      <c r="N95" s="276"/>
      <c r="O95" s="276"/>
      <c r="P95" s="276"/>
      <c r="Q95" s="276"/>
      <c r="R95" s="276"/>
      <c r="S95" s="276"/>
      <c r="T95" s="276"/>
      <c r="U95" s="276"/>
      <c r="V95" s="276"/>
      <c r="W95" s="276"/>
      <c r="X95" s="276"/>
    </row>
    <row r="96" ht="15.75" customHeight="1">
      <c r="A96" s="297">
        <f t="shared" si="8"/>
        <v>46190</v>
      </c>
      <c r="B96" s="284">
        <f t="shared" si="1"/>
        <v>17</v>
      </c>
      <c r="C96" s="284">
        <f t="shared" si="2"/>
        <v>6</v>
      </c>
      <c r="D96" s="284">
        <f t="shared" si="3"/>
        <v>2026</v>
      </c>
      <c r="E96" s="312" t="s">
        <v>250</v>
      </c>
      <c r="F96" s="312">
        <v>4.0</v>
      </c>
      <c r="G96" s="319">
        <v>2.0</v>
      </c>
      <c r="H96" s="288">
        <f t="shared" si="4"/>
        <v>8</v>
      </c>
      <c r="I96" s="285" t="s">
        <v>319</v>
      </c>
      <c r="J96" s="64"/>
      <c r="K96" s="276"/>
      <c r="L96" s="276"/>
      <c r="M96" s="276"/>
      <c r="N96" s="276"/>
      <c r="O96" s="276"/>
      <c r="P96" s="276"/>
      <c r="Q96" s="276"/>
      <c r="R96" s="276"/>
      <c r="S96" s="276"/>
      <c r="T96" s="276"/>
      <c r="U96" s="276"/>
      <c r="V96" s="276"/>
      <c r="W96" s="276"/>
      <c r="X96" s="276"/>
    </row>
    <row r="97" ht="15.75" customHeight="1">
      <c r="A97" s="297">
        <v>46192.0</v>
      </c>
      <c r="B97" s="284">
        <f t="shared" si="1"/>
        <v>19</v>
      </c>
      <c r="C97" s="284">
        <f t="shared" si="2"/>
        <v>6</v>
      </c>
      <c r="D97" s="284">
        <f t="shared" si="3"/>
        <v>2026</v>
      </c>
      <c r="E97" s="285" t="s">
        <v>250</v>
      </c>
      <c r="F97" s="35">
        <v>1.0</v>
      </c>
      <c r="G97" s="290">
        <v>2.0</v>
      </c>
      <c r="H97" s="288">
        <f t="shared" si="4"/>
        <v>2</v>
      </c>
      <c r="I97" s="285" t="s">
        <v>319</v>
      </c>
      <c r="J97" s="64"/>
      <c r="K97" s="276"/>
      <c r="L97" s="276"/>
      <c r="M97" s="276"/>
      <c r="N97" s="276"/>
      <c r="O97" s="276"/>
      <c r="P97" s="276"/>
      <c r="Q97" s="276"/>
      <c r="R97" s="276"/>
      <c r="S97" s="276"/>
      <c r="T97" s="276"/>
      <c r="U97" s="276"/>
      <c r="V97" s="276"/>
      <c r="W97" s="276"/>
      <c r="X97" s="276"/>
    </row>
    <row r="98" ht="15.75" customHeight="1">
      <c r="A98" s="297">
        <v>46193.0</v>
      </c>
      <c r="B98" s="284">
        <f t="shared" si="1"/>
        <v>20</v>
      </c>
      <c r="C98" s="284">
        <f t="shared" si="2"/>
        <v>6</v>
      </c>
      <c r="D98" s="284">
        <f t="shared" si="3"/>
        <v>2026</v>
      </c>
      <c r="E98" s="285" t="s">
        <v>250</v>
      </c>
      <c r="F98" s="35">
        <v>1.0</v>
      </c>
      <c r="G98" s="290">
        <v>2.0</v>
      </c>
      <c r="H98" s="288">
        <f t="shared" si="4"/>
        <v>2</v>
      </c>
      <c r="I98" s="285" t="s">
        <v>319</v>
      </c>
      <c r="J98" s="64"/>
      <c r="K98" s="276"/>
      <c r="L98" s="276"/>
      <c r="M98" s="276"/>
      <c r="N98" s="276"/>
      <c r="O98" s="276"/>
      <c r="P98" s="276"/>
      <c r="Q98" s="276"/>
      <c r="R98" s="276"/>
      <c r="S98" s="276"/>
      <c r="T98" s="276"/>
      <c r="U98" s="276"/>
      <c r="V98" s="276"/>
      <c r="W98" s="276"/>
      <c r="X98" s="276"/>
    </row>
    <row r="99" ht="15.75" customHeight="1">
      <c r="A99" s="297">
        <v>46194.0</v>
      </c>
      <c r="B99" s="284">
        <f t="shared" si="1"/>
        <v>21</v>
      </c>
      <c r="C99" s="284">
        <f t="shared" si="2"/>
        <v>6</v>
      </c>
      <c r="D99" s="284">
        <f t="shared" si="3"/>
        <v>2026</v>
      </c>
      <c r="E99" s="285" t="s">
        <v>250</v>
      </c>
      <c r="F99" s="35">
        <v>2.0</v>
      </c>
      <c r="G99" s="290">
        <v>2.0</v>
      </c>
      <c r="H99" s="288">
        <f t="shared" si="4"/>
        <v>4</v>
      </c>
      <c r="I99" s="285" t="s">
        <v>319</v>
      </c>
      <c r="J99" s="64"/>
      <c r="K99" s="276"/>
      <c r="L99" s="276"/>
      <c r="M99" s="276"/>
      <c r="N99" s="276"/>
      <c r="O99" s="276"/>
      <c r="P99" s="276"/>
      <c r="Q99" s="276"/>
      <c r="R99" s="276"/>
      <c r="S99" s="276"/>
      <c r="T99" s="276"/>
      <c r="U99" s="276"/>
      <c r="V99" s="276"/>
      <c r="W99" s="276"/>
      <c r="X99" s="276"/>
    </row>
    <row r="100" ht="15.75" customHeight="1">
      <c r="A100" s="297">
        <f t="shared" ref="A100:A102" si="9">A99</f>
        <v>46194</v>
      </c>
      <c r="B100" s="284">
        <f t="shared" si="1"/>
        <v>21</v>
      </c>
      <c r="C100" s="284">
        <f t="shared" si="2"/>
        <v>6</v>
      </c>
      <c r="D100" s="284">
        <f t="shared" si="3"/>
        <v>2026</v>
      </c>
      <c r="E100" s="285" t="s">
        <v>250</v>
      </c>
      <c r="F100" s="35">
        <v>1.0</v>
      </c>
      <c r="G100" s="290">
        <v>2.0</v>
      </c>
      <c r="H100" s="288">
        <f t="shared" si="4"/>
        <v>2</v>
      </c>
      <c r="I100" s="285" t="s">
        <v>319</v>
      </c>
      <c r="J100" s="276"/>
      <c r="K100" s="276"/>
      <c r="L100" s="276"/>
      <c r="M100" s="276"/>
      <c r="N100" s="276"/>
      <c r="O100" s="276"/>
      <c r="P100" s="276"/>
      <c r="Q100" s="276"/>
      <c r="R100" s="276"/>
      <c r="S100" s="276"/>
      <c r="T100" s="276"/>
      <c r="U100" s="276"/>
      <c r="V100" s="276"/>
      <c r="W100" s="276"/>
      <c r="X100" s="276"/>
    </row>
    <row r="101" ht="15.75" customHeight="1">
      <c r="A101" s="297">
        <f t="shared" si="9"/>
        <v>46194</v>
      </c>
      <c r="B101" s="284">
        <f t="shared" si="1"/>
        <v>21</v>
      </c>
      <c r="C101" s="284">
        <f t="shared" si="2"/>
        <v>6</v>
      </c>
      <c r="D101" s="284">
        <f t="shared" si="3"/>
        <v>2026</v>
      </c>
      <c r="E101" s="285" t="s">
        <v>250</v>
      </c>
      <c r="F101" s="285">
        <v>5.0</v>
      </c>
      <c r="G101" s="290">
        <v>2.0</v>
      </c>
      <c r="H101" s="288">
        <f t="shared" si="4"/>
        <v>10</v>
      </c>
      <c r="I101" s="285" t="s">
        <v>319</v>
      </c>
      <c r="J101" s="276"/>
      <c r="K101" s="276"/>
      <c r="L101" s="276"/>
      <c r="M101" s="276"/>
      <c r="N101" s="276"/>
      <c r="O101" s="276"/>
      <c r="P101" s="276"/>
      <c r="Q101" s="276"/>
      <c r="R101" s="276"/>
      <c r="S101" s="276"/>
      <c r="T101" s="276"/>
      <c r="U101" s="276"/>
      <c r="V101" s="276"/>
      <c r="W101" s="276"/>
      <c r="X101" s="276"/>
    </row>
    <row r="102" ht="15.75" customHeight="1">
      <c r="A102" s="297">
        <f t="shared" si="9"/>
        <v>46194</v>
      </c>
      <c r="B102" s="284">
        <f t="shared" si="1"/>
        <v>21</v>
      </c>
      <c r="C102" s="284">
        <f t="shared" si="2"/>
        <v>6</v>
      </c>
      <c r="D102" s="284">
        <f t="shared" si="3"/>
        <v>2026</v>
      </c>
      <c r="E102" s="285" t="s">
        <v>250</v>
      </c>
      <c r="F102" s="285">
        <v>2.0</v>
      </c>
      <c r="G102" s="290">
        <v>2.0</v>
      </c>
      <c r="H102" s="288">
        <f t="shared" si="4"/>
        <v>4</v>
      </c>
      <c r="I102" s="285" t="s">
        <v>319</v>
      </c>
      <c r="J102" s="64"/>
      <c r="K102" s="276"/>
      <c r="L102" s="276"/>
      <c r="M102" s="276"/>
      <c r="N102" s="276"/>
      <c r="O102" s="276"/>
      <c r="P102" s="276"/>
      <c r="Q102" s="276"/>
      <c r="R102" s="276"/>
      <c r="S102" s="276"/>
      <c r="T102" s="276"/>
      <c r="U102" s="276"/>
      <c r="V102" s="276"/>
      <c r="W102" s="276"/>
      <c r="X102" s="276"/>
    </row>
    <row r="103" ht="15.75" customHeight="1">
      <c r="A103" s="297">
        <v>46198.0</v>
      </c>
      <c r="B103" s="284">
        <f t="shared" si="1"/>
        <v>25</v>
      </c>
      <c r="C103" s="284">
        <f t="shared" si="2"/>
        <v>6</v>
      </c>
      <c r="D103" s="284">
        <f t="shared" si="3"/>
        <v>2026</v>
      </c>
      <c r="E103" s="285" t="s">
        <v>250</v>
      </c>
      <c r="F103" s="286">
        <v>1.0</v>
      </c>
      <c r="G103" s="287">
        <v>2.0</v>
      </c>
      <c r="H103" s="288">
        <f t="shared" si="4"/>
        <v>2</v>
      </c>
      <c r="I103" s="285" t="s">
        <v>319</v>
      </c>
      <c r="J103" s="276"/>
      <c r="K103" s="276"/>
      <c r="L103" s="276"/>
      <c r="M103" s="276"/>
      <c r="N103" s="276"/>
      <c r="O103" s="276"/>
      <c r="P103" s="276"/>
      <c r="Q103" s="276"/>
      <c r="R103" s="276"/>
      <c r="S103" s="276"/>
      <c r="T103" s="276"/>
      <c r="U103" s="276"/>
      <c r="V103" s="276"/>
      <c r="W103" s="276"/>
      <c r="X103" s="276"/>
    </row>
    <row r="104" ht="15.75" customHeight="1">
      <c r="A104" s="297">
        <f t="shared" ref="A104:A106" si="10">A103</f>
        <v>46198</v>
      </c>
      <c r="B104" s="284">
        <f t="shared" si="1"/>
        <v>25</v>
      </c>
      <c r="C104" s="284">
        <f t="shared" si="2"/>
        <v>6</v>
      </c>
      <c r="D104" s="284">
        <f t="shared" si="3"/>
        <v>2026</v>
      </c>
      <c r="E104" s="285" t="s">
        <v>272</v>
      </c>
      <c r="F104" s="286">
        <v>1.0</v>
      </c>
      <c r="G104" s="287">
        <v>10.0</v>
      </c>
      <c r="H104" s="288">
        <f t="shared" si="4"/>
        <v>10</v>
      </c>
      <c r="I104" s="285" t="s">
        <v>319</v>
      </c>
      <c r="J104" s="64"/>
      <c r="K104" s="276"/>
      <c r="L104" s="276"/>
      <c r="M104" s="276"/>
      <c r="N104" s="276"/>
      <c r="O104" s="276"/>
      <c r="P104" s="276"/>
      <c r="Q104" s="276"/>
      <c r="R104" s="276"/>
      <c r="S104" s="276"/>
      <c r="T104" s="276"/>
      <c r="U104" s="276"/>
      <c r="V104" s="276"/>
      <c r="W104" s="276"/>
      <c r="X104" s="276"/>
    </row>
    <row r="105" ht="15.75" customHeight="1">
      <c r="A105" s="297">
        <f t="shared" si="10"/>
        <v>46198</v>
      </c>
      <c r="B105" s="284">
        <f t="shared" si="1"/>
        <v>25</v>
      </c>
      <c r="C105" s="284">
        <f t="shared" si="2"/>
        <v>6</v>
      </c>
      <c r="D105" s="284">
        <f t="shared" si="3"/>
        <v>2026</v>
      </c>
      <c r="E105" s="285" t="s">
        <v>250</v>
      </c>
      <c r="F105" s="35">
        <v>1.0</v>
      </c>
      <c r="G105" s="290">
        <v>2.0</v>
      </c>
      <c r="H105" s="288">
        <f t="shared" si="4"/>
        <v>2</v>
      </c>
      <c r="I105" s="285" t="s">
        <v>319</v>
      </c>
      <c r="J105" s="64"/>
      <c r="K105" s="276"/>
      <c r="L105" s="276"/>
      <c r="M105" s="276"/>
      <c r="N105" s="276"/>
      <c r="O105" s="276"/>
      <c r="P105" s="276"/>
      <c r="Q105" s="276"/>
      <c r="R105" s="276"/>
      <c r="S105" s="276"/>
      <c r="T105" s="276"/>
      <c r="U105" s="276"/>
      <c r="V105" s="276"/>
      <c r="W105" s="276"/>
      <c r="X105" s="276"/>
    </row>
    <row r="106" ht="15.75" customHeight="1">
      <c r="A106" s="297">
        <f t="shared" si="10"/>
        <v>46198</v>
      </c>
      <c r="B106" s="284">
        <f t="shared" si="1"/>
        <v>25</v>
      </c>
      <c r="C106" s="284">
        <f t="shared" si="2"/>
        <v>6</v>
      </c>
      <c r="D106" s="284">
        <f t="shared" si="3"/>
        <v>2026</v>
      </c>
      <c r="E106" s="312" t="s">
        <v>250</v>
      </c>
      <c r="F106" s="312">
        <v>1.0</v>
      </c>
      <c r="G106" s="319">
        <v>2.0</v>
      </c>
      <c r="H106" s="288">
        <f t="shared" si="4"/>
        <v>2</v>
      </c>
      <c r="I106" s="285" t="s">
        <v>319</v>
      </c>
      <c r="J106" s="64"/>
      <c r="K106" s="276"/>
      <c r="L106" s="276"/>
      <c r="M106" s="276"/>
      <c r="N106" s="276"/>
      <c r="O106" s="276"/>
      <c r="P106" s="276"/>
      <c r="Q106" s="276"/>
      <c r="R106" s="276"/>
      <c r="S106" s="276"/>
      <c r="T106" s="276"/>
      <c r="U106" s="276"/>
      <c r="V106" s="276"/>
      <c r="W106" s="276"/>
      <c r="X106" s="276"/>
    </row>
    <row r="107" ht="15.75" customHeight="1">
      <c r="A107" s="297">
        <v>46199.0</v>
      </c>
      <c r="B107" s="284">
        <f t="shared" si="1"/>
        <v>26</v>
      </c>
      <c r="C107" s="284">
        <f t="shared" si="2"/>
        <v>6</v>
      </c>
      <c r="D107" s="284">
        <f t="shared" si="3"/>
        <v>2026</v>
      </c>
      <c r="E107" s="285" t="s">
        <v>272</v>
      </c>
      <c r="F107" s="285">
        <v>1.0</v>
      </c>
      <c r="G107" s="290">
        <v>15.0</v>
      </c>
      <c r="H107" s="288">
        <f t="shared" si="4"/>
        <v>15</v>
      </c>
      <c r="I107" s="285" t="s">
        <v>319</v>
      </c>
      <c r="J107" s="64"/>
      <c r="K107" s="276"/>
      <c r="L107" s="276"/>
      <c r="M107" s="276"/>
      <c r="N107" s="276"/>
      <c r="O107" s="276"/>
      <c r="P107" s="276"/>
      <c r="Q107" s="276"/>
      <c r="R107" s="276"/>
      <c r="S107" s="276"/>
      <c r="T107" s="276"/>
      <c r="U107" s="276"/>
      <c r="V107" s="276"/>
      <c r="W107" s="276"/>
      <c r="X107" s="276"/>
    </row>
    <row r="108" ht="15.75" customHeight="1">
      <c r="A108" s="297">
        <f t="shared" ref="A108:A109" si="11">A107</f>
        <v>46199</v>
      </c>
      <c r="B108" s="284">
        <f t="shared" si="1"/>
        <v>26</v>
      </c>
      <c r="C108" s="284">
        <f t="shared" si="2"/>
        <v>6</v>
      </c>
      <c r="D108" s="284">
        <f t="shared" si="3"/>
        <v>2026</v>
      </c>
      <c r="E108" s="285" t="s">
        <v>250</v>
      </c>
      <c r="F108" s="285">
        <v>3.0</v>
      </c>
      <c r="G108" s="290">
        <v>2.0</v>
      </c>
      <c r="H108" s="288">
        <f t="shared" si="4"/>
        <v>6</v>
      </c>
      <c r="I108" s="285" t="s">
        <v>319</v>
      </c>
      <c r="J108" s="64"/>
      <c r="K108" s="276"/>
      <c r="L108" s="276"/>
      <c r="M108" s="276"/>
      <c r="N108" s="276"/>
      <c r="O108" s="276"/>
      <c r="P108" s="276"/>
      <c r="Q108" s="276"/>
      <c r="R108" s="276"/>
      <c r="S108" s="276"/>
      <c r="T108" s="276"/>
      <c r="U108" s="276"/>
      <c r="V108" s="276"/>
      <c r="W108" s="276"/>
      <c r="X108" s="276"/>
    </row>
    <row r="109" ht="15.75" customHeight="1">
      <c r="A109" s="297">
        <f t="shared" si="11"/>
        <v>46199</v>
      </c>
      <c r="B109" s="284">
        <f t="shared" si="1"/>
        <v>26</v>
      </c>
      <c r="C109" s="284">
        <f t="shared" si="2"/>
        <v>6</v>
      </c>
      <c r="D109" s="284">
        <f t="shared" si="3"/>
        <v>2026</v>
      </c>
      <c r="E109" s="312" t="s">
        <v>272</v>
      </c>
      <c r="F109" s="312">
        <v>1.0</v>
      </c>
      <c r="G109" s="319">
        <v>29.0</v>
      </c>
      <c r="H109" s="288">
        <f t="shared" si="4"/>
        <v>29</v>
      </c>
      <c r="I109" s="285" t="s">
        <v>319</v>
      </c>
      <c r="J109" s="64"/>
      <c r="K109" s="276"/>
      <c r="L109" s="276"/>
      <c r="M109" s="276"/>
      <c r="N109" s="276"/>
      <c r="O109" s="276"/>
      <c r="P109" s="276"/>
      <c r="Q109" s="276"/>
      <c r="R109" s="276"/>
      <c r="S109" s="276"/>
      <c r="T109" s="276"/>
      <c r="U109" s="276"/>
      <c r="V109" s="276"/>
      <c r="W109" s="276"/>
      <c r="X109" s="276"/>
    </row>
    <row r="110" ht="15.75" customHeight="1">
      <c r="A110" s="297">
        <v>46200.0</v>
      </c>
      <c r="B110" s="284">
        <f t="shared" si="1"/>
        <v>27</v>
      </c>
      <c r="C110" s="284">
        <f t="shared" si="2"/>
        <v>6</v>
      </c>
      <c r="D110" s="284">
        <f t="shared" si="3"/>
        <v>2026</v>
      </c>
      <c r="E110" s="285" t="s">
        <v>250</v>
      </c>
      <c r="F110" s="285">
        <v>1.0</v>
      </c>
      <c r="G110" s="290">
        <v>2.0</v>
      </c>
      <c r="H110" s="288">
        <f t="shared" si="4"/>
        <v>2</v>
      </c>
      <c r="I110" s="285" t="s">
        <v>319</v>
      </c>
      <c r="J110" s="64"/>
      <c r="K110" s="276"/>
      <c r="L110" s="276"/>
      <c r="M110" s="276"/>
      <c r="N110" s="276"/>
      <c r="O110" s="276"/>
      <c r="P110" s="276"/>
      <c r="Q110" s="276"/>
      <c r="R110" s="276"/>
      <c r="S110" s="276"/>
      <c r="T110" s="276"/>
      <c r="U110" s="276"/>
      <c r="V110" s="276"/>
      <c r="W110" s="276"/>
      <c r="X110" s="276"/>
    </row>
    <row r="111" ht="15.75" customHeight="1">
      <c r="A111" s="297">
        <v>46201.0</v>
      </c>
      <c r="B111" s="284">
        <f t="shared" si="1"/>
        <v>28</v>
      </c>
      <c r="C111" s="284">
        <f t="shared" si="2"/>
        <v>6</v>
      </c>
      <c r="D111" s="284">
        <f t="shared" si="3"/>
        <v>2026</v>
      </c>
      <c r="E111" s="285" t="s">
        <v>272</v>
      </c>
      <c r="F111" s="285">
        <v>1.0</v>
      </c>
      <c r="G111" s="290">
        <v>10.0</v>
      </c>
      <c r="H111" s="288">
        <f t="shared" si="4"/>
        <v>10</v>
      </c>
      <c r="I111" s="285" t="s">
        <v>319</v>
      </c>
      <c r="J111" s="64"/>
      <c r="K111" s="276"/>
      <c r="L111" s="276"/>
      <c r="M111" s="276"/>
      <c r="N111" s="276"/>
      <c r="O111" s="276"/>
      <c r="P111" s="276"/>
      <c r="Q111" s="276"/>
      <c r="R111" s="276"/>
      <c r="S111" s="276"/>
      <c r="T111" s="276"/>
      <c r="U111" s="276"/>
      <c r="V111" s="276"/>
      <c r="W111" s="276"/>
      <c r="X111" s="276"/>
    </row>
    <row r="112" ht="15.75" customHeight="1">
      <c r="A112" s="297">
        <f t="shared" ref="A112:A114" si="12">A111</f>
        <v>46201</v>
      </c>
      <c r="B112" s="284">
        <f t="shared" si="1"/>
        <v>28</v>
      </c>
      <c r="C112" s="284">
        <f t="shared" si="2"/>
        <v>6</v>
      </c>
      <c r="D112" s="284">
        <f t="shared" si="3"/>
        <v>2026</v>
      </c>
      <c r="E112" s="285" t="s">
        <v>275</v>
      </c>
      <c r="F112" s="285">
        <v>1.0</v>
      </c>
      <c r="G112" s="290">
        <v>15.0</v>
      </c>
      <c r="H112" s="288">
        <f t="shared" si="4"/>
        <v>15</v>
      </c>
      <c r="I112" s="285" t="s">
        <v>319</v>
      </c>
      <c r="J112" s="64"/>
      <c r="K112" s="276"/>
      <c r="L112" s="276"/>
      <c r="M112" s="276"/>
      <c r="N112" s="276"/>
      <c r="O112" s="276"/>
      <c r="P112" s="276"/>
      <c r="Q112" s="276"/>
      <c r="R112" s="276"/>
      <c r="S112" s="276"/>
      <c r="T112" s="276"/>
      <c r="U112" s="276"/>
      <c r="V112" s="276"/>
      <c r="W112" s="276"/>
      <c r="X112" s="276"/>
    </row>
    <row r="113" ht="15.75" customHeight="1">
      <c r="A113" s="297">
        <f t="shared" si="12"/>
        <v>46201</v>
      </c>
      <c r="B113" s="284">
        <f t="shared" si="1"/>
        <v>28</v>
      </c>
      <c r="C113" s="284">
        <f t="shared" si="2"/>
        <v>6</v>
      </c>
      <c r="D113" s="284">
        <f t="shared" si="3"/>
        <v>2026</v>
      </c>
      <c r="E113" s="285" t="s">
        <v>250</v>
      </c>
      <c r="F113" s="285">
        <v>2.0</v>
      </c>
      <c r="G113" s="290">
        <v>2.0</v>
      </c>
      <c r="H113" s="288">
        <f t="shared" si="4"/>
        <v>4</v>
      </c>
      <c r="I113" s="285" t="s">
        <v>319</v>
      </c>
      <c r="J113" s="276"/>
      <c r="K113" s="276"/>
      <c r="L113" s="276"/>
      <c r="M113" s="276"/>
      <c r="N113" s="276"/>
      <c r="O113" s="276"/>
      <c r="P113" s="276"/>
      <c r="Q113" s="276"/>
      <c r="R113" s="276"/>
      <c r="S113" s="276"/>
      <c r="T113" s="276"/>
      <c r="U113" s="276"/>
      <c r="V113" s="276"/>
      <c r="W113" s="276"/>
      <c r="X113" s="276"/>
    </row>
    <row r="114" ht="15.75" customHeight="1">
      <c r="A114" s="297">
        <f t="shared" si="12"/>
        <v>46201</v>
      </c>
      <c r="B114" s="284">
        <f t="shared" si="1"/>
        <v>28</v>
      </c>
      <c r="C114" s="284">
        <f t="shared" si="2"/>
        <v>6</v>
      </c>
      <c r="D114" s="284">
        <f t="shared" si="3"/>
        <v>2026</v>
      </c>
      <c r="E114" s="285" t="s">
        <v>250</v>
      </c>
      <c r="F114" s="35">
        <v>7.0</v>
      </c>
      <c r="G114" s="290">
        <v>2.0</v>
      </c>
      <c r="H114" s="288">
        <f t="shared" si="4"/>
        <v>14</v>
      </c>
      <c r="I114" s="285" t="s">
        <v>319</v>
      </c>
      <c r="J114" s="64"/>
      <c r="K114" s="276"/>
      <c r="L114" s="276"/>
      <c r="M114" s="276"/>
      <c r="N114" s="276"/>
      <c r="O114" s="276"/>
      <c r="P114" s="276"/>
      <c r="Q114" s="276"/>
      <c r="R114" s="276"/>
      <c r="S114" s="276"/>
      <c r="T114" s="276"/>
      <c r="U114" s="276"/>
      <c r="V114" s="276"/>
      <c r="W114" s="276"/>
      <c r="X114" s="276"/>
    </row>
    <row r="115" ht="15.75" customHeight="1">
      <c r="A115" s="297">
        <v>46202.0</v>
      </c>
      <c r="B115" s="284">
        <f t="shared" si="1"/>
        <v>29</v>
      </c>
      <c r="C115" s="284">
        <f t="shared" si="2"/>
        <v>6</v>
      </c>
      <c r="D115" s="284">
        <f t="shared" si="3"/>
        <v>2026</v>
      </c>
      <c r="E115" s="285" t="s">
        <v>250</v>
      </c>
      <c r="F115" s="285">
        <v>1.0</v>
      </c>
      <c r="G115" s="290">
        <v>2.0</v>
      </c>
      <c r="H115" s="288">
        <f t="shared" si="4"/>
        <v>2</v>
      </c>
      <c r="I115" s="285" t="s">
        <v>319</v>
      </c>
      <c r="J115" s="64"/>
      <c r="K115" s="276"/>
      <c r="L115" s="276"/>
      <c r="M115" s="276"/>
      <c r="N115" s="276"/>
      <c r="O115" s="276"/>
      <c r="P115" s="276"/>
      <c r="Q115" s="276"/>
      <c r="R115" s="276"/>
      <c r="S115" s="276"/>
      <c r="T115" s="276"/>
      <c r="U115" s="276"/>
      <c r="V115" s="276"/>
      <c r="W115" s="276"/>
      <c r="X115" s="276"/>
    </row>
    <row r="116" ht="15.75" customHeight="1">
      <c r="A116" s="297">
        <f t="shared" ref="A116:A120" si="13">A115</f>
        <v>46202</v>
      </c>
      <c r="B116" s="284">
        <f t="shared" si="1"/>
        <v>29</v>
      </c>
      <c r="C116" s="284">
        <f t="shared" si="2"/>
        <v>6</v>
      </c>
      <c r="D116" s="284">
        <f t="shared" si="3"/>
        <v>2026</v>
      </c>
      <c r="E116" s="285" t="s">
        <v>250</v>
      </c>
      <c r="F116" s="35">
        <v>2.0</v>
      </c>
      <c r="G116" s="290">
        <v>2.0</v>
      </c>
      <c r="H116" s="288">
        <f t="shared" si="4"/>
        <v>4</v>
      </c>
      <c r="I116" s="285" t="s">
        <v>319</v>
      </c>
      <c r="J116" s="64"/>
      <c r="K116" s="276"/>
      <c r="L116" s="276"/>
      <c r="M116" s="276"/>
      <c r="N116" s="276"/>
      <c r="O116" s="276"/>
      <c r="P116" s="276"/>
      <c r="Q116" s="276"/>
      <c r="R116" s="276"/>
      <c r="S116" s="276"/>
      <c r="T116" s="276"/>
      <c r="U116" s="276"/>
      <c r="V116" s="276"/>
      <c r="W116" s="276"/>
      <c r="X116" s="276"/>
    </row>
    <row r="117" ht="15.75" customHeight="1">
      <c r="A117" s="297">
        <f t="shared" si="13"/>
        <v>46202</v>
      </c>
      <c r="B117" s="284">
        <f t="shared" si="1"/>
        <v>29</v>
      </c>
      <c r="C117" s="284">
        <f t="shared" si="2"/>
        <v>6</v>
      </c>
      <c r="D117" s="284">
        <f t="shared" si="3"/>
        <v>2026</v>
      </c>
      <c r="E117" s="312" t="s">
        <v>250</v>
      </c>
      <c r="F117" s="312">
        <v>3.0</v>
      </c>
      <c r="G117" s="319">
        <v>2.0</v>
      </c>
      <c r="H117" s="288">
        <f t="shared" si="4"/>
        <v>6</v>
      </c>
      <c r="I117" s="285" t="s">
        <v>319</v>
      </c>
      <c r="J117" s="64"/>
      <c r="K117" s="276"/>
      <c r="L117" s="276"/>
      <c r="M117" s="276"/>
      <c r="N117" s="276"/>
      <c r="O117" s="276"/>
      <c r="P117" s="276"/>
      <c r="Q117" s="276"/>
      <c r="R117" s="276"/>
      <c r="S117" s="276"/>
      <c r="T117" s="276"/>
      <c r="U117" s="276"/>
      <c r="V117" s="276"/>
      <c r="W117" s="276"/>
      <c r="X117" s="276"/>
    </row>
    <row r="118" ht="15.75" customHeight="1">
      <c r="A118" s="297">
        <f t="shared" si="13"/>
        <v>46202</v>
      </c>
      <c r="B118" s="284">
        <f t="shared" si="1"/>
        <v>29</v>
      </c>
      <c r="C118" s="284">
        <f t="shared" si="2"/>
        <v>6</v>
      </c>
      <c r="D118" s="284">
        <f t="shared" si="3"/>
        <v>2026</v>
      </c>
      <c r="E118" s="285" t="s">
        <v>250</v>
      </c>
      <c r="F118" s="285">
        <v>2.0</v>
      </c>
      <c r="G118" s="290">
        <v>2.0</v>
      </c>
      <c r="H118" s="288">
        <f t="shared" si="4"/>
        <v>4</v>
      </c>
      <c r="I118" s="285" t="s">
        <v>319</v>
      </c>
      <c r="J118" s="64"/>
      <c r="K118" s="276"/>
      <c r="L118" s="276"/>
      <c r="M118" s="276"/>
      <c r="N118" s="276"/>
      <c r="O118" s="276"/>
      <c r="P118" s="276"/>
      <c r="Q118" s="276"/>
      <c r="R118" s="276"/>
      <c r="S118" s="276"/>
      <c r="T118" s="276"/>
      <c r="U118" s="276"/>
      <c r="V118" s="276"/>
      <c r="W118" s="276"/>
      <c r="X118" s="276"/>
    </row>
    <row r="119" ht="15.75" customHeight="1">
      <c r="A119" s="297">
        <f t="shared" si="13"/>
        <v>46202</v>
      </c>
      <c r="B119" s="284">
        <f t="shared" si="1"/>
        <v>29</v>
      </c>
      <c r="C119" s="284">
        <f t="shared" si="2"/>
        <v>6</v>
      </c>
      <c r="D119" s="284">
        <f t="shared" si="3"/>
        <v>2026</v>
      </c>
      <c r="E119" s="285" t="s">
        <v>250</v>
      </c>
      <c r="F119" s="285">
        <v>5.0</v>
      </c>
      <c r="G119" s="290">
        <v>2.0</v>
      </c>
      <c r="H119" s="288">
        <f t="shared" si="4"/>
        <v>10</v>
      </c>
      <c r="I119" s="285" t="s">
        <v>319</v>
      </c>
      <c r="J119" s="64"/>
      <c r="K119" s="276"/>
      <c r="L119" s="276"/>
      <c r="M119" s="276"/>
      <c r="N119" s="276"/>
      <c r="O119" s="276"/>
      <c r="P119" s="276"/>
      <c r="Q119" s="276"/>
      <c r="R119" s="276"/>
      <c r="S119" s="276"/>
      <c r="T119" s="276"/>
      <c r="U119" s="276"/>
      <c r="V119" s="276"/>
      <c r="W119" s="276"/>
      <c r="X119" s="276"/>
    </row>
    <row r="120" ht="15.75" customHeight="1">
      <c r="A120" s="297">
        <f t="shared" si="13"/>
        <v>46202</v>
      </c>
      <c r="B120" s="284">
        <f t="shared" si="1"/>
        <v>29</v>
      </c>
      <c r="C120" s="284">
        <f t="shared" si="2"/>
        <v>6</v>
      </c>
      <c r="D120" s="284">
        <f t="shared" si="3"/>
        <v>2026</v>
      </c>
      <c r="E120" s="285" t="s">
        <v>250</v>
      </c>
      <c r="F120" s="35">
        <v>1.0</v>
      </c>
      <c r="G120" s="290">
        <v>2.0</v>
      </c>
      <c r="H120" s="288">
        <f t="shared" si="4"/>
        <v>2</v>
      </c>
      <c r="I120" s="285" t="s">
        <v>319</v>
      </c>
      <c r="J120" s="64"/>
      <c r="K120" s="276"/>
      <c r="L120" s="276"/>
      <c r="M120" s="276"/>
      <c r="N120" s="276"/>
      <c r="O120" s="276"/>
      <c r="P120" s="276"/>
      <c r="Q120" s="276"/>
      <c r="R120" s="276"/>
      <c r="S120" s="276"/>
      <c r="T120" s="276"/>
      <c r="U120" s="276"/>
      <c r="V120" s="276"/>
      <c r="W120" s="276"/>
      <c r="X120" s="276"/>
    </row>
    <row r="121" ht="15.75" customHeight="1">
      <c r="A121" s="297">
        <v>46203.0</v>
      </c>
      <c r="B121" s="284">
        <f t="shared" si="1"/>
        <v>30</v>
      </c>
      <c r="C121" s="284">
        <f t="shared" si="2"/>
        <v>6</v>
      </c>
      <c r="D121" s="284">
        <f t="shared" si="3"/>
        <v>2026</v>
      </c>
      <c r="E121" s="285" t="s">
        <v>250</v>
      </c>
      <c r="F121" s="35">
        <v>5.0</v>
      </c>
      <c r="G121" s="290">
        <v>2.0</v>
      </c>
      <c r="H121" s="288">
        <f t="shared" si="4"/>
        <v>10</v>
      </c>
      <c r="I121" s="285" t="s">
        <v>319</v>
      </c>
      <c r="J121" s="276"/>
      <c r="K121" s="276"/>
      <c r="L121" s="276"/>
      <c r="M121" s="276"/>
      <c r="N121" s="276"/>
      <c r="O121" s="276"/>
      <c r="P121" s="276"/>
      <c r="Q121" s="276"/>
      <c r="R121" s="276"/>
      <c r="S121" s="276"/>
      <c r="T121" s="276"/>
      <c r="U121" s="276"/>
      <c r="V121" s="276"/>
      <c r="W121" s="276"/>
      <c r="X121" s="276"/>
    </row>
    <row r="122" ht="15.75" customHeight="1">
      <c r="A122" s="297">
        <v>46203.0</v>
      </c>
      <c r="B122" s="284">
        <f t="shared" si="1"/>
        <v>30</v>
      </c>
      <c r="C122" s="284">
        <f t="shared" si="2"/>
        <v>6</v>
      </c>
      <c r="D122" s="284">
        <f t="shared" si="3"/>
        <v>2026</v>
      </c>
      <c r="E122" s="285" t="s">
        <v>250</v>
      </c>
      <c r="F122" s="35">
        <v>2.0</v>
      </c>
      <c r="G122" s="290">
        <v>2.0</v>
      </c>
      <c r="H122" s="288">
        <f t="shared" si="4"/>
        <v>4</v>
      </c>
      <c r="I122" s="285" t="s">
        <v>319</v>
      </c>
      <c r="J122" s="64"/>
      <c r="K122" s="276"/>
      <c r="L122" s="276"/>
      <c r="M122" s="276"/>
      <c r="N122" s="276"/>
      <c r="O122" s="276"/>
      <c r="P122" s="276"/>
      <c r="Q122" s="276"/>
      <c r="R122" s="276"/>
      <c r="S122" s="276"/>
      <c r="T122" s="276"/>
      <c r="U122" s="276"/>
      <c r="V122" s="276"/>
      <c r="W122" s="276"/>
      <c r="X122" s="276"/>
    </row>
    <row r="123" ht="15.75" customHeight="1">
      <c r="A123" s="297">
        <v>46203.0</v>
      </c>
      <c r="B123" s="284">
        <f t="shared" si="1"/>
        <v>30</v>
      </c>
      <c r="C123" s="284">
        <f t="shared" si="2"/>
        <v>6</v>
      </c>
      <c r="D123" s="284">
        <f t="shared" si="3"/>
        <v>2026</v>
      </c>
      <c r="E123" s="285" t="s">
        <v>250</v>
      </c>
      <c r="F123" s="35">
        <v>2.0</v>
      </c>
      <c r="G123" s="290">
        <v>2.0</v>
      </c>
      <c r="H123" s="288">
        <f t="shared" si="4"/>
        <v>4</v>
      </c>
      <c r="I123" s="285" t="s">
        <v>319</v>
      </c>
      <c r="J123" s="64"/>
      <c r="K123" s="276"/>
      <c r="L123" s="276"/>
      <c r="M123" s="276"/>
      <c r="N123" s="276"/>
      <c r="O123" s="276"/>
      <c r="P123" s="276"/>
      <c r="Q123" s="276"/>
      <c r="R123" s="276"/>
      <c r="S123" s="276"/>
      <c r="T123" s="276"/>
      <c r="U123" s="276"/>
      <c r="V123" s="276"/>
      <c r="W123" s="276"/>
      <c r="X123" s="276"/>
    </row>
    <row r="124" ht="15.75" customHeight="1">
      <c r="A124" s="297">
        <v>46203.0</v>
      </c>
      <c r="B124" s="284">
        <f t="shared" si="1"/>
        <v>30</v>
      </c>
      <c r="C124" s="284">
        <f t="shared" si="2"/>
        <v>6</v>
      </c>
      <c r="D124" s="284">
        <f t="shared" si="3"/>
        <v>2026</v>
      </c>
      <c r="E124" s="285" t="s">
        <v>277</v>
      </c>
      <c r="F124" s="286">
        <v>1.0</v>
      </c>
      <c r="G124" s="287">
        <v>24.0</v>
      </c>
      <c r="H124" s="288">
        <f t="shared" si="4"/>
        <v>24</v>
      </c>
      <c r="I124" s="285" t="s">
        <v>319</v>
      </c>
      <c r="J124" s="276"/>
      <c r="K124" s="276"/>
      <c r="L124" s="276"/>
      <c r="M124" s="276"/>
      <c r="N124" s="276"/>
      <c r="O124" s="276"/>
      <c r="P124" s="276"/>
      <c r="Q124" s="276"/>
      <c r="R124" s="276"/>
      <c r="S124" s="276"/>
      <c r="T124" s="276"/>
      <c r="U124" s="276"/>
      <c r="V124" s="276"/>
      <c r="W124" s="276"/>
      <c r="X124" s="276"/>
    </row>
    <row r="125" ht="15.75" customHeight="1">
      <c r="A125" s="297">
        <v>46203.0</v>
      </c>
      <c r="B125" s="284">
        <f t="shared" si="1"/>
        <v>30</v>
      </c>
      <c r="C125" s="284">
        <f t="shared" si="2"/>
        <v>6</v>
      </c>
      <c r="D125" s="284">
        <f t="shared" si="3"/>
        <v>2026</v>
      </c>
      <c r="E125" s="285" t="s">
        <v>272</v>
      </c>
      <c r="F125" s="285">
        <v>1.0</v>
      </c>
      <c r="G125" s="290">
        <v>10.0</v>
      </c>
      <c r="H125" s="288">
        <f t="shared" si="4"/>
        <v>10</v>
      </c>
      <c r="I125" s="285" t="s">
        <v>319</v>
      </c>
      <c r="J125" s="64"/>
      <c r="K125" s="276"/>
      <c r="L125" s="276"/>
      <c r="M125" s="276"/>
      <c r="N125" s="276"/>
      <c r="O125" s="276"/>
      <c r="P125" s="276"/>
      <c r="Q125" s="276"/>
      <c r="R125" s="276"/>
      <c r="S125" s="276"/>
      <c r="T125" s="276"/>
      <c r="U125" s="276"/>
      <c r="V125" s="276"/>
      <c r="W125" s="276"/>
      <c r="X125" s="276"/>
    </row>
    <row r="126" ht="15.75" customHeight="1">
      <c r="A126" s="297">
        <v>46203.0</v>
      </c>
      <c r="B126" s="284">
        <f t="shared" si="1"/>
        <v>30</v>
      </c>
      <c r="C126" s="284">
        <f t="shared" si="2"/>
        <v>6</v>
      </c>
      <c r="D126" s="284">
        <f t="shared" si="3"/>
        <v>2026</v>
      </c>
      <c r="E126" s="285" t="s">
        <v>250</v>
      </c>
      <c r="F126" s="285">
        <v>3.0</v>
      </c>
      <c r="G126" s="290">
        <v>2.0</v>
      </c>
      <c r="H126" s="288">
        <f t="shared" si="4"/>
        <v>6</v>
      </c>
      <c r="I126" s="285" t="s">
        <v>319</v>
      </c>
      <c r="J126" s="276"/>
      <c r="K126" s="276"/>
      <c r="L126" s="276"/>
      <c r="M126" s="276"/>
      <c r="N126" s="276"/>
      <c r="O126" s="276"/>
      <c r="P126" s="276"/>
      <c r="Q126" s="276"/>
      <c r="R126" s="276"/>
      <c r="S126" s="276"/>
      <c r="T126" s="276"/>
      <c r="U126" s="276"/>
      <c r="V126" s="276"/>
      <c r="W126" s="276"/>
      <c r="X126" s="276"/>
    </row>
    <row r="127" ht="15.75" customHeight="1">
      <c r="A127" s="297">
        <f t="shared" ref="A127:A128" si="14">A126</f>
        <v>46203</v>
      </c>
      <c r="B127" s="284">
        <f t="shared" si="1"/>
        <v>30</v>
      </c>
      <c r="C127" s="284">
        <f t="shared" si="2"/>
        <v>6</v>
      </c>
      <c r="D127" s="284">
        <f t="shared" si="3"/>
        <v>2026</v>
      </c>
      <c r="E127" s="285" t="s">
        <v>250</v>
      </c>
      <c r="F127" s="35">
        <v>1.0</v>
      </c>
      <c r="G127" s="290">
        <v>2.0</v>
      </c>
      <c r="H127" s="288">
        <f t="shared" si="4"/>
        <v>2</v>
      </c>
      <c r="I127" s="285" t="s">
        <v>319</v>
      </c>
      <c r="J127" s="276"/>
      <c r="K127" s="276"/>
      <c r="L127" s="276"/>
      <c r="M127" s="276"/>
      <c r="N127" s="276"/>
      <c r="O127" s="276"/>
      <c r="P127" s="276"/>
      <c r="Q127" s="276"/>
      <c r="R127" s="276"/>
      <c r="S127" s="276"/>
      <c r="T127" s="276"/>
      <c r="U127" s="276"/>
      <c r="V127" s="276"/>
      <c r="W127" s="276"/>
      <c r="X127" s="276"/>
    </row>
    <row r="128" ht="15.75" customHeight="1">
      <c r="A128" s="297">
        <f t="shared" si="14"/>
        <v>46203</v>
      </c>
      <c r="B128" s="284">
        <f t="shared" si="1"/>
        <v>30</v>
      </c>
      <c r="C128" s="284">
        <f t="shared" si="2"/>
        <v>6</v>
      </c>
      <c r="D128" s="284">
        <f t="shared" si="3"/>
        <v>2026</v>
      </c>
      <c r="E128" s="285" t="s">
        <v>250</v>
      </c>
      <c r="F128" s="286">
        <v>1.0</v>
      </c>
      <c r="G128" s="287">
        <v>2.0</v>
      </c>
      <c r="H128" s="288">
        <f t="shared" si="4"/>
        <v>2</v>
      </c>
      <c r="I128" s="285" t="s">
        <v>319</v>
      </c>
      <c r="J128" s="64"/>
      <c r="K128" s="276"/>
      <c r="L128" s="276"/>
      <c r="M128" s="276"/>
      <c r="N128" s="276"/>
      <c r="O128" s="276"/>
      <c r="P128" s="276"/>
      <c r="Q128" s="276"/>
      <c r="R128" s="276"/>
      <c r="S128" s="276"/>
      <c r="T128" s="276"/>
      <c r="U128" s="276"/>
      <c r="V128" s="276"/>
      <c r="W128" s="276"/>
      <c r="X128" s="276"/>
    </row>
    <row r="129" ht="15.75" customHeight="1">
      <c r="A129" s="297">
        <v>46205.0</v>
      </c>
      <c r="B129" s="284">
        <f t="shared" si="1"/>
        <v>2</v>
      </c>
      <c r="C129" s="284">
        <f t="shared" si="2"/>
        <v>7</v>
      </c>
      <c r="D129" s="284">
        <f t="shared" si="3"/>
        <v>2026</v>
      </c>
      <c r="E129" s="285" t="s">
        <v>281</v>
      </c>
      <c r="F129" s="286">
        <v>1.0</v>
      </c>
      <c r="G129" s="287">
        <v>58.0</v>
      </c>
      <c r="H129" s="288">
        <f t="shared" si="4"/>
        <v>58</v>
      </c>
      <c r="I129" s="285" t="s">
        <v>319</v>
      </c>
      <c r="J129" s="64"/>
      <c r="K129" s="276"/>
      <c r="L129" s="276"/>
      <c r="M129" s="276"/>
      <c r="N129" s="276"/>
      <c r="O129" s="276"/>
      <c r="P129" s="276"/>
      <c r="Q129" s="276"/>
      <c r="R129" s="276"/>
      <c r="S129" s="276"/>
      <c r="T129" s="276"/>
      <c r="U129" s="276"/>
      <c r="V129" s="276"/>
      <c r="W129" s="276"/>
      <c r="X129" s="276"/>
    </row>
    <row r="130" ht="15.75" customHeight="1">
      <c r="A130" s="297">
        <v>46233.0</v>
      </c>
      <c r="B130" s="284">
        <f t="shared" si="1"/>
        <v>30</v>
      </c>
      <c r="C130" s="284">
        <f t="shared" si="2"/>
        <v>7</v>
      </c>
      <c r="D130" s="284">
        <f t="shared" si="3"/>
        <v>2026</v>
      </c>
      <c r="E130" s="285" t="s">
        <v>272</v>
      </c>
      <c r="F130" s="286">
        <v>6.0</v>
      </c>
      <c r="G130" s="287">
        <v>5.0</v>
      </c>
      <c r="H130" s="288">
        <f t="shared" si="4"/>
        <v>30</v>
      </c>
      <c r="I130" s="285" t="s">
        <v>319</v>
      </c>
      <c r="J130" s="64"/>
      <c r="K130" s="276"/>
      <c r="L130" s="276"/>
      <c r="M130" s="276"/>
      <c r="N130" s="276"/>
      <c r="O130" s="276"/>
      <c r="P130" s="276"/>
      <c r="Q130" s="276"/>
      <c r="R130" s="276"/>
      <c r="S130" s="276"/>
      <c r="T130" s="276"/>
      <c r="U130" s="276"/>
      <c r="V130" s="276"/>
      <c r="W130" s="276"/>
      <c r="X130" s="276"/>
    </row>
    <row r="131" ht="15.75" customHeight="1">
      <c r="A131" s="297">
        <f>A130</f>
        <v>46233</v>
      </c>
      <c r="B131" s="284">
        <f t="shared" si="1"/>
        <v>30</v>
      </c>
      <c r="C131" s="284">
        <f t="shared" si="2"/>
        <v>7</v>
      </c>
      <c r="D131" s="284">
        <f t="shared" si="3"/>
        <v>2026</v>
      </c>
      <c r="E131" s="285" t="s">
        <v>272</v>
      </c>
      <c r="F131" s="285">
        <v>5.0</v>
      </c>
      <c r="G131" s="290">
        <v>5.0</v>
      </c>
      <c r="H131" s="288">
        <f t="shared" si="4"/>
        <v>25</v>
      </c>
      <c r="I131" s="285" t="s">
        <v>319</v>
      </c>
      <c r="J131" s="64"/>
      <c r="K131" s="276"/>
      <c r="L131" s="276"/>
      <c r="M131" s="276"/>
      <c r="N131" s="276"/>
      <c r="O131" s="276"/>
      <c r="P131" s="276"/>
      <c r="Q131" s="276"/>
      <c r="R131" s="276"/>
      <c r="S131" s="276"/>
      <c r="T131" s="276"/>
      <c r="U131" s="276"/>
      <c r="V131" s="276"/>
      <c r="W131" s="276"/>
      <c r="X131" s="276"/>
    </row>
    <row r="132" ht="15.75" customHeight="1">
      <c r="A132" s="297">
        <v>46221.0</v>
      </c>
      <c r="B132" s="284">
        <f t="shared" si="1"/>
        <v>18</v>
      </c>
      <c r="C132" s="284">
        <f t="shared" si="2"/>
        <v>7</v>
      </c>
      <c r="D132" s="284">
        <f t="shared" si="3"/>
        <v>2026</v>
      </c>
      <c r="E132" s="285" t="s">
        <v>250</v>
      </c>
      <c r="F132" s="286">
        <v>12.0</v>
      </c>
      <c r="G132" s="287">
        <v>2.0</v>
      </c>
      <c r="H132" s="288">
        <f t="shared" si="4"/>
        <v>24</v>
      </c>
      <c r="I132" s="285" t="s">
        <v>319</v>
      </c>
      <c r="J132" s="276"/>
      <c r="K132" s="276"/>
      <c r="L132" s="276"/>
      <c r="M132" s="276"/>
      <c r="N132" s="276"/>
      <c r="O132" s="276"/>
      <c r="P132" s="276"/>
      <c r="Q132" s="276"/>
      <c r="R132" s="276"/>
      <c r="S132" s="276"/>
      <c r="T132" s="276"/>
      <c r="U132" s="276"/>
      <c r="V132" s="276"/>
      <c r="W132" s="276"/>
      <c r="X132" s="276"/>
    </row>
    <row r="133" ht="15.75" customHeight="1">
      <c r="A133" s="297">
        <f t="shared" ref="A133:A135" si="15">A132</f>
        <v>46221</v>
      </c>
      <c r="B133" s="284">
        <f t="shared" si="1"/>
        <v>18</v>
      </c>
      <c r="C133" s="284">
        <f t="shared" si="2"/>
        <v>7</v>
      </c>
      <c r="D133" s="284">
        <f t="shared" si="3"/>
        <v>2026</v>
      </c>
      <c r="E133" s="312" t="s">
        <v>250</v>
      </c>
      <c r="F133" s="312">
        <v>10.0</v>
      </c>
      <c r="G133" s="319">
        <v>2.0</v>
      </c>
      <c r="H133" s="288">
        <f t="shared" si="4"/>
        <v>20</v>
      </c>
      <c r="I133" s="285" t="s">
        <v>319</v>
      </c>
      <c r="J133" s="276"/>
      <c r="K133" s="276"/>
      <c r="L133" s="276"/>
      <c r="M133" s="276"/>
      <c r="N133" s="276"/>
      <c r="O133" s="276"/>
      <c r="P133" s="276"/>
      <c r="Q133" s="276"/>
      <c r="R133" s="276"/>
      <c r="S133" s="276"/>
      <c r="T133" s="276"/>
      <c r="U133" s="276"/>
      <c r="V133" s="276"/>
      <c r="W133" s="276"/>
      <c r="X133" s="276"/>
    </row>
    <row r="134" ht="15.75" customHeight="1">
      <c r="A134" s="297">
        <f t="shared" si="15"/>
        <v>46221</v>
      </c>
      <c r="B134" s="284">
        <f t="shared" si="1"/>
        <v>18</v>
      </c>
      <c r="C134" s="284">
        <f t="shared" si="2"/>
        <v>7</v>
      </c>
      <c r="D134" s="284">
        <f t="shared" si="3"/>
        <v>2026</v>
      </c>
      <c r="E134" s="285" t="s">
        <v>272</v>
      </c>
      <c r="F134" s="286">
        <v>2.0</v>
      </c>
      <c r="G134" s="287">
        <v>10.0</v>
      </c>
      <c r="H134" s="288">
        <f t="shared" si="4"/>
        <v>20</v>
      </c>
      <c r="I134" s="285" t="s">
        <v>319</v>
      </c>
      <c r="J134" s="64"/>
      <c r="K134" s="276"/>
      <c r="L134" s="276"/>
      <c r="M134" s="276"/>
      <c r="N134" s="276"/>
      <c r="O134" s="276"/>
      <c r="P134" s="276"/>
      <c r="Q134" s="276"/>
      <c r="R134" s="276"/>
      <c r="S134" s="276"/>
      <c r="T134" s="276"/>
      <c r="U134" s="276"/>
      <c r="V134" s="276"/>
      <c r="W134" s="276"/>
      <c r="X134" s="276"/>
    </row>
    <row r="135" ht="15.75" customHeight="1">
      <c r="A135" s="297">
        <f t="shared" si="15"/>
        <v>46221</v>
      </c>
      <c r="B135" s="284">
        <f t="shared" si="1"/>
        <v>18</v>
      </c>
      <c r="C135" s="284">
        <f t="shared" si="2"/>
        <v>7</v>
      </c>
      <c r="D135" s="284">
        <f t="shared" si="3"/>
        <v>2026</v>
      </c>
      <c r="E135" s="312" t="s">
        <v>250</v>
      </c>
      <c r="F135" s="312">
        <v>10.0</v>
      </c>
      <c r="G135" s="319">
        <v>2.0</v>
      </c>
      <c r="H135" s="288">
        <f t="shared" si="4"/>
        <v>20</v>
      </c>
      <c r="I135" s="285" t="s">
        <v>319</v>
      </c>
      <c r="J135" s="64"/>
      <c r="K135" s="276"/>
      <c r="L135" s="276"/>
      <c r="M135" s="276"/>
      <c r="N135" s="276"/>
      <c r="O135" s="276"/>
      <c r="P135" s="276"/>
      <c r="Q135" s="276"/>
      <c r="R135" s="276"/>
      <c r="S135" s="276"/>
      <c r="T135" s="276"/>
      <c r="U135" s="276"/>
      <c r="V135" s="276"/>
      <c r="W135" s="276"/>
      <c r="X135" s="276"/>
    </row>
    <row r="136" ht="15.75" customHeight="1">
      <c r="A136" s="297">
        <v>46227.0</v>
      </c>
      <c r="B136" s="284">
        <f t="shared" si="1"/>
        <v>24</v>
      </c>
      <c r="C136" s="284">
        <f t="shared" si="2"/>
        <v>7</v>
      </c>
      <c r="D136" s="284">
        <f t="shared" si="3"/>
        <v>2026</v>
      </c>
      <c r="E136" s="285" t="s">
        <v>250</v>
      </c>
      <c r="F136" s="35">
        <v>9.0</v>
      </c>
      <c r="G136" s="290">
        <v>2.0</v>
      </c>
      <c r="H136" s="288">
        <f t="shared" si="4"/>
        <v>18</v>
      </c>
      <c r="I136" s="285" t="s">
        <v>319</v>
      </c>
      <c r="J136" s="64"/>
      <c r="K136" s="276"/>
      <c r="L136" s="276"/>
      <c r="M136" s="276"/>
      <c r="N136" s="276"/>
      <c r="O136" s="276"/>
      <c r="P136" s="276"/>
      <c r="Q136" s="276"/>
      <c r="R136" s="276"/>
      <c r="S136" s="276"/>
      <c r="T136" s="276"/>
      <c r="U136" s="276"/>
      <c r="V136" s="276"/>
      <c r="W136" s="276"/>
      <c r="X136" s="276"/>
    </row>
    <row r="137" ht="15.75" customHeight="1">
      <c r="A137" s="297">
        <f t="shared" ref="A137:A145" si="16">A136</f>
        <v>46227</v>
      </c>
      <c r="B137" s="284">
        <f t="shared" si="1"/>
        <v>24</v>
      </c>
      <c r="C137" s="284">
        <f t="shared" si="2"/>
        <v>7</v>
      </c>
      <c r="D137" s="284">
        <f t="shared" si="3"/>
        <v>2026</v>
      </c>
      <c r="E137" s="285" t="s">
        <v>275</v>
      </c>
      <c r="F137" s="286">
        <v>1.0</v>
      </c>
      <c r="G137" s="287">
        <v>15.0</v>
      </c>
      <c r="H137" s="288">
        <f t="shared" si="4"/>
        <v>15</v>
      </c>
      <c r="I137" s="285" t="s">
        <v>319</v>
      </c>
      <c r="J137" s="276"/>
      <c r="K137" s="276"/>
      <c r="L137" s="276"/>
      <c r="M137" s="276"/>
      <c r="N137" s="276"/>
      <c r="O137" s="276"/>
      <c r="P137" s="276"/>
      <c r="Q137" s="276"/>
      <c r="R137" s="276"/>
      <c r="S137" s="276"/>
      <c r="T137" s="276"/>
      <c r="U137" s="276"/>
      <c r="V137" s="276"/>
      <c r="W137" s="276"/>
      <c r="X137" s="276"/>
    </row>
    <row r="138" ht="15.75" customHeight="1">
      <c r="A138" s="297">
        <f t="shared" si="16"/>
        <v>46227</v>
      </c>
      <c r="B138" s="284">
        <f t="shared" si="1"/>
        <v>24</v>
      </c>
      <c r="C138" s="284">
        <f t="shared" si="2"/>
        <v>7</v>
      </c>
      <c r="D138" s="284">
        <f t="shared" si="3"/>
        <v>2026</v>
      </c>
      <c r="E138" s="312" t="s">
        <v>275</v>
      </c>
      <c r="F138" s="312">
        <v>1.0</v>
      </c>
      <c r="G138" s="319">
        <v>15.0</v>
      </c>
      <c r="H138" s="288">
        <f t="shared" si="4"/>
        <v>15</v>
      </c>
      <c r="I138" s="285" t="s">
        <v>319</v>
      </c>
      <c r="J138" s="64"/>
      <c r="K138" s="276"/>
      <c r="L138" s="276"/>
      <c r="M138" s="276"/>
      <c r="N138" s="276"/>
      <c r="O138" s="276"/>
      <c r="P138" s="276"/>
      <c r="Q138" s="276"/>
      <c r="R138" s="276"/>
      <c r="S138" s="276"/>
      <c r="T138" s="276"/>
      <c r="U138" s="276"/>
      <c r="V138" s="276"/>
      <c r="W138" s="276"/>
      <c r="X138" s="276"/>
    </row>
    <row r="139" ht="15.75" customHeight="1">
      <c r="A139" s="297">
        <f t="shared" si="16"/>
        <v>46227</v>
      </c>
      <c r="B139" s="284">
        <f t="shared" si="1"/>
        <v>24</v>
      </c>
      <c r="C139" s="284">
        <f t="shared" si="2"/>
        <v>7</v>
      </c>
      <c r="D139" s="284">
        <f t="shared" si="3"/>
        <v>2026</v>
      </c>
      <c r="E139" s="285" t="s">
        <v>275</v>
      </c>
      <c r="F139" s="286">
        <v>1.0</v>
      </c>
      <c r="G139" s="287">
        <v>15.0</v>
      </c>
      <c r="H139" s="288">
        <f t="shared" si="4"/>
        <v>15</v>
      </c>
      <c r="I139" s="285" t="s">
        <v>319</v>
      </c>
      <c r="J139" s="64"/>
      <c r="K139" s="276"/>
      <c r="L139" s="276"/>
      <c r="M139" s="276"/>
      <c r="N139" s="276"/>
      <c r="O139" s="276"/>
      <c r="P139" s="276"/>
      <c r="Q139" s="276"/>
      <c r="R139" s="276"/>
      <c r="S139" s="276"/>
      <c r="T139" s="276"/>
      <c r="U139" s="276"/>
      <c r="V139" s="276"/>
      <c r="W139" s="276"/>
      <c r="X139" s="276"/>
    </row>
    <row r="140" ht="15.75" customHeight="1">
      <c r="A140" s="297">
        <f t="shared" si="16"/>
        <v>46227</v>
      </c>
      <c r="B140" s="284">
        <f t="shared" si="1"/>
        <v>24</v>
      </c>
      <c r="C140" s="284">
        <f t="shared" si="2"/>
        <v>7</v>
      </c>
      <c r="D140" s="284">
        <f t="shared" si="3"/>
        <v>2026</v>
      </c>
      <c r="E140" s="312" t="s">
        <v>272</v>
      </c>
      <c r="F140" s="312">
        <v>3.0</v>
      </c>
      <c r="G140" s="319">
        <v>5.0</v>
      </c>
      <c r="H140" s="288">
        <f t="shared" si="4"/>
        <v>15</v>
      </c>
      <c r="I140" s="285" t="s">
        <v>319</v>
      </c>
      <c r="J140" s="64"/>
      <c r="K140" s="276"/>
      <c r="L140" s="276"/>
      <c r="M140" s="276"/>
      <c r="N140" s="276"/>
      <c r="O140" s="276"/>
      <c r="P140" s="276"/>
      <c r="Q140" s="276"/>
      <c r="R140" s="276"/>
      <c r="S140" s="276"/>
      <c r="T140" s="276"/>
      <c r="U140" s="276"/>
      <c r="V140" s="276"/>
      <c r="W140" s="276"/>
      <c r="X140" s="276"/>
    </row>
    <row r="141" ht="15.75" customHeight="1">
      <c r="A141" s="297">
        <f t="shared" si="16"/>
        <v>46227</v>
      </c>
      <c r="B141" s="284">
        <f t="shared" si="1"/>
        <v>24</v>
      </c>
      <c r="C141" s="284">
        <f t="shared" si="2"/>
        <v>7</v>
      </c>
      <c r="D141" s="284">
        <f t="shared" si="3"/>
        <v>2026</v>
      </c>
      <c r="E141" s="285" t="s">
        <v>275</v>
      </c>
      <c r="F141" s="35">
        <v>1.0</v>
      </c>
      <c r="G141" s="290">
        <v>15.0</v>
      </c>
      <c r="H141" s="288">
        <f t="shared" si="4"/>
        <v>15</v>
      </c>
      <c r="I141" s="285" t="s">
        <v>319</v>
      </c>
      <c r="J141" s="276"/>
      <c r="K141" s="276"/>
      <c r="L141" s="276"/>
      <c r="M141" s="276"/>
      <c r="N141" s="276"/>
      <c r="O141" s="276"/>
      <c r="P141" s="276"/>
      <c r="Q141" s="276"/>
      <c r="R141" s="276"/>
      <c r="S141" s="276"/>
      <c r="T141" s="276"/>
      <c r="U141" s="276"/>
      <c r="V141" s="276"/>
      <c r="W141" s="276"/>
      <c r="X141" s="276"/>
    </row>
    <row r="142" ht="15.75" customHeight="1">
      <c r="A142" s="297">
        <f t="shared" si="16"/>
        <v>46227</v>
      </c>
      <c r="B142" s="284">
        <f t="shared" si="1"/>
        <v>24</v>
      </c>
      <c r="C142" s="284">
        <f t="shared" si="2"/>
        <v>7</v>
      </c>
      <c r="D142" s="284">
        <f t="shared" si="3"/>
        <v>2026</v>
      </c>
      <c r="E142" s="285" t="s">
        <v>272</v>
      </c>
      <c r="F142" s="35">
        <v>1.0</v>
      </c>
      <c r="G142" s="290">
        <v>15.0</v>
      </c>
      <c r="H142" s="288">
        <f t="shared" si="4"/>
        <v>15</v>
      </c>
      <c r="I142" s="285" t="s">
        <v>319</v>
      </c>
      <c r="J142" s="64"/>
      <c r="K142" s="276"/>
      <c r="L142" s="276"/>
      <c r="M142" s="276"/>
      <c r="N142" s="276"/>
      <c r="O142" s="276"/>
      <c r="P142" s="276"/>
      <c r="Q142" s="276"/>
      <c r="R142" s="276"/>
      <c r="S142" s="276"/>
      <c r="T142" s="276"/>
      <c r="U142" s="276"/>
      <c r="V142" s="276"/>
      <c r="W142" s="276"/>
      <c r="X142" s="276"/>
    </row>
    <row r="143" ht="15.75" customHeight="1">
      <c r="A143" s="297">
        <f t="shared" si="16"/>
        <v>46227</v>
      </c>
      <c r="B143" s="284">
        <f t="shared" si="1"/>
        <v>24</v>
      </c>
      <c r="C143" s="284">
        <f t="shared" si="2"/>
        <v>7</v>
      </c>
      <c r="D143" s="284">
        <f t="shared" si="3"/>
        <v>2026</v>
      </c>
      <c r="E143" s="285" t="s">
        <v>275</v>
      </c>
      <c r="F143" s="35">
        <v>1.0</v>
      </c>
      <c r="G143" s="290">
        <v>15.0</v>
      </c>
      <c r="H143" s="288">
        <f t="shared" si="4"/>
        <v>15</v>
      </c>
      <c r="I143" s="285" t="s">
        <v>319</v>
      </c>
      <c r="J143" s="64"/>
      <c r="K143" s="276"/>
      <c r="L143" s="276"/>
      <c r="M143" s="276"/>
      <c r="N143" s="276"/>
      <c r="O143" s="276"/>
      <c r="P143" s="276"/>
      <c r="Q143" s="276"/>
      <c r="R143" s="276"/>
      <c r="S143" s="276"/>
      <c r="T143" s="276"/>
      <c r="U143" s="276"/>
      <c r="V143" s="276"/>
      <c r="W143" s="276"/>
      <c r="X143" s="276"/>
    </row>
    <row r="144" ht="15.75" customHeight="1">
      <c r="A144" s="297">
        <f t="shared" si="16"/>
        <v>46227</v>
      </c>
      <c r="B144" s="284">
        <f t="shared" si="1"/>
        <v>24</v>
      </c>
      <c r="C144" s="284">
        <f t="shared" si="2"/>
        <v>7</v>
      </c>
      <c r="D144" s="284">
        <f t="shared" si="3"/>
        <v>2026</v>
      </c>
      <c r="E144" s="285" t="s">
        <v>275</v>
      </c>
      <c r="F144" s="285">
        <v>1.0</v>
      </c>
      <c r="G144" s="290">
        <v>15.0</v>
      </c>
      <c r="H144" s="288">
        <f t="shared" si="4"/>
        <v>15</v>
      </c>
      <c r="I144" s="285" t="s">
        <v>319</v>
      </c>
      <c r="J144" s="64"/>
      <c r="K144" s="276"/>
      <c r="L144" s="276"/>
      <c r="M144" s="276"/>
      <c r="N144" s="276"/>
      <c r="O144" s="276"/>
      <c r="P144" s="276"/>
      <c r="Q144" s="276"/>
      <c r="R144" s="276"/>
      <c r="S144" s="276"/>
      <c r="T144" s="276"/>
      <c r="U144" s="276"/>
      <c r="V144" s="276"/>
      <c r="W144" s="276"/>
      <c r="X144" s="276"/>
    </row>
    <row r="145" ht="15.75" customHeight="1">
      <c r="A145" s="297">
        <f t="shared" si="16"/>
        <v>46227</v>
      </c>
      <c r="B145" s="284">
        <f t="shared" si="1"/>
        <v>24</v>
      </c>
      <c r="C145" s="284">
        <f t="shared" si="2"/>
        <v>7</v>
      </c>
      <c r="D145" s="284">
        <f t="shared" si="3"/>
        <v>2026</v>
      </c>
      <c r="E145" s="285" t="s">
        <v>275</v>
      </c>
      <c r="F145" s="285">
        <v>1.0</v>
      </c>
      <c r="G145" s="290">
        <v>15.0</v>
      </c>
      <c r="H145" s="288">
        <f t="shared" si="4"/>
        <v>15</v>
      </c>
      <c r="I145" s="285" t="s">
        <v>319</v>
      </c>
      <c r="J145" s="64"/>
      <c r="K145" s="276"/>
      <c r="L145" s="276"/>
      <c r="M145" s="276"/>
      <c r="N145" s="276"/>
      <c r="O145" s="276"/>
      <c r="P145" s="276"/>
      <c r="Q145" s="276"/>
      <c r="R145" s="276"/>
      <c r="S145" s="276"/>
      <c r="T145" s="276"/>
      <c r="U145" s="276"/>
      <c r="V145" s="276"/>
      <c r="W145" s="276"/>
      <c r="X145" s="276"/>
    </row>
    <row r="146" ht="15.75" customHeight="1">
      <c r="A146" s="297">
        <v>46208.0</v>
      </c>
      <c r="B146" s="284">
        <f t="shared" si="1"/>
        <v>5</v>
      </c>
      <c r="C146" s="284">
        <f t="shared" si="2"/>
        <v>7</v>
      </c>
      <c r="D146" s="284">
        <f t="shared" si="3"/>
        <v>2026</v>
      </c>
      <c r="E146" s="285" t="s">
        <v>250</v>
      </c>
      <c r="F146" s="285">
        <v>7.0</v>
      </c>
      <c r="G146" s="290">
        <v>2.0</v>
      </c>
      <c r="H146" s="288">
        <f t="shared" si="4"/>
        <v>14</v>
      </c>
      <c r="I146" s="285" t="s">
        <v>319</v>
      </c>
      <c r="J146" s="276"/>
      <c r="K146" s="276"/>
      <c r="L146" s="276"/>
      <c r="M146" s="276"/>
      <c r="N146" s="276"/>
      <c r="O146" s="276"/>
      <c r="P146" s="276"/>
      <c r="Q146" s="276"/>
      <c r="R146" s="276"/>
      <c r="S146" s="276"/>
      <c r="T146" s="276"/>
      <c r="U146" s="276"/>
      <c r="V146" s="276"/>
      <c r="W146" s="276"/>
      <c r="X146" s="276"/>
    </row>
    <row r="147" ht="15.75" customHeight="1">
      <c r="A147" s="297">
        <v>46206.0</v>
      </c>
      <c r="B147" s="284">
        <f t="shared" si="1"/>
        <v>3</v>
      </c>
      <c r="C147" s="284">
        <f t="shared" si="2"/>
        <v>7</v>
      </c>
      <c r="D147" s="284">
        <f t="shared" si="3"/>
        <v>2026</v>
      </c>
      <c r="E147" s="312" t="s">
        <v>250</v>
      </c>
      <c r="F147" s="312">
        <v>5.0</v>
      </c>
      <c r="G147" s="319">
        <v>2.0</v>
      </c>
      <c r="H147" s="288">
        <f t="shared" si="4"/>
        <v>10</v>
      </c>
      <c r="I147" s="285" t="s">
        <v>319</v>
      </c>
      <c r="J147" s="276"/>
      <c r="K147" s="276"/>
      <c r="L147" s="276"/>
      <c r="M147" s="276"/>
      <c r="N147" s="276"/>
      <c r="O147" s="276"/>
      <c r="P147" s="276"/>
      <c r="Q147" s="276"/>
      <c r="R147" s="276"/>
      <c r="S147" s="276"/>
      <c r="T147" s="276"/>
      <c r="U147" s="276"/>
      <c r="V147" s="276"/>
      <c r="W147" s="276"/>
      <c r="X147" s="276"/>
    </row>
    <row r="148" ht="15.75" customHeight="1">
      <c r="A148" s="297">
        <f t="shared" ref="A148:A149" si="17">A147</f>
        <v>46206</v>
      </c>
      <c r="B148" s="284">
        <f t="shared" si="1"/>
        <v>3</v>
      </c>
      <c r="C148" s="284">
        <f t="shared" si="2"/>
        <v>7</v>
      </c>
      <c r="D148" s="284">
        <f t="shared" si="3"/>
        <v>2026</v>
      </c>
      <c r="E148" s="285" t="s">
        <v>250</v>
      </c>
      <c r="F148" s="286">
        <v>5.0</v>
      </c>
      <c r="G148" s="287">
        <v>2.0</v>
      </c>
      <c r="H148" s="288">
        <f t="shared" si="4"/>
        <v>10</v>
      </c>
      <c r="I148" s="285" t="s">
        <v>319</v>
      </c>
      <c r="J148" s="276"/>
      <c r="K148" s="276"/>
      <c r="L148" s="276"/>
      <c r="M148" s="276"/>
      <c r="N148" s="276"/>
      <c r="O148" s="276"/>
      <c r="P148" s="276"/>
      <c r="Q148" s="276"/>
      <c r="R148" s="276"/>
      <c r="S148" s="276"/>
      <c r="T148" s="276"/>
      <c r="U148" s="276"/>
      <c r="V148" s="276"/>
      <c r="W148" s="276"/>
      <c r="X148" s="276"/>
    </row>
    <row r="149" ht="15.75" customHeight="1">
      <c r="A149" s="297">
        <f t="shared" si="17"/>
        <v>46206</v>
      </c>
      <c r="B149" s="284">
        <f t="shared" si="1"/>
        <v>3</v>
      </c>
      <c r="C149" s="284">
        <f t="shared" si="2"/>
        <v>7</v>
      </c>
      <c r="D149" s="284">
        <f t="shared" si="3"/>
        <v>2026</v>
      </c>
      <c r="E149" s="312" t="s">
        <v>283</v>
      </c>
      <c r="F149" s="312">
        <v>1.0</v>
      </c>
      <c r="G149" s="319">
        <v>10.0</v>
      </c>
      <c r="H149" s="288">
        <f t="shared" si="4"/>
        <v>10</v>
      </c>
      <c r="I149" s="285" t="s">
        <v>319</v>
      </c>
      <c r="J149" s="276"/>
      <c r="K149" s="276"/>
      <c r="L149" s="276"/>
      <c r="M149" s="276"/>
      <c r="N149" s="276"/>
      <c r="O149" s="276"/>
      <c r="P149" s="276"/>
      <c r="Q149" s="276"/>
      <c r="R149" s="276"/>
      <c r="S149" s="276"/>
      <c r="T149" s="276"/>
      <c r="U149" s="276"/>
      <c r="V149" s="276"/>
      <c r="W149" s="276"/>
      <c r="X149" s="276"/>
    </row>
    <row r="150" ht="15.75" customHeight="1">
      <c r="A150" s="297">
        <v>46216.0</v>
      </c>
      <c r="B150" s="284">
        <f t="shared" si="1"/>
        <v>13</v>
      </c>
      <c r="C150" s="284">
        <f t="shared" si="2"/>
        <v>7</v>
      </c>
      <c r="D150" s="284">
        <f t="shared" si="3"/>
        <v>2026</v>
      </c>
      <c r="E150" s="285" t="s">
        <v>250</v>
      </c>
      <c r="F150" s="35">
        <v>5.0</v>
      </c>
      <c r="G150" s="290">
        <v>2.0</v>
      </c>
      <c r="H150" s="288">
        <f t="shared" si="4"/>
        <v>10</v>
      </c>
      <c r="I150" s="285" t="s">
        <v>319</v>
      </c>
      <c r="J150" s="276"/>
      <c r="K150" s="276"/>
      <c r="L150" s="276"/>
      <c r="M150" s="276"/>
      <c r="N150" s="276"/>
      <c r="O150" s="276"/>
      <c r="P150" s="276"/>
      <c r="Q150" s="276"/>
      <c r="R150" s="276"/>
      <c r="S150" s="276"/>
      <c r="T150" s="276"/>
      <c r="U150" s="276"/>
      <c r="V150" s="276"/>
      <c r="W150" s="276"/>
      <c r="X150" s="276"/>
    </row>
    <row r="151" ht="15.75" customHeight="1">
      <c r="A151" s="297">
        <v>46217.0</v>
      </c>
      <c r="B151" s="284">
        <f t="shared" si="1"/>
        <v>14</v>
      </c>
      <c r="C151" s="284">
        <f t="shared" si="2"/>
        <v>7</v>
      </c>
      <c r="D151" s="284">
        <f t="shared" si="3"/>
        <v>2026</v>
      </c>
      <c r="E151" s="285" t="s">
        <v>250</v>
      </c>
      <c r="F151" s="285">
        <v>5.0</v>
      </c>
      <c r="G151" s="290">
        <v>2.0</v>
      </c>
      <c r="H151" s="288">
        <f t="shared" si="4"/>
        <v>10</v>
      </c>
      <c r="I151" s="285" t="s">
        <v>319</v>
      </c>
      <c r="J151" s="276"/>
      <c r="K151" s="276"/>
      <c r="L151" s="276"/>
      <c r="M151" s="276"/>
      <c r="N151" s="276"/>
      <c r="O151" s="276"/>
      <c r="P151" s="276"/>
      <c r="Q151" s="276"/>
      <c r="R151" s="276"/>
      <c r="S151" s="276"/>
      <c r="T151" s="276"/>
      <c r="U151" s="276"/>
      <c r="V151" s="276"/>
      <c r="W151" s="276"/>
      <c r="X151" s="276"/>
    </row>
    <row r="152" ht="15.75" customHeight="1">
      <c r="A152" s="297">
        <v>46217.0</v>
      </c>
      <c r="B152" s="284">
        <f t="shared" si="1"/>
        <v>14</v>
      </c>
      <c r="C152" s="284">
        <f t="shared" si="2"/>
        <v>7</v>
      </c>
      <c r="D152" s="284">
        <f t="shared" si="3"/>
        <v>2026</v>
      </c>
      <c r="E152" s="285" t="s">
        <v>250</v>
      </c>
      <c r="F152" s="286">
        <v>5.0</v>
      </c>
      <c r="G152" s="287">
        <v>2.0</v>
      </c>
      <c r="H152" s="288">
        <f t="shared" si="4"/>
        <v>10</v>
      </c>
      <c r="I152" s="285" t="s">
        <v>319</v>
      </c>
      <c r="J152" s="276"/>
      <c r="K152" s="276"/>
      <c r="L152" s="276"/>
      <c r="M152" s="276"/>
      <c r="N152" s="276"/>
      <c r="O152" s="276"/>
      <c r="P152" s="276"/>
      <c r="Q152" s="276"/>
      <c r="R152" s="276"/>
      <c r="S152" s="276"/>
      <c r="T152" s="276"/>
      <c r="U152" s="276"/>
      <c r="V152" s="276"/>
      <c r="W152" s="276"/>
      <c r="X152" s="276"/>
    </row>
    <row r="153" ht="15.75" customHeight="1">
      <c r="A153" s="297">
        <v>46219.0</v>
      </c>
      <c r="B153" s="284">
        <f t="shared" si="1"/>
        <v>16</v>
      </c>
      <c r="C153" s="284">
        <f t="shared" si="2"/>
        <v>7</v>
      </c>
      <c r="D153" s="284">
        <f t="shared" si="3"/>
        <v>2026</v>
      </c>
      <c r="E153" s="285" t="s">
        <v>250</v>
      </c>
      <c r="F153" s="35">
        <v>5.0</v>
      </c>
      <c r="G153" s="290">
        <v>2.0</v>
      </c>
      <c r="H153" s="288">
        <f t="shared" si="4"/>
        <v>10</v>
      </c>
      <c r="I153" s="285" t="s">
        <v>319</v>
      </c>
      <c r="J153" s="276"/>
      <c r="K153" s="276"/>
      <c r="L153" s="276"/>
      <c r="M153" s="276"/>
      <c r="N153" s="276"/>
      <c r="O153" s="276"/>
      <c r="P153" s="276"/>
      <c r="Q153" s="276"/>
      <c r="R153" s="276"/>
      <c r="S153" s="276"/>
      <c r="T153" s="276"/>
      <c r="U153" s="276"/>
      <c r="V153" s="276"/>
      <c r="W153" s="276"/>
      <c r="X153" s="276"/>
    </row>
    <row r="154" ht="15.75" customHeight="1">
      <c r="A154" s="297">
        <v>46223.0</v>
      </c>
      <c r="B154" s="284">
        <f t="shared" si="1"/>
        <v>20</v>
      </c>
      <c r="C154" s="284">
        <f t="shared" si="2"/>
        <v>7</v>
      </c>
      <c r="D154" s="284">
        <f t="shared" si="3"/>
        <v>2026</v>
      </c>
      <c r="E154" s="285" t="s">
        <v>250</v>
      </c>
      <c r="F154" s="285">
        <v>5.0</v>
      </c>
      <c r="G154" s="290">
        <v>2.0</v>
      </c>
      <c r="H154" s="288">
        <f t="shared" si="4"/>
        <v>10</v>
      </c>
      <c r="I154" s="285" t="s">
        <v>319</v>
      </c>
      <c r="J154" s="276"/>
      <c r="K154" s="276"/>
      <c r="L154" s="276"/>
      <c r="M154" s="276"/>
      <c r="N154" s="276"/>
      <c r="O154" s="276"/>
      <c r="P154" s="276"/>
      <c r="Q154" s="276"/>
      <c r="R154" s="276"/>
      <c r="S154" s="276"/>
      <c r="T154" s="276"/>
      <c r="U154" s="276"/>
      <c r="V154" s="276"/>
      <c r="W154" s="276"/>
      <c r="X154" s="276"/>
    </row>
    <row r="155" ht="15.75" customHeight="1">
      <c r="A155" s="297">
        <f t="shared" ref="A155:A156" si="18">A154</f>
        <v>46223</v>
      </c>
      <c r="B155" s="284">
        <f t="shared" si="1"/>
        <v>20</v>
      </c>
      <c r="C155" s="284">
        <f t="shared" si="2"/>
        <v>7</v>
      </c>
      <c r="D155" s="284">
        <f t="shared" si="3"/>
        <v>2026</v>
      </c>
      <c r="E155" s="285"/>
      <c r="F155" s="35"/>
      <c r="G155" s="290"/>
      <c r="H155" s="288"/>
      <c r="I155" s="285" t="s">
        <v>319</v>
      </c>
      <c r="J155" s="276"/>
      <c r="K155" s="276"/>
      <c r="L155" s="276"/>
      <c r="M155" s="276"/>
      <c r="N155" s="276"/>
      <c r="O155" s="276"/>
      <c r="P155" s="276"/>
      <c r="Q155" s="276"/>
      <c r="R155" s="276"/>
      <c r="S155" s="276"/>
      <c r="T155" s="276"/>
      <c r="U155" s="276"/>
      <c r="V155" s="276"/>
      <c r="W155" s="276"/>
      <c r="X155" s="276"/>
    </row>
    <row r="156" ht="15.75" customHeight="1">
      <c r="A156" s="297">
        <f t="shared" si="18"/>
        <v>46223</v>
      </c>
      <c r="B156" s="284">
        <f t="shared" si="1"/>
        <v>20</v>
      </c>
      <c r="C156" s="284">
        <f t="shared" si="2"/>
        <v>7</v>
      </c>
      <c r="D156" s="284">
        <f t="shared" si="3"/>
        <v>2026</v>
      </c>
      <c r="E156" s="285" t="s">
        <v>272</v>
      </c>
      <c r="F156" s="285">
        <v>2.0</v>
      </c>
      <c r="G156" s="290">
        <v>5.0</v>
      </c>
      <c r="H156" s="288">
        <f t="shared" ref="H156:H234" si="19">F156*G156</f>
        <v>10</v>
      </c>
      <c r="I156" s="285" t="s">
        <v>319</v>
      </c>
      <c r="J156" s="276"/>
      <c r="K156" s="276"/>
      <c r="L156" s="276"/>
      <c r="M156" s="276"/>
      <c r="N156" s="276"/>
      <c r="O156" s="276"/>
      <c r="P156" s="276"/>
      <c r="Q156" s="276"/>
      <c r="R156" s="276"/>
      <c r="S156" s="276"/>
      <c r="T156" s="276"/>
      <c r="U156" s="276"/>
      <c r="V156" s="276"/>
      <c r="W156" s="276"/>
      <c r="X156" s="276"/>
    </row>
    <row r="157" ht="15.75" customHeight="1">
      <c r="A157" s="297">
        <v>46229.0</v>
      </c>
      <c r="B157" s="284">
        <f t="shared" si="1"/>
        <v>26</v>
      </c>
      <c r="C157" s="284">
        <f t="shared" si="2"/>
        <v>7</v>
      </c>
      <c r="D157" s="284">
        <f t="shared" si="3"/>
        <v>2026</v>
      </c>
      <c r="E157" s="285" t="s">
        <v>250</v>
      </c>
      <c r="F157" s="286">
        <v>5.0</v>
      </c>
      <c r="G157" s="287">
        <v>2.0</v>
      </c>
      <c r="H157" s="288">
        <f t="shared" si="19"/>
        <v>10</v>
      </c>
      <c r="I157" s="285" t="s">
        <v>319</v>
      </c>
      <c r="J157" s="276"/>
      <c r="K157" s="276"/>
      <c r="L157" s="276"/>
      <c r="M157" s="276"/>
      <c r="N157" s="276"/>
      <c r="O157" s="276"/>
      <c r="P157" s="276"/>
      <c r="Q157" s="276"/>
      <c r="R157" s="276"/>
      <c r="S157" s="276"/>
      <c r="T157" s="276"/>
      <c r="U157" s="276"/>
      <c r="V157" s="276"/>
      <c r="W157" s="276"/>
      <c r="X157" s="276"/>
    </row>
    <row r="158" ht="15.75" customHeight="1">
      <c r="A158" s="297">
        <f t="shared" ref="A158:A159" si="20">A157</f>
        <v>46229</v>
      </c>
      <c r="B158" s="284">
        <f t="shared" si="1"/>
        <v>26</v>
      </c>
      <c r="C158" s="284">
        <f t="shared" si="2"/>
        <v>7</v>
      </c>
      <c r="D158" s="284">
        <f t="shared" si="3"/>
        <v>2026</v>
      </c>
      <c r="E158" s="285" t="s">
        <v>272</v>
      </c>
      <c r="F158" s="285">
        <v>1.0</v>
      </c>
      <c r="G158" s="290">
        <v>10.0</v>
      </c>
      <c r="H158" s="288">
        <f t="shared" si="19"/>
        <v>10</v>
      </c>
      <c r="I158" s="285" t="s">
        <v>319</v>
      </c>
      <c r="J158" s="276"/>
      <c r="K158" s="276"/>
      <c r="L158" s="276"/>
      <c r="M158" s="276"/>
      <c r="N158" s="276"/>
      <c r="O158" s="276"/>
      <c r="P158" s="276"/>
      <c r="Q158" s="276"/>
      <c r="R158" s="276"/>
      <c r="S158" s="276"/>
      <c r="T158" s="276"/>
      <c r="U158" s="276"/>
      <c r="V158" s="276"/>
      <c r="W158" s="276"/>
      <c r="X158" s="276"/>
    </row>
    <row r="159" ht="15.75" customHeight="1">
      <c r="A159" s="297">
        <f t="shared" si="20"/>
        <v>46229</v>
      </c>
      <c r="B159" s="284">
        <f t="shared" si="1"/>
        <v>26</v>
      </c>
      <c r="C159" s="284">
        <f t="shared" si="2"/>
        <v>7</v>
      </c>
      <c r="D159" s="284">
        <f t="shared" si="3"/>
        <v>2026</v>
      </c>
      <c r="E159" s="285" t="s">
        <v>250</v>
      </c>
      <c r="F159" s="285">
        <v>5.0</v>
      </c>
      <c r="G159" s="290">
        <v>2.0</v>
      </c>
      <c r="H159" s="288">
        <f t="shared" si="19"/>
        <v>10</v>
      </c>
      <c r="I159" s="285" t="s">
        <v>319</v>
      </c>
      <c r="J159" s="276"/>
      <c r="K159" s="276"/>
      <c r="L159" s="276"/>
      <c r="M159" s="276"/>
      <c r="N159" s="276"/>
      <c r="O159" s="276"/>
      <c r="P159" s="276"/>
      <c r="Q159" s="276"/>
      <c r="R159" s="276"/>
      <c r="S159" s="276"/>
      <c r="T159" s="276"/>
      <c r="U159" s="276"/>
      <c r="V159" s="276"/>
      <c r="W159" s="276"/>
      <c r="X159" s="276"/>
    </row>
    <row r="160" ht="15.75" customHeight="1">
      <c r="A160" s="297">
        <v>46213.0</v>
      </c>
      <c r="B160" s="284">
        <f t="shared" si="1"/>
        <v>10</v>
      </c>
      <c r="C160" s="284">
        <f t="shared" si="2"/>
        <v>7</v>
      </c>
      <c r="D160" s="284">
        <f t="shared" si="3"/>
        <v>2026</v>
      </c>
      <c r="E160" s="285" t="s">
        <v>250</v>
      </c>
      <c r="F160" s="285">
        <v>4.0</v>
      </c>
      <c r="G160" s="290">
        <v>2.0</v>
      </c>
      <c r="H160" s="288">
        <f t="shared" si="19"/>
        <v>8</v>
      </c>
      <c r="I160" s="285" t="s">
        <v>319</v>
      </c>
      <c r="J160" s="276"/>
      <c r="K160" s="276"/>
      <c r="L160" s="276"/>
      <c r="M160" s="276"/>
      <c r="N160" s="276"/>
      <c r="O160" s="276"/>
      <c r="P160" s="276"/>
      <c r="Q160" s="276"/>
      <c r="R160" s="276"/>
      <c r="S160" s="276"/>
      <c r="T160" s="276"/>
      <c r="U160" s="276"/>
      <c r="V160" s="276"/>
      <c r="W160" s="276"/>
      <c r="X160" s="276"/>
    </row>
    <row r="161" ht="15.75" customHeight="1">
      <c r="A161" s="297">
        <f t="shared" ref="A161:A162" si="21">A160</f>
        <v>46213</v>
      </c>
      <c r="B161" s="284">
        <f t="shared" si="1"/>
        <v>10</v>
      </c>
      <c r="C161" s="284">
        <f t="shared" si="2"/>
        <v>7</v>
      </c>
      <c r="D161" s="284">
        <f t="shared" si="3"/>
        <v>2026</v>
      </c>
      <c r="E161" s="285" t="s">
        <v>250</v>
      </c>
      <c r="F161" s="285">
        <v>4.0</v>
      </c>
      <c r="G161" s="290">
        <v>2.0</v>
      </c>
      <c r="H161" s="288">
        <f t="shared" si="19"/>
        <v>8</v>
      </c>
      <c r="I161" s="285" t="s">
        <v>319</v>
      </c>
      <c r="J161" s="276"/>
      <c r="K161" s="276"/>
      <c r="L161" s="276"/>
      <c r="M161" s="276"/>
      <c r="N161" s="276"/>
      <c r="O161" s="276"/>
      <c r="P161" s="276"/>
      <c r="Q161" s="276"/>
      <c r="R161" s="276"/>
      <c r="S161" s="276"/>
      <c r="T161" s="276"/>
      <c r="U161" s="276"/>
      <c r="V161" s="276"/>
      <c r="W161" s="276"/>
      <c r="X161" s="276"/>
    </row>
    <row r="162" ht="15.75" customHeight="1">
      <c r="A162" s="297">
        <f t="shared" si="21"/>
        <v>46213</v>
      </c>
      <c r="B162" s="284">
        <f t="shared" si="1"/>
        <v>10</v>
      </c>
      <c r="C162" s="284">
        <f t="shared" si="2"/>
        <v>7</v>
      </c>
      <c r="D162" s="284">
        <f t="shared" si="3"/>
        <v>2026</v>
      </c>
      <c r="E162" s="285" t="s">
        <v>250</v>
      </c>
      <c r="F162" s="286">
        <v>4.0</v>
      </c>
      <c r="G162" s="287">
        <v>2.0</v>
      </c>
      <c r="H162" s="288">
        <f t="shared" si="19"/>
        <v>8</v>
      </c>
      <c r="I162" s="285" t="s">
        <v>319</v>
      </c>
      <c r="J162" s="276"/>
      <c r="K162" s="276"/>
      <c r="L162" s="276"/>
      <c r="M162" s="276"/>
      <c r="N162" s="276"/>
      <c r="O162" s="276"/>
      <c r="P162" s="276"/>
      <c r="Q162" s="276"/>
      <c r="R162" s="276"/>
      <c r="S162" s="276"/>
      <c r="T162" s="276"/>
      <c r="U162" s="276"/>
      <c r="V162" s="276"/>
      <c r="W162" s="276"/>
      <c r="X162" s="276"/>
    </row>
    <row r="163" ht="15.75" customHeight="1">
      <c r="A163" s="297">
        <v>46218.0</v>
      </c>
      <c r="B163" s="284">
        <f t="shared" si="1"/>
        <v>15</v>
      </c>
      <c r="C163" s="284">
        <f t="shared" si="2"/>
        <v>7</v>
      </c>
      <c r="D163" s="284">
        <f t="shared" si="3"/>
        <v>2026</v>
      </c>
      <c r="E163" s="312" t="s">
        <v>250</v>
      </c>
      <c r="F163" s="312">
        <v>4.0</v>
      </c>
      <c r="G163" s="319">
        <v>2.0</v>
      </c>
      <c r="H163" s="288">
        <f t="shared" si="19"/>
        <v>8</v>
      </c>
      <c r="I163" s="285" t="s">
        <v>319</v>
      </c>
      <c r="J163" s="276"/>
      <c r="K163" s="276"/>
      <c r="L163" s="276"/>
      <c r="M163" s="276"/>
      <c r="N163" s="276"/>
      <c r="O163" s="276"/>
      <c r="P163" s="276"/>
      <c r="Q163" s="276"/>
      <c r="R163" s="276"/>
      <c r="S163" s="276"/>
      <c r="T163" s="276"/>
      <c r="U163" s="276"/>
      <c r="V163" s="276"/>
      <c r="W163" s="276"/>
      <c r="X163" s="276"/>
    </row>
    <row r="164" ht="15.75" customHeight="1">
      <c r="A164" s="297">
        <v>46222.0</v>
      </c>
      <c r="B164" s="284">
        <f t="shared" si="1"/>
        <v>19</v>
      </c>
      <c r="C164" s="284">
        <f t="shared" si="2"/>
        <v>7</v>
      </c>
      <c r="D164" s="284">
        <f t="shared" si="3"/>
        <v>2026</v>
      </c>
      <c r="E164" s="312" t="s">
        <v>250</v>
      </c>
      <c r="F164" s="312">
        <v>4.0</v>
      </c>
      <c r="G164" s="319">
        <v>2.0</v>
      </c>
      <c r="H164" s="288">
        <f t="shared" si="19"/>
        <v>8</v>
      </c>
      <c r="I164" s="285" t="s">
        <v>319</v>
      </c>
      <c r="J164" s="276"/>
      <c r="K164" s="276"/>
      <c r="L164" s="276"/>
      <c r="M164" s="276"/>
      <c r="N164" s="276"/>
      <c r="O164" s="276"/>
      <c r="P164" s="276"/>
      <c r="Q164" s="276"/>
      <c r="R164" s="276"/>
      <c r="S164" s="276"/>
      <c r="T164" s="276"/>
      <c r="U164" s="276"/>
      <c r="V164" s="276"/>
      <c r="W164" s="276"/>
      <c r="X164" s="276"/>
    </row>
    <row r="165" ht="15.75" customHeight="1">
      <c r="A165" s="297">
        <v>46231.0</v>
      </c>
      <c r="B165" s="284">
        <f t="shared" si="1"/>
        <v>28</v>
      </c>
      <c r="C165" s="284">
        <f t="shared" si="2"/>
        <v>7</v>
      </c>
      <c r="D165" s="284">
        <f t="shared" si="3"/>
        <v>2026</v>
      </c>
      <c r="E165" s="285" t="s">
        <v>250</v>
      </c>
      <c r="F165" s="35">
        <v>4.0</v>
      </c>
      <c r="G165" s="290">
        <v>2.0</v>
      </c>
      <c r="H165" s="288">
        <f t="shared" si="19"/>
        <v>8</v>
      </c>
      <c r="I165" s="285" t="s">
        <v>319</v>
      </c>
      <c r="J165" s="276"/>
      <c r="K165" s="276"/>
      <c r="L165" s="276"/>
      <c r="M165" s="276"/>
      <c r="N165" s="276"/>
      <c r="O165" s="276"/>
      <c r="P165" s="276"/>
      <c r="Q165" s="276"/>
      <c r="R165" s="276"/>
      <c r="S165" s="276"/>
      <c r="T165" s="276"/>
      <c r="U165" s="276"/>
      <c r="V165" s="276"/>
      <c r="W165" s="276"/>
      <c r="X165" s="276"/>
    </row>
    <row r="166" ht="15.75" customHeight="1">
      <c r="A166" s="297">
        <f>A165</f>
        <v>46231</v>
      </c>
      <c r="B166" s="284">
        <f t="shared" si="1"/>
        <v>28</v>
      </c>
      <c r="C166" s="284">
        <f t="shared" si="2"/>
        <v>7</v>
      </c>
      <c r="D166" s="284">
        <f t="shared" si="3"/>
        <v>2026</v>
      </c>
      <c r="E166" s="285" t="s">
        <v>272</v>
      </c>
      <c r="F166" s="35">
        <v>1.0</v>
      </c>
      <c r="G166" s="290">
        <v>7.5</v>
      </c>
      <c r="H166" s="288">
        <f t="shared" si="19"/>
        <v>7.5</v>
      </c>
      <c r="I166" s="285" t="s">
        <v>319</v>
      </c>
      <c r="J166" s="276"/>
      <c r="K166" s="276"/>
      <c r="L166" s="276"/>
      <c r="M166" s="276"/>
      <c r="N166" s="276"/>
      <c r="O166" s="276"/>
      <c r="P166" s="276"/>
      <c r="Q166" s="276"/>
      <c r="R166" s="276"/>
      <c r="S166" s="276"/>
      <c r="T166" s="276"/>
      <c r="U166" s="276"/>
      <c r="V166" s="276"/>
      <c r="W166" s="276"/>
      <c r="X166" s="276"/>
    </row>
    <row r="167" ht="15.75" customHeight="1">
      <c r="A167" s="297">
        <v>46230.0</v>
      </c>
      <c r="B167" s="284">
        <f t="shared" si="1"/>
        <v>27</v>
      </c>
      <c r="C167" s="284">
        <f t="shared" si="2"/>
        <v>7</v>
      </c>
      <c r="D167" s="284">
        <f t="shared" si="3"/>
        <v>2026</v>
      </c>
      <c r="E167" s="285" t="s">
        <v>275</v>
      </c>
      <c r="F167" s="35">
        <v>1.0</v>
      </c>
      <c r="G167" s="290">
        <v>7.0</v>
      </c>
      <c r="H167" s="288">
        <f t="shared" si="19"/>
        <v>7</v>
      </c>
      <c r="I167" s="285" t="s">
        <v>319</v>
      </c>
      <c r="J167" s="276"/>
      <c r="K167" s="276"/>
      <c r="L167" s="276"/>
      <c r="M167" s="276"/>
      <c r="N167" s="276"/>
      <c r="O167" s="276"/>
      <c r="P167" s="276"/>
      <c r="Q167" s="276"/>
      <c r="R167" s="276"/>
      <c r="S167" s="276"/>
      <c r="T167" s="276"/>
      <c r="U167" s="276"/>
      <c r="V167" s="276"/>
      <c r="W167" s="276"/>
      <c r="X167" s="276"/>
    </row>
    <row r="168" ht="15.75" customHeight="1">
      <c r="A168" s="297">
        <v>46209.0</v>
      </c>
      <c r="B168" s="284">
        <f t="shared" si="1"/>
        <v>6</v>
      </c>
      <c r="C168" s="284">
        <f t="shared" si="2"/>
        <v>7</v>
      </c>
      <c r="D168" s="284">
        <f t="shared" si="3"/>
        <v>2026</v>
      </c>
      <c r="E168" s="285" t="s">
        <v>250</v>
      </c>
      <c r="F168" s="286">
        <v>3.0</v>
      </c>
      <c r="G168" s="287">
        <v>2.0</v>
      </c>
      <c r="H168" s="288">
        <f t="shared" si="19"/>
        <v>6</v>
      </c>
      <c r="I168" s="285" t="s">
        <v>319</v>
      </c>
      <c r="J168" s="276"/>
      <c r="K168" s="276"/>
      <c r="L168" s="276"/>
      <c r="M168" s="276"/>
      <c r="N168" s="276"/>
      <c r="O168" s="276"/>
      <c r="P168" s="276"/>
      <c r="Q168" s="276"/>
      <c r="R168" s="276"/>
      <c r="S168" s="276"/>
      <c r="T168" s="276"/>
      <c r="U168" s="276"/>
      <c r="V168" s="276"/>
      <c r="W168" s="276"/>
      <c r="X168" s="276"/>
    </row>
    <row r="169" ht="15.75" customHeight="1">
      <c r="A169" s="297">
        <f t="shared" ref="A169:A172" si="22">A168</f>
        <v>46209</v>
      </c>
      <c r="B169" s="284">
        <f t="shared" si="1"/>
        <v>6</v>
      </c>
      <c r="C169" s="284">
        <f t="shared" si="2"/>
        <v>7</v>
      </c>
      <c r="D169" s="284">
        <f t="shared" si="3"/>
        <v>2026</v>
      </c>
      <c r="E169" s="285" t="s">
        <v>250</v>
      </c>
      <c r="F169" s="35">
        <v>3.0</v>
      </c>
      <c r="G169" s="290">
        <v>2.0</v>
      </c>
      <c r="H169" s="288">
        <f t="shared" si="19"/>
        <v>6</v>
      </c>
      <c r="I169" s="285" t="s">
        <v>319</v>
      </c>
      <c r="J169" s="276"/>
      <c r="K169" s="276"/>
      <c r="L169" s="276"/>
      <c r="M169" s="276"/>
      <c r="N169" s="276"/>
      <c r="O169" s="276"/>
      <c r="P169" s="276"/>
      <c r="Q169" s="276"/>
      <c r="R169" s="276"/>
      <c r="S169" s="276"/>
      <c r="T169" s="276"/>
      <c r="U169" s="276"/>
      <c r="V169" s="276"/>
      <c r="W169" s="276"/>
      <c r="X169" s="276"/>
    </row>
    <row r="170" ht="15.75" customHeight="1">
      <c r="A170" s="297">
        <f t="shared" si="22"/>
        <v>46209</v>
      </c>
      <c r="B170" s="284">
        <f t="shared" si="1"/>
        <v>6</v>
      </c>
      <c r="C170" s="284">
        <f t="shared" si="2"/>
        <v>7</v>
      </c>
      <c r="D170" s="284">
        <f t="shared" si="3"/>
        <v>2026</v>
      </c>
      <c r="E170" s="285" t="s">
        <v>250</v>
      </c>
      <c r="F170" s="35">
        <v>3.0</v>
      </c>
      <c r="G170" s="290">
        <v>2.0</v>
      </c>
      <c r="H170" s="288">
        <f t="shared" si="19"/>
        <v>6</v>
      </c>
      <c r="I170" s="285" t="s">
        <v>319</v>
      </c>
      <c r="J170" s="276"/>
      <c r="K170" s="276"/>
      <c r="L170" s="276"/>
      <c r="M170" s="276"/>
      <c r="N170" s="276"/>
      <c r="O170" s="276"/>
      <c r="P170" s="276"/>
      <c r="Q170" s="276"/>
      <c r="R170" s="276"/>
      <c r="S170" s="276"/>
      <c r="T170" s="276"/>
      <c r="U170" s="276"/>
      <c r="V170" s="276"/>
      <c r="W170" s="276"/>
      <c r="X170" s="276"/>
    </row>
    <row r="171" ht="15.75" customHeight="1">
      <c r="A171" s="297">
        <f t="shared" si="22"/>
        <v>46209</v>
      </c>
      <c r="B171" s="284">
        <f t="shared" si="1"/>
        <v>6</v>
      </c>
      <c r="C171" s="284">
        <f t="shared" si="2"/>
        <v>7</v>
      </c>
      <c r="D171" s="284">
        <f t="shared" si="3"/>
        <v>2026</v>
      </c>
      <c r="E171" s="312" t="s">
        <v>250</v>
      </c>
      <c r="F171" s="312">
        <v>3.0</v>
      </c>
      <c r="G171" s="319">
        <v>2.0</v>
      </c>
      <c r="H171" s="288">
        <f t="shared" si="19"/>
        <v>6</v>
      </c>
      <c r="I171" s="285" t="s">
        <v>319</v>
      </c>
      <c r="J171" s="276"/>
      <c r="K171" s="276"/>
      <c r="L171" s="276"/>
      <c r="M171" s="276"/>
      <c r="N171" s="276"/>
      <c r="O171" s="276"/>
      <c r="P171" s="276"/>
      <c r="Q171" s="276"/>
      <c r="R171" s="276"/>
      <c r="S171" s="276"/>
      <c r="T171" s="276"/>
      <c r="U171" s="276"/>
      <c r="V171" s="276"/>
      <c r="W171" s="276"/>
      <c r="X171" s="276"/>
    </row>
    <row r="172" ht="15.75" customHeight="1">
      <c r="A172" s="297">
        <f t="shared" si="22"/>
        <v>46209</v>
      </c>
      <c r="B172" s="284">
        <f t="shared" si="1"/>
        <v>6</v>
      </c>
      <c r="C172" s="284">
        <f t="shared" si="2"/>
        <v>7</v>
      </c>
      <c r="D172" s="284">
        <f t="shared" si="3"/>
        <v>2026</v>
      </c>
      <c r="E172" s="285" t="s">
        <v>250</v>
      </c>
      <c r="F172" s="285">
        <v>3.0</v>
      </c>
      <c r="G172" s="290">
        <v>2.0</v>
      </c>
      <c r="H172" s="288">
        <f t="shared" si="19"/>
        <v>6</v>
      </c>
      <c r="I172" s="285" t="s">
        <v>319</v>
      </c>
      <c r="J172" s="276"/>
      <c r="K172" s="276"/>
      <c r="L172" s="276"/>
      <c r="M172" s="276"/>
      <c r="N172" s="276"/>
      <c r="O172" s="276"/>
      <c r="P172" s="276"/>
      <c r="Q172" s="276"/>
      <c r="R172" s="276"/>
      <c r="S172" s="276"/>
      <c r="T172" s="276"/>
      <c r="U172" s="276"/>
      <c r="V172" s="276"/>
      <c r="W172" s="276"/>
      <c r="X172" s="276"/>
    </row>
    <row r="173" ht="15.75" customHeight="1">
      <c r="A173" s="297">
        <v>46224.0</v>
      </c>
      <c r="B173" s="284">
        <f t="shared" si="1"/>
        <v>21</v>
      </c>
      <c r="C173" s="284">
        <f t="shared" si="2"/>
        <v>7</v>
      </c>
      <c r="D173" s="284">
        <f t="shared" si="3"/>
        <v>2026</v>
      </c>
      <c r="E173" s="285" t="s">
        <v>250</v>
      </c>
      <c r="F173" s="35">
        <v>3.0</v>
      </c>
      <c r="G173" s="290">
        <v>2.0</v>
      </c>
      <c r="H173" s="288">
        <f t="shared" si="19"/>
        <v>6</v>
      </c>
      <c r="I173" s="285" t="s">
        <v>319</v>
      </c>
      <c r="J173" s="276"/>
      <c r="K173" s="276"/>
      <c r="L173" s="276"/>
      <c r="M173" s="276"/>
      <c r="N173" s="276"/>
      <c r="O173" s="276"/>
      <c r="P173" s="276"/>
      <c r="Q173" s="276"/>
      <c r="R173" s="276"/>
      <c r="S173" s="276"/>
      <c r="T173" s="276"/>
      <c r="U173" s="276"/>
      <c r="V173" s="276"/>
      <c r="W173" s="276"/>
      <c r="X173" s="276"/>
    </row>
    <row r="174" ht="15.75" customHeight="1">
      <c r="A174" s="297">
        <v>46226.0</v>
      </c>
      <c r="B174" s="284">
        <f t="shared" si="1"/>
        <v>23</v>
      </c>
      <c r="C174" s="284">
        <f t="shared" si="2"/>
        <v>7</v>
      </c>
      <c r="D174" s="284">
        <f t="shared" si="3"/>
        <v>2026</v>
      </c>
      <c r="E174" s="285" t="s">
        <v>250</v>
      </c>
      <c r="F174" s="286">
        <v>3.0</v>
      </c>
      <c r="G174" s="287">
        <v>2.0</v>
      </c>
      <c r="H174" s="288">
        <f t="shared" si="19"/>
        <v>6</v>
      </c>
      <c r="I174" s="285" t="s">
        <v>319</v>
      </c>
      <c r="J174" s="276"/>
      <c r="K174" s="276"/>
      <c r="L174" s="276"/>
      <c r="M174" s="276"/>
      <c r="N174" s="276"/>
      <c r="O174" s="276"/>
      <c r="P174" s="276"/>
      <c r="Q174" s="276"/>
      <c r="R174" s="276"/>
      <c r="S174" s="276"/>
      <c r="T174" s="276"/>
      <c r="U174" s="276"/>
      <c r="V174" s="276"/>
      <c r="W174" s="276"/>
      <c r="X174" s="276"/>
    </row>
    <row r="175" ht="15.75" customHeight="1">
      <c r="A175" s="297">
        <f>A174</f>
        <v>46226</v>
      </c>
      <c r="B175" s="284">
        <f t="shared" si="1"/>
        <v>23</v>
      </c>
      <c r="C175" s="284">
        <f t="shared" si="2"/>
        <v>7</v>
      </c>
      <c r="D175" s="284">
        <f t="shared" si="3"/>
        <v>2026</v>
      </c>
      <c r="E175" s="312" t="s">
        <v>250</v>
      </c>
      <c r="F175" s="312">
        <v>3.0</v>
      </c>
      <c r="G175" s="319">
        <v>2.0</v>
      </c>
      <c r="H175" s="288">
        <f t="shared" si="19"/>
        <v>6</v>
      </c>
      <c r="I175" s="285" t="s">
        <v>319</v>
      </c>
      <c r="J175" s="276"/>
      <c r="K175" s="276"/>
      <c r="L175" s="276"/>
      <c r="M175" s="276"/>
      <c r="N175" s="276"/>
      <c r="O175" s="276"/>
      <c r="P175" s="276"/>
      <c r="Q175" s="276"/>
      <c r="R175" s="276"/>
      <c r="S175" s="276"/>
      <c r="T175" s="276"/>
      <c r="U175" s="276"/>
      <c r="V175" s="276"/>
      <c r="W175" s="276"/>
      <c r="X175" s="276"/>
    </row>
    <row r="176" ht="15.75" customHeight="1">
      <c r="A176" s="297">
        <v>46207.0</v>
      </c>
      <c r="B176" s="284">
        <f t="shared" si="1"/>
        <v>4</v>
      </c>
      <c r="C176" s="284">
        <f t="shared" si="2"/>
        <v>7</v>
      </c>
      <c r="D176" s="284">
        <f t="shared" si="3"/>
        <v>2026</v>
      </c>
      <c r="E176" s="285" t="s">
        <v>283</v>
      </c>
      <c r="F176" s="286">
        <v>1.0</v>
      </c>
      <c r="G176" s="287">
        <v>5.0</v>
      </c>
      <c r="H176" s="288">
        <f t="shared" si="19"/>
        <v>5</v>
      </c>
      <c r="I176" s="285" t="s">
        <v>319</v>
      </c>
      <c r="J176" s="276"/>
      <c r="K176" s="276"/>
      <c r="L176" s="276"/>
      <c r="M176" s="276"/>
      <c r="N176" s="276"/>
      <c r="O176" s="276"/>
      <c r="P176" s="276"/>
      <c r="Q176" s="276"/>
      <c r="R176" s="276"/>
      <c r="S176" s="276"/>
      <c r="T176" s="276"/>
      <c r="U176" s="276"/>
      <c r="V176" s="276"/>
      <c r="W176" s="276"/>
      <c r="X176" s="276"/>
    </row>
    <row r="177" ht="15.75" customHeight="1">
      <c r="A177" s="297">
        <v>46210.0</v>
      </c>
      <c r="B177" s="284">
        <f t="shared" si="1"/>
        <v>7</v>
      </c>
      <c r="C177" s="284">
        <f t="shared" si="2"/>
        <v>7</v>
      </c>
      <c r="D177" s="284">
        <f t="shared" si="3"/>
        <v>2026</v>
      </c>
      <c r="E177" s="285" t="s">
        <v>283</v>
      </c>
      <c r="F177" s="285">
        <v>1.0</v>
      </c>
      <c r="G177" s="290">
        <v>5.0</v>
      </c>
      <c r="H177" s="288">
        <f t="shared" si="19"/>
        <v>5</v>
      </c>
      <c r="I177" s="285" t="s">
        <v>319</v>
      </c>
      <c r="J177" s="276"/>
      <c r="K177" s="276"/>
      <c r="L177" s="276"/>
      <c r="M177" s="276"/>
      <c r="N177" s="276"/>
      <c r="O177" s="276"/>
      <c r="P177" s="276"/>
      <c r="Q177" s="276"/>
      <c r="R177" s="276"/>
      <c r="S177" s="276"/>
      <c r="T177" s="276"/>
      <c r="U177" s="276"/>
      <c r="V177" s="276"/>
      <c r="W177" s="276"/>
      <c r="X177" s="276"/>
    </row>
    <row r="178" ht="15.75" customHeight="1">
      <c r="A178" s="297">
        <v>46214.0</v>
      </c>
      <c r="B178" s="284">
        <f t="shared" si="1"/>
        <v>11</v>
      </c>
      <c r="C178" s="284">
        <f t="shared" si="2"/>
        <v>7</v>
      </c>
      <c r="D178" s="284">
        <f t="shared" si="3"/>
        <v>2026</v>
      </c>
      <c r="E178" s="285" t="s">
        <v>272</v>
      </c>
      <c r="F178" s="35">
        <v>1.0</v>
      </c>
      <c r="G178" s="290">
        <v>5.0</v>
      </c>
      <c r="H178" s="288">
        <f t="shared" si="19"/>
        <v>5</v>
      </c>
      <c r="I178" s="285" t="s">
        <v>319</v>
      </c>
      <c r="J178" s="276"/>
      <c r="K178" s="276"/>
      <c r="L178" s="276"/>
      <c r="M178" s="276"/>
      <c r="N178" s="276"/>
      <c r="O178" s="276"/>
      <c r="P178" s="276"/>
      <c r="Q178" s="276"/>
      <c r="R178" s="276"/>
      <c r="S178" s="276"/>
      <c r="T178" s="276"/>
      <c r="U178" s="276"/>
      <c r="V178" s="276"/>
      <c r="W178" s="276"/>
      <c r="X178" s="276"/>
    </row>
    <row r="179" ht="15.75" customHeight="1">
      <c r="A179" s="297">
        <v>46215.0</v>
      </c>
      <c r="B179" s="284">
        <f t="shared" si="1"/>
        <v>12</v>
      </c>
      <c r="C179" s="284">
        <f t="shared" si="2"/>
        <v>7</v>
      </c>
      <c r="D179" s="284">
        <f t="shared" si="3"/>
        <v>2026</v>
      </c>
      <c r="E179" s="285" t="s">
        <v>272</v>
      </c>
      <c r="F179" s="285">
        <v>1.0</v>
      </c>
      <c r="G179" s="290">
        <v>5.0</v>
      </c>
      <c r="H179" s="288">
        <f t="shared" si="19"/>
        <v>5</v>
      </c>
      <c r="I179" s="285" t="s">
        <v>319</v>
      </c>
      <c r="J179" s="276"/>
      <c r="K179" s="276"/>
      <c r="L179" s="276"/>
      <c r="M179" s="276"/>
      <c r="N179" s="276"/>
      <c r="O179" s="276"/>
      <c r="P179" s="276"/>
      <c r="Q179" s="276"/>
      <c r="R179" s="276"/>
      <c r="S179" s="276"/>
      <c r="T179" s="276"/>
      <c r="U179" s="276"/>
      <c r="V179" s="276"/>
      <c r="W179" s="276"/>
      <c r="X179" s="276"/>
    </row>
    <row r="180" ht="15.75" customHeight="1">
      <c r="A180" s="297">
        <f t="shared" ref="A180:A182" si="23">A179</f>
        <v>46215</v>
      </c>
      <c r="B180" s="284">
        <f t="shared" si="1"/>
        <v>12</v>
      </c>
      <c r="C180" s="284">
        <f t="shared" si="2"/>
        <v>7</v>
      </c>
      <c r="D180" s="284">
        <f t="shared" si="3"/>
        <v>2026</v>
      </c>
      <c r="E180" s="285" t="s">
        <v>283</v>
      </c>
      <c r="F180" s="285">
        <v>1.0</v>
      </c>
      <c r="G180" s="290">
        <v>5.0</v>
      </c>
      <c r="H180" s="288">
        <f t="shared" si="19"/>
        <v>5</v>
      </c>
      <c r="I180" s="285" t="s">
        <v>319</v>
      </c>
      <c r="J180" s="276"/>
      <c r="K180" s="276"/>
      <c r="L180" s="276"/>
      <c r="M180" s="276"/>
      <c r="N180" s="276"/>
      <c r="O180" s="276"/>
      <c r="P180" s="276"/>
      <c r="Q180" s="276"/>
      <c r="R180" s="276"/>
      <c r="S180" s="276"/>
      <c r="T180" s="276"/>
      <c r="U180" s="276"/>
      <c r="V180" s="276"/>
      <c r="W180" s="276"/>
      <c r="X180" s="276"/>
    </row>
    <row r="181" ht="15.75" customHeight="1">
      <c r="A181" s="297">
        <f t="shared" si="23"/>
        <v>46215</v>
      </c>
      <c r="B181" s="284">
        <f t="shared" si="1"/>
        <v>12</v>
      </c>
      <c r="C181" s="284">
        <f t="shared" si="2"/>
        <v>7</v>
      </c>
      <c r="D181" s="284">
        <f t="shared" si="3"/>
        <v>2026</v>
      </c>
      <c r="E181" s="312" t="s">
        <v>272</v>
      </c>
      <c r="F181" s="312">
        <v>1.0</v>
      </c>
      <c r="G181" s="319">
        <v>5.0</v>
      </c>
      <c r="H181" s="288">
        <f t="shared" si="19"/>
        <v>5</v>
      </c>
      <c r="I181" s="285" t="s">
        <v>319</v>
      </c>
      <c r="J181" s="276"/>
      <c r="K181" s="276"/>
      <c r="L181" s="276"/>
      <c r="M181" s="276"/>
      <c r="N181" s="276"/>
      <c r="O181" s="276"/>
      <c r="P181" s="276"/>
      <c r="Q181" s="276"/>
      <c r="R181" s="276"/>
      <c r="S181" s="276"/>
      <c r="T181" s="276"/>
      <c r="U181" s="276"/>
      <c r="V181" s="276"/>
      <c r="W181" s="276"/>
      <c r="X181" s="276"/>
    </row>
    <row r="182" ht="15.75" customHeight="1">
      <c r="A182" s="297">
        <f t="shared" si="23"/>
        <v>46215</v>
      </c>
      <c r="B182" s="284">
        <f t="shared" si="1"/>
        <v>12</v>
      </c>
      <c r="C182" s="284">
        <f t="shared" si="2"/>
        <v>7</v>
      </c>
      <c r="D182" s="284">
        <f t="shared" si="3"/>
        <v>2026</v>
      </c>
      <c r="E182" s="285" t="s">
        <v>272</v>
      </c>
      <c r="F182" s="35">
        <v>1.0</v>
      </c>
      <c r="G182" s="290">
        <v>5.0</v>
      </c>
      <c r="H182" s="288">
        <f t="shared" si="19"/>
        <v>5</v>
      </c>
      <c r="I182" s="285" t="s">
        <v>319</v>
      </c>
      <c r="J182" s="276"/>
      <c r="K182" s="276"/>
      <c r="L182" s="276"/>
      <c r="M182" s="276"/>
      <c r="N182" s="276"/>
      <c r="O182" s="276"/>
      <c r="P182" s="276"/>
      <c r="Q182" s="276"/>
      <c r="R182" s="276"/>
      <c r="S182" s="276"/>
      <c r="T182" s="276"/>
      <c r="U182" s="276"/>
      <c r="V182" s="276"/>
      <c r="W182" s="276"/>
      <c r="X182" s="276"/>
    </row>
    <row r="183" ht="15.75" customHeight="1">
      <c r="A183" s="297">
        <v>46228.0</v>
      </c>
      <c r="B183" s="284">
        <f t="shared" si="1"/>
        <v>25</v>
      </c>
      <c r="C183" s="284">
        <f t="shared" si="2"/>
        <v>7</v>
      </c>
      <c r="D183" s="284">
        <f t="shared" si="3"/>
        <v>2026</v>
      </c>
      <c r="E183" s="285" t="s">
        <v>250</v>
      </c>
      <c r="F183" s="286">
        <v>2.0</v>
      </c>
      <c r="G183" s="287">
        <v>2.2</v>
      </c>
      <c r="H183" s="288">
        <f t="shared" si="19"/>
        <v>4.4</v>
      </c>
      <c r="I183" s="285" t="s">
        <v>319</v>
      </c>
      <c r="J183" s="276"/>
      <c r="K183" s="276"/>
      <c r="L183" s="276"/>
      <c r="M183" s="276"/>
      <c r="N183" s="276"/>
      <c r="O183" s="276"/>
      <c r="P183" s="276"/>
      <c r="Q183" s="276"/>
      <c r="R183" s="276"/>
      <c r="S183" s="276"/>
      <c r="T183" s="276"/>
      <c r="U183" s="276"/>
      <c r="V183" s="276"/>
      <c r="W183" s="276"/>
      <c r="X183" s="276"/>
    </row>
    <row r="184" ht="15.75" customHeight="1">
      <c r="A184" s="297">
        <v>46204.0</v>
      </c>
      <c r="B184" s="284">
        <f t="shared" si="1"/>
        <v>1</v>
      </c>
      <c r="C184" s="284">
        <f t="shared" si="2"/>
        <v>7</v>
      </c>
      <c r="D184" s="284">
        <f t="shared" si="3"/>
        <v>2026</v>
      </c>
      <c r="E184" s="312" t="s">
        <v>250</v>
      </c>
      <c r="F184" s="312">
        <v>2.0</v>
      </c>
      <c r="G184" s="319">
        <v>2.0</v>
      </c>
      <c r="H184" s="288">
        <f t="shared" si="19"/>
        <v>4</v>
      </c>
      <c r="I184" s="285" t="s">
        <v>319</v>
      </c>
      <c r="J184" s="276"/>
      <c r="K184" s="276"/>
      <c r="L184" s="276"/>
      <c r="M184" s="276"/>
      <c r="N184" s="276"/>
      <c r="O184" s="276"/>
      <c r="P184" s="276"/>
      <c r="Q184" s="276"/>
      <c r="R184" s="276"/>
      <c r="S184" s="276"/>
      <c r="T184" s="276"/>
      <c r="U184" s="276"/>
      <c r="V184" s="276"/>
      <c r="W184" s="276"/>
      <c r="X184" s="276"/>
    </row>
    <row r="185" ht="15.75" customHeight="1">
      <c r="A185" s="297">
        <f t="shared" ref="A185:A187" si="24">A184</f>
        <v>46204</v>
      </c>
      <c r="B185" s="284">
        <f t="shared" si="1"/>
        <v>1</v>
      </c>
      <c r="C185" s="284">
        <f t="shared" si="2"/>
        <v>7</v>
      </c>
      <c r="D185" s="284">
        <f t="shared" si="3"/>
        <v>2026</v>
      </c>
      <c r="E185" s="285" t="s">
        <v>284</v>
      </c>
      <c r="F185" s="286">
        <v>2.0</v>
      </c>
      <c r="G185" s="287">
        <v>2.0</v>
      </c>
      <c r="H185" s="288">
        <f t="shared" si="19"/>
        <v>4</v>
      </c>
      <c r="I185" s="285" t="s">
        <v>319</v>
      </c>
      <c r="J185" s="276"/>
      <c r="K185" s="276"/>
      <c r="L185" s="276"/>
      <c r="M185" s="276"/>
      <c r="N185" s="276"/>
      <c r="O185" s="276"/>
      <c r="P185" s="276"/>
      <c r="Q185" s="276"/>
      <c r="R185" s="276"/>
      <c r="S185" s="276"/>
      <c r="T185" s="276"/>
      <c r="U185" s="276"/>
      <c r="V185" s="276"/>
      <c r="W185" s="276"/>
      <c r="X185" s="276"/>
    </row>
    <row r="186" ht="15.75" customHeight="1">
      <c r="A186" s="297">
        <f t="shared" si="24"/>
        <v>46204</v>
      </c>
      <c r="B186" s="284">
        <f t="shared" si="1"/>
        <v>1</v>
      </c>
      <c r="C186" s="284">
        <f t="shared" si="2"/>
        <v>7</v>
      </c>
      <c r="D186" s="284">
        <f t="shared" si="3"/>
        <v>2026</v>
      </c>
      <c r="E186" s="285" t="s">
        <v>250</v>
      </c>
      <c r="F186" s="286">
        <v>2.0</v>
      </c>
      <c r="G186" s="287">
        <v>2.0</v>
      </c>
      <c r="H186" s="288">
        <f t="shared" si="19"/>
        <v>4</v>
      </c>
      <c r="I186" s="285" t="s">
        <v>319</v>
      </c>
      <c r="J186" s="276"/>
      <c r="K186" s="276"/>
      <c r="L186" s="276"/>
      <c r="M186" s="276"/>
      <c r="N186" s="276"/>
      <c r="O186" s="276"/>
      <c r="P186" s="276"/>
      <c r="Q186" s="276"/>
      <c r="R186" s="276"/>
      <c r="S186" s="276"/>
      <c r="T186" s="276"/>
      <c r="U186" s="276"/>
      <c r="V186" s="276"/>
      <c r="W186" s="276"/>
      <c r="X186" s="276"/>
    </row>
    <row r="187" ht="15.75" customHeight="1">
      <c r="A187" s="297">
        <f t="shared" si="24"/>
        <v>46204</v>
      </c>
      <c r="B187" s="284">
        <f t="shared" si="1"/>
        <v>1</v>
      </c>
      <c r="C187" s="284">
        <f t="shared" si="2"/>
        <v>7</v>
      </c>
      <c r="D187" s="284">
        <f t="shared" si="3"/>
        <v>2026</v>
      </c>
      <c r="E187" s="285" t="s">
        <v>250</v>
      </c>
      <c r="F187" s="285">
        <v>2.0</v>
      </c>
      <c r="G187" s="290">
        <v>2.0</v>
      </c>
      <c r="H187" s="288">
        <f t="shared" si="19"/>
        <v>4</v>
      </c>
      <c r="I187" s="285" t="s">
        <v>319</v>
      </c>
      <c r="J187" s="64"/>
      <c r="K187" s="276"/>
      <c r="L187" s="276"/>
      <c r="M187" s="276"/>
      <c r="N187" s="276"/>
      <c r="O187" s="276"/>
      <c r="P187" s="276"/>
      <c r="Q187" s="276"/>
      <c r="R187" s="276"/>
      <c r="S187" s="276"/>
      <c r="T187" s="276"/>
      <c r="U187" s="276"/>
      <c r="V187" s="276"/>
      <c r="W187" s="276"/>
      <c r="X187" s="276"/>
    </row>
    <row r="188" ht="15.75" customHeight="1">
      <c r="A188" s="297">
        <v>46211.0</v>
      </c>
      <c r="B188" s="284">
        <f t="shared" si="1"/>
        <v>8</v>
      </c>
      <c r="C188" s="284">
        <f t="shared" si="2"/>
        <v>7</v>
      </c>
      <c r="D188" s="284">
        <f t="shared" si="3"/>
        <v>2026</v>
      </c>
      <c r="E188" s="285" t="s">
        <v>250</v>
      </c>
      <c r="F188" s="35">
        <v>2.0</v>
      </c>
      <c r="G188" s="290">
        <v>2.0</v>
      </c>
      <c r="H188" s="288">
        <f t="shared" si="19"/>
        <v>4</v>
      </c>
      <c r="I188" s="285" t="s">
        <v>319</v>
      </c>
      <c r="J188" s="276"/>
      <c r="K188" s="276"/>
      <c r="L188" s="276"/>
      <c r="M188" s="276"/>
      <c r="N188" s="276"/>
      <c r="O188" s="276"/>
      <c r="P188" s="276"/>
      <c r="Q188" s="276"/>
      <c r="R188" s="276"/>
      <c r="S188" s="276"/>
      <c r="T188" s="276"/>
      <c r="U188" s="276"/>
      <c r="V188" s="276"/>
      <c r="W188" s="276"/>
      <c r="X188" s="276"/>
    </row>
    <row r="189" ht="15.75" customHeight="1">
      <c r="A189" s="297">
        <f t="shared" ref="A189:A192" si="25">A188</f>
        <v>46211</v>
      </c>
      <c r="B189" s="284">
        <f t="shared" si="1"/>
        <v>8</v>
      </c>
      <c r="C189" s="284">
        <f t="shared" si="2"/>
        <v>7</v>
      </c>
      <c r="D189" s="284">
        <f t="shared" si="3"/>
        <v>2026</v>
      </c>
      <c r="E189" s="285" t="s">
        <v>250</v>
      </c>
      <c r="F189" s="35">
        <v>2.0</v>
      </c>
      <c r="G189" s="290">
        <v>2.0</v>
      </c>
      <c r="H189" s="288">
        <f t="shared" si="19"/>
        <v>4</v>
      </c>
      <c r="I189" s="285" t="s">
        <v>319</v>
      </c>
      <c r="J189" s="276"/>
      <c r="K189" s="276"/>
      <c r="L189" s="276"/>
      <c r="M189" s="276"/>
      <c r="N189" s="276"/>
      <c r="O189" s="276"/>
      <c r="P189" s="276"/>
      <c r="Q189" s="276"/>
      <c r="R189" s="276"/>
      <c r="S189" s="276"/>
      <c r="T189" s="276"/>
      <c r="U189" s="276"/>
      <c r="V189" s="276"/>
      <c r="W189" s="276"/>
      <c r="X189" s="276"/>
    </row>
    <row r="190" ht="15.75" customHeight="1">
      <c r="A190" s="297">
        <f t="shared" si="25"/>
        <v>46211</v>
      </c>
      <c r="B190" s="284">
        <f t="shared" si="1"/>
        <v>8</v>
      </c>
      <c r="C190" s="284">
        <f t="shared" si="2"/>
        <v>7</v>
      </c>
      <c r="D190" s="284">
        <f t="shared" si="3"/>
        <v>2026</v>
      </c>
      <c r="E190" s="285" t="s">
        <v>250</v>
      </c>
      <c r="F190" s="35">
        <v>2.0</v>
      </c>
      <c r="G190" s="290">
        <v>2.0</v>
      </c>
      <c r="H190" s="288">
        <f t="shared" si="19"/>
        <v>4</v>
      </c>
      <c r="I190" s="285" t="s">
        <v>319</v>
      </c>
      <c r="J190" s="276"/>
      <c r="K190" s="276"/>
      <c r="L190" s="276"/>
      <c r="M190" s="276"/>
      <c r="N190" s="276"/>
      <c r="O190" s="276"/>
      <c r="P190" s="276"/>
      <c r="Q190" s="276"/>
      <c r="R190" s="276"/>
      <c r="S190" s="276"/>
      <c r="T190" s="276"/>
      <c r="U190" s="276"/>
      <c r="V190" s="276"/>
      <c r="W190" s="276"/>
      <c r="X190" s="276"/>
    </row>
    <row r="191" ht="15.75" customHeight="1">
      <c r="A191" s="297">
        <f t="shared" si="25"/>
        <v>46211</v>
      </c>
      <c r="B191" s="284">
        <f t="shared" si="1"/>
        <v>8</v>
      </c>
      <c r="C191" s="284">
        <f t="shared" si="2"/>
        <v>7</v>
      </c>
      <c r="D191" s="284">
        <f t="shared" si="3"/>
        <v>2026</v>
      </c>
      <c r="E191" s="312" t="s">
        <v>250</v>
      </c>
      <c r="F191" s="312">
        <v>2.0</v>
      </c>
      <c r="G191" s="319">
        <v>2.0</v>
      </c>
      <c r="H191" s="288">
        <f t="shared" si="19"/>
        <v>4</v>
      </c>
      <c r="I191" s="285" t="s">
        <v>319</v>
      </c>
      <c r="J191" s="276"/>
      <c r="K191" s="276"/>
      <c r="L191" s="276"/>
      <c r="M191" s="276"/>
      <c r="N191" s="276"/>
      <c r="O191" s="276"/>
      <c r="P191" s="276"/>
      <c r="Q191" s="276"/>
      <c r="R191" s="276"/>
      <c r="S191" s="276"/>
      <c r="T191" s="276"/>
      <c r="U191" s="276"/>
      <c r="V191" s="276"/>
      <c r="W191" s="276"/>
      <c r="X191" s="276"/>
    </row>
    <row r="192" ht="15.75" customHeight="1">
      <c r="A192" s="297">
        <f t="shared" si="25"/>
        <v>46211</v>
      </c>
      <c r="B192" s="284">
        <f t="shared" si="1"/>
        <v>8</v>
      </c>
      <c r="C192" s="284">
        <f t="shared" si="2"/>
        <v>7</v>
      </c>
      <c r="D192" s="284">
        <f t="shared" si="3"/>
        <v>2026</v>
      </c>
      <c r="E192" s="285" t="s">
        <v>250</v>
      </c>
      <c r="F192" s="35">
        <v>2.0</v>
      </c>
      <c r="G192" s="290">
        <v>2.0</v>
      </c>
      <c r="H192" s="288">
        <f t="shared" si="19"/>
        <v>4</v>
      </c>
      <c r="I192" s="285" t="s">
        <v>319</v>
      </c>
      <c r="J192" s="276"/>
      <c r="K192" s="276"/>
      <c r="L192" s="276"/>
      <c r="M192" s="276"/>
      <c r="N192" s="276"/>
      <c r="O192" s="276"/>
      <c r="P192" s="276"/>
      <c r="Q192" s="276"/>
      <c r="R192" s="276"/>
      <c r="S192" s="276"/>
      <c r="T192" s="276"/>
      <c r="U192" s="276"/>
      <c r="V192" s="276"/>
      <c r="W192" s="276"/>
      <c r="X192" s="276"/>
    </row>
    <row r="193" ht="15.75" customHeight="1">
      <c r="A193" s="297">
        <v>46232.0</v>
      </c>
      <c r="B193" s="284">
        <f t="shared" si="1"/>
        <v>29</v>
      </c>
      <c r="C193" s="284">
        <f t="shared" si="2"/>
        <v>7</v>
      </c>
      <c r="D193" s="284">
        <f t="shared" si="3"/>
        <v>2026</v>
      </c>
      <c r="E193" s="285" t="s">
        <v>250</v>
      </c>
      <c r="F193" s="35">
        <v>2.0</v>
      </c>
      <c r="G193" s="290">
        <v>2.0</v>
      </c>
      <c r="H193" s="288">
        <f t="shared" si="19"/>
        <v>4</v>
      </c>
      <c r="I193" s="285" t="s">
        <v>319</v>
      </c>
      <c r="J193" s="276"/>
      <c r="K193" s="276"/>
      <c r="L193" s="276"/>
      <c r="M193" s="276"/>
      <c r="N193" s="276"/>
      <c r="O193" s="276"/>
      <c r="P193" s="276"/>
      <c r="Q193" s="276"/>
      <c r="R193" s="276"/>
      <c r="S193" s="276"/>
      <c r="T193" s="276"/>
      <c r="U193" s="276"/>
      <c r="V193" s="276"/>
      <c r="W193" s="276"/>
      <c r="X193" s="276"/>
    </row>
    <row r="194" ht="15.75" customHeight="1">
      <c r="A194" s="297">
        <f t="shared" ref="A194:A197" si="26">A193</f>
        <v>46232</v>
      </c>
      <c r="B194" s="284">
        <f t="shared" si="1"/>
        <v>29</v>
      </c>
      <c r="C194" s="284">
        <f t="shared" si="2"/>
        <v>7</v>
      </c>
      <c r="D194" s="284">
        <f t="shared" si="3"/>
        <v>2026</v>
      </c>
      <c r="E194" s="285" t="s">
        <v>258</v>
      </c>
      <c r="F194" s="286">
        <v>2.0</v>
      </c>
      <c r="G194" s="287">
        <v>1.0</v>
      </c>
      <c r="H194" s="288">
        <f t="shared" si="19"/>
        <v>2</v>
      </c>
      <c r="I194" s="285" t="s">
        <v>319</v>
      </c>
      <c r="J194" s="276"/>
      <c r="K194" s="276"/>
      <c r="L194" s="276"/>
      <c r="M194" s="276"/>
      <c r="N194" s="276"/>
      <c r="O194" s="276"/>
      <c r="P194" s="276"/>
      <c r="Q194" s="276"/>
      <c r="R194" s="276"/>
      <c r="S194" s="276"/>
      <c r="T194" s="276"/>
      <c r="U194" s="276"/>
      <c r="V194" s="276"/>
      <c r="W194" s="276"/>
      <c r="X194" s="276"/>
    </row>
    <row r="195" ht="15.75" customHeight="1">
      <c r="A195" s="297">
        <f t="shared" si="26"/>
        <v>46232</v>
      </c>
      <c r="B195" s="284">
        <f t="shared" si="1"/>
        <v>29</v>
      </c>
      <c r="C195" s="284">
        <f t="shared" si="2"/>
        <v>7</v>
      </c>
      <c r="D195" s="284">
        <f t="shared" si="3"/>
        <v>2026</v>
      </c>
      <c r="E195" s="285" t="s">
        <v>250</v>
      </c>
      <c r="F195" s="286">
        <v>1.0</v>
      </c>
      <c r="G195" s="287">
        <v>2.0</v>
      </c>
      <c r="H195" s="288">
        <f t="shared" si="19"/>
        <v>2</v>
      </c>
      <c r="I195" s="285" t="s">
        <v>319</v>
      </c>
      <c r="J195" s="276"/>
      <c r="K195" s="276"/>
      <c r="L195" s="276"/>
      <c r="M195" s="276"/>
      <c r="N195" s="276"/>
      <c r="O195" s="276"/>
      <c r="P195" s="276"/>
      <c r="Q195" s="276"/>
      <c r="R195" s="276"/>
      <c r="S195" s="276"/>
      <c r="T195" s="276"/>
      <c r="U195" s="276"/>
      <c r="V195" s="276"/>
      <c r="W195" s="276"/>
      <c r="X195" s="276"/>
    </row>
    <row r="196" ht="15.75" customHeight="1">
      <c r="A196" s="297">
        <f t="shared" si="26"/>
        <v>46232</v>
      </c>
      <c r="B196" s="284">
        <f t="shared" si="1"/>
        <v>29</v>
      </c>
      <c r="C196" s="284">
        <f t="shared" si="2"/>
        <v>7</v>
      </c>
      <c r="D196" s="284">
        <f t="shared" si="3"/>
        <v>2026</v>
      </c>
      <c r="E196" s="285" t="s">
        <v>250</v>
      </c>
      <c r="F196" s="285">
        <v>1.0</v>
      </c>
      <c r="G196" s="290">
        <v>2.0</v>
      </c>
      <c r="H196" s="288">
        <f t="shared" si="19"/>
        <v>2</v>
      </c>
      <c r="I196" s="285" t="s">
        <v>319</v>
      </c>
      <c r="J196" s="276"/>
      <c r="K196" s="276"/>
      <c r="L196" s="276"/>
      <c r="M196" s="276"/>
      <c r="N196" s="276"/>
      <c r="O196" s="276"/>
      <c r="P196" s="276"/>
      <c r="Q196" s="276"/>
      <c r="R196" s="276"/>
      <c r="S196" s="276"/>
      <c r="T196" s="276"/>
      <c r="U196" s="276"/>
      <c r="V196" s="276"/>
      <c r="W196" s="276"/>
      <c r="X196" s="276"/>
    </row>
    <row r="197" ht="15.75" customHeight="1">
      <c r="A197" s="297">
        <f t="shared" si="26"/>
        <v>46232</v>
      </c>
      <c r="B197" s="284">
        <f t="shared" si="1"/>
        <v>29</v>
      </c>
      <c r="C197" s="284">
        <f t="shared" si="2"/>
        <v>7</v>
      </c>
      <c r="D197" s="284">
        <f t="shared" si="3"/>
        <v>2026</v>
      </c>
      <c r="E197" s="285" t="s">
        <v>250</v>
      </c>
      <c r="F197" s="35">
        <v>1.0</v>
      </c>
      <c r="G197" s="290">
        <v>2.0</v>
      </c>
      <c r="H197" s="288">
        <f t="shared" si="19"/>
        <v>2</v>
      </c>
      <c r="I197" s="285" t="s">
        <v>319</v>
      </c>
      <c r="J197" s="276"/>
      <c r="K197" s="276"/>
      <c r="L197" s="276"/>
      <c r="M197" s="276"/>
      <c r="N197" s="276"/>
      <c r="O197" s="276"/>
      <c r="P197" s="276"/>
      <c r="Q197" s="276"/>
      <c r="R197" s="276"/>
      <c r="S197" s="276"/>
      <c r="T197" s="276"/>
      <c r="U197" s="276"/>
      <c r="V197" s="276"/>
      <c r="W197" s="276"/>
      <c r="X197" s="276"/>
    </row>
    <row r="198" ht="15.75" customHeight="1">
      <c r="A198" s="297">
        <v>46212.0</v>
      </c>
      <c r="B198" s="284">
        <f t="shared" si="1"/>
        <v>9</v>
      </c>
      <c r="C198" s="284">
        <f t="shared" si="2"/>
        <v>7</v>
      </c>
      <c r="D198" s="284">
        <f t="shared" si="3"/>
        <v>2026</v>
      </c>
      <c r="E198" s="285" t="s">
        <v>250</v>
      </c>
      <c r="F198" s="286">
        <v>1.0</v>
      </c>
      <c r="G198" s="287">
        <v>2.0</v>
      </c>
      <c r="H198" s="288">
        <f t="shared" si="19"/>
        <v>2</v>
      </c>
      <c r="I198" s="285" t="s">
        <v>319</v>
      </c>
      <c r="J198" s="276"/>
      <c r="K198" s="276"/>
      <c r="L198" s="276"/>
      <c r="M198" s="276"/>
      <c r="N198" s="276"/>
      <c r="O198" s="276"/>
      <c r="P198" s="276"/>
      <c r="Q198" s="276"/>
      <c r="R198" s="276"/>
      <c r="S198" s="276"/>
      <c r="T198" s="276"/>
      <c r="U198" s="276"/>
      <c r="V198" s="276"/>
      <c r="W198" s="276"/>
      <c r="X198" s="276"/>
    </row>
    <row r="199" ht="15.75" customHeight="1">
      <c r="A199" s="297">
        <f t="shared" ref="A199:A200" si="27">A198</f>
        <v>46212</v>
      </c>
      <c r="B199" s="284">
        <f t="shared" si="1"/>
        <v>9</v>
      </c>
      <c r="C199" s="284">
        <f t="shared" si="2"/>
        <v>7</v>
      </c>
      <c r="D199" s="284">
        <f t="shared" si="3"/>
        <v>2026</v>
      </c>
      <c r="E199" s="285" t="s">
        <v>250</v>
      </c>
      <c r="F199" s="35">
        <v>1.0</v>
      </c>
      <c r="G199" s="290">
        <v>2.0</v>
      </c>
      <c r="H199" s="288">
        <f t="shared" si="19"/>
        <v>2</v>
      </c>
      <c r="I199" s="285" t="s">
        <v>319</v>
      </c>
      <c r="J199" s="276"/>
      <c r="K199" s="276"/>
      <c r="L199" s="276"/>
      <c r="M199" s="276"/>
      <c r="N199" s="276"/>
      <c r="O199" s="276"/>
      <c r="P199" s="276"/>
      <c r="Q199" s="276"/>
      <c r="R199" s="276"/>
      <c r="S199" s="276"/>
      <c r="T199" s="276"/>
      <c r="U199" s="276"/>
      <c r="V199" s="276"/>
      <c r="W199" s="276"/>
      <c r="X199" s="276"/>
    </row>
    <row r="200" ht="15.75" customHeight="1">
      <c r="A200" s="297">
        <f t="shared" si="27"/>
        <v>46212</v>
      </c>
      <c r="B200" s="284">
        <f t="shared" si="1"/>
        <v>9</v>
      </c>
      <c r="C200" s="284">
        <f t="shared" si="2"/>
        <v>7</v>
      </c>
      <c r="D200" s="284">
        <f t="shared" si="3"/>
        <v>2026</v>
      </c>
      <c r="E200" s="285" t="s">
        <v>250</v>
      </c>
      <c r="F200" s="286">
        <v>1.0</v>
      </c>
      <c r="G200" s="287">
        <v>2.0</v>
      </c>
      <c r="H200" s="288">
        <f t="shared" si="19"/>
        <v>2</v>
      </c>
      <c r="I200" s="285" t="s">
        <v>319</v>
      </c>
      <c r="J200" s="276"/>
      <c r="K200" s="276"/>
      <c r="L200" s="276"/>
      <c r="M200" s="276"/>
      <c r="N200" s="276"/>
      <c r="O200" s="276"/>
      <c r="P200" s="276"/>
      <c r="Q200" s="276"/>
      <c r="R200" s="276"/>
      <c r="S200" s="276"/>
      <c r="T200" s="276"/>
      <c r="U200" s="276"/>
      <c r="V200" s="276"/>
      <c r="W200" s="276"/>
      <c r="X200" s="276"/>
    </row>
    <row r="201" ht="15.75" customHeight="1">
      <c r="A201" s="297">
        <v>46220.0</v>
      </c>
      <c r="B201" s="284">
        <f t="shared" si="1"/>
        <v>17</v>
      </c>
      <c r="C201" s="284">
        <f t="shared" si="2"/>
        <v>7</v>
      </c>
      <c r="D201" s="284">
        <f t="shared" si="3"/>
        <v>2026</v>
      </c>
      <c r="E201" s="312" t="s">
        <v>250</v>
      </c>
      <c r="F201" s="312">
        <v>1.0</v>
      </c>
      <c r="G201" s="319">
        <v>2.0</v>
      </c>
      <c r="H201" s="288">
        <f t="shared" si="19"/>
        <v>2</v>
      </c>
      <c r="I201" s="285" t="s">
        <v>319</v>
      </c>
      <c r="J201" s="276"/>
      <c r="K201" s="276"/>
      <c r="L201" s="276"/>
      <c r="M201" s="276"/>
      <c r="N201" s="276"/>
      <c r="O201" s="276"/>
      <c r="P201" s="276"/>
      <c r="Q201" s="276"/>
      <c r="R201" s="276"/>
      <c r="S201" s="276"/>
      <c r="T201" s="276"/>
      <c r="U201" s="276"/>
      <c r="V201" s="276"/>
      <c r="W201" s="276"/>
      <c r="X201" s="276"/>
    </row>
    <row r="202" ht="15.75" customHeight="1">
      <c r="A202" s="297">
        <f>A201</f>
        <v>46220</v>
      </c>
      <c r="B202" s="284">
        <f t="shared" si="1"/>
        <v>17</v>
      </c>
      <c r="C202" s="284">
        <f t="shared" si="2"/>
        <v>7</v>
      </c>
      <c r="D202" s="284">
        <f t="shared" si="3"/>
        <v>2026</v>
      </c>
      <c r="E202" s="285" t="s">
        <v>250</v>
      </c>
      <c r="F202" s="285">
        <v>1.0</v>
      </c>
      <c r="G202" s="290">
        <v>2.0</v>
      </c>
      <c r="H202" s="288">
        <f t="shared" si="19"/>
        <v>2</v>
      </c>
      <c r="I202" s="285" t="s">
        <v>319</v>
      </c>
      <c r="J202" s="276"/>
      <c r="K202" s="276"/>
      <c r="L202" s="276"/>
      <c r="M202" s="276"/>
      <c r="N202" s="276"/>
      <c r="O202" s="276"/>
      <c r="P202" s="276"/>
      <c r="Q202" s="276"/>
      <c r="R202" s="276"/>
      <c r="S202" s="276"/>
      <c r="T202" s="276"/>
      <c r="U202" s="276"/>
      <c r="V202" s="276"/>
      <c r="W202" s="276"/>
      <c r="X202" s="276"/>
    </row>
    <row r="203" ht="15.75" customHeight="1">
      <c r="A203" s="297">
        <v>46225.0</v>
      </c>
      <c r="B203" s="284">
        <f t="shared" si="1"/>
        <v>22</v>
      </c>
      <c r="C203" s="284">
        <f t="shared" si="2"/>
        <v>7</v>
      </c>
      <c r="D203" s="284">
        <f t="shared" si="3"/>
        <v>2026</v>
      </c>
      <c r="E203" s="312" t="s">
        <v>258</v>
      </c>
      <c r="F203" s="312">
        <v>2.0</v>
      </c>
      <c r="G203" s="319">
        <v>1.0</v>
      </c>
      <c r="H203" s="288">
        <f t="shared" si="19"/>
        <v>2</v>
      </c>
      <c r="I203" s="285" t="s">
        <v>319</v>
      </c>
      <c r="J203" s="276"/>
      <c r="K203" s="276"/>
      <c r="L203" s="276"/>
      <c r="M203" s="276"/>
      <c r="N203" s="276"/>
      <c r="O203" s="276"/>
      <c r="P203" s="276"/>
      <c r="Q203" s="276"/>
      <c r="R203" s="276"/>
      <c r="S203" s="276"/>
      <c r="T203" s="276"/>
      <c r="U203" s="276"/>
      <c r="V203" s="276"/>
      <c r="W203" s="276"/>
      <c r="X203" s="276"/>
    </row>
    <row r="204" ht="15.75" customHeight="1">
      <c r="A204" s="297">
        <f t="shared" ref="A204:A209" si="28">A203</f>
        <v>46225</v>
      </c>
      <c r="B204" s="284">
        <f t="shared" si="1"/>
        <v>22</v>
      </c>
      <c r="C204" s="284">
        <f t="shared" si="2"/>
        <v>7</v>
      </c>
      <c r="D204" s="284">
        <f t="shared" si="3"/>
        <v>2026</v>
      </c>
      <c r="E204" s="312" t="s">
        <v>250</v>
      </c>
      <c r="F204" s="312">
        <v>1.0</v>
      </c>
      <c r="G204" s="319">
        <v>2.0</v>
      </c>
      <c r="H204" s="288">
        <f t="shared" si="19"/>
        <v>2</v>
      </c>
      <c r="I204" s="285" t="s">
        <v>319</v>
      </c>
      <c r="J204" s="276"/>
      <c r="K204" s="276"/>
      <c r="L204" s="276"/>
      <c r="M204" s="276"/>
      <c r="N204" s="276"/>
      <c r="O204" s="276"/>
      <c r="P204" s="276"/>
      <c r="Q204" s="276"/>
      <c r="R204" s="276"/>
      <c r="S204" s="276"/>
      <c r="T204" s="276"/>
      <c r="U204" s="276"/>
      <c r="V204" s="276"/>
      <c r="W204" s="276"/>
      <c r="X204" s="276"/>
    </row>
    <row r="205" ht="15.75" customHeight="1">
      <c r="A205" s="297">
        <f t="shared" si="28"/>
        <v>46225</v>
      </c>
      <c r="B205" s="284">
        <f t="shared" si="1"/>
        <v>22</v>
      </c>
      <c r="C205" s="284">
        <f t="shared" si="2"/>
        <v>7</v>
      </c>
      <c r="D205" s="284">
        <f t="shared" si="3"/>
        <v>2026</v>
      </c>
      <c r="E205" s="285" t="s">
        <v>250</v>
      </c>
      <c r="F205" s="286">
        <v>1.0</v>
      </c>
      <c r="G205" s="287">
        <v>2.0</v>
      </c>
      <c r="H205" s="288">
        <f t="shared" si="19"/>
        <v>2</v>
      </c>
      <c r="I205" s="285" t="s">
        <v>319</v>
      </c>
      <c r="J205" s="276"/>
      <c r="K205" s="276"/>
      <c r="L205" s="276"/>
      <c r="M205" s="276"/>
      <c r="N205" s="276"/>
      <c r="O205" s="276"/>
      <c r="P205" s="276"/>
      <c r="Q205" s="276"/>
      <c r="R205" s="276"/>
      <c r="S205" s="276"/>
      <c r="T205" s="276"/>
      <c r="U205" s="276"/>
      <c r="V205" s="276"/>
      <c r="W205" s="276"/>
      <c r="X205" s="276"/>
    </row>
    <row r="206" ht="15.75" customHeight="1">
      <c r="A206" s="297">
        <f t="shared" si="28"/>
        <v>46225</v>
      </c>
      <c r="B206" s="284">
        <f t="shared" si="1"/>
        <v>22</v>
      </c>
      <c r="C206" s="284">
        <f t="shared" si="2"/>
        <v>7</v>
      </c>
      <c r="D206" s="284">
        <f t="shared" si="3"/>
        <v>2026</v>
      </c>
      <c r="E206" s="285" t="s">
        <v>250</v>
      </c>
      <c r="F206" s="35">
        <v>1.0</v>
      </c>
      <c r="G206" s="290">
        <v>2.0</v>
      </c>
      <c r="H206" s="288">
        <f t="shared" si="19"/>
        <v>2</v>
      </c>
      <c r="I206" s="285" t="s">
        <v>319</v>
      </c>
      <c r="J206" s="276"/>
      <c r="K206" s="276"/>
      <c r="L206" s="276"/>
      <c r="M206" s="276"/>
      <c r="N206" s="276"/>
      <c r="O206" s="276"/>
      <c r="P206" s="276"/>
      <c r="Q206" s="276"/>
      <c r="R206" s="276"/>
      <c r="S206" s="276"/>
      <c r="T206" s="276"/>
      <c r="U206" s="276"/>
      <c r="V206" s="276"/>
      <c r="W206" s="276"/>
      <c r="X206" s="276"/>
    </row>
    <row r="207" ht="15.75" customHeight="1">
      <c r="A207" s="297">
        <f t="shared" si="28"/>
        <v>46225</v>
      </c>
      <c r="B207" s="284">
        <f t="shared" si="1"/>
        <v>22</v>
      </c>
      <c r="C207" s="284">
        <f t="shared" si="2"/>
        <v>7</v>
      </c>
      <c r="D207" s="284">
        <f t="shared" si="3"/>
        <v>2026</v>
      </c>
      <c r="E207" s="285" t="s">
        <v>250</v>
      </c>
      <c r="F207" s="35">
        <v>1.0</v>
      </c>
      <c r="G207" s="290">
        <v>2.0</v>
      </c>
      <c r="H207" s="288">
        <f t="shared" si="19"/>
        <v>2</v>
      </c>
      <c r="I207" s="285" t="s">
        <v>319</v>
      </c>
      <c r="J207" s="276"/>
      <c r="K207" s="276"/>
      <c r="L207" s="276"/>
      <c r="M207" s="276"/>
      <c r="N207" s="276"/>
      <c r="O207" s="276"/>
      <c r="P207" s="276"/>
      <c r="Q207" s="276"/>
      <c r="R207" s="276"/>
      <c r="S207" s="276"/>
      <c r="T207" s="276"/>
      <c r="U207" s="276"/>
      <c r="V207" s="276"/>
      <c r="W207" s="276"/>
      <c r="X207" s="276"/>
    </row>
    <row r="208" ht="15.75" customHeight="1">
      <c r="A208" s="297">
        <f t="shared" si="28"/>
        <v>46225</v>
      </c>
      <c r="B208" s="284">
        <f t="shared" si="1"/>
        <v>22</v>
      </c>
      <c r="C208" s="284">
        <f t="shared" si="2"/>
        <v>7</v>
      </c>
      <c r="D208" s="284">
        <f t="shared" si="3"/>
        <v>2026</v>
      </c>
      <c r="E208" s="285" t="s">
        <v>222</v>
      </c>
      <c r="F208" s="35">
        <v>1.0</v>
      </c>
      <c r="G208" s="290">
        <v>1.5</v>
      </c>
      <c r="H208" s="288">
        <f t="shared" si="19"/>
        <v>1.5</v>
      </c>
      <c r="I208" s="285" t="s">
        <v>319</v>
      </c>
      <c r="J208" s="276"/>
      <c r="K208" s="276"/>
      <c r="L208" s="276"/>
      <c r="M208" s="276"/>
      <c r="N208" s="276"/>
      <c r="O208" s="276"/>
      <c r="P208" s="276"/>
      <c r="Q208" s="276"/>
      <c r="R208" s="276"/>
      <c r="S208" s="276"/>
      <c r="T208" s="276"/>
      <c r="U208" s="276"/>
      <c r="V208" s="276"/>
      <c r="W208" s="276"/>
      <c r="X208" s="276"/>
    </row>
    <row r="209" ht="15.75" customHeight="1">
      <c r="A209" s="297">
        <f t="shared" si="28"/>
        <v>46225</v>
      </c>
      <c r="B209" s="284">
        <f t="shared" si="1"/>
        <v>22</v>
      </c>
      <c r="C209" s="284">
        <f t="shared" si="2"/>
        <v>7</v>
      </c>
      <c r="D209" s="284">
        <f t="shared" si="3"/>
        <v>2026</v>
      </c>
      <c r="E209" s="285" t="s">
        <v>284</v>
      </c>
      <c r="F209" s="285">
        <v>1.0</v>
      </c>
      <c r="G209" s="290">
        <v>1.5</v>
      </c>
      <c r="H209" s="288">
        <f t="shared" si="19"/>
        <v>1.5</v>
      </c>
      <c r="I209" s="285" t="s">
        <v>319</v>
      </c>
      <c r="J209" s="276"/>
      <c r="K209" s="276"/>
      <c r="L209" s="276"/>
      <c r="M209" s="276"/>
      <c r="N209" s="276"/>
      <c r="O209" s="276"/>
      <c r="P209" s="276"/>
      <c r="Q209" s="276"/>
      <c r="R209" s="276"/>
      <c r="S209" s="276"/>
      <c r="T209" s="276"/>
      <c r="U209" s="276"/>
      <c r="V209" s="276"/>
      <c r="W209" s="276"/>
      <c r="X209" s="276"/>
    </row>
    <row r="210" ht="15.75" customHeight="1">
      <c r="A210" s="297">
        <v>46234.0</v>
      </c>
      <c r="B210" s="284">
        <f t="shared" si="1"/>
        <v>31</v>
      </c>
      <c r="C210" s="284">
        <f t="shared" si="2"/>
        <v>7</v>
      </c>
      <c r="D210" s="284">
        <f t="shared" si="3"/>
        <v>2026</v>
      </c>
      <c r="E210" s="285" t="s">
        <v>250</v>
      </c>
      <c r="F210" s="286">
        <v>7.0</v>
      </c>
      <c r="G210" s="287">
        <v>2.0</v>
      </c>
      <c r="H210" s="288">
        <f t="shared" si="19"/>
        <v>14</v>
      </c>
      <c r="I210" s="285" t="s">
        <v>319</v>
      </c>
      <c r="J210" s="276"/>
      <c r="K210" s="276"/>
      <c r="L210" s="276"/>
      <c r="M210" s="276"/>
      <c r="N210" s="276"/>
      <c r="O210" s="276"/>
      <c r="P210" s="276"/>
      <c r="Q210" s="276"/>
      <c r="R210" s="276"/>
      <c r="S210" s="276"/>
      <c r="T210" s="276"/>
      <c r="U210" s="276"/>
      <c r="V210" s="276"/>
      <c r="W210" s="276"/>
      <c r="X210" s="276"/>
    </row>
    <row r="211" ht="15.75" customHeight="1">
      <c r="A211" s="297">
        <f t="shared" ref="A211:A214" si="29">A210</f>
        <v>46234</v>
      </c>
      <c r="B211" s="284">
        <f t="shared" si="1"/>
        <v>31</v>
      </c>
      <c r="C211" s="284">
        <f t="shared" si="2"/>
        <v>7</v>
      </c>
      <c r="D211" s="284">
        <f t="shared" si="3"/>
        <v>2026</v>
      </c>
      <c r="E211" s="285" t="s">
        <v>281</v>
      </c>
      <c r="F211" s="286">
        <v>1.0</v>
      </c>
      <c r="G211" s="287">
        <v>224.0</v>
      </c>
      <c r="H211" s="288">
        <f t="shared" si="19"/>
        <v>224</v>
      </c>
      <c r="I211" s="285" t="s">
        <v>319</v>
      </c>
      <c r="J211" s="276"/>
      <c r="K211" s="276"/>
      <c r="L211" s="276"/>
      <c r="M211" s="276"/>
      <c r="N211" s="276"/>
      <c r="O211" s="276"/>
      <c r="P211" s="276"/>
      <c r="Q211" s="276"/>
      <c r="R211" s="276"/>
      <c r="S211" s="276"/>
      <c r="T211" s="276"/>
      <c r="U211" s="276"/>
      <c r="V211" s="276"/>
      <c r="W211" s="276"/>
      <c r="X211" s="276"/>
    </row>
    <row r="212" ht="15.75" customHeight="1">
      <c r="A212" s="297">
        <f t="shared" si="29"/>
        <v>46234</v>
      </c>
      <c r="B212" s="284">
        <f t="shared" si="1"/>
        <v>31</v>
      </c>
      <c r="C212" s="284">
        <f t="shared" si="2"/>
        <v>7</v>
      </c>
      <c r="D212" s="284">
        <f t="shared" si="3"/>
        <v>2026</v>
      </c>
      <c r="E212" s="285" t="s">
        <v>250</v>
      </c>
      <c r="F212" s="286">
        <v>2.0</v>
      </c>
      <c r="G212" s="287">
        <v>2.0</v>
      </c>
      <c r="H212" s="288">
        <f t="shared" si="19"/>
        <v>4</v>
      </c>
      <c r="I212" s="285" t="s">
        <v>319</v>
      </c>
      <c r="J212" s="276"/>
      <c r="K212" s="276"/>
      <c r="L212" s="276"/>
      <c r="M212" s="276"/>
      <c r="N212" s="276"/>
      <c r="O212" s="276"/>
      <c r="P212" s="276"/>
      <c r="Q212" s="276"/>
      <c r="R212" s="276"/>
      <c r="S212" s="276"/>
      <c r="T212" s="276"/>
      <c r="U212" s="276"/>
      <c r="V212" s="276"/>
      <c r="W212" s="276"/>
      <c r="X212" s="276"/>
    </row>
    <row r="213" ht="15.75" customHeight="1">
      <c r="A213" s="297">
        <f t="shared" si="29"/>
        <v>46234</v>
      </c>
      <c r="B213" s="284">
        <f t="shared" si="1"/>
        <v>31</v>
      </c>
      <c r="C213" s="284">
        <f t="shared" si="2"/>
        <v>7</v>
      </c>
      <c r="D213" s="284">
        <f t="shared" si="3"/>
        <v>2026</v>
      </c>
      <c r="E213" s="285" t="s">
        <v>250</v>
      </c>
      <c r="F213" s="286">
        <v>2.0</v>
      </c>
      <c r="G213" s="287">
        <v>2.0</v>
      </c>
      <c r="H213" s="288">
        <f t="shared" si="19"/>
        <v>4</v>
      </c>
      <c r="I213" s="285" t="s">
        <v>319</v>
      </c>
      <c r="J213" s="276"/>
      <c r="K213" s="276"/>
      <c r="L213" s="276"/>
      <c r="M213" s="276"/>
      <c r="N213" s="276"/>
      <c r="O213" s="276"/>
      <c r="P213" s="276"/>
      <c r="Q213" s="276"/>
      <c r="R213" s="276"/>
      <c r="S213" s="276"/>
      <c r="T213" s="276"/>
      <c r="U213" s="276"/>
      <c r="V213" s="276"/>
      <c r="W213" s="276"/>
      <c r="X213" s="276"/>
    </row>
    <row r="214" ht="15.75" customHeight="1">
      <c r="A214" s="297">
        <f t="shared" si="29"/>
        <v>46234</v>
      </c>
      <c r="B214" s="284">
        <f t="shared" si="1"/>
        <v>31</v>
      </c>
      <c r="C214" s="284">
        <f t="shared" si="2"/>
        <v>7</v>
      </c>
      <c r="D214" s="284">
        <f t="shared" si="3"/>
        <v>2026</v>
      </c>
      <c r="E214" s="285"/>
      <c r="F214" s="285"/>
      <c r="G214" s="290"/>
      <c r="H214" s="288">
        <f t="shared" si="19"/>
        <v>0</v>
      </c>
      <c r="I214" s="285" t="s">
        <v>319</v>
      </c>
      <c r="J214" s="276"/>
      <c r="K214" s="276"/>
      <c r="L214" s="276"/>
      <c r="M214" s="276"/>
      <c r="N214" s="276"/>
      <c r="O214" s="276"/>
      <c r="P214" s="276"/>
      <c r="Q214" s="276"/>
      <c r="R214" s="276"/>
      <c r="S214" s="276"/>
      <c r="T214" s="276"/>
      <c r="U214" s="276"/>
      <c r="V214" s="276"/>
      <c r="W214" s="276"/>
      <c r="X214" s="276"/>
    </row>
    <row r="215" ht="15.75" customHeight="1">
      <c r="A215" s="308">
        <v>46169.0</v>
      </c>
      <c r="B215" s="284">
        <f t="shared" si="1"/>
        <v>27</v>
      </c>
      <c r="C215" s="284">
        <f t="shared" si="2"/>
        <v>5</v>
      </c>
      <c r="D215" s="284">
        <f t="shared" si="3"/>
        <v>2026</v>
      </c>
      <c r="E215" s="285" t="s">
        <v>228</v>
      </c>
      <c r="F215" s="285">
        <v>1.0</v>
      </c>
      <c r="G215" s="290">
        <v>15.0</v>
      </c>
      <c r="H215" s="288">
        <f t="shared" si="19"/>
        <v>15</v>
      </c>
      <c r="I215" s="285" t="s">
        <v>352</v>
      </c>
      <c r="J215" s="276"/>
      <c r="K215" s="276"/>
      <c r="L215" s="276"/>
      <c r="M215" s="276"/>
      <c r="N215" s="276"/>
      <c r="O215" s="276"/>
      <c r="P215" s="276"/>
      <c r="Q215" s="276"/>
      <c r="R215" s="276"/>
      <c r="S215" s="276"/>
      <c r="T215" s="276"/>
      <c r="U215" s="276"/>
      <c r="V215" s="276"/>
      <c r="W215" s="276"/>
      <c r="X215" s="276"/>
    </row>
    <row r="216" ht="15.75" customHeight="1">
      <c r="A216" s="297">
        <f>A215</f>
        <v>46169</v>
      </c>
      <c r="B216" s="284">
        <f t="shared" si="1"/>
        <v>27</v>
      </c>
      <c r="C216" s="284">
        <f t="shared" si="2"/>
        <v>5</v>
      </c>
      <c r="D216" s="284">
        <f t="shared" si="3"/>
        <v>2026</v>
      </c>
      <c r="E216" s="285" t="s">
        <v>250</v>
      </c>
      <c r="F216" s="286">
        <v>4.0</v>
      </c>
      <c r="G216" s="287">
        <v>2.0</v>
      </c>
      <c r="H216" s="288">
        <f t="shared" si="19"/>
        <v>8</v>
      </c>
      <c r="I216" s="285" t="s">
        <v>352</v>
      </c>
      <c r="J216" s="276"/>
      <c r="K216" s="276"/>
      <c r="L216" s="276"/>
      <c r="M216" s="276"/>
      <c r="N216" s="276"/>
      <c r="O216" s="276"/>
      <c r="P216" s="276"/>
      <c r="Q216" s="276"/>
      <c r="R216" s="276"/>
      <c r="S216" s="276"/>
      <c r="T216" s="276"/>
      <c r="U216" s="276"/>
      <c r="V216" s="276"/>
      <c r="W216" s="276"/>
      <c r="X216" s="276"/>
    </row>
    <row r="217" ht="15.75" customHeight="1">
      <c r="A217" s="297">
        <v>46197.0</v>
      </c>
      <c r="B217" s="284">
        <f t="shared" si="1"/>
        <v>24</v>
      </c>
      <c r="C217" s="284">
        <f t="shared" si="2"/>
        <v>6</v>
      </c>
      <c r="D217" s="284">
        <f t="shared" si="3"/>
        <v>2026</v>
      </c>
      <c r="E217" s="285" t="s">
        <v>250</v>
      </c>
      <c r="F217" s="286">
        <v>1.0</v>
      </c>
      <c r="G217" s="287">
        <v>2.0</v>
      </c>
      <c r="H217" s="288">
        <f t="shared" si="19"/>
        <v>2</v>
      </c>
      <c r="I217" s="285" t="s">
        <v>352</v>
      </c>
      <c r="J217" s="276"/>
      <c r="K217" s="276"/>
      <c r="L217" s="276"/>
      <c r="M217" s="276"/>
      <c r="N217" s="276"/>
      <c r="O217" s="276"/>
      <c r="P217" s="276"/>
      <c r="Q217" s="276"/>
      <c r="R217" s="276"/>
      <c r="S217" s="276"/>
      <c r="T217" s="276"/>
      <c r="U217" s="276"/>
      <c r="V217" s="276"/>
      <c r="W217" s="276"/>
      <c r="X217" s="276"/>
    </row>
    <row r="218" ht="15.75" customHeight="1">
      <c r="A218" s="297">
        <v>46227.0</v>
      </c>
      <c r="B218" s="284">
        <f t="shared" si="1"/>
        <v>24</v>
      </c>
      <c r="C218" s="284">
        <f t="shared" si="2"/>
        <v>7</v>
      </c>
      <c r="D218" s="284">
        <f t="shared" si="3"/>
        <v>2026</v>
      </c>
      <c r="E218" s="312" t="s">
        <v>283</v>
      </c>
      <c r="F218" s="312">
        <v>1.0</v>
      </c>
      <c r="G218" s="319">
        <v>10.0</v>
      </c>
      <c r="H218" s="288">
        <f t="shared" si="19"/>
        <v>10</v>
      </c>
      <c r="I218" s="285" t="s">
        <v>352</v>
      </c>
      <c r="J218" s="276"/>
      <c r="K218" s="276"/>
      <c r="L218" s="276"/>
      <c r="M218" s="276"/>
      <c r="N218" s="276"/>
      <c r="O218" s="276"/>
      <c r="P218" s="276"/>
      <c r="Q218" s="276"/>
      <c r="R218" s="276"/>
      <c r="S218" s="276"/>
      <c r="T218" s="276"/>
      <c r="U218" s="276"/>
      <c r="V218" s="276"/>
      <c r="W218" s="276"/>
      <c r="X218" s="276"/>
    </row>
    <row r="219" ht="15.75" customHeight="1">
      <c r="A219" s="297">
        <f t="shared" ref="A219:A224" si="30">A218</f>
        <v>46227</v>
      </c>
      <c r="B219" s="284">
        <f t="shared" si="1"/>
        <v>24</v>
      </c>
      <c r="C219" s="284">
        <f t="shared" si="2"/>
        <v>7</v>
      </c>
      <c r="D219" s="284">
        <f t="shared" si="3"/>
        <v>2026</v>
      </c>
      <c r="E219" s="285" t="s">
        <v>250</v>
      </c>
      <c r="F219" s="35">
        <v>4.0</v>
      </c>
      <c r="G219" s="290">
        <v>2.0</v>
      </c>
      <c r="H219" s="288">
        <f t="shared" si="19"/>
        <v>8</v>
      </c>
      <c r="I219" s="285" t="s">
        <v>352</v>
      </c>
      <c r="J219" s="276"/>
      <c r="K219" s="276"/>
      <c r="L219" s="276"/>
      <c r="M219" s="276"/>
      <c r="N219" s="276"/>
      <c r="O219" s="276"/>
      <c r="P219" s="276"/>
      <c r="Q219" s="276"/>
      <c r="R219" s="276"/>
      <c r="S219" s="276"/>
      <c r="T219" s="276"/>
      <c r="U219" s="276"/>
      <c r="V219" s="276"/>
      <c r="W219" s="276"/>
      <c r="X219" s="276"/>
    </row>
    <row r="220" ht="15.75" customHeight="1">
      <c r="A220" s="297">
        <f t="shared" si="30"/>
        <v>46227</v>
      </c>
      <c r="B220" s="284">
        <f t="shared" si="1"/>
        <v>24</v>
      </c>
      <c r="C220" s="284">
        <f t="shared" si="2"/>
        <v>7</v>
      </c>
      <c r="D220" s="284">
        <f t="shared" si="3"/>
        <v>2026</v>
      </c>
      <c r="E220" s="285" t="s">
        <v>250</v>
      </c>
      <c r="F220" s="285">
        <v>4.0</v>
      </c>
      <c r="G220" s="290">
        <v>2.0</v>
      </c>
      <c r="H220" s="288">
        <f t="shared" si="19"/>
        <v>8</v>
      </c>
      <c r="I220" s="285" t="s">
        <v>352</v>
      </c>
      <c r="J220" s="276"/>
      <c r="K220" s="276"/>
      <c r="L220" s="276"/>
      <c r="M220" s="276"/>
      <c r="N220" s="276"/>
      <c r="O220" s="276"/>
      <c r="P220" s="276"/>
      <c r="Q220" s="276"/>
      <c r="R220" s="276"/>
      <c r="S220" s="276"/>
      <c r="T220" s="276"/>
      <c r="U220" s="276"/>
      <c r="V220" s="276"/>
      <c r="W220" s="276"/>
      <c r="X220" s="276"/>
    </row>
    <row r="221" ht="15.75" customHeight="1">
      <c r="A221" s="297">
        <f t="shared" si="30"/>
        <v>46227</v>
      </c>
      <c r="B221" s="284">
        <f t="shared" si="1"/>
        <v>24</v>
      </c>
      <c r="C221" s="284">
        <f t="shared" si="2"/>
        <v>7</v>
      </c>
      <c r="D221" s="284">
        <f t="shared" si="3"/>
        <v>2026</v>
      </c>
      <c r="E221" s="285" t="s">
        <v>250</v>
      </c>
      <c r="F221" s="285">
        <v>2.0</v>
      </c>
      <c r="G221" s="290">
        <v>2.0</v>
      </c>
      <c r="H221" s="288">
        <f t="shared" si="19"/>
        <v>4</v>
      </c>
      <c r="I221" s="285" t="s">
        <v>352</v>
      </c>
      <c r="J221" s="276"/>
      <c r="K221" s="276"/>
      <c r="L221" s="276"/>
      <c r="M221" s="276"/>
      <c r="N221" s="276"/>
      <c r="O221" s="276"/>
      <c r="P221" s="276"/>
      <c r="Q221" s="276"/>
      <c r="R221" s="276"/>
      <c r="S221" s="276"/>
      <c r="T221" s="276"/>
      <c r="U221" s="276"/>
      <c r="V221" s="276"/>
      <c r="W221" s="276"/>
      <c r="X221" s="276"/>
    </row>
    <row r="222" ht="15.75" customHeight="1">
      <c r="A222" s="297">
        <f t="shared" si="30"/>
        <v>46227</v>
      </c>
      <c r="B222" s="284">
        <f t="shared" si="1"/>
        <v>24</v>
      </c>
      <c r="C222" s="284">
        <f t="shared" si="2"/>
        <v>7</v>
      </c>
      <c r="D222" s="284">
        <f t="shared" si="3"/>
        <v>2026</v>
      </c>
      <c r="E222" s="285" t="s">
        <v>250</v>
      </c>
      <c r="F222" s="285">
        <v>1.0</v>
      </c>
      <c r="G222" s="290">
        <v>2.0</v>
      </c>
      <c r="H222" s="288">
        <f t="shared" si="19"/>
        <v>2</v>
      </c>
      <c r="I222" s="285" t="s">
        <v>352</v>
      </c>
      <c r="J222" s="276"/>
      <c r="K222" s="276"/>
      <c r="L222" s="276"/>
      <c r="M222" s="276"/>
      <c r="N222" s="276"/>
      <c r="O222" s="276"/>
      <c r="P222" s="276"/>
      <c r="Q222" s="276"/>
      <c r="R222" s="276"/>
      <c r="S222" s="276"/>
      <c r="T222" s="276"/>
      <c r="U222" s="276"/>
      <c r="V222" s="276"/>
      <c r="W222" s="276"/>
      <c r="X222" s="276"/>
    </row>
    <row r="223" ht="15.75" customHeight="1">
      <c r="A223" s="297">
        <f t="shared" si="30"/>
        <v>46227</v>
      </c>
      <c r="B223" s="284">
        <f t="shared" si="1"/>
        <v>24</v>
      </c>
      <c r="C223" s="284">
        <f t="shared" si="2"/>
        <v>7</v>
      </c>
      <c r="D223" s="284">
        <f t="shared" si="3"/>
        <v>2026</v>
      </c>
      <c r="E223" s="285" t="s">
        <v>283</v>
      </c>
      <c r="F223" s="286">
        <v>1.0</v>
      </c>
      <c r="G223" s="287">
        <v>5.0</v>
      </c>
      <c r="H223" s="288">
        <f t="shared" si="19"/>
        <v>5</v>
      </c>
      <c r="I223" s="285" t="s">
        <v>352</v>
      </c>
      <c r="J223" s="276"/>
      <c r="K223" s="276"/>
      <c r="L223" s="276"/>
      <c r="M223" s="276"/>
      <c r="N223" s="276"/>
      <c r="O223" s="276"/>
      <c r="P223" s="276"/>
      <c r="Q223" s="276"/>
      <c r="R223" s="276"/>
      <c r="S223" s="276"/>
      <c r="T223" s="276"/>
      <c r="U223" s="276"/>
      <c r="V223" s="276"/>
      <c r="W223" s="276"/>
      <c r="X223" s="276"/>
    </row>
    <row r="224" ht="15.75" customHeight="1">
      <c r="A224" s="297">
        <f t="shared" si="30"/>
        <v>46227</v>
      </c>
      <c r="B224" s="284">
        <f t="shared" si="1"/>
        <v>24</v>
      </c>
      <c r="C224" s="284">
        <f t="shared" si="2"/>
        <v>7</v>
      </c>
      <c r="D224" s="284">
        <f t="shared" si="3"/>
        <v>2026</v>
      </c>
      <c r="E224" s="285" t="s">
        <v>275</v>
      </c>
      <c r="F224" s="286">
        <v>1.0</v>
      </c>
      <c r="G224" s="287">
        <v>15.0</v>
      </c>
      <c r="H224" s="288">
        <f t="shared" si="19"/>
        <v>15</v>
      </c>
      <c r="I224" s="285" t="s">
        <v>352</v>
      </c>
      <c r="J224" s="276"/>
      <c r="K224" s="276"/>
      <c r="L224" s="276"/>
      <c r="M224" s="276"/>
      <c r="N224" s="276"/>
      <c r="O224" s="276"/>
      <c r="P224" s="276"/>
      <c r="Q224" s="276"/>
      <c r="R224" s="276"/>
      <c r="S224" s="276"/>
      <c r="T224" s="276"/>
      <c r="U224" s="276"/>
      <c r="V224" s="276"/>
      <c r="W224" s="276"/>
      <c r="X224" s="276"/>
    </row>
    <row r="225" ht="15.75" customHeight="1">
      <c r="A225" s="289">
        <v>46144.0</v>
      </c>
      <c r="B225" s="284">
        <f t="shared" si="1"/>
        <v>2</v>
      </c>
      <c r="C225" s="284">
        <f t="shared" si="2"/>
        <v>5</v>
      </c>
      <c r="D225" s="284">
        <f t="shared" si="3"/>
        <v>2026</v>
      </c>
      <c r="E225" s="285" t="s">
        <v>228</v>
      </c>
      <c r="F225" s="285">
        <v>1.0</v>
      </c>
      <c r="G225" s="290">
        <v>15.0</v>
      </c>
      <c r="H225" s="288">
        <f t="shared" si="19"/>
        <v>15</v>
      </c>
      <c r="I225" s="285" t="s">
        <v>10</v>
      </c>
      <c r="J225" s="276"/>
      <c r="K225" s="276"/>
      <c r="L225" s="276"/>
      <c r="M225" s="276"/>
      <c r="N225" s="276"/>
      <c r="O225" s="276"/>
      <c r="P225" s="276"/>
      <c r="Q225" s="276"/>
      <c r="R225" s="276"/>
      <c r="S225" s="276"/>
      <c r="T225" s="276"/>
      <c r="U225" s="276"/>
      <c r="V225" s="276"/>
      <c r="W225" s="276"/>
      <c r="X225" s="276"/>
    </row>
    <row r="226" ht="15.75" customHeight="1">
      <c r="A226" s="308">
        <v>46161.0</v>
      </c>
      <c r="B226" s="284">
        <f t="shared" si="1"/>
        <v>19</v>
      </c>
      <c r="C226" s="284">
        <f t="shared" si="2"/>
        <v>5</v>
      </c>
      <c r="D226" s="284">
        <f t="shared" si="3"/>
        <v>2026</v>
      </c>
      <c r="E226" s="285" t="s">
        <v>228</v>
      </c>
      <c r="F226" s="286">
        <v>2.0</v>
      </c>
      <c r="G226" s="287">
        <v>15.0</v>
      </c>
      <c r="H226" s="288">
        <f t="shared" si="19"/>
        <v>30</v>
      </c>
      <c r="I226" s="285" t="s">
        <v>10</v>
      </c>
      <c r="J226" s="276"/>
      <c r="K226" s="276"/>
      <c r="L226" s="276"/>
      <c r="M226" s="276"/>
      <c r="N226" s="276"/>
      <c r="O226" s="276"/>
      <c r="P226" s="276"/>
      <c r="Q226" s="276"/>
      <c r="R226" s="276"/>
      <c r="S226" s="276"/>
      <c r="T226" s="276"/>
      <c r="U226" s="276"/>
      <c r="V226" s="276"/>
      <c r="W226" s="276"/>
      <c r="X226" s="276"/>
    </row>
    <row r="227" ht="15.75" customHeight="1">
      <c r="A227" s="308">
        <v>46161.0</v>
      </c>
      <c r="B227" s="284">
        <f t="shared" si="1"/>
        <v>19</v>
      </c>
      <c r="C227" s="284">
        <f t="shared" si="2"/>
        <v>5</v>
      </c>
      <c r="D227" s="284">
        <f t="shared" si="3"/>
        <v>2026</v>
      </c>
      <c r="E227" s="285" t="s">
        <v>250</v>
      </c>
      <c r="F227" s="286">
        <v>1.0</v>
      </c>
      <c r="G227" s="287">
        <v>2.0</v>
      </c>
      <c r="H227" s="288">
        <f t="shared" si="19"/>
        <v>2</v>
      </c>
      <c r="I227" s="285" t="s">
        <v>10</v>
      </c>
      <c r="J227" s="276"/>
      <c r="K227" s="276"/>
      <c r="L227" s="276"/>
      <c r="M227" s="276"/>
      <c r="N227" s="276"/>
      <c r="O227" s="276"/>
      <c r="P227" s="276"/>
      <c r="Q227" s="276"/>
      <c r="R227" s="276"/>
      <c r="S227" s="276"/>
      <c r="T227" s="276"/>
      <c r="U227" s="276"/>
      <c r="V227" s="276"/>
      <c r="W227" s="276"/>
      <c r="X227" s="276"/>
    </row>
    <row r="228" ht="15.75" customHeight="1">
      <c r="A228" s="308">
        <v>46171.0</v>
      </c>
      <c r="B228" s="284">
        <f t="shared" si="1"/>
        <v>29</v>
      </c>
      <c r="C228" s="284">
        <f t="shared" si="2"/>
        <v>5</v>
      </c>
      <c r="D228" s="284">
        <f t="shared" si="3"/>
        <v>2026</v>
      </c>
      <c r="E228" s="312" t="s">
        <v>228</v>
      </c>
      <c r="F228" s="313">
        <v>1.0</v>
      </c>
      <c r="G228" s="314">
        <v>25.0</v>
      </c>
      <c r="H228" s="288">
        <f t="shared" si="19"/>
        <v>25</v>
      </c>
      <c r="I228" s="285" t="s">
        <v>10</v>
      </c>
      <c r="J228" s="276"/>
      <c r="K228" s="276"/>
      <c r="L228" s="276"/>
      <c r="M228" s="276"/>
      <c r="N228" s="276"/>
      <c r="O228" s="276"/>
      <c r="P228" s="276"/>
      <c r="Q228" s="276"/>
      <c r="R228" s="276"/>
      <c r="S228" s="276"/>
      <c r="T228" s="276"/>
      <c r="U228" s="276"/>
      <c r="V228" s="276"/>
      <c r="W228" s="276"/>
      <c r="X228" s="276"/>
    </row>
    <row r="229" ht="15.75" customHeight="1">
      <c r="A229" s="297">
        <v>46179.0</v>
      </c>
      <c r="B229" s="284">
        <f t="shared" si="1"/>
        <v>6</v>
      </c>
      <c r="C229" s="284">
        <f t="shared" si="2"/>
        <v>6</v>
      </c>
      <c r="D229" s="284">
        <f t="shared" si="3"/>
        <v>2026</v>
      </c>
      <c r="E229" s="285" t="s">
        <v>250</v>
      </c>
      <c r="F229" s="35">
        <v>1.0</v>
      </c>
      <c r="G229" s="290">
        <v>2.0</v>
      </c>
      <c r="H229" s="288">
        <f t="shared" si="19"/>
        <v>2</v>
      </c>
      <c r="I229" s="285" t="s">
        <v>10</v>
      </c>
      <c r="J229" s="276"/>
      <c r="K229" s="276"/>
      <c r="L229" s="276"/>
      <c r="M229" s="276"/>
      <c r="N229" s="276"/>
      <c r="O229" s="276"/>
      <c r="P229" s="276"/>
      <c r="Q229" s="276"/>
      <c r="R229" s="276"/>
      <c r="S229" s="276"/>
      <c r="T229" s="276"/>
      <c r="U229" s="276"/>
      <c r="V229" s="276"/>
      <c r="W229" s="276"/>
      <c r="X229" s="276"/>
    </row>
    <row r="230" ht="15.75" customHeight="1">
      <c r="A230" s="297">
        <v>46179.0</v>
      </c>
      <c r="B230" s="284">
        <f t="shared" si="1"/>
        <v>6</v>
      </c>
      <c r="C230" s="284">
        <f t="shared" si="2"/>
        <v>6</v>
      </c>
      <c r="D230" s="284">
        <f t="shared" si="3"/>
        <v>2026</v>
      </c>
      <c r="E230" s="312" t="s">
        <v>228</v>
      </c>
      <c r="F230" s="312">
        <v>1.0</v>
      </c>
      <c r="G230" s="319">
        <v>15.0</v>
      </c>
      <c r="H230" s="288">
        <f t="shared" si="19"/>
        <v>15</v>
      </c>
      <c r="I230" s="285" t="s">
        <v>10</v>
      </c>
      <c r="J230" s="276"/>
      <c r="K230" s="276"/>
      <c r="L230" s="276"/>
      <c r="M230" s="276"/>
      <c r="N230" s="276"/>
      <c r="O230" s="276"/>
      <c r="P230" s="276"/>
      <c r="Q230" s="276"/>
      <c r="R230" s="276"/>
      <c r="S230" s="276"/>
      <c r="T230" s="276"/>
      <c r="U230" s="276"/>
      <c r="V230" s="276"/>
      <c r="W230" s="276"/>
      <c r="X230" s="276"/>
    </row>
    <row r="231" ht="15.75" customHeight="1">
      <c r="A231" s="358">
        <v>46196.0</v>
      </c>
      <c r="B231" s="284">
        <f t="shared" si="1"/>
        <v>23</v>
      </c>
      <c r="C231" s="284">
        <f t="shared" si="2"/>
        <v>6</v>
      </c>
      <c r="D231" s="284">
        <f t="shared" si="3"/>
        <v>2026</v>
      </c>
      <c r="E231" s="285" t="s">
        <v>250</v>
      </c>
      <c r="F231" s="35">
        <v>1.0</v>
      </c>
      <c r="G231" s="290">
        <v>2.0</v>
      </c>
      <c r="H231" s="288">
        <f t="shared" si="19"/>
        <v>2</v>
      </c>
      <c r="I231" s="285" t="s">
        <v>10</v>
      </c>
      <c r="J231" s="276"/>
      <c r="K231" s="276"/>
      <c r="L231" s="276"/>
      <c r="M231" s="276"/>
      <c r="N231" s="276"/>
      <c r="O231" s="276"/>
      <c r="P231" s="276"/>
      <c r="Q231" s="276"/>
      <c r="R231" s="276"/>
      <c r="S231" s="276"/>
      <c r="T231" s="276"/>
      <c r="U231" s="276"/>
      <c r="V231" s="276"/>
      <c r="W231" s="276"/>
      <c r="X231" s="276"/>
    </row>
    <row r="232" ht="15.75" customHeight="1">
      <c r="A232" s="297">
        <f>A231</f>
        <v>46196</v>
      </c>
      <c r="B232" s="284">
        <f t="shared" si="1"/>
        <v>23</v>
      </c>
      <c r="C232" s="284">
        <f t="shared" si="2"/>
        <v>6</v>
      </c>
      <c r="D232" s="284">
        <f t="shared" si="3"/>
        <v>2026</v>
      </c>
      <c r="E232" s="285" t="s">
        <v>250</v>
      </c>
      <c r="F232" s="286">
        <v>6.0</v>
      </c>
      <c r="G232" s="287">
        <v>2.0</v>
      </c>
      <c r="H232" s="288">
        <f t="shared" si="19"/>
        <v>12</v>
      </c>
      <c r="I232" s="285" t="s">
        <v>10</v>
      </c>
      <c r="J232" s="276"/>
      <c r="K232" s="276"/>
      <c r="L232" s="276"/>
      <c r="M232" s="276"/>
      <c r="N232" s="276"/>
      <c r="O232" s="276"/>
      <c r="P232" s="276"/>
      <c r="Q232" s="276"/>
      <c r="R232" s="276"/>
      <c r="S232" s="276"/>
      <c r="T232" s="276"/>
      <c r="U232" s="276"/>
      <c r="V232" s="276"/>
      <c r="W232" s="276"/>
      <c r="X232" s="276"/>
    </row>
    <row r="233" ht="15.75" customHeight="1">
      <c r="A233" s="297">
        <v>46212.0</v>
      </c>
      <c r="B233" s="284">
        <f t="shared" si="1"/>
        <v>9</v>
      </c>
      <c r="C233" s="284">
        <f t="shared" si="2"/>
        <v>7</v>
      </c>
      <c r="D233" s="284">
        <f t="shared" si="3"/>
        <v>2026</v>
      </c>
      <c r="E233" s="285" t="s">
        <v>250</v>
      </c>
      <c r="F233" s="286">
        <v>3.0</v>
      </c>
      <c r="G233" s="287">
        <v>2.0</v>
      </c>
      <c r="H233" s="288">
        <f t="shared" si="19"/>
        <v>6</v>
      </c>
      <c r="I233" s="285" t="s">
        <v>10</v>
      </c>
      <c r="J233" s="276"/>
      <c r="K233" s="276"/>
      <c r="L233" s="276"/>
      <c r="M233" s="276"/>
      <c r="N233" s="276"/>
      <c r="O233" s="276"/>
      <c r="P233" s="276"/>
      <c r="Q233" s="276"/>
      <c r="R233" s="276"/>
      <c r="S233" s="276"/>
      <c r="T233" s="276"/>
      <c r="U233" s="276"/>
      <c r="V233" s="276"/>
      <c r="W233" s="276"/>
      <c r="X233" s="276"/>
    </row>
    <row r="234" ht="15.75" customHeight="1">
      <c r="A234" s="297">
        <v>46212.0</v>
      </c>
      <c r="B234" s="284">
        <f t="shared" si="1"/>
        <v>9</v>
      </c>
      <c r="C234" s="284">
        <f t="shared" si="2"/>
        <v>7</v>
      </c>
      <c r="D234" s="284">
        <f t="shared" si="3"/>
        <v>2026</v>
      </c>
      <c r="E234" s="312" t="s">
        <v>250</v>
      </c>
      <c r="F234" s="312">
        <v>3.0</v>
      </c>
      <c r="G234" s="319">
        <v>2.0</v>
      </c>
      <c r="H234" s="288">
        <f t="shared" si="19"/>
        <v>6</v>
      </c>
      <c r="I234" s="285" t="s">
        <v>10</v>
      </c>
      <c r="J234" s="276"/>
      <c r="K234" s="276"/>
      <c r="L234" s="276"/>
      <c r="M234" s="276"/>
      <c r="N234" s="276"/>
      <c r="O234" s="276"/>
      <c r="P234" s="276"/>
      <c r="Q234" s="276"/>
      <c r="R234" s="276"/>
      <c r="S234" s="276"/>
      <c r="T234" s="276"/>
      <c r="U234" s="276"/>
      <c r="V234" s="276"/>
      <c r="W234" s="276"/>
      <c r="X234" s="276"/>
    </row>
    <row r="235" ht="15.75" customHeight="1">
      <c r="A235" s="297">
        <f t="shared" ref="A235:A251" si="31">A234</f>
        <v>46212</v>
      </c>
      <c r="B235" s="284">
        <f t="shared" si="1"/>
        <v>9</v>
      </c>
      <c r="C235" s="284">
        <f t="shared" si="2"/>
        <v>7</v>
      </c>
      <c r="D235" s="284">
        <f t="shared" si="3"/>
        <v>2026</v>
      </c>
      <c r="E235" s="285"/>
      <c r="F235" s="286"/>
      <c r="G235" s="287"/>
      <c r="H235" s="288"/>
      <c r="I235" s="285"/>
      <c r="J235" s="276"/>
      <c r="K235" s="276"/>
      <c r="L235" s="276"/>
      <c r="M235" s="276"/>
      <c r="N235" s="276"/>
      <c r="O235" s="276"/>
      <c r="P235" s="276"/>
      <c r="Q235" s="276"/>
      <c r="R235" s="276"/>
      <c r="S235" s="276"/>
      <c r="T235" s="276"/>
      <c r="U235" s="276"/>
      <c r="V235" s="276"/>
      <c r="W235" s="276"/>
      <c r="X235" s="276"/>
    </row>
    <row r="236" ht="15.75" customHeight="1">
      <c r="A236" s="297">
        <f t="shared" si="31"/>
        <v>46212</v>
      </c>
      <c r="B236" s="284">
        <f t="shared" si="1"/>
        <v>9</v>
      </c>
      <c r="C236" s="284">
        <f t="shared" si="2"/>
        <v>7</v>
      </c>
      <c r="D236" s="284">
        <f t="shared" si="3"/>
        <v>2026</v>
      </c>
      <c r="E236" s="285"/>
      <c r="F236" s="285"/>
      <c r="G236" s="290"/>
      <c r="H236" s="288"/>
      <c r="I236" s="285"/>
      <c r="J236" s="276"/>
      <c r="K236" s="276"/>
      <c r="L236" s="276"/>
      <c r="M236" s="276"/>
      <c r="N236" s="276"/>
      <c r="O236" s="276"/>
      <c r="P236" s="276"/>
      <c r="Q236" s="276"/>
      <c r="R236" s="276"/>
      <c r="S236" s="276"/>
      <c r="T236" s="276"/>
      <c r="U236" s="276"/>
      <c r="V236" s="276"/>
      <c r="W236" s="276"/>
      <c r="X236" s="276"/>
    </row>
    <row r="237" ht="15.75" customHeight="1">
      <c r="A237" s="297">
        <f t="shared" si="31"/>
        <v>46212</v>
      </c>
      <c r="B237" s="284">
        <f t="shared" si="1"/>
        <v>9</v>
      </c>
      <c r="C237" s="284">
        <f t="shared" si="2"/>
        <v>7</v>
      </c>
      <c r="D237" s="284">
        <f t="shared" si="3"/>
        <v>2026</v>
      </c>
      <c r="E237" s="285"/>
      <c r="F237" s="285"/>
      <c r="G237" s="290"/>
      <c r="H237" s="288"/>
      <c r="I237" s="285"/>
      <c r="J237" s="276"/>
      <c r="K237" s="276"/>
      <c r="L237" s="276"/>
      <c r="M237" s="276"/>
      <c r="N237" s="276"/>
      <c r="O237" s="276"/>
      <c r="P237" s="276"/>
      <c r="Q237" s="276"/>
      <c r="R237" s="276"/>
      <c r="S237" s="276"/>
      <c r="T237" s="276"/>
      <c r="U237" s="276"/>
      <c r="V237" s="276"/>
      <c r="W237" s="276"/>
      <c r="X237" s="276"/>
    </row>
    <row r="238" ht="15.75" customHeight="1">
      <c r="A238" s="297">
        <f t="shared" si="31"/>
        <v>46212</v>
      </c>
      <c r="B238" s="284">
        <f t="shared" si="1"/>
        <v>9</v>
      </c>
      <c r="C238" s="284">
        <f t="shared" si="2"/>
        <v>7</v>
      </c>
      <c r="D238" s="284">
        <f t="shared" si="3"/>
        <v>2026</v>
      </c>
      <c r="E238" s="312"/>
      <c r="F238" s="312"/>
      <c r="G238" s="319"/>
      <c r="H238" s="288"/>
      <c r="I238" s="312"/>
      <c r="J238" s="276"/>
      <c r="K238" s="276"/>
      <c r="L238" s="276"/>
      <c r="M238" s="276"/>
      <c r="N238" s="276"/>
      <c r="O238" s="276"/>
      <c r="P238" s="276"/>
      <c r="Q238" s="276"/>
      <c r="R238" s="276"/>
      <c r="S238" s="276"/>
      <c r="T238" s="276"/>
      <c r="U238" s="276"/>
      <c r="V238" s="276"/>
      <c r="W238" s="276"/>
      <c r="X238" s="276"/>
    </row>
    <row r="239" ht="15.75" customHeight="1">
      <c r="A239" s="297">
        <f t="shared" si="31"/>
        <v>46212</v>
      </c>
      <c r="B239" s="284">
        <f t="shared" si="1"/>
        <v>9</v>
      </c>
      <c r="C239" s="284">
        <f t="shared" si="2"/>
        <v>7</v>
      </c>
      <c r="D239" s="284">
        <f t="shared" si="3"/>
        <v>2026</v>
      </c>
      <c r="E239" s="285"/>
      <c r="F239" s="285"/>
      <c r="G239" s="290"/>
      <c r="H239" s="288"/>
      <c r="I239" s="285"/>
      <c r="J239" s="276"/>
      <c r="K239" s="276"/>
      <c r="L239" s="276"/>
      <c r="M239" s="276"/>
      <c r="N239" s="276"/>
      <c r="O239" s="276"/>
      <c r="P239" s="276"/>
      <c r="Q239" s="276"/>
      <c r="R239" s="276"/>
      <c r="S239" s="276"/>
      <c r="T239" s="276"/>
      <c r="U239" s="276"/>
      <c r="V239" s="276"/>
      <c r="W239" s="276"/>
      <c r="X239" s="276"/>
    </row>
    <row r="240" ht="15.75" customHeight="1">
      <c r="A240" s="297">
        <f t="shared" si="31"/>
        <v>46212</v>
      </c>
      <c r="B240" s="284">
        <f t="shared" si="1"/>
        <v>9</v>
      </c>
      <c r="C240" s="284">
        <f t="shared" si="2"/>
        <v>7</v>
      </c>
      <c r="D240" s="284">
        <f t="shared" si="3"/>
        <v>2026</v>
      </c>
      <c r="E240" s="312"/>
      <c r="F240" s="312"/>
      <c r="G240" s="319"/>
      <c r="H240" s="288"/>
      <c r="I240" s="285"/>
      <c r="J240" s="276"/>
      <c r="K240" s="276"/>
      <c r="L240" s="276"/>
      <c r="M240" s="276"/>
      <c r="N240" s="276"/>
      <c r="O240" s="276"/>
      <c r="P240" s="276"/>
      <c r="Q240" s="276"/>
      <c r="R240" s="276"/>
      <c r="S240" s="276"/>
      <c r="T240" s="276"/>
      <c r="U240" s="276"/>
      <c r="V240" s="276"/>
      <c r="W240" s="276"/>
      <c r="X240" s="276"/>
    </row>
    <row r="241" ht="15.75" customHeight="1">
      <c r="A241" s="297">
        <f t="shared" si="31"/>
        <v>46212</v>
      </c>
      <c r="B241" s="284">
        <f t="shared" si="1"/>
        <v>9</v>
      </c>
      <c r="C241" s="284">
        <f t="shared" si="2"/>
        <v>7</v>
      </c>
      <c r="D241" s="284">
        <f t="shared" si="3"/>
        <v>2026</v>
      </c>
      <c r="E241" s="312"/>
      <c r="F241" s="312"/>
      <c r="G241" s="319"/>
      <c r="H241" s="288"/>
      <c r="I241" s="285"/>
      <c r="J241" s="276"/>
      <c r="K241" s="276"/>
      <c r="L241" s="276"/>
      <c r="M241" s="276"/>
      <c r="N241" s="276"/>
      <c r="O241" s="276"/>
      <c r="P241" s="276"/>
      <c r="Q241" s="276"/>
      <c r="R241" s="276"/>
      <c r="S241" s="276"/>
      <c r="T241" s="276"/>
      <c r="U241" s="276"/>
      <c r="V241" s="276"/>
      <c r="W241" s="276"/>
      <c r="X241" s="276"/>
    </row>
    <row r="242" ht="15.75" customHeight="1">
      <c r="A242" s="297">
        <f t="shared" si="31"/>
        <v>46212</v>
      </c>
      <c r="B242" s="284">
        <f t="shared" si="1"/>
        <v>9</v>
      </c>
      <c r="C242" s="284">
        <f t="shared" si="2"/>
        <v>7</v>
      </c>
      <c r="D242" s="284">
        <f t="shared" si="3"/>
        <v>2026</v>
      </c>
      <c r="E242" s="285"/>
      <c r="F242" s="285"/>
      <c r="G242" s="290"/>
      <c r="H242" s="288"/>
      <c r="I242" s="285"/>
      <c r="J242" s="276"/>
      <c r="K242" s="276"/>
      <c r="L242" s="276"/>
      <c r="M242" s="276"/>
      <c r="N242" s="276"/>
      <c r="O242" s="276"/>
      <c r="P242" s="276"/>
      <c r="Q242" s="276"/>
      <c r="R242" s="276"/>
      <c r="S242" s="276"/>
      <c r="T242" s="276"/>
      <c r="U242" s="276"/>
      <c r="V242" s="276"/>
      <c r="W242" s="276"/>
      <c r="X242" s="276"/>
    </row>
    <row r="243" ht="15.75" customHeight="1">
      <c r="A243" s="297">
        <f t="shared" si="31"/>
        <v>46212</v>
      </c>
      <c r="B243" s="284">
        <f t="shared" si="1"/>
        <v>9</v>
      </c>
      <c r="C243" s="284">
        <f t="shared" si="2"/>
        <v>7</v>
      </c>
      <c r="D243" s="284">
        <f t="shared" si="3"/>
        <v>2026</v>
      </c>
      <c r="E243" s="312"/>
      <c r="F243" s="312"/>
      <c r="G243" s="319"/>
      <c r="H243" s="288"/>
      <c r="I243" s="285"/>
      <c r="J243" s="276"/>
      <c r="K243" s="276"/>
      <c r="L243" s="276"/>
      <c r="M243" s="276"/>
      <c r="N243" s="276"/>
      <c r="O243" s="276"/>
      <c r="P243" s="276"/>
      <c r="Q243" s="276"/>
      <c r="R243" s="276"/>
      <c r="S243" s="276"/>
      <c r="T243" s="276"/>
      <c r="U243" s="276"/>
      <c r="V243" s="276"/>
      <c r="W243" s="276"/>
      <c r="X243" s="276"/>
    </row>
    <row r="244" ht="15.75" customHeight="1">
      <c r="A244" s="297">
        <f t="shared" si="31"/>
        <v>46212</v>
      </c>
      <c r="B244" s="284">
        <f t="shared" si="1"/>
        <v>9</v>
      </c>
      <c r="C244" s="284">
        <f t="shared" si="2"/>
        <v>7</v>
      </c>
      <c r="D244" s="284">
        <f t="shared" si="3"/>
        <v>2026</v>
      </c>
      <c r="E244" s="285"/>
      <c r="F244" s="285"/>
      <c r="G244" s="290"/>
      <c r="H244" s="288"/>
      <c r="I244" s="285"/>
      <c r="J244" s="276"/>
      <c r="K244" s="276"/>
      <c r="L244" s="276"/>
      <c r="M244" s="276"/>
      <c r="N244" s="276"/>
      <c r="O244" s="276"/>
      <c r="P244" s="276"/>
      <c r="Q244" s="276"/>
      <c r="R244" s="276"/>
      <c r="S244" s="276"/>
      <c r="T244" s="276"/>
      <c r="U244" s="276"/>
      <c r="V244" s="276"/>
      <c r="W244" s="276"/>
      <c r="X244" s="276"/>
    </row>
    <row r="245" ht="15.75" customHeight="1">
      <c r="A245" s="297">
        <f t="shared" si="31"/>
        <v>46212</v>
      </c>
      <c r="B245" s="284">
        <f t="shared" si="1"/>
        <v>9</v>
      </c>
      <c r="C245" s="284">
        <f t="shared" si="2"/>
        <v>7</v>
      </c>
      <c r="D245" s="284">
        <f t="shared" si="3"/>
        <v>2026</v>
      </c>
      <c r="E245" s="312"/>
      <c r="F245" s="312"/>
      <c r="G245" s="319"/>
      <c r="H245" s="288"/>
      <c r="I245" s="285"/>
      <c r="J245" s="276"/>
      <c r="K245" s="276"/>
      <c r="L245" s="276"/>
      <c r="M245" s="276"/>
      <c r="N245" s="276"/>
      <c r="O245" s="276"/>
      <c r="P245" s="276"/>
      <c r="Q245" s="276"/>
      <c r="R245" s="276"/>
      <c r="S245" s="276"/>
      <c r="T245" s="276"/>
      <c r="U245" s="276"/>
      <c r="V245" s="276"/>
      <c r="W245" s="276"/>
      <c r="X245" s="276"/>
    </row>
    <row r="246" ht="15.75" customHeight="1">
      <c r="A246" s="297">
        <f t="shared" si="31"/>
        <v>46212</v>
      </c>
      <c r="B246" s="284">
        <f t="shared" si="1"/>
        <v>9</v>
      </c>
      <c r="C246" s="284">
        <f t="shared" si="2"/>
        <v>7</v>
      </c>
      <c r="D246" s="284">
        <f t="shared" si="3"/>
        <v>2026</v>
      </c>
      <c r="E246" s="312"/>
      <c r="F246" s="312"/>
      <c r="G246" s="319"/>
      <c r="H246" s="288"/>
      <c r="I246" s="312"/>
      <c r="J246" s="276"/>
      <c r="K246" s="276"/>
      <c r="L246" s="276"/>
      <c r="M246" s="276"/>
      <c r="N246" s="276"/>
      <c r="O246" s="276"/>
      <c r="P246" s="276"/>
      <c r="Q246" s="276"/>
      <c r="R246" s="276"/>
      <c r="S246" s="276"/>
      <c r="T246" s="276"/>
      <c r="U246" s="276"/>
      <c r="V246" s="276"/>
      <c r="W246" s="276"/>
      <c r="X246" s="276"/>
    </row>
    <row r="247" ht="15.75" customHeight="1">
      <c r="A247" s="297">
        <f t="shared" si="31"/>
        <v>46212</v>
      </c>
      <c r="B247" s="284">
        <f t="shared" si="1"/>
        <v>9</v>
      </c>
      <c r="C247" s="284">
        <f t="shared" si="2"/>
        <v>7</v>
      </c>
      <c r="D247" s="284">
        <f t="shared" si="3"/>
        <v>2026</v>
      </c>
      <c r="E247" s="285"/>
      <c r="F247" s="285"/>
      <c r="G247" s="290"/>
      <c r="H247" s="288"/>
      <c r="I247" s="285"/>
      <c r="J247" s="276"/>
      <c r="K247" s="276"/>
      <c r="L247" s="276"/>
      <c r="M247" s="276"/>
      <c r="N247" s="276"/>
      <c r="O247" s="276"/>
      <c r="P247" s="276"/>
      <c r="Q247" s="276"/>
      <c r="R247" s="276"/>
      <c r="S247" s="276"/>
      <c r="T247" s="276"/>
      <c r="U247" s="276"/>
      <c r="V247" s="276"/>
      <c r="W247" s="276"/>
      <c r="X247" s="276"/>
    </row>
    <row r="248" ht="15.75" customHeight="1">
      <c r="A248" s="297">
        <f t="shared" si="31"/>
        <v>46212</v>
      </c>
      <c r="B248" s="284">
        <f t="shared" si="1"/>
        <v>9</v>
      </c>
      <c r="C248" s="284">
        <f t="shared" si="2"/>
        <v>7</v>
      </c>
      <c r="D248" s="284">
        <f t="shared" si="3"/>
        <v>2026</v>
      </c>
      <c r="E248" s="285"/>
      <c r="F248" s="285"/>
      <c r="G248" s="290"/>
      <c r="H248" s="288"/>
      <c r="I248" s="285"/>
      <c r="J248" s="276"/>
      <c r="K248" s="276"/>
      <c r="L248" s="276"/>
      <c r="M248" s="276"/>
      <c r="N248" s="276"/>
      <c r="O248" s="276"/>
      <c r="P248" s="276"/>
      <c r="Q248" s="276"/>
      <c r="R248" s="276"/>
      <c r="S248" s="276"/>
      <c r="T248" s="276"/>
      <c r="U248" s="276"/>
      <c r="V248" s="276"/>
      <c r="W248" s="276"/>
      <c r="X248" s="276"/>
    </row>
    <row r="249" ht="15.75" customHeight="1">
      <c r="A249" s="297">
        <f t="shared" si="31"/>
        <v>46212</v>
      </c>
      <c r="B249" s="284">
        <f t="shared" si="1"/>
        <v>9</v>
      </c>
      <c r="C249" s="284">
        <f t="shared" si="2"/>
        <v>7</v>
      </c>
      <c r="D249" s="284">
        <f t="shared" si="3"/>
        <v>2026</v>
      </c>
      <c r="E249" s="285"/>
      <c r="F249" s="285"/>
      <c r="G249" s="290"/>
      <c r="H249" s="288"/>
      <c r="I249" s="285"/>
      <c r="J249" s="276"/>
      <c r="K249" s="276"/>
      <c r="L249" s="276"/>
      <c r="M249" s="276"/>
      <c r="N249" s="276"/>
      <c r="O249" s="276"/>
      <c r="P249" s="276"/>
      <c r="Q249" s="276"/>
      <c r="R249" s="276"/>
      <c r="S249" s="276"/>
      <c r="T249" s="276"/>
      <c r="U249" s="276"/>
      <c r="V249" s="276"/>
      <c r="W249" s="276"/>
      <c r="X249" s="276"/>
    </row>
    <row r="250" ht="15.75" customHeight="1">
      <c r="A250" s="297">
        <f t="shared" si="31"/>
        <v>46212</v>
      </c>
      <c r="B250" s="284">
        <f t="shared" si="1"/>
        <v>9</v>
      </c>
      <c r="C250" s="284">
        <f t="shared" si="2"/>
        <v>7</v>
      </c>
      <c r="D250" s="284">
        <f t="shared" si="3"/>
        <v>2026</v>
      </c>
      <c r="E250" s="285"/>
      <c r="F250" s="285"/>
      <c r="G250" s="290"/>
      <c r="H250" s="288"/>
      <c r="I250" s="285"/>
      <c r="J250" s="276"/>
      <c r="K250" s="276"/>
      <c r="L250" s="276"/>
      <c r="M250" s="276"/>
      <c r="N250" s="276"/>
      <c r="O250" s="276"/>
      <c r="P250" s="276"/>
      <c r="Q250" s="276"/>
      <c r="R250" s="276"/>
      <c r="S250" s="276"/>
      <c r="T250" s="276"/>
      <c r="U250" s="276"/>
      <c r="V250" s="276"/>
      <c r="W250" s="276"/>
      <c r="X250" s="276"/>
    </row>
    <row r="251" ht="15.75" customHeight="1">
      <c r="A251" s="297">
        <f t="shared" si="31"/>
        <v>46212</v>
      </c>
      <c r="B251" s="284">
        <f t="shared" si="1"/>
        <v>9</v>
      </c>
      <c r="C251" s="284">
        <f t="shared" si="2"/>
        <v>7</v>
      </c>
      <c r="D251" s="284">
        <f t="shared" si="3"/>
        <v>2026</v>
      </c>
      <c r="E251" s="285"/>
      <c r="F251" s="285"/>
      <c r="G251" s="290"/>
      <c r="H251" s="288"/>
      <c r="I251" s="285"/>
      <c r="J251" s="276"/>
      <c r="K251" s="276"/>
      <c r="L251" s="276"/>
      <c r="M251" s="276"/>
      <c r="N251" s="276"/>
      <c r="O251" s="276"/>
      <c r="P251" s="276"/>
      <c r="Q251" s="276"/>
      <c r="R251" s="276"/>
      <c r="S251" s="276"/>
      <c r="T251" s="276"/>
      <c r="U251" s="276"/>
      <c r="V251" s="276"/>
      <c r="W251" s="276"/>
      <c r="X251" s="276"/>
    </row>
    <row r="252" ht="15.75" customHeight="1">
      <c r="A252" s="289"/>
      <c r="B252" s="284"/>
      <c r="C252" s="284"/>
      <c r="D252" s="284"/>
      <c r="E252" s="285"/>
      <c r="F252" s="285"/>
      <c r="G252" s="290"/>
      <c r="H252" s="288"/>
      <c r="I252" s="285"/>
      <c r="J252" s="276"/>
      <c r="K252" s="276"/>
      <c r="L252" s="276"/>
      <c r="M252" s="276"/>
      <c r="N252" s="276"/>
      <c r="O252" s="276"/>
      <c r="P252" s="276"/>
      <c r="Q252" s="276"/>
      <c r="R252" s="276"/>
      <c r="S252" s="276"/>
      <c r="T252" s="276"/>
      <c r="U252" s="276"/>
      <c r="V252" s="276"/>
      <c r="W252" s="276"/>
      <c r="X252" s="276"/>
    </row>
    <row r="253" ht="15.75" customHeight="1">
      <c r="A253" s="289"/>
      <c r="B253" s="284"/>
      <c r="C253" s="284"/>
      <c r="D253" s="284"/>
      <c r="E253" s="285"/>
      <c r="F253" s="285"/>
      <c r="G253" s="290"/>
      <c r="H253" s="288"/>
      <c r="I253" s="285"/>
      <c r="J253" s="276"/>
      <c r="K253" s="276"/>
      <c r="L253" s="276"/>
      <c r="M253" s="276"/>
      <c r="N253" s="276"/>
      <c r="O253" s="276"/>
      <c r="P253" s="276"/>
      <c r="Q253" s="276"/>
      <c r="R253" s="276"/>
      <c r="S253" s="276"/>
      <c r="T253" s="276"/>
      <c r="U253" s="276"/>
      <c r="V253" s="276"/>
      <c r="W253" s="276"/>
      <c r="X253" s="276"/>
    </row>
    <row r="254" ht="15.75" customHeight="1">
      <c r="A254" s="289"/>
      <c r="B254" s="284"/>
      <c r="C254" s="284"/>
      <c r="D254" s="284"/>
      <c r="E254" s="285"/>
      <c r="F254" s="35"/>
      <c r="G254" s="290"/>
      <c r="H254" s="288"/>
      <c r="I254" s="285"/>
      <c r="J254" s="276"/>
      <c r="K254" s="276"/>
      <c r="L254" s="276"/>
      <c r="M254" s="276"/>
      <c r="N254" s="276"/>
      <c r="O254" s="276"/>
      <c r="P254" s="276"/>
      <c r="Q254" s="276"/>
      <c r="R254" s="276"/>
      <c r="S254" s="276"/>
      <c r="T254" s="276"/>
      <c r="U254" s="276"/>
      <c r="V254" s="276"/>
      <c r="W254" s="276"/>
      <c r="X254" s="276"/>
    </row>
    <row r="255" ht="15.75" customHeight="1">
      <c r="A255" s="289"/>
      <c r="B255" s="284"/>
      <c r="C255" s="284"/>
      <c r="D255" s="284"/>
      <c r="E255" s="285"/>
      <c r="F255" s="35"/>
      <c r="G255" s="290"/>
      <c r="H255" s="288"/>
      <c r="I255" s="285"/>
      <c r="J255" s="276"/>
      <c r="K255" s="276"/>
      <c r="L255" s="276"/>
      <c r="M255" s="276"/>
      <c r="N255" s="276"/>
      <c r="O255" s="276"/>
      <c r="P255" s="276"/>
      <c r="Q255" s="276"/>
      <c r="R255" s="276"/>
      <c r="S255" s="276"/>
      <c r="T255" s="276"/>
      <c r="U255" s="276"/>
      <c r="V255" s="276"/>
      <c r="W255" s="276"/>
      <c r="X255" s="276"/>
    </row>
    <row r="256" ht="15.75" customHeight="1">
      <c r="A256" s="289"/>
      <c r="B256" s="284"/>
      <c r="C256" s="284"/>
      <c r="D256" s="284"/>
      <c r="E256" s="285"/>
      <c r="F256" s="35"/>
      <c r="G256" s="290"/>
      <c r="H256" s="288"/>
      <c r="I256" s="285"/>
      <c r="J256" s="276"/>
      <c r="K256" s="276"/>
      <c r="L256" s="276"/>
      <c r="M256" s="276"/>
      <c r="N256" s="276"/>
      <c r="O256" s="276"/>
      <c r="P256" s="276"/>
      <c r="Q256" s="276"/>
      <c r="R256" s="276"/>
      <c r="S256" s="276"/>
      <c r="T256" s="276"/>
      <c r="U256" s="276"/>
      <c r="V256" s="276"/>
      <c r="W256" s="276"/>
      <c r="X256" s="276"/>
    </row>
    <row r="257" ht="15.75" customHeight="1">
      <c r="A257" s="289"/>
      <c r="B257" s="284"/>
      <c r="C257" s="284"/>
      <c r="D257" s="284"/>
      <c r="E257" s="285"/>
      <c r="F257" s="35"/>
      <c r="G257" s="290"/>
      <c r="H257" s="288"/>
      <c r="I257" s="285"/>
      <c r="J257" s="276"/>
      <c r="K257" s="276"/>
      <c r="L257" s="276"/>
      <c r="M257" s="276"/>
      <c r="N257" s="276"/>
      <c r="O257" s="276"/>
      <c r="P257" s="276"/>
      <c r="Q257" s="276"/>
      <c r="R257" s="276"/>
      <c r="S257" s="276"/>
      <c r="T257" s="276"/>
      <c r="U257" s="276"/>
      <c r="V257" s="276"/>
      <c r="W257" s="276"/>
      <c r="X257" s="276"/>
    </row>
    <row r="258" ht="15.75" customHeight="1">
      <c r="A258" s="289"/>
      <c r="B258" s="284"/>
      <c r="C258" s="284"/>
      <c r="D258" s="284"/>
      <c r="E258" s="285"/>
      <c r="F258" s="35"/>
      <c r="G258" s="290"/>
      <c r="H258" s="288"/>
      <c r="I258" s="285"/>
      <c r="J258" s="276"/>
      <c r="K258" s="276"/>
      <c r="L258" s="276"/>
      <c r="M258" s="276"/>
      <c r="N258" s="276"/>
      <c r="O258" s="276"/>
      <c r="P258" s="276"/>
      <c r="Q258" s="276"/>
      <c r="R258" s="276"/>
      <c r="S258" s="276"/>
      <c r="T258" s="276"/>
      <c r="U258" s="276"/>
      <c r="V258" s="276"/>
      <c r="W258" s="276"/>
      <c r="X258" s="276"/>
    </row>
    <row r="259" ht="15.75" customHeight="1">
      <c r="A259" s="289"/>
      <c r="B259" s="284"/>
      <c r="C259" s="284"/>
      <c r="D259" s="284"/>
      <c r="E259" s="285"/>
      <c r="F259" s="35"/>
      <c r="G259" s="290"/>
      <c r="H259" s="288"/>
      <c r="I259" s="285"/>
      <c r="J259" s="276"/>
      <c r="K259" s="276"/>
      <c r="L259" s="276"/>
      <c r="M259" s="276"/>
      <c r="N259" s="276"/>
      <c r="O259" s="276"/>
      <c r="P259" s="276"/>
      <c r="Q259" s="276"/>
      <c r="R259" s="276"/>
      <c r="S259" s="276"/>
      <c r="T259" s="276"/>
      <c r="U259" s="276"/>
      <c r="V259" s="276"/>
      <c r="W259" s="276"/>
      <c r="X259" s="276"/>
    </row>
    <row r="260" ht="15.75" customHeight="1">
      <c r="A260" s="289"/>
      <c r="B260" s="284"/>
      <c r="C260" s="284"/>
      <c r="D260" s="284"/>
      <c r="E260" s="285"/>
      <c r="F260" s="35"/>
      <c r="G260" s="290"/>
      <c r="H260" s="360"/>
      <c r="I260" s="285"/>
      <c r="J260" s="276"/>
      <c r="K260" s="276"/>
      <c r="L260" s="276"/>
      <c r="M260" s="276"/>
      <c r="N260" s="276"/>
      <c r="O260" s="276"/>
      <c r="P260" s="276"/>
      <c r="Q260" s="276"/>
      <c r="R260" s="276"/>
      <c r="S260" s="276"/>
      <c r="T260" s="276"/>
      <c r="U260" s="276"/>
      <c r="V260" s="276"/>
      <c r="W260" s="276"/>
      <c r="X260" s="276"/>
    </row>
    <row r="261" ht="15.75" customHeight="1">
      <c r="A261" s="289"/>
      <c r="B261" s="284"/>
      <c r="C261" s="284"/>
      <c r="D261" s="284"/>
      <c r="E261" s="285"/>
      <c r="F261" s="35"/>
      <c r="G261" s="290"/>
      <c r="H261" s="360"/>
      <c r="I261" s="285"/>
      <c r="J261" s="276"/>
      <c r="K261" s="276"/>
      <c r="L261" s="276"/>
      <c r="M261" s="276"/>
      <c r="N261" s="276"/>
      <c r="O261" s="276"/>
      <c r="P261" s="276"/>
      <c r="Q261" s="276"/>
      <c r="R261" s="276"/>
      <c r="S261" s="276"/>
      <c r="T261" s="276"/>
      <c r="U261" s="276"/>
      <c r="V261" s="276"/>
      <c r="W261" s="276"/>
      <c r="X261" s="276"/>
    </row>
    <row r="262" ht="15.75" customHeight="1">
      <c r="A262" s="289"/>
      <c r="B262" s="284"/>
      <c r="C262" s="284"/>
      <c r="D262" s="284"/>
      <c r="E262" s="285"/>
      <c r="F262" s="35"/>
      <c r="G262" s="290"/>
      <c r="H262" s="360"/>
      <c r="I262" s="285"/>
      <c r="J262" s="276"/>
      <c r="K262" s="276"/>
      <c r="L262" s="276"/>
      <c r="M262" s="276"/>
      <c r="N262" s="276"/>
      <c r="O262" s="276"/>
      <c r="P262" s="276"/>
      <c r="Q262" s="276"/>
      <c r="R262" s="276"/>
      <c r="S262" s="276"/>
      <c r="T262" s="276"/>
      <c r="U262" s="276"/>
      <c r="V262" s="276"/>
      <c r="W262" s="276"/>
      <c r="X262" s="276"/>
    </row>
    <row r="263" ht="15.75" customHeight="1">
      <c r="A263" s="289"/>
      <c r="B263" s="284"/>
      <c r="C263" s="284"/>
      <c r="D263" s="284"/>
      <c r="E263" s="285"/>
      <c r="F263" s="35"/>
      <c r="G263" s="290"/>
      <c r="H263" s="360"/>
      <c r="I263" s="285"/>
      <c r="J263" s="276"/>
      <c r="K263" s="276"/>
      <c r="L263" s="276"/>
      <c r="M263" s="276"/>
      <c r="N263" s="276"/>
      <c r="O263" s="276"/>
      <c r="P263" s="276"/>
      <c r="Q263" s="276"/>
      <c r="R263" s="276"/>
      <c r="S263" s="276"/>
      <c r="T263" s="276"/>
      <c r="U263" s="276"/>
      <c r="V263" s="276"/>
      <c r="W263" s="276"/>
      <c r="X263" s="276"/>
    </row>
    <row r="264" ht="15.75" customHeight="1">
      <c r="A264" s="289"/>
      <c r="B264" s="284"/>
      <c r="C264" s="284"/>
      <c r="D264" s="284"/>
      <c r="E264" s="285"/>
      <c r="F264" s="35"/>
      <c r="G264" s="290"/>
      <c r="H264" s="360"/>
      <c r="I264" s="285"/>
      <c r="J264" s="276"/>
      <c r="K264" s="276"/>
      <c r="L264" s="276"/>
      <c r="M264" s="276"/>
      <c r="N264" s="276"/>
      <c r="O264" s="276"/>
      <c r="P264" s="276"/>
      <c r="Q264" s="276"/>
      <c r="R264" s="276"/>
      <c r="S264" s="276"/>
      <c r="T264" s="276"/>
      <c r="U264" s="276"/>
      <c r="V264" s="276"/>
      <c r="W264" s="276"/>
      <c r="X264" s="276"/>
    </row>
    <row r="265" ht="15.75" customHeight="1">
      <c r="A265" s="297"/>
      <c r="B265" s="284"/>
      <c r="C265" s="284"/>
      <c r="D265" s="284"/>
      <c r="E265" s="285"/>
      <c r="F265" s="35"/>
      <c r="G265" s="290"/>
      <c r="H265" s="360"/>
      <c r="I265" s="285"/>
      <c r="J265" s="276"/>
      <c r="K265" s="276"/>
      <c r="L265" s="276"/>
      <c r="M265" s="276"/>
      <c r="N265" s="276"/>
      <c r="O265" s="276"/>
      <c r="P265" s="276"/>
      <c r="Q265" s="276"/>
      <c r="R265" s="276"/>
      <c r="S265" s="276"/>
      <c r="T265" s="276"/>
      <c r="U265" s="276"/>
      <c r="V265" s="276"/>
      <c r="W265" s="276"/>
      <c r="X265" s="276"/>
    </row>
    <row r="266" ht="15.75" customHeight="1">
      <c r="A266" s="289"/>
      <c r="B266" s="284"/>
      <c r="C266" s="284"/>
      <c r="D266" s="284"/>
      <c r="E266" s="285"/>
      <c r="F266" s="35"/>
      <c r="G266" s="290"/>
      <c r="H266" s="360"/>
      <c r="I266" s="285"/>
      <c r="J266" s="276"/>
      <c r="K266" s="276"/>
      <c r="L266" s="276"/>
      <c r="M266" s="276"/>
      <c r="N266" s="276"/>
      <c r="O266" s="276"/>
      <c r="P266" s="276"/>
      <c r="Q266" s="276"/>
      <c r="R266" s="276"/>
      <c r="S266" s="276"/>
      <c r="T266" s="276"/>
      <c r="U266" s="276"/>
      <c r="V266" s="276"/>
      <c r="W266" s="276"/>
      <c r="X266" s="276"/>
    </row>
    <row r="267" ht="15.75" customHeight="1">
      <c r="A267" s="289"/>
      <c r="B267" s="284"/>
      <c r="C267" s="284"/>
      <c r="D267" s="284"/>
      <c r="E267" s="285"/>
      <c r="F267" s="35"/>
      <c r="G267" s="290"/>
      <c r="H267" s="360"/>
      <c r="I267" s="285"/>
      <c r="J267" s="276"/>
      <c r="K267" s="276"/>
      <c r="L267" s="276"/>
      <c r="M267" s="276"/>
      <c r="N267" s="276"/>
      <c r="O267" s="276"/>
      <c r="P267" s="276"/>
      <c r="Q267" s="276"/>
      <c r="R267" s="276"/>
      <c r="S267" s="276"/>
      <c r="T267" s="276"/>
      <c r="U267" s="276"/>
      <c r="V267" s="276"/>
      <c r="W267" s="276"/>
      <c r="X267" s="276"/>
    </row>
    <row r="268" ht="15.75" customHeight="1">
      <c r="A268" s="289"/>
      <c r="B268" s="284"/>
      <c r="C268" s="284"/>
      <c r="D268" s="284"/>
      <c r="E268" s="285"/>
      <c r="F268" s="35"/>
      <c r="G268" s="290"/>
      <c r="H268" s="360"/>
      <c r="I268" s="285"/>
      <c r="J268" s="276"/>
      <c r="K268" s="276"/>
      <c r="L268" s="276"/>
      <c r="M268" s="276"/>
      <c r="N268" s="276"/>
      <c r="O268" s="276"/>
      <c r="P268" s="276"/>
      <c r="Q268" s="276"/>
      <c r="R268" s="276"/>
      <c r="S268" s="276"/>
      <c r="T268" s="276"/>
      <c r="U268" s="276"/>
      <c r="V268" s="276"/>
      <c r="W268" s="276"/>
      <c r="X268" s="276"/>
    </row>
    <row r="269" ht="15.75" customHeight="1">
      <c r="A269" s="289"/>
      <c r="B269" s="284"/>
      <c r="C269" s="284"/>
      <c r="D269" s="284"/>
      <c r="E269" s="285"/>
      <c r="F269" s="35"/>
      <c r="G269" s="290"/>
      <c r="H269" s="360"/>
      <c r="I269" s="285"/>
      <c r="J269" s="276"/>
      <c r="K269" s="276"/>
      <c r="L269" s="276"/>
      <c r="M269" s="276"/>
      <c r="N269" s="276"/>
      <c r="O269" s="276"/>
      <c r="P269" s="276"/>
      <c r="Q269" s="276"/>
      <c r="R269" s="276"/>
      <c r="S269" s="276"/>
      <c r="T269" s="276"/>
      <c r="U269" s="276"/>
      <c r="V269" s="276"/>
      <c r="W269" s="276"/>
      <c r="X269" s="276"/>
    </row>
    <row r="270" ht="15.75" customHeight="1">
      <c r="A270" s="289"/>
      <c r="B270" s="284"/>
      <c r="C270" s="284"/>
      <c r="D270" s="284"/>
      <c r="E270" s="285"/>
      <c r="F270" s="35"/>
      <c r="G270" s="290"/>
      <c r="H270" s="360"/>
      <c r="I270" s="285"/>
      <c r="J270" s="276"/>
      <c r="K270" s="276"/>
      <c r="L270" s="276"/>
      <c r="M270" s="276"/>
      <c r="N270" s="276"/>
      <c r="O270" s="276"/>
      <c r="P270" s="276"/>
      <c r="Q270" s="276"/>
      <c r="R270" s="276"/>
      <c r="S270" s="276"/>
      <c r="T270" s="276"/>
      <c r="U270" s="276"/>
      <c r="V270" s="276"/>
      <c r="W270" s="276"/>
      <c r="X270" s="276"/>
    </row>
    <row r="271" ht="15.75" customHeight="1">
      <c r="A271" s="289"/>
      <c r="B271" s="284"/>
      <c r="C271" s="284"/>
      <c r="D271" s="284"/>
      <c r="E271" s="285"/>
      <c r="F271" s="35"/>
      <c r="G271" s="290"/>
      <c r="H271" s="360"/>
      <c r="I271" s="285"/>
      <c r="J271" s="276"/>
      <c r="K271" s="276"/>
      <c r="L271" s="276"/>
      <c r="M271" s="276"/>
      <c r="N271" s="276"/>
      <c r="O271" s="276"/>
      <c r="P271" s="276"/>
      <c r="Q271" s="276"/>
      <c r="R271" s="276"/>
      <c r="S271" s="276"/>
      <c r="T271" s="276"/>
      <c r="U271" s="276"/>
      <c r="V271" s="276"/>
      <c r="W271" s="276"/>
      <c r="X271" s="276"/>
    </row>
    <row r="272" ht="15.75" customHeight="1">
      <c r="A272" s="289"/>
      <c r="B272" s="284"/>
      <c r="C272" s="284"/>
      <c r="D272" s="284"/>
      <c r="E272" s="285"/>
      <c r="F272" s="35"/>
      <c r="G272" s="290"/>
      <c r="H272" s="360"/>
      <c r="I272" s="285"/>
      <c r="J272" s="276"/>
      <c r="K272" s="276"/>
      <c r="L272" s="276"/>
      <c r="M272" s="276"/>
      <c r="N272" s="276"/>
      <c r="O272" s="276"/>
      <c r="P272" s="276"/>
      <c r="Q272" s="276"/>
      <c r="R272" s="276"/>
      <c r="S272" s="276"/>
      <c r="T272" s="276"/>
      <c r="U272" s="276"/>
      <c r="V272" s="276"/>
      <c r="W272" s="276"/>
      <c r="X272" s="276"/>
    </row>
    <row r="273" ht="15.75" customHeight="1">
      <c r="A273" s="289"/>
      <c r="B273" s="284"/>
      <c r="C273" s="284"/>
      <c r="D273" s="284"/>
      <c r="E273" s="285"/>
      <c r="F273" s="35"/>
      <c r="G273" s="290"/>
      <c r="H273" s="360"/>
      <c r="I273" s="285"/>
      <c r="J273" s="276"/>
      <c r="K273" s="276"/>
      <c r="L273" s="276"/>
      <c r="M273" s="276"/>
      <c r="N273" s="276"/>
      <c r="O273" s="276"/>
      <c r="P273" s="276"/>
      <c r="Q273" s="276"/>
      <c r="R273" s="276"/>
      <c r="S273" s="276"/>
      <c r="T273" s="276"/>
      <c r="U273" s="276"/>
      <c r="V273" s="276"/>
      <c r="W273" s="276"/>
      <c r="X273" s="276"/>
    </row>
    <row r="274" ht="15.75" customHeight="1">
      <c r="A274" s="289"/>
      <c r="B274" s="284"/>
      <c r="C274" s="284"/>
      <c r="D274" s="284"/>
      <c r="E274" s="285"/>
      <c r="F274" s="35"/>
      <c r="G274" s="290"/>
      <c r="H274" s="360"/>
      <c r="I274" s="285"/>
      <c r="J274" s="276"/>
      <c r="K274" s="276"/>
      <c r="L274" s="276"/>
      <c r="M274" s="276"/>
      <c r="N274" s="276"/>
      <c r="O274" s="276"/>
      <c r="P274" s="276"/>
      <c r="Q274" s="276"/>
      <c r="R274" s="276"/>
      <c r="S274" s="276"/>
      <c r="T274" s="276"/>
      <c r="U274" s="276"/>
      <c r="V274" s="276"/>
      <c r="W274" s="276"/>
      <c r="X274" s="276"/>
    </row>
    <row r="275" ht="15.75" customHeight="1">
      <c r="A275" s="297"/>
      <c r="B275" s="284"/>
      <c r="C275" s="284"/>
      <c r="D275" s="284"/>
      <c r="E275" s="285"/>
      <c r="F275" s="285"/>
      <c r="G275" s="290"/>
      <c r="H275" s="288"/>
      <c r="I275" s="285"/>
      <c r="J275" s="276"/>
      <c r="K275" s="276"/>
      <c r="L275" s="276"/>
      <c r="M275" s="276"/>
      <c r="N275" s="276"/>
      <c r="O275" s="276"/>
      <c r="P275" s="276"/>
      <c r="Q275" s="276"/>
      <c r="R275" s="276"/>
      <c r="S275" s="276"/>
      <c r="T275" s="276"/>
      <c r="U275" s="276"/>
      <c r="V275" s="276"/>
      <c r="W275" s="276"/>
      <c r="X275" s="276"/>
    </row>
    <row r="276" ht="15.75" customHeight="1">
      <c r="A276" s="289"/>
      <c r="B276" s="284"/>
      <c r="C276" s="284"/>
      <c r="D276" s="284"/>
      <c r="E276" s="285"/>
      <c r="F276" s="286"/>
      <c r="G276" s="287"/>
      <c r="H276" s="288"/>
      <c r="I276" s="285"/>
      <c r="J276" s="276"/>
      <c r="K276" s="276"/>
      <c r="L276" s="276"/>
      <c r="M276" s="276"/>
      <c r="N276" s="276"/>
      <c r="O276" s="276"/>
      <c r="P276" s="276"/>
      <c r="Q276" s="276"/>
      <c r="R276" s="276"/>
      <c r="S276" s="276"/>
      <c r="T276" s="276"/>
      <c r="U276" s="276"/>
      <c r="V276" s="276"/>
      <c r="W276" s="276"/>
      <c r="X276" s="276"/>
    </row>
    <row r="277" ht="15.75" customHeight="1">
      <c r="A277" s="297"/>
      <c r="B277" s="284"/>
      <c r="C277" s="284"/>
      <c r="D277" s="284"/>
      <c r="E277" s="285"/>
      <c r="F277" s="285"/>
      <c r="G277" s="290"/>
      <c r="H277" s="288"/>
      <c r="I277" s="285"/>
      <c r="J277" s="276"/>
      <c r="K277" s="276"/>
      <c r="L277" s="276"/>
      <c r="M277" s="276"/>
      <c r="N277" s="276"/>
      <c r="O277" s="276"/>
      <c r="P277" s="276"/>
      <c r="Q277" s="276"/>
      <c r="R277" s="276"/>
      <c r="S277" s="276"/>
      <c r="T277" s="276"/>
      <c r="U277" s="276"/>
      <c r="V277" s="276"/>
      <c r="W277" s="276"/>
      <c r="X277" s="276"/>
    </row>
    <row r="278" ht="15.75" customHeight="1">
      <c r="A278" s="289"/>
      <c r="B278" s="284"/>
      <c r="C278" s="284"/>
      <c r="D278" s="284"/>
      <c r="E278" s="285"/>
      <c r="F278" s="35"/>
      <c r="G278" s="290"/>
      <c r="H278" s="360"/>
      <c r="I278" s="285"/>
      <c r="J278" s="276"/>
      <c r="K278" s="276"/>
      <c r="L278" s="276"/>
      <c r="M278" s="276"/>
      <c r="N278" s="276"/>
      <c r="O278" s="276"/>
      <c r="P278" s="276"/>
      <c r="Q278" s="276"/>
      <c r="R278" s="276"/>
      <c r="S278" s="276"/>
      <c r="T278" s="276"/>
      <c r="U278" s="276"/>
      <c r="V278" s="276"/>
      <c r="W278" s="276"/>
      <c r="X278" s="276"/>
    </row>
    <row r="279" ht="15.75" customHeight="1">
      <c r="A279" s="289"/>
      <c r="B279" s="284"/>
      <c r="C279" s="284"/>
      <c r="D279" s="284"/>
      <c r="E279" s="285"/>
      <c r="F279" s="285"/>
      <c r="G279" s="290"/>
      <c r="H279" s="288"/>
      <c r="I279" s="285"/>
      <c r="J279" s="276"/>
      <c r="K279" s="276"/>
      <c r="L279" s="276"/>
      <c r="M279" s="276"/>
      <c r="N279" s="276"/>
      <c r="O279" s="276"/>
      <c r="P279" s="276"/>
      <c r="Q279" s="276"/>
      <c r="R279" s="276"/>
      <c r="S279" s="276"/>
      <c r="T279" s="276"/>
      <c r="U279" s="276"/>
      <c r="V279" s="276"/>
      <c r="W279" s="276"/>
      <c r="X279" s="276"/>
    </row>
    <row r="280" ht="15.75" customHeight="1">
      <c r="A280" s="297"/>
      <c r="B280" s="284"/>
      <c r="C280" s="284"/>
      <c r="D280" s="284"/>
      <c r="E280" s="285"/>
      <c r="F280" s="286"/>
      <c r="G280" s="287"/>
      <c r="H280" s="288"/>
      <c r="I280" s="285"/>
      <c r="J280" s="276"/>
      <c r="K280" s="276"/>
      <c r="L280" s="276"/>
      <c r="M280" s="276"/>
      <c r="N280" s="276"/>
      <c r="O280" s="276"/>
      <c r="P280" s="276"/>
      <c r="Q280" s="276"/>
      <c r="R280" s="276"/>
      <c r="S280" s="276"/>
      <c r="T280" s="276"/>
      <c r="U280" s="276"/>
      <c r="V280" s="276"/>
      <c r="W280" s="276"/>
      <c r="X280" s="276"/>
    </row>
    <row r="281" ht="15.75" customHeight="1">
      <c r="A281" s="297"/>
      <c r="B281" s="286"/>
      <c r="C281" s="286"/>
      <c r="D281" s="284"/>
      <c r="E281" s="285"/>
      <c r="F281" s="35"/>
      <c r="G281" s="290"/>
      <c r="H281" s="360"/>
      <c r="I281" s="285"/>
      <c r="J281" s="276"/>
      <c r="K281" s="276"/>
      <c r="L281" s="276"/>
      <c r="M281" s="276"/>
      <c r="N281" s="276"/>
      <c r="O281" s="276"/>
      <c r="P281" s="276"/>
      <c r="Q281" s="276"/>
      <c r="R281" s="276"/>
      <c r="S281" s="276"/>
      <c r="T281" s="276"/>
      <c r="U281" s="276"/>
      <c r="V281" s="276"/>
      <c r="W281" s="276"/>
      <c r="X281" s="276"/>
    </row>
    <row r="282" ht="15.75" customHeight="1">
      <c r="A282" s="289"/>
      <c r="B282" s="286"/>
      <c r="C282" s="286"/>
      <c r="D282" s="284"/>
      <c r="E282" s="285"/>
      <c r="F282" s="35"/>
      <c r="G282" s="290"/>
      <c r="H282" s="360"/>
      <c r="I282" s="285"/>
      <c r="J282" s="276"/>
      <c r="K282" s="276"/>
      <c r="L282" s="276"/>
      <c r="M282" s="276"/>
      <c r="N282" s="276"/>
      <c r="O282" s="276"/>
      <c r="P282" s="276"/>
      <c r="Q282" s="276"/>
      <c r="R282" s="276"/>
      <c r="S282" s="276"/>
      <c r="T282" s="276"/>
      <c r="U282" s="276"/>
      <c r="V282" s="276"/>
      <c r="W282" s="276"/>
      <c r="X282" s="276"/>
    </row>
    <row r="283" ht="15.75" customHeight="1">
      <c r="A283" s="297"/>
      <c r="B283" s="284"/>
      <c r="C283" s="284"/>
      <c r="D283" s="284"/>
      <c r="E283" s="312"/>
      <c r="F283" s="312"/>
      <c r="G283" s="319"/>
      <c r="H283" s="288"/>
      <c r="I283" s="285"/>
      <c r="J283" s="276"/>
      <c r="K283" s="276"/>
      <c r="L283" s="276"/>
      <c r="M283" s="276"/>
      <c r="N283" s="276"/>
      <c r="O283" s="276"/>
      <c r="P283" s="276"/>
      <c r="Q283" s="276"/>
      <c r="R283" s="276"/>
      <c r="S283" s="276"/>
      <c r="T283" s="276"/>
      <c r="U283" s="276"/>
      <c r="V283" s="276"/>
      <c r="W283" s="276"/>
      <c r="X283" s="276"/>
    </row>
    <row r="284" ht="15.75" customHeight="1">
      <c r="A284" s="297"/>
      <c r="B284" s="284"/>
      <c r="C284" s="284"/>
      <c r="D284" s="284"/>
      <c r="E284" s="285"/>
      <c r="F284" s="285"/>
      <c r="G284" s="290"/>
      <c r="H284" s="288"/>
      <c r="I284" s="285"/>
      <c r="J284" s="276"/>
      <c r="K284" s="276"/>
      <c r="L284" s="276"/>
      <c r="M284" s="276"/>
      <c r="N284" s="276"/>
      <c r="O284" s="276"/>
      <c r="P284" s="276"/>
      <c r="Q284" s="276"/>
      <c r="R284" s="276"/>
      <c r="S284" s="276"/>
      <c r="T284" s="276"/>
      <c r="U284" s="276"/>
      <c r="V284" s="276"/>
      <c r="W284" s="276"/>
      <c r="X284" s="276"/>
    </row>
    <row r="285" ht="15.75" customHeight="1">
      <c r="A285" s="297"/>
      <c r="B285" s="284"/>
      <c r="C285" s="284"/>
      <c r="D285" s="284"/>
      <c r="E285" s="285"/>
      <c r="F285" s="285"/>
      <c r="G285" s="290"/>
      <c r="H285" s="288"/>
      <c r="I285" s="285"/>
      <c r="J285" s="276"/>
      <c r="K285" s="276"/>
      <c r="L285" s="276"/>
      <c r="M285" s="276"/>
      <c r="N285" s="276"/>
      <c r="O285" s="276"/>
      <c r="P285" s="276"/>
      <c r="Q285" s="276"/>
      <c r="R285" s="276"/>
      <c r="S285" s="276"/>
      <c r="T285" s="276"/>
      <c r="U285" s="276"/>
      <c r="V285" s="276"/>
      <c r="W285" s="276"/>
      <c r="X285" s="276"/>
    </row>
    <row r="286" ht="15.75" customHeight="1">
      <c r="A286" s="297"/>
      <c r="B286" s="284"/>
      <c r="C286" s="284"/>
      <c r="D286" s="284"/>
      <c r="E286" s="285"/>
      <c r="F286" s="286"/>
      <c r="G286" s="287"/>
      <c r="H286" s="288"/>
      <c r="I286" s="285"/>
      <c r="J286" s="276"/>
      <c r="K286" s="276"/>
      <c r="L286" s="276"/>
      <c r="M286" s="276"/>
      <c r="N286" s="276"/>
      <c r="O286" s="276"/>
      <c r="P286" s="276"/>
      <c r="Q286" s="276"/>
      <c r="R286" s="276"/>
      <c r="S286" s="276"/>
      <c r="T286" s="276"/>
      <c r="U286" s="276"/>
      <c r="V286" s="276"/>
      <c r="W286" s="276"/>
      <c r="X286" s="276"/>
    </row>
    <row r="287" ht="15.75" customHeight="1">
      <c r="A287" s="297"/>
      <c r="B287" s="284"/>
      <c r="C287" s="284"/>
      <c r="D287" s="284"/>
      <c r="E287" s="285"/>
      <c r="F287" s="35"/>
      <c r="G287" s="290"/>
      <c r="H287" s="360"/>
      <c r="I287" s="285"/>
      <c r="J287" s="276"/>
      <c r="K287" s="276"/>
      <c r="L287" s="276"/>
      <c r="M287" s="276"/>
      <c r="N287" s="276"/>
      <c r="O287" s="276"/>
      <c r="P287" s="276"/>
      <c r="Q287" s="276"/>
      <c r="R287" s="276"/>
      <c r="S287" s="276"/>
      <c r="T287" s="276"/>
      <c r="U287" s="276"/>
      <c r="V287" s="276"/>
      <c r="W287" s="276"/>
      <c r="X287" s="276"/>
    </row>
    <row r="288" ht="15.75" customHeight="1">
      <c r="A288" s="297"/>
      <c r="B288" s="284"/>
      <c r="C288" s="284"/>
      <c r="D288" s="284"/>
      <c r="E288" s="285"/>
      <c r="F288" s="286"/>
      <c r="G288" s="287"/>
      <c r="H288" s="288"/>
      <c r="I288" s="285"/>
      <c r="J288" s="276"/>
      <c r="K288" s="276"/>
      <c r="L288" s="276"/>
      <c r="M288" s="276"/>
      <c r="N288" s="276"/>
      <c r="O288" s="276"/>
      <c r="P288" s="276"/>
      <c r="Q288" s="276"/>
      <c r="R288" s="276"/>
      <c r="S288" s="276"/>
      <c r="T288" s="276"/>
      <c r="U288" s="276"/>
      <c r="V288" s="276"/>
      <c r="W288" s="276"/>
      <c r="X288" s="276"/>
    </row>
    <row r="289" ht="15.75" customHeight="1">
      <c r="A289" s="297"/>
      <c r="B289" s="284"/>
      <c r="C289" s="284"/>
      <c r="D289" s="284"/>
      <c r="E289" s="285"/>
      <c r="F289" s="286"/>
      <c r="G289" s="287"/>
      <c r="H289" s="288"/>
      <c r="I289" s="285"/>
      <c r="J289" s="276"/>
      <c r="K289" s="276"/>
      <c r="L289" s="276"/>
      <c r="M289" s="276"/>
      <c r="N289" s="276"/>
      <c r="O289" s="276"/>
      <c r="P289" s="276"/>
      <c r="Q289" s="276"/>
      <c r="R289" s="276"/>
      <c r="S289" s="276"/>
      <c r="T289" s="276"/>
      <c r="U289" s="276"/>
      <c r="V289" s="276"/>
      <c r="W289" s="276"/>
      <c r="X289" s="276"/>
    </row>
    <row r="290" ht="15.75" customHeight="1">
      <c r="A290" s="297"/>
      <c r="B290" s="284"/>
      <c r="C290" s="284"/>
      <c r="D290" s="284"/>
      <c r="E290" s="312"/>
      <c r="F290" s="312"/>
      <c r="G290" s="319"/>
      <c r="H290" s="288"/>
      <c r="I290" s="285"/>
      <c r="J290" s="276"/>
      <c r="K290" s="276"/>
      <c r="L290" s="276"/>
      <c r="M290" s="276"/>
      <c r="N290" s="276"/>
      <c r="O290" s="276"/>
      <c r="P290" s="276"/>
      <c r="Q290" s="276"/>
      <c r="R290" s="276"/>
      <c r="S290" s="276"/>
      <c r="T290" s="276"/>
      <c r="U290" s="276"/>
      <c r="V290" s="276"/>
      <c r="W290" s="276"/>
      <c r="X290" s="276"/>
    </row>
    <row r="291" ht="15.75" customHeight="1">
      <c r="A291" s="297"/>
      <c r="B291" s="284"/>
      <c r="C291" s="284"/>
      <c r="D291" s="284"/>
      <c r="E291" s="285"/>
      <c r="F291" s="35"/>
      <c r="G291" s="290"/>
      <c r="H291" s="288"/>
      <c r="I291" s="285"/>
      <c r="J291" s="276"/>
      <c r="K291" s="276"/>
      <c r="L291" s="276"/>
      <c r="M291" s="276"/>
      <c r="N291" s="276"/>
      <c r="O291" s="276"/>
      <c r="P291" s="276"/>
      <c r="Q291" s="276"/>
      <c r="R291" s="276"/>
      <c r="S291" s="276"/>
      <c r="T291" s="276"/>
      <c r="U291" s="276"/>
      <c r="V291" s="276"/>
      <c r="W291" s="276"/>
      <c r="X291" s="276"/>
    </row>
    <row r="292" ht="15.75" customHeight="1">
      <c r="A292" s="297"/>
      <c r="B292" s="284"/>
      <c r="C292" s="284"/>
      <c r="D292" s="284"/>
      <c r="E292" s="285"/>
      <c r="F292" s="35"/>
      <c r="G292" s="290"/>
      <c r="H292" s="288"/>
      <c r="I292" s="285"/>
      <c r="J292" s="276"/>
      <c r="K292" s="276"/>
      <c r="L292" s="276"/>
      <c r="M292" s="276"/>
      <c r="N292" s="276"/>
      <c r="O292" s="276"/>
      <c r="P292" s="276"/>
      <c r="Q292" s="276"/>
      <c r="R292" s="276"/>
      <c r="S292" s="276"/>
      <c r="T292" s="276"/>
      <c r="U292" s="276"/>
      <c r="V292" s="276"/>
      <c r="W292" s="276"/>
      <c r="X292" s="276"/>
    </row>
    <row r="293" ht="15.75" customHeight="1">
      <c r="A293" s="297"/>
      <c r="B293" s="284"/>
      <c r="C293" s="284"/>
      <c r="D293" s="284"/>
      <c r="E293" s="285"/>
      <c r="F293" s="285"/>
      <c r="G293" s="290"/>
      <c r="H293" s="288"/>
      <c r="I293" s="285"/>
      <c r="J293" s="276"/>
      <c r="K293" s="276"/>
      <c r="L293" s="276"/>
      <c r="M293" s="276"/>
      <c r="N293" s="276"/>
      <c r="O293" s="276"/>
      <c r="P293" s="276"/>
      <c r="Q293" s="276"/>
      <c r="R293" s="276"/>
      <c r="S293" s="276"/>
      <c r="T293" s="276"/>
      <c r="U293" s="276"/>
      <c r="V293" s="276"/>
      <c r="W293" s="276"/>
      <c r="X293" s="276"/>
    </row>
    <row r="294" ht="15.75" customHeight="1">
      <c r="A294" s="297"/>
      <c r="B294" s="284"/>
      <c r="C294" s="284"/>
      <c r="D294" s="284"/>
      <c r="E294" s="285"/>
      <c r="F294" s="35"/>
      <c r="G294" s="290"/>
      <c r="H294" s="288"/>
      <c r="I294" s="285"/>
      <c r="J294" s="276"/>
      <c r="K294" s="276"/>
      <c r="L294" s="276"/>
      <c r="M294" s="276"/>
      <c r="N294" s="276"/>
      <c r="O294" s="276"/>
      <c r="P294" s="276"/>
      <c r="Q294" s="276"/>
      <c r="R294" s="276"/>
      <c r="S294" s="276"/>
      <c r="T294" s="276"/>
      <c r="U294" s="276"/>
      <c r="V294" s="276"/>
      <c r="W294" s="276"/>
      <c r="X294" s="276"/>
    </row>
    <row r="295" ht="15.75" customHeight="1">
      <c r="A295" s="297"/>
      <c r="B295" s="284"/>
      <c r="C295" s="284"/>
      <c r="D295" s="284"/>
      <c r="E295" s="285"/>
      <c r="F295" s="285"/>
      <c r="G295" s="290"/>
      <c r="H295" s="288"/>
      <c r="I295" s="285"/>
      <c r="J295" s="276"/>
      <c r="K295" s="276"/>
      <c r="L295" s="276"/>
      <c r="M295" s="276"/>
      <c r="N295" s="276"/>
      <c r="O295" s="276"/>
      <c r="P295" s="276"/>
      <c r="Q295" s="276"/>
      <c r="R295" s="276"/>
      <c r="S295" s="276"/>
      <c r="T295" s="276"/>
      <c r="U295" s="276"/>
      <c r="V295" s="276"/>
      <c r="W295" s="276"/>
      <c r="X295" s="276"/>
    </row>
    <row r="296" ht="15.75" customHeight="1">
      <c r="A296" s="297"/>
      <c r="B296" s="284"/>
      <c r="C296" s="284"/>
      <c r="D296" s="284"/>
      <c r="E296" s="285"/>
      <c r="F296" s="285"/>
      <c r="G296" s="290"/>
      <c r="H296" s="288"/>
      <c r="I296" s="285"/>
      <c r="J296" s="276"/>
      <c r="K296" s="276"/>
      <c r="L296" s="276"/>
      <c r="M296" s="276"/>
      <c r="N296" s="276"/>
      <c r="O296" s="276"/>
      <c r="P296" s="276"/>
      <c r="Q296" s="276"/>
      <c r="R296" s="276"/>
      <c r="S296" s="276"/>
      <c r="T296" s="276"/>
      <c r="U296" s="276"/>
      <c r="V296" s="276"/>
      <c r="W296" s="276"/>
      <c r="X296" s="276"/>
    </row>
    <row r="297" ht="15.75" customHeight="1">
      <c r="A297" s="297"/>
      <c r="B297" s="284"/>
      <c r="C297" s="284"/>
      <c r="D297" s="284"/>
      <c r="E297" s="285"/>
      <c r="F297" s="35"/>
      <c r="G297" s="290"/>
      <c r="H297" s="360"/>
      <c r="I297" s="285"/>
      <c r="J297" s="276"/>
      <c r="K297" s="276"/>
      <c r="L297" s="276"/>
      <c r="M297" s="276"/>
      <c r="N297" s="276"/>
      <c r="O297" s="276"/>
      <c r="P297" s="276"/>
      <c r="Q297" s="276"/>
      <c r="R297" s="276"/>
      <c r="S297" s="276"/>
      <c r="T297" s="276"/>
      <c r="U297" s="276"/>
      <c r="V297" s="276"/>
      <c r="W297" s="276"/>
      <c r="X297" s="276"/>
    </row>
    <row r="298" ht="15.75" customHeight="1">
      <c r="A298" s="297"/>
      <c r="B298" s="284"/>
      <c r="C298" s="284"/>
      <c r="D298" s="284"/>
      <c r="E298" s="285"/>
      <c r="F298" s="286"/>
      <c r="G298" s="287"/>
      <c r="H298" s="288"/>
      <c r="I298" s="285"/>
      <c r="J298" s="276"/>
      <c r="K298" s="276"/>
      <c r="L298" s="276"/>
      <c r="M298" s="276"/>
      <c r="N298" s="276"/>
      <c r="O298" s="276"/>
      <c r="P298" s="276"/>
      <c r="Q298" s="276"/>
      <c r="R298" s="276"/>
      <c r="S298" s="276"/>
      <c r="T298" s="276"/>
      <c r="U298" s="276"/>
      <c r="V298" s="276"/>
      <c r="W298" s="276"/>
      <c r="X298" s="276"/>
    </row>
    <row r="299" ht="15.75" customHeight="1">
      <c r="A299" s="297"/>
      <c r="B299" s="284"/>
      <c r="C299" s="284"/>
      <c r="D299" s="284"/>
      <c r="E299" s="285"/>
      <c r="F299" s="285"/>
      <c r="G299" s="290"/>
      <c r="H299" s="288"/>
      <c r="I299" s="285"/>
      <c r="J299" s="276"/>
      <c r="K299" s="276"/>
      <c r="L299" s="276"/>
      <c r="M299" s="276"/>
      <c r="N299" s="276"/>
      <c r="O299" s="276"/>
      <c r="P299" s="276"/>
      <c r="Q299" s="276"/>
      <c r="R299" s="276"/>
      <c r="S299" s="276"/>
      <c r="T299" s="276"/>
      <c r="U299" s="276"/>
      <c r="V299" s="276"/>
      <c r="W299" s="276"/>
      <c r="X299" s="276"/>
    </row>
    <row r="300" ht="15.75" customHeight="1">
      <c r="A300" s="297"/>
      <c r="B300" s="284"/>
      <c r="C300" s="284"/>
      <c r="D300" s="284"/>
      <c r="E300" s="285"/>
      <c r="F300" s="35"/>
      <c r="G300" s="290"/>
      <c r="H300" s="360"/>
      <c r="I300" s="285"/>
      <c r="J300" s="276"/>
      <c r="K300" s="276"/>
      <c r="L300" s="276"/>
      <c r="M300" s="276"/>
      <c r="N300" s="276"/>
      <c r="O300" s="276"/>
      <c r="P300" s="276"/>
      <c r="Q300" s="276"/>
      <c r="R300" s="276"/>
      <c r="S300" s="276"/>
      <c r="T300" s="276"/>
      <c r="U300" s="276"/>
      <c r="V300" s="276"/>
      <c r="W300" s="276"/>
      <c r="X300" s="276"/>
    </row>
    <row r="301" ht="15.75" customHeight="1">
      <c r="A301" s="297"/>
      <c r="B301" s="284"/>
      <c r="C301" s="284"/>
      <c r="D301" s="284"/>
      <c r="E301" s="285"/>
      <c r="F301" s="285"/>
      <c r="G301" s="285"/>
      <c r="H301" s="288"/>
      <c r="I301" s="285"/>
      <c r="J301" s="276"/>
      <c r="K301" s="276"/>
      <c r="L301" s="276"/>
      <c r="M301" s="276"/>
      <c r="N301" s="276"/>
      <c r="O301" s="276"/>
      <c r="P301" s="276"/>
      <c r="Q301" s="276"/>
      <c r="R301" s="276"/>
      <c r="S301" s="276"/>
      <c r="T301" s="276"/>
      <c r="U301" s="276"/>
      <c r="V301" s="276"/>
      <c r="W301" s="276"/>
      <c r="X301" s="276"/>
    </row>
    <row r="302" ht="15.75" customHeight="1">
      <c r="A302" s="297"/>
      <c r="B302" s="284"/>
      <c r="C302" s="284"/>
      <c r="D302" s="284"/>
      <c r="E302" s="285"/>
      <c r="F302" s="286"/>
      <c r="G302" s="287"/>
      <c r="H302" s="288"/>
      <c r="I302" s="285"/>
      <c r="J302" s="276"/>
      <c r="K302" s="276"/>
      <c r="L302" s="276"/>
      <c r="M302" s="276"/>
      <c r="N302" s="276"/>
      <c r="O302" s="276"/>
      <c r="P302" s="276"/>
      <c r="Q302" s="276"/>
      <c r="R302" s="276"/>
      <c r="S302" s="276"/>
      <c r="T302" s="276"/>
      <c r="U302" s="276"/>
      <c r="V302" s="276"/>
      <c r="W302" s="276"/>
      <c r="X302" s="276"/>
    </row>
    <row r="303" ht="15.75" customHeight="1">
      <c r="A303" s="297"/>
      <c r="B303" s="284"/>
      <c r="C303" s="284"/>
      <c r="D303" s="284"/>
      <c r="E303" s="285"/>
      <c r="F303" s="286"/>
      <c r="G303" s="287"/>
      <c r="H303" s="288"/>
      <c r="I303" s="285"/>
      <c r="J303" s="276"/>
      <c r="K303" s="276"/>
      <c r="L303" s="276"/>
      <c r="M303" s="276"/>
      <c r="N303" s="276"/>
      <c r="O303" s="276"/>
      <c r="P303" s="276"/>
      <c r="Q303" s="276"/>
      <c r="R303" s="276"/>
      <c r="S303" s="276"/>
      <c r="T303" s="276"/>
      <c r="U303" s="276"/>
      <c r="V303" s="276"/>
      <c r="W303" s="276"/>
      <c r="X303" s="276"/>
    </row>
    <row r="304" ht="15.75" customHeight="1">
      <c r="A304" s="297"/>
      <c r="B304" s="284"/>
      <c r="C304" s="284"/>
      <c r="D304" s="284"/>
      <c r="E304" s="285"/>
      <c r="F304" s="35"/>
      <c r="G304" s="290"/>
      <c r="H304" s="288"/>
      <c r="I304" s="285"/>
      <c r="J304" s="276"/>
      <c r="K304" s="276"/>
      <c r="L304" s="276"/>
      <c r="M304" s="276"/>
      <c r="N304" s="276"/>
      <c r="O304" s="276"/>
      <c r="P304" s="276"/>
      <c r="Q304" s="276"/>
      <c r="R304" s="276"/>
      <c r="S304" s="276"/>
      <c r="T304" s="276"/>
      <c r="U304" s="276"/>
      <c r="V304" s="276"/>
      <c r="W304" s="276"/>
      <c r="X304" s="276"/>
    </row>
    <row r="305" ht="15.75" customHeight="1">
      <c r="A305" s="297"/>
      <c r="B305" s="284"/>
      <c r="C305" s="284"/>
      <c r="D305" s="284"/>
      <c r="E305" s="285"/>
      <c r="F305" s="285"/>
      <c r="G305" s="290"/>
      <c r="H305" s="288"/>
      <c r="I305" s="285"/>
      <c r="J305" s="276"/>
      <c r="K305" s="276"/>
      <c r="L305" s="276"/>
      <c r="M305" s="276"/>
      <c r="N305" s="276"/>
      <c r="O305" s="276"/>
      <c r="P305" s="276"/>
      <c r="Q305" s="276"/>
      <c r="R305" s="276"/>
      <c r="S305" s="276"/>
      <c r="T305" s="276"/>
      <c r="U305" s="276"/>
      <c r="V305" s="276"/>
      <c r="W305" s="276"/>
      <c r="X305" s="276"/>
    </row>
    <row r="306" ht="15.75" customHeight="1">
      <c r="A306" s="297"/>
      <c r="B306" s="284"/>
      <c r="C306" s="284"/>
      <c r="D306" s="284"/>
      <c r="E306" s="285"/>
      <c r="F306" s="285"/>
      <c r="G306" s="290"/>
      <c r="H306" s="288"/>
      <c r="I306" s="285"/>
      <c r="J306" s="276"/>
      <c r="K306" s="276"/>
      <c r="L306" s="276"/>
      <c r="M306" s="276"/>
      <c r="N306" s="276"/>
      <c r="O306" s="276"/>
      <c r="P306" s="276"/>
      <c r="Q306" s="276"/>
      <c r="R306" s="276"/>
      <c r="S306" s="276"/>
      <c r="T306" s="276"/>
      <c r="U306" s="276"/>
      <c r="V306" s="276"/>
      <c r="W306" s="276"/>
      <c r="X306" s="276"/>
    </row>
    <row r="307" ht="15.75" customHeight="1">
      <c r="A307" s="297"/>
      <c r="B307" s="284"/>
      <c r="C307" s="284"/>
      <c r="D307" s="284"/>
      <c r="E307" s="312"/>
      <c r="F307" s="312"/>
      <c r="G307" s="319"/>
      <c r="H307" s="288"/>
      <c r="I307" s="285"/>
      <c r="J307" s="276"/>
      <c r="K307" s="276"/>
      <c r="L307" s="276"/>
      <c r="M307" s="276"/>
      <c r="N307" s="276"/>
      <c r="O307" s="276"/>
      <c r="P307" s="276"/>
      <c r="Q307" s="276"/>
      <c r="R307" s="276"/>
      <c r="S307" s="276"/>
      <c r="T307" s="276"/>
      <c r="U307" s="276"/>
      <c r="V307" s="276"/>
      <c r="W307" s="276"/>
      <c r="X307" s="276"/>
    </row>
    <row r="308" ht="15.75" customHeight="1">
      <c r="A308" s="297"/>
      <c r="B308" s="284"/>
      <c r="C308" s="284"/>
      <c r="D308" s="284"/>
      <c r="E308" s="285"/>
      <c r="F308" s="286"/>
      <c r="G308" s="287"/>
      <c r="H308" s="288"/>
      <c r="I308" s="285"/>
      <c r="J308" s="276"/>
      <c r="K308" s="276"/>
      <c r="L308" s="276"/>
      <c r="M308" s="276"/>
      <c r="N308" s="276"/>
      <c r="O308" s="276"/>
      <c r="P308" s="276"/>
      <c r="Q308" s="276"/>
      <c r="R308" s="276"/>
      <c r="S308" s="276"/>
      <c r="T308" s="276"/>
      <c r="U308" s="276"/>
      <c r="V308" s="276"/>
      <c r="W308" s="276"/>
      <c r="X308" s="276"/>
    </row>
    <row r="309" ht="15.75" customHeight="1">
      <c r="A309" s="297"/>
      <c r="B309" s="284"/>
      <c r="C309" s="284"/>
      <c r="D309" s="284"/>
      <c r="E309" s="312"/>
      <c r="F309" s="312"/>
      <c r="G309" s="319"/>
      <c r="H309" s="288"/>
      <c r="I309" s="285"/>
      <c r="J309" s="276"/>
      <c r="K309" s="276"/>
      <c r="L309" s="276"/>
      <c r="M309" s="276"/>
      <c r="N309" s="276"/>
      <c r="O309" s="276"/>
      <c r="P309" s="276"/>
      <c r="Q309" s="276"/>
      <c r="R309" s="276"/>
      <c r="S309" s="276"/>
      <c r="T309" s="276"/>
      <c r="U309" s="276"/>
      <c r="V309" s="276"/>
      <c r="W309" s="276"/>
      <c r="X309" s="276"/>
    </row>
    <row r="310" ht="15.75" customHeight="1">
      <c r="A310" s="297"/>
      <c r="B310" s="284"/>
      <c r="C310" s="284"/>
      <c r="D310" s="284"/>
      <c r="E310" s="285"/>
      <c r="F310" s="35"/>
      <c r="G310" s="290"/>
      <c r="H310" s="360"/>
      <c r="I310" s="285"/>
      <c r="J310" s="276"/>
      <c r="K310" s="276"/>
      <c r="L310" s="276"/>
      <c r="M310" s="276"/>
      <c r="N310" s="276"/>
      <c r="O310" s="276"/>
      <c r="P310" s="276"/>
      <c r="Q310" s="276"/>
      <c r="R310" s="276"/>
      <c r="S310" s="276"/>
      <c r="T310" s="276"/>
      <c r="U310" s="276"/>
      <c r="V310" s="276"/>
      <c r="W310" s="276"/>
      <c r="X310" s="276"/>
    </row>
    <row r="311" ht="15.75" customHeight="1">
      <c r="A311" s="297"/>
      <c r="B311" s="284"/>
      <c r="C311" s="284"/>
      <c r="D311" s="284"/>
      <c r="E311" s="285"/>
      <c r="F311" s="286"/>
      <c r="G311" s="287"/>
      <c r="H311" s="288"/>
      <c r="I311" s="285"/>
      <c r="J311" s="276"/>
      <c r="K311" s="276"/>
      <c r="L311" s="276"/>
      <c r="M311" s="276"/>
      <c r="N311" s="276"/>
      <c r="O311" s="276"/>
      <c r="P311" s="276"/>
      <c r="Q311" s="276"/>
      <c r="R311" s="276"/>
      <c r="S311" s="276"/>
      <c r="T311" s="276"/>
      <c r="U311" s="276"/>
      <c r="V311" s="276"/>
      <c r="W311" s="276"/>
      <c r="X311" s="276"/>
    </row>
    <row r="312" ht="15.75" customHeight="1">
      <c r="A312" s="297"/>
      <c r="B312" s="284"/>
      <c r="C312" s="284"/>
      <c r="D312" s="284"/>
      <c r="E312" s="285"/>
      <c r="F312" s="285"/>
      <c r="G312" s="290"/>
      <c r="H312" s="288"/>
      <c r="I312" s="285"/>
      <c r="J312" s="276"/>
      <c r="K312" s="276"/>
      <c r="L312" s="276"/>
      <c r="M312" s="276"/>
      <c r="N312" s="276"/>
      <c r="O312" s="276"/>
      <c r="P312" s="276"/>
      <c r="Q312" s="276"/>
      <c r="R312" s="276"/>
      <c r="S312" s="276"/>
      <c r="T312" s="276"/>
      <c r="U312" s="276"/>
      <c r="V312" s="276"/>
      <c r="W312" s="276"/>
      <c r="X312" s="276"/>
    </row>
    <row r="313" ht="15.75" customHeight="1">
      <c r="A313" s="297"/>
      <c r="B313" s="284"/>
      <c r="C313" s="284"/>
      <c r="D313" s="284"/>
      <c r="E313" s="312"/>
      <c r="F313" s="312"/>
      <c r="G313" s="319"/>
      <c r="H313" s="288"/>
      <c r="I313" s="285"/>
      <c r="J313" s="276"/>
      <c r="K313" s="276"/>
      <c r="L313" s="276"/>
      <c r="M313" s="276"/>
      <c r="N313" s="276"/>
      <c r="O313" s="276"/>
      <c r="P313" s="276"/>
      <c r="Q313" s="276"/>
      <c r="R313" s="276"/>
      <c r="S313" s="276"/>
      <c r="T313" s="276"/>
      <c r="U313" s="276"/>
      <c r="V313" s="276"/>
      <c r="W313" s="276"/>
      <c r="X313" s="276"/>
    </row>
    <row r="314" ht="15.75" customHeight="1">
      <c r="A314" s="297"/>
      <c r="B314" s="284"/>
      <c r="C314" s="284"/>
      <c r="D314" s="284"/>
      <c r="E314" s="285"/>
      <c r="F314" s="35"/>
      <c r="G314" s="290"/>
      <c r="H314" s="288"/>
      <c r="I314" s="285"/>
      <c r="J314" s="276"/>
      <c r="K314" s="276"/>
      <c r="L314" s="276"/>
      <c r="M314" s="276"/>
      <c r="N314" s="276"/>
      <c r="O314" s="276"/>
      <c r="P314" s="276"/>
      <c r="Q314" s="276"/>
      <c r="R314" s="276"/>
      <c r="S314" s="276"/>
      <c r="T314" s="276"/>
      <c r="U314" s="276"/>
      <c r="V314" s="276"/>
      <c r="W314" s="276"/>
      <c r="X314" s="276"/>
    </row>
    <row r="315" ht="15.75" customHeight="1">
      <c r="A315" s="297"/>
      <c r="B315" s="284"/>
      <c r="C315" s="284"/>
      <c r="D315" s="284"/>
      <c r="E315" s="285"/>
      <c r="F315" s="285"/>
      <c r="G315" s="290"/>
      <c r="H315" s="288"/>
      <c r="I315" s="285"/>
      <c r="J315" s="276"/>
      <c r="K315" s="276"/>
      <c r="L315" s="276"/>
      <c r="M315" s="276"/>
      <c r="N315" s="276"/>
      <c r="O315" s="276"/>
      <c r="P315" s="276"/>
      <c r="Q315" s="276"/>
      <c r="R315" s="276"/>
      <c r="S315" s="276"/>
      <c r="T315" s="276"/>
      <c r="U315" s="276"/>
      <c r="V315" s="276"/>
      <c r="W315" s="276"/>
      <c r="X315" s="276"/>
    </row>
    <row r="316" ht="15.75" customHeight="1">
      <c r="A316" s="297"/>
      <c r="B316" s="284"/>
      <c r="C316" s="284"/>
      <c r="D316" s="284"/>
      <c r="E316" s="285"/>
      <c r="F316" s="285"/>
      <c r="G316" s="290"/>
      <c r="H316" s="288"/>
      <c r="I316" s="285"/>
      <c r="J316" s="276"/>
      <c r="K316" s="276"/>
      <c r="L316" s="276"/>
      <c r="M316" s="276"/>
      <c r="N316" s="276"/>
      <c r="O316" s="276"/>
      <c r="P316" s="276"/>
      <c r="Q316" s="276"/>
      <c r="R316" s="276"/>
      <c r="S316" s="276"/>
      <c r="T316" s="276"/>
      <c r="U316" s="276"/>
      <c r="V316" s="276"/>
      <c r="W316" s="276"/>
      <c r="X316" s="276"/>
    </row>
    <row r="317" ht="15.75" customHeight="1">
      <c r="A317" s="297"/>
      <c r="B317" s="284"/>
      <c r="C317" s="284"/>
      <c r="D317" s="284"/>
      <c r="E317" s="285"/>
      <c r="F317" s="35"/>
      <c r="G317" s="290"/>
      <c r="H317" s="360"/>
      <c r="I317" s="285"/>
      <c r="J317" s="276"/>
      <c r="K317" s="276"/>
      <c r="L317" s="276"/>
      <c r="M317" s="276"/>
      <c r="N317" s="276"/>
      <c r="O317" s="276"/>
      <c r="P317" s="276"/>
      <c r="Q317" s="276"/>
      <c r="R317" s="276"/>
      <c r="S317" s="276"/>
      <c r="T317" s="276"/>
      <c r="U317" s="276"/>
      <c r="V317" s="276"/>
      <c r="W317" s="276"/>
      <c r="X317" s="276"/>
    </row>
    <row r="318" ht="15.75" customHeight="1">
      <c r="A318" s="297"/>
      <c r="B318" s="284"/>
      <c r="C318" s="284"/>
      <c r="D318" s="284"/>
      <c r="E318" s="285"/>
      <c r="F318" s="35"/>
      <c r="G318" s="290"/>
      <c r="H318" s="360"/>
      <c r="I318" s="285"/>
      <c r="J318" s="276"/>
      <c r="K318" s="276"/>
      <c r="L318" s="276"/>
      <c r="M318" s="276"/>
      <c r="N318" s="276"/>
      <c r="O318" s="276"/>
      <c r="P318" s="276"/>
      <c r="Q318" s="276"/>
      <c r="R318" s="276"/>
      <c r="S318" s="276"/>
      <c r="T318" s="276"/>
      <c r="U318" s="276"/>
      <c r="V318" s="276"/>
      <c r="W318" s="276"/>
      <c r="X318" s="276"/>
    </row>
    <row r="319" ht="15.75" customHeight="1">
      <c r="A319" s="289"/>
      <c r="B319" s="284"/>
      <c r="C319" s="284"/>
      <c r="D319" s="284"/>
      <c r="E319" s="285"/>
      <c r="F319" s="285"/>
      <c r="G319" s="290"/>
      <c r="H319" s="288"/>
      <c r="I319" s="285"/>
      <c r="J319" s="276"/>
      <c r="K319" s="276"/>
      <c r="L319" s="276"/>
      <c r="M319" s="276"/>
      <c r="N319" s="276"/>
      <c r="O319" s="276"/>
      <c r="P319" s="276"/>
      <c r="Q319" s="276"/>
      <c r="R319" s="276"/>
      <c r="S319" s="276"/>
      <c r="T319" s="276"/>
      <c r="U319" s="276"/>
      <c r="V319" s="276"/>
      <c r="W319" s="276"/>
      <c r="X319" s="276"/>
    </row>
    <row r="320" ht="15.75" customHeight="1">
      <c r="A320" s="289"/>
      <c r="B320" s="284"/>
      <c r="C320" s="284"/>
      <c r="D320" s="284"/>
      <c r="E320" s="285"/>
      <c r="F320" s="285"/>
      <c r="G320" s="290"/>
      <c r="H320" s="288"/>
      <c r="I320" s="285"/>
      <c r="J320" s="276"/>
      <c r="K320" s="276"/>
      <c r="L320" s="276"/>
      <c r="M320" s="276"/>
      <c r="N320" s="276"/>
      <c r="O320" s="276"/>
      <c r="P320" s="276"/>
      <c r="Q320" s="276"/>
      <c r="R320" s="276"/>
      <c r="S320" s="276"/>
      <c r="T320" s="276"/>
      <c r="U320" s="276"/>
      <c r="V320" s="276"/>
      <c r="W320" s="276"/>
      <c r="X320" s="276"/>
    </row>
    <row r="321" ht="15.75" customHeight="1">
      <c r="A321" s="289"/>
      <c r="B321" s="284"/>
      <c r="C321" s="284"/>
      <c r="D321" s="284"/>
      <c r="E321" s="285"/>
      <c r="F321" s="285"/>
      <c r="G321" s="290"/>
      <c r="H321" s="288"/>
      <c r="I321" s="285"/>
      <c r="J321" s="276"/>
      <c r="K321" s="276"/>
      <c r="L321" s="276"/>
      <c r="M321" s="276"/>
      <c r="N321" s="276"/>
      <c r="O321" s="276"/>
      <c r="P321" s="276"/>
      <c r="Q321" s="276"/>
      <c r="R321" s="276"/>
      <c r="S321" s="276"/>
      <c r="T321" s="276"/>
      <c r="U321" s="276"/>
      <c r="V321" s="276"/>
      <c r="W321" s="276"/>
      <c r="X321" s="276"/>
    </row>
    <row r="322" ht="15.75" customHeight="1">
      <c r="A322" s="289"/>
      <c r="B322" s="284"/>
      <c r="C322" s="284"/>
      <c r="D322" s="284"/>
      <c r="E322" s="285"/>
      <c r="F322" s="285"/>
      <c r="G322" s="290"/>
      <c r="H322" s="288"/>
      <c r="I322" s="285"/>
      <c r="J322" s="276"/>
      <c r="K322" s="276"/>
      <c r="L322" s="276"/>
      <c r="M322" s="276"/>
      <c r="N322" s="276"/>
      <c r="O322" s="276"/>
      <c r="P322" s="276"/>
      <c r="Q322" s="276"/>
      <c r="R322" s="276"/>
      <c r="S322" s="276"/>
      <c r="T322" s="276"/>
      <c r="U322" s="276"/>
      <c r="V322" s="276"/>
      <c r="W322" s="276"/>
      <c r="X322" s="276"/>
    </row>
    <row r="323" ht="15.75" customHeight="1">
      <c r="A323" s="289"/>
      <c r="B323" s="284"/>
      <c r="C323" s="284"/>
      <c r="D323" s="284"/>
      <c r="E323" s="285"/>
      <c r="F323" s="285"/>
      <c r="G323" s="290"/>
      <c r="H323" s="288"/>
      <c r="I323" s="285"/>
      <c r="J323" s="276"/>
      <c r="K323" s="276"/>
      <c r="L323" s="276"/>
      <c r="M323" s="276"/>
      <c r="N323" s="276"/>
      <c r="O323" s="276"/>
      <c r="P323" s="276"/>
      <c r="Q323" s="276"/>
      <c r="R323" s="276"/>
      <c r="S323" s="276"/>
      <c r="T323" s="276"/>
      <c r="U323" s="276"/>
      <c r="V323" s="276"/>
      <c r="W323" s="276"/>
      <c r="X323" s="276"/>
    </row>
    <row r="324" ht="15.75" customHeight="1">
      <c r="A324" s="289"/>
      <c r="B324" s="284"/>
      <c r="C324" s="284"/>
      <c r="D324" s="284"/>
      <c r="E324" s="285"/>
      <c r="F324" s="35"/>
      <c r="G324" s="290"/>
      <c r="H324" s="288"/>
      <c r="I324" s="285"/>
      <c r="J324" s="276"/>
      <c r="K324" s="276"/>
      <c r="L324" s="276"/>
      <c r="M324" s="276"/>
      <c r="N324" s="276"/>
      <c r="O324" s="276"/>
      <c r="P324" s="276"/>
      <c r="Q324" s="276"/>
      <c r="R324" s="276"/>
      <c r="S324" s="276"/>
      <c r="T324" s="276"/>
      <c r="U324" s="276"/>
      <c r="V324" s="276"/>
      <c r="W324" s="276"/>
      <c r="X324" s="276"/>
    </row>
    <row r="325" ht="15.75" customHeight="1">
      <c r="A325" s="289"/>
      <c r="B325" s="284"/>
      <c r="C325" s="284"/>
      <c r="D325" s="284"/>
      <c r="E325" s="285"/>
      <c r="F325" s="285"/>
      <c r="G325" s="290"/>
      <c r="H325" s="288"/>
      <c r="I325" s="285"/>
      <c r="J325" s="276"/>
      <c r="K325" s="276"/>
      <c r="L325" s="276"/>
      <c r="M325" s="276"/>
      <c r="N325" s="276"/>
      <c r="O325" s="276"/>
      <c r="P325" s="276"/>
      <c r="Q325" s="276"/>
      <c r="R325" s="276"/>
      <c r="S325" s="276"/>
      <c r="T325" s="276"/>
      <c r="U325" s="276"/>
      <c r="V325" s="276"/>
      <c r="W325" s="276"/>
      <c r="X325" s="276"/>
    </row>
    <row r="326" ht="15.75" customHeight="1">
      <c r="A326" s="297"/>
      <c r="B326" s="284"/>
      <c r="C326" s="284"/>
      <c r="D326" s="284"/>
      <c r="E326" s="285"/>
      <c r="F326" s="35"/>
      <c r="G326" s="290"/>
      <c r="H326" s="288"/>
      <c r="I326" s="285"/>
      <c r="J326" s="276"/>
      <c r="K326" s="276"/>
      <c r="L326" s="276"/>
      <c r="M326" s="276"/>
      <c r="N326" s="276"/>
      <c r="O326" s="276"/>
      <c r="P326" s="276"/>
      <c r="Q326" s="276"/>
      <c r="R326" s="276"/>
      <c r="S326" s="276"/>
      <c r="T326" s="276"/>
      <c r="U326" s="276"/>
      <c r="V326" s="276"/>
      <c r="W326" s="276"/>
      <c r="X326" s="276"/>
    </row>
    <row r="327" ht="15.75" customHeight="1">
      <c r="A327" s="289"/>
      <c r="B327" s="284"/>
      <c r="C327" s="284"/>
      <c r="D327" s="284"/>
      <c r="E327" s="285"/>
      <c r="F327" s="35"/>
      <c r="G327" s="290"/>
      <c r="H327" s="288"/>
      <c r="I327" s="285"/>
      <c r="J327" s="276"/>
      <c r="K327" s="276"/>
      <c r="L327" s="276"/>
      <c r="M327" s="276"/>
      <c r="N327" s="276"/>
      <c r="O327" s="276"/>
      <c r="P327" s="276"/>
      <c r="Q327" s="276"/>
      <c r="R327" s="276"/>
      <c r="S327" s="276"/>
      <c r="T327" s="276"/>
      <c r="U327" s="276"/>
      <c r="V327" s="276"/>
      <c r="W327" s="276"/>
      <c r="X327" s="276"/>
    </row>
    <row r="328" ht="15.75" customHeight="1">
      <c r="A328" s="289"/>
      <c r="B328" s="284"/>
      <c r="C328" s="284"/>
      <c r="D328" s="284"/>
      <c r="E328" s="285"/>
      <c r="F328" s="35"/>
      <c r="G328" s="290"/>
      <c r="H328" s="288"/>
      <c r="I328" s="285"/>
      <c r="J328" s="276"/>
      <c r="K328" s="276"/>
      <c r="L328" s="276"/>
      <c r="M328" s="276"/>
      <c r="N328" s="276"/>
      <c r="O328" s="276"/>
      <c r="P328" s="276"/>
      <c r="Q328" s="276"/>
      <c r="R328" s="276"/>
      <c r="S328" s="276"/>
      <c r="T328" s="276"/>
      <c r="U328" s="276"/>
      <c r="V328" s="276"/>
      <c r="W328" s="276"/>
      <c r="X328" s="276"/>
    </row>
    <row r="329" ht="15.75" customHeight="1">
      <c r="A329" s="289"/>
      <c r="B329" s="284"/>
      <c r="C329" s="284"/>
      <c r="D329" s="284"/>
      <c r="E329" s="285"/>
      <c r="F329" s="35"/>
      <c r="G329" s="290"/>
      <c r="H329" s="288"/>
      <c r="I329" s="285"/>
      <c r="J329" s="276"/>
      <c r="K329" s="276"/>
      <c r="L329" s="276"/>
      <c r="M329" s="276"/>
      <c r="N329" s="276"/>
      <c r="O329" s="276"/>
      <c r="P329" s="276"/>
      <c r="Q329" s="276"/>
      <c r="R329" s="276"/>
      <c r="S329" s="276"/>
      <c r="T329" s="276"/>
      <c r="U329" s="276"/>
      <c r="V329" s="276"/>
      <c r="W329" s="276"/>
      <c r="X329" s="276"/>
    </row>
    <row r="330" ht="15.75" customHeight="1">
      <c r="A330" s="297"/>
      <c r="B330" s="284"/>
      <c r="C330" s="284"/>
      <c r="D330" s="284"/>
      <c r="E330" s="285"/>
      <c r="F330" s="35"/>
      <c r="G330" s="290"/>
      <c r="H330" s="288"/>
      <c r="I330" s="285"/>
      <c r="J330" s="276"/>
      <c r="K330" s="276"/>
      <c r="L330" s="276"/>
      <c r="M330" s="276"/>
      <c r="N330" s="276"/>
      <c r="O330" s="276"/>
      <c r="P330" s="276"/>
      <c r="Q330" s="276"/>
      <c r="R330" s="276"/>
      <c r="S330" s="276"/>
      <c r="T330" s="276"/>
      <c r="U330" s="276"/>
      <c r="V330" s="276"/>
      <c r="W330" s="276"/>
      <c r="X330" s="276"/>
    </row>
    <row r="331" ht="15.75" customHeight="1">
      <c r="A331" s="289"/>
      <c r="B331" s="284"/>
      <c r="C331" s="284"/>
      <c r="D331" s="284"/>
      <c r="E331" s="285"/>
      <c r="F331" s="35"/>
      <c r="G331" s="290"/>
      <c r="H331" s="360"/>
      <c r="I331" s="285"/>
      <c r="J331" s="276"/>
      <c r="K331" s="276"/>
      <c r="L331" s="276"/>
      <c r="M331" s="276"/>
      <c r="N331" s="276"/>
      <c r="O331" s="276"/>
      <c r="P331" s="276"/>
      <c r="Q331" s="276"/>
      <c r="R331" s="276"/>
      <c r="S331" s="276"/>
      <c r="T331" s="276"/>
      <c r="U331" s="276"/>
      <c r="V331" s="276"/>
      <c r="W331" s="276"/>
      <c r="X331" s="276"/>
    </row>
    <row r="332" ht="15.75" customHeight="1">
      <c r="A332" s="289"/>
      <c r="B332" s="284"/>
      <c r="C332" s="284"/>
      <c r="D332" s="284"/>
      <c r="E332" s="285"/>
      <c r="F332" s="35"/>
      <c r="G332" s="290"/>
      <c r="H332" s="360"/>
      <c r="I332" s="285"/>
      <c r="J332" s="276"/>
      <c r="K332" s="276"/>
      <c r="L332" s="276"/>
      <c r="M332" s="276"/>
      <c r="N332" s="276"/>
      <c r="O332" s="276"/>
      <c r="P332" s="276"/>
      <c r="Q332" s="276"/>
      <c r="R332" s="276"/>
      <c r="S332" s="276"/>
      <c r="T332" s="276"/>
      <c r="U332" s="276"/>
      <c r="V332" s="276"/>
      <c r="W332" s="276"/>
      <c r="X332" s="276"/>
    </row>
    <row r="333" ht="15.75" customHeight="1">
      <c r="A333" s="289"/>
      <c r="B333" s="284"/>
      <c r="C333" s="284"/>
      <c r="D333" s="284"/>
      <c r="E333" s="285"/>
      <c r="F333" s="35"/>
      <c r="G333" s="290"/>
      <c r="H333" s="360"/>
      <c r="I333" s="285"/>
      <c r="J333" s="276"/>
      <c r="K333" s="276"/>
      <c r="L333" s="276"/>
      <c r="M333" s="276"/>
      <c r="N333" s="276"/>
      <c r="O333" s="276"/>
      <c r="P333" s="276"/>
      <c r="Q333" s="276"/>
      <c r="R333" s="276"/>
      <c r="S333" s="276"/>
      <c r="T333" s="276"/>
      <c r="U333" s="276"/>
      <c r="V333" s="276"/>
      <c r="W333" s="276"/>
      <c r="X333" s="276"/>
    </row>
    <row r="334" ht="15.75" customHeight="1">
      <c r="A334" s="289"/>
      <c r="B334" s="284"/>
      <c r="C334" s="284"/>
      <c r="D334" s="284"/>
      <c r="E334" s="285"/>
      <c r="F334" s="35"/>
      <c r="G334" s="290"/>
      <c r="H334" s="288"/>
      <c r="I334" s="285"/>
      <c r="J334" s="276"/>
      <c r="K334" s="276"/>
      <c r="L334" s="276"/>
      <c r="M334" s="276"/>
      <c r="N334" s="276"/>
      <c r="O334" s="276"/>
      <c r="P334" s="276"/>
      <c r="Q334" s="276"/>
      <c r="R334" s="276"/>
      <c r="S334" s="276"/>
      <c r="T334" s="276"/>
      <c r="U334" s="276"/>
      <c r="V334" s="276"/>
      <c r="W334" s="276"/>
      <c r="X334" s="276"/>
    </row>
    <row r="335" ht="15.75" customHeight="1">
      <c r="A335" s="289"/>
      <c r="B335" s="284"/>
      <c r="C335" s="284"/>
      <c r="D335" s="284"/>
      <c r="E335" s="285"/>
      <c r="F335" s="35"/>
      <c r="G335" s="290"/>
      <c r="H335" s="360"/>
      <c r="I335" s="285"/>
      <c r="J335" s="276"/>
      <c r="K335" s="276"/>
      <c r="L335" s="276"/>
      <c r="M335" s="276"/>
      <c r="N335" s="276"/>
      <c r="O335" s="276"/>
      <c r="P335" s="276"/>
      <c r="Q335" s="276"/>
      <c r="R335" s="276"/>
      <c r="S335" s="276"/>
      <c r="T335" s="276"/>
      <c r="U335" s="276"/>
      <c r="V335" s="276"/>
      <c r="W335" s="276"/>
      <c r="X335" s="276"/>
    </row>
    <row r="336" ht="15.75" customHeight="1">
      <c r="A336" s="289"/>
      <c r="B336" s="284"/>
      <c r="C336" s="284"/>
      <c r="D336" s="284"/>
      <c r="E336" s="285"/>
      <c r="F336" s="35"/>
      <c r="G336" s="290"/>
      <c r="H336" s="360"/>
      <c r="I336" s="285"/>
      <c r="J336" s="276"/>
      <c r="K336" s="276"/>
      <c r="L336" s="276"/>
      <c r="M336" s="276"/>
      <c r="N336" s="276"/>
      <c r="O336" s="276"/>
      <c r="P336" s="276"/>
      <c r="Q336" s="276"/>
      <c r="R336" s="276"/>
      <c r="S336" s="276"/>
      <c r="T336" s="276"/>
      <c r="U336" s="276"/>
      <c r="V336" s="276"/>
      <c r="W336" s="276"/>
      <c r="X336" s="276"/>
    </row>
    <row r="337" ht="15.75" customHeight="1">
      <c r="A337" s="289"/>
      <c r="B337" s="284"/>
      <c r="C337" s="284"/>
      <c r="D337" s="284"/>
      <c r="E337" s="285"/>
      <c r="F337" s="35"/>
      <c r="G337" s="290"/>
      <c r="H337" s="288"/>
      <c r="I337" s="285"/>
      <c r="J337" s="276"/>
      <c r="K337" s="276"/>
      <c r="L337" s="276"/>
      <c r="M337" s="276"/>
      <c r="N337" s="276"/>
      <c r="O337" s="276"/>
      <c r="P337" s="276"/>
      <c r="Q337" s="276"/>
      <c r="R337" s="276"/>
      <c r="S337" s="276"/>
      <c r="T337" s="276"/>
      <c r="U337" s="276"/>
      <c r="V337" s="276"/>
      <c r="W337" s="276"/>
      <c r="X337" s="276"/>
    </row>
    <row r="338" ht="15.75" customHeight="1">
      <c r="A338" s="289"/>
      <c r="B338" s="284"/>
      <c r="C338" s="284"/>
      <c r="D338" s="284"/>
      <c r="E338" s="285"/>
      <c r="F338" s="286"/>
      <c r="G338" s="287"/>
      <c r="H338" s="288"/>
      <c r="I338" s="285"/>
      <c r="J338" s="276"/>
      <c r="K338" s="276"/>
      <c r="L338" s="276"/>
      <c r="M338" s="276"/>
      <c r="N338" s="276"/>
      <c r="O338" s="276"/>
      <c r="P338" s="276"/>
      <c r="Q338" s="276"/>
      <c r="R338" s="276"/>
      <c r="S338" s="276"/>
      <c r="T338" s="276"/>
      <c r="U338" s="276"/>
      <c r="V338" s="276"/>
      <c r="W338" s="276"/>
      <c r="X338" s="276"/>
    </row>
    <row r="339" ht="15.75" customHeight="1">
      <c r="A339" s="289"/>
      <c r="B339" s="284"/>
      <c r="C339" s="284"/>
      <c r="D339" s="284"/>
      <c r="E339" s="285"/>
      <c r="F339" s="285"/>
      <c r="G339" s="290"/>
      <c r="H339" s="288"/>
      <c r="I339" s="285"/>
      <c r="J339" s="276"/>
      <c r="K339" s="276"/>
      <c r="L339" s="276"/>
      <c r="M339" s="276"/>
      <c r="N339" s="276"/>
      <c r="O339" s="276"/>
      <c r="P339" s="276"/>
      <c r="Q339" s="276"/>
      <c r="R339" s="276"/>
      <c r="S339" s="276"/>
      <c r="T339" s="276"/>
      <c r="U339" s="276"/>
      <c r="V339" s="276"/>
      <c r="W339" s="276"/>
      <c r="X339" s="276"/>
    </row>
    <row r="340" ht="15.75" customHeight="1">
      <c r="A340" s="289"/>
      <c r="B340" s="284"/>
      <c r="C340" s="284"/>
      <c r="D340" s="284"/>
      <c r="E340" s="285"/>
      <c r="F340" s="286"/>
      <c r="G340" s="287"/>
      <c r="H340" s="288"/>
      <c r="I340" s="285"/>
      <c r="J340" s="276"/>
      <c r="K340" s="276"/>
      <c r="L340" s="276"/>
      <c r="M340" s="276"/>
      <c r="N340" s="276"/>
      <c r="O340" s="276"/>
      <c r="P340" s="276"/>
      <c r="Q340" s="276"/>
      <c r="R340" s="276"/>
      <c r="S340" s="276"/>
      <c r="T340" s="276"/>
      <c r="U340" s="276"/>
      <c r="V340" s="276"/>
      <c r="W340" s="276"/>
      <c r="X340" s="276"/>
    </row>
    <row r="341" ht="15.75" customHeight="1">
      <c r="A341" s="289"/>
      <c r="B341" s="284"/>
      <c r="C341" s="284"/>
      <c r="D341" s="284"/>
      <c r="E341" s="312"/>
      <c r="F341" s="312"/>
      <c r="G341" s="319"/>
      <c r="H341" s="288"/>
      <c r="I341" s="285"/>
      <c r="J341" s="276"/>
      <c r="K341" s="276"/>
      <c r="L341" s="276"/>
      <c r="M341" s="276"/>
      <c r="N341" s="276"/>
      <c r="O341" s="276"/>
      <c r="P341" s="276"/>
      <c r="Q341" s="276"/>
      <c r="R341" s="276"/>
      <c r="S341" s="276"/>
      <c r="T341" s="276"/>
      <c r="U341" s="276"/>
      <c r="V341" s="276"/>
      <c r="W341" s="276"/>
      <c r="X341" s="276"/>
    </row>
    <row r="342" ht="15.75" customHeight="1">
      <c r="A342" s="289"/>
      <c r="B342" s="284"/>
      <c r="C342" s="284"/>
      <c r="D342" s="284"/>
      <c r="E342" s="285"/>
      <c r="F342" s="286"/>
      <c r="G342" s="287"/>
      <c r="H342" s="288"/>
      <c r="I342" s="285"/>
      <c r="J342" s="276"/>
      <c r="K342" s="276"/>
      <c r="L342" s="276"/>
      <c r="M342" s="276"/>
      <c r="N342" s="276"/>
      <c r="O342" s="276"/>
      <c r="P342" s="276"/>
      <c r="Q342" s="276"/>
      <c r="R342" s="276"/>
      <c r="S342" s="276"/>
      <c r="T342" s="276"/>
      <c r="U342" s="276"/>
      <c r="V342" s="276"/>
      <c r="W342" s="276"/>
      <c r="X342" s="276"/>
    </row>
    <row r="343" ht="15.75" customHeight="1">
      <c r="A343" s="289"/>
      <c r="B343" s="284"/>
      <c r="C343" s="284"/>
      <c r="D343" s="284"/>
      <c r="E343" s="285"/>
      <c r="F343" s="35"/>
      <c r="G343" s="290"/>
      <c r="H343" s="360"/>
      <c r="I343" s="285"/>
      <c r="J343" s="276"/>
      <c r="K343" s="276"/>
      <c r="L343" s="276"/>
      <c r="M343" s="276"/>
      <c r="N343" s="276"/>
      <c r="O343" s="276"/>
      <c r="P343" s="276"/>
      <c r="Q343" s="276"/>
      <c r="R343" s="276"/>
      <c r="S343" s="276"/>
      <c r="T343" s="276"/>
      <c r="U343" s="276"/>
      <c r="V343" s="276"/>
      <c r="W343" s="276"/>
      <c r="X343" s="276"/>
    </row>
    <row r="344" ht="15.75" customHeight="1">
      <c r="A344" s="289"/>
      <c r="B344" s="284"/>
      <c r="C344" s="284"/>
      <c r="D344" s="284"/>
      <c r="E344" s="285"/>
      <c r="F344" s="285"/>
      <c r="G344" s="290"/>
      <c r="H344" s="288"/>
      <c r="I344" s="285"/>
      <c r="J344" s="276"/>
      <c r="K344" s="276"/>
      <c r="L344" s="276"/>
      <c r="M344" s="276"/>
      <c r="N344" s="276"/>
      <c r="O344" s="276"/>
      <c r="P344" s="276"/>
      <c r="Q344" s="276"/>
      <c r="R344" s="276"/>
      <c r="S344" s="276"/>
      <c r="T344" s="276"/>
      <c r="U344" s="276"/>
      <c r="V344" s="276"/>
      <c r="W344" s="276"/>
      <c r="X344" s="276"/>
    </row>
    <row r="345" ht="15.75" customHeight="1">
      <c r="A345" s="289"/>
      <c r="B345" s="284"/>
      <c r="C345" s="284"/>
      <c r="D345" s="284"/>
      <c r="E345" s="285"/>
      <c r="F345" s="35"/>
      <c r="G345" s="290"/>
      <c r="H345" s="360"/>
      <c r="I345" s="285"/>
      <c r="J345" s="276"/>
      <c r="K345" s="276"/>
      <c r="L345" s="276"/>
      <c r="M345" s="276"/>
      <c r="N345" s="276"/>
      <c r="O345" s="276"/>
      <c r="P345" s="276"/>
      <c r="Q345" s="276"/>
      <c r="R345" s="276"/>
      <c r="S345" s="276"/>
      <c r="T345" s="276"/>
      <c r="U345" s="276"/>
      <c r="V345" s="276"/>
      <c r="W345" s="276"/>
      <c r="X345" s="276"/>
    </row>
    <row r="346" ht="15.75" customHeight="1">
      <c r="A346" s="289"/>
      <c r="B346" s="284"/>
      <c r="C346" s="284"/>
      <c r="D346" s="284"/>
      <c r="E346" s="285"/>
      <c r="F346" s="35"/>
      <c r="G346" s="290"/>
      <c r="H346" s="360"/>
      <c r="I346" s="285"/>
      <c r="J346" s="276"/>
      <c r="K346" s="276"/>
      <c r="L346" s="276"/>
      <c r="M346" s="276"/>
      <c r="N346" s="276"/>
      <c r="O346" s="276"/>
      <c r="P346" s="276"/>
      <c r="Q346" s="276"/>
      <c r="R346" s="276"/>
      <c r="S346" s="276"/>
      <c r="T346" s="276"/>
      <c r="U346" s="276"/>
      <c r="V346" s="276"/>
      <c r="W346" s="276"/>
      <c r="X346" s="276"/>
    </row>
    <row r="347" ht="15.75" customHeight="1">
      <c r="A347" s="289"/>
      <c r="B347" s="284"/>
      <c r="C347" s="284"/>
      <c r="D347" s="284"/>
      <c r="E347" s="285"/>
      <c r="F347" s="285"/>
      <c r="G347" s="290"/>
      <c r="H347" s="288"/>
      <c r="I347" s="285"/>
      <c r="J347" s="276"/>
      <c r="K347" s="276"/>
      <c r="L347" s="276"/>
      <c r="M347" s="276"/>
      <c r="N347" s="276"/>
      <c r="O347" s="276"/>
      <c r="P347" s="276"/>
      <c r="Q347" s="276"/>
      <c r="R347" s="276"/>
      <c r="S347" s="276"/>
      <c r="T347" s="276"/>
      <c r="U347" s="276"/>
      <c r="V347" s="276"/>
      <c r="W347" s="276"/>
      <c r="X347" s="276"/>
    </row>
    <row r="348" ht="15.75" customHeight="1">
      <c r="A348" s="289"/>
      <c r="B348" s="284"/>
      <c r="C348" s="284"/>
      <c r="D348" s="284"/>
      <c r="E348" s="285"/>
      <c r="F348" s="285"/>
      <c r="G348" s="290"/>
      <c r="H348" s="288"/>
      <c r="I348" s="285"/>
      <c r="J348" s="276"/>
      <c r="K348" s="276"/>
      <c r="L348" s="276"/>
      <c r="M348" s="276"/>
      <c r="N348" s="276"/>
      <c r="O348" s="276"/>
      <c r="P348" s="276"/>
      <c r="Q348" s="276"/>
      <c r="R348" s="276"/>
      <c r="S348" s="276"/>
      <c r="T348" s="276"/>
      <c r="U348" s="276"/>
      <c r="V348" s="276"/>
      <c r="W348" s="276"/>
      <c r="X348" s="276"/>
    </row>
    <row r="349" ht="15.75" customHeight="1">
      <c r="A349" s="289"/>
      <c r="B349" s="284"/>
      <c r="C349" s="284"/>
      <c r="D349" s="284"/>
      <c r="E349" s="285"/>
      <c r="F349" s="285"/>
      <c r="G349" s="290"/>
      <c r="H349" s="288"/>
      <c r="I349" s="285"/>
      <c r="J349" s="276"/>
      <c r="K349" s="276"/>
      <c r="L349" s="276"/>
      <c r="M349" s="276"/>
      <c r="N349" s="276"/>
      <c r="O349" s="276"/>
      <c r="P349" s="276"/>
      <c r="Q349" s="276"/>
      <c r="R349" s="276"/>
      <c r="S349" s="276"/>
      <c r="T349" s="276"/>
      <c r="U349" s="276"/>
      <c r="V349" s="276"/>
      <c r="W349" s="276"/>
      <c r="X349" s="276"/>
    </row>
    <row r="350" ht="15.75" customHeight="1">
      <c r="A350" s="289"/>
      <c r="B350" s="284"/>
      <c r="C350" s="284"/>
      <c r="D350" s="284"/>
      <c r="E350" s="285"/>
      <c r="F350" s="285"/>
      <c r="G350" s="290"/>
      <c r="H350" s="288"/>
      <c r="I350" s="285"/>
      <c r="J350" s="276"/>
      <c r="K350" s="276"/>
      <c r="L350" s="276"/>
      <c r="M350" s="276"/>
      <c r="N350" s="276"/>
      <c r="O350" s="276"/>
      <c r="P350" s="276"/>
      <c r="Q350" s="276"/>
      <c r="R350" s="276"/>
      <c r="S350" s="276"/>
      <c r="T350" s="276"/>
      <c r="U350" s="276"/>
      <c r="V350" s="276"/>
      <c r="W350" s="276"/>
      <c r="X350" s="276"/>
    </row>
    <row r="351" ht="15.75" customHeight="1">
      <c r="A351" s="289"/>
      <c r="B351" s="284"/>
      <c r="C351" s="284"/>
      <c r="D351" s="284"/>
      <c r="E351" s="285"/>
      <c r="F351" s="35"/>
      <c r="G351" s="290"/>
      <c r="H351" s="360"/>
      <c r="I351" s="285"/>
      <c r="J351" s="276"/>
      <c r="K351" s="276"/>
      <c r="L351" s="276"/>
      <c r="M351" s="276"/>
      <c r="N351" s="276"/>
      <c r="O351" s="276"/>
      <c r="P351" s="276"/>
      <c r="Q351" s="276"/>
      <c r="R351" s="276"/>
      <c r="S351" s="276"/>
      <c r="T351" s="276"/>
      <c r="U351" s="276"/>
      <c r="V351" s="276"/>
      <c r="W351" s="276"/>
      <c r="X351" s="276"/>
    </row>
    <row r="352" ht="15.75" customHeight="1">
      <c r="A352" s="289"/>
      <c r="B352" s="284"/>
      <c r="C352" s="284"/>
      <c r="D352" s="284"/>
      <c r="E352" s="285"/>
      <c r="F352" s="312"/>
      <c r="G352" s="290"/>
      <c r="H352" s="288"/>
      <c r="I352" s="312"/>
      <c r="J352" s="276"/>
      <c r="K352" s="276"/>
      <c r="L352" s="276"/>
      <c r="M352" s="276"/>
      <c r="N352" s="276"/>
      <c r="O352" s="276"/>
      <c r="P352" s="276"/>
      <c r="Q352" s="276"/>
      <c r="R352" s="276"/>
      <c r="S352" s="276"/>
      <c r="T352" s="276"/>
      <c r="U352" s="276"/>
      <c r="V352" s="276"/>
      <c r="W352" s="276"/>
      <c r="X352" s="276"/>
    </row>
    <row r="353" ht="15.75" customHeight="1">
      <c r="A353" s="289"/>
      <c r="B353" s="284"/>
      <c r="C353" s="284"/>
      <c r="D353" s="284"/>
      <c r="E353" s="285"/>
      <c r="F353" s="285"/>
      <c r="G353" s="290"/>
      <c r="H353" s="288"/>
      <c r="I353" s="285"/>
      <c r="J353" s="276"/>
      <c r="K353" s="276"/>
      <c r="L353" s="276"/>
      <c r="M353" s="276"/>
      <c r="N353" s="276"/>
      <c r="O353" s="276"/>
      <c r="P353" s="276"/>
      <c r="Q353" s="276"/>
      <c r="R353" s="276"/>
      <c r="S353" s="276"/>
      <c r="T353" s="276"/>
      <c r="U353" s="276"/>
      <c r="V353" s="276"/>
      <c r="W353" s="276"/>
      <c r="X353" s="276"/>
    </row>
    <row r="354" ht="15.75" customHeight="1">
      <c r="A354" s="289"/>
      <c r="B354" s="284"/>
      <c r="C354" s="284"/>
      <c r="D354" s="284"/>
      <c r="E354" s="285"/>
      <c r="F354" s="285"/>
      <c r="G354" s="290"/>
      <c r="H354" s="288"/>
      <c r="I354" s="285"/>
      <c r="J354" s="276"/>
      <c r="K354" s="276"/>
      <c r="L354" s="276"/>
      <c r="M354" s="276"/>
      <c r="N354" s="276"/>
      <c r="O354" s="276"/>
      <c r="P354" s="276"/>
      <c r="Q354" s="276"/>
      <c r="R354" s="276"/>
      <c r="S354" s="276"/>
      <c r="T354" s="276"/>
      <c r="U354" s="276"/>
      <c r="V354" s="276"/>
      <c r="W354" s="276"/>
      <c r="X354" s="276"/>
    </row>
    <row r="355" ht="15.75" customHeight="1">
      <c r="A355" s="289"/>
      <c r="B355" s="284"/>
      <c r="C355" s="284"/>
      <c r="D355" s="284"/>
      <c r="E355" s="285"/>
      <c r="F355" s="35"/>
      <c r="G355" s="290"/>
      <c r="H355" s="288"/>
      <c r="I355" s="285"/>
      <c r="J355" s="276"/>
      <c r="K355" s="276"/>
      <c r="L355" s="276"/>
      <c r="M355" s="276"/>
      <c r="N355" s="276"/>
      <c r="O355" s="276"/>
      <c r="P355" s="276"/>
      <c r="Q355" s="276"/>
      <c r="R355" s="276"/>
      <c r="S355" s="276"/>
      <c r="T355" s="276"/>
      <c r="U355" s="276"/>
      <c r="V355" s="276"/>
      <c r="W355" s="276"/>
      <c r="X355" s="276"/>
    </row>
    <row r="356" ht="15.75" customHeight="1">
      <c r="A356" s="289"/>
      <c r="B356" s="284"/>
      <c r="C356" s="284"/>
      <c r="D356" s="284"/>
      <c r="E356" s="312"/>
      <c r="F356" s="312"/>
      <c r="G356" s="319"/>
      <c r="H356" s="288"/>
      <c r="I356" s="285"/>
      <c r="J356" s="276"/>
      <c r="K356" s="276"/>
      <c r="L356" s="276"/>
      <c r="M356" s="276"/>
      <c r="N356" s="276"/>
      <c r="O356" s="276"/>
      <c r="P356" s="276"/>
      <c r="Q356" s="276"/>
      <c r="R356" s="276"/>
      <c r="S356" s="276"/>
      <c r="T356" s="276"/>
      <c r="U356" s="276"/>
      <c r="V356" s="276"/>
      <c r="W356" s="276"/>
      <c r="X356" s="276"/>
    </row>
    <row r="357" ht="15.75" customHeight="1">
      <c r="A357" s="289"/>
      <c r="B357" s="284"/>
      <c r="C357" s="284"/>
      <c r="D357" s="284"/>
      <c r="E357" s="285"/>
      <c r="F357" s="35"/>
      <c r="G357" s="290"/>
      <c r="H357" s="360"/>
      <c r="I357" s="285"/>
      <c r="J357" s="276"/>
      <c r="K357" s="276"/>
      <c r="L357" s="276"/>
      <c r="M357" s="276"/>
      <c r="N357" s="276"/>
      <c r="O357" s="276"/>
      <c r="P357" s="276"/>
      <c r="Q357" s="276"/>
      <c r="R357" s="276"/>
      <c r="S357" s="276"/>
      <c r="T357" s="276"/>
      <c r="U357" s="276"/>
      <c r="V357" s="276"/>
      <c r="W357" s="276"/>
      <c r="X357" s="276"/>
    </row>
    <row r="358" ht="15.75" customHeight="1">
      <c r="A358" s="289"/>
      <c r="B358" s="284"/>
      <c r="C358" s="284"/>
      <c r="D358" s="284"/>
      <c r="E358" s="285"/>
      <c r="F358" s="285"/>
      <c r="G358" s="290"/>
      <c r="H358" s="288"/>
      <c r="I358" s="285"/>
      <c r="J358" s="276"/>
      <c r="K358" s="276"/>
      <c r="L358" s="276"/>
      <c r="M358" s="276"/>
      <c r="N358" s="276"/>
      <c r="O358" s="276"/>
      <c r="P358" s="276"/>
      <c r="Q358" s="276"/>
      <c r="R358" s="276"/>
      <c r="S358" s="276"/>
      <c r="T358" s="276"/>
      <c r="U358" s="276"/>
      <c r="V358" s="276"/>
      <c r="W358" s="276"/>
      <c r="X358" s="276"/>
    </row>
    <row r="359" ht="15.75" customHeight="1">
      <c r="A359" s="289"/>
      <c r="B359" s="284"/>
      <c r="C359" s="284"/>
      <c r="D359" s="284"/>
      <c r="E359" s="285"/>
      <c r="F359" s="35"/>
      <c r="G359" s="290"/>
      <c r="H359" s="360"/>
      <c r="I359" s="285"/>
      <c r="J359" s="276"/>
      <c r="K359" s="276"/>
      <c r="L359" s="276"/>
      <c r="M359" s="276"/>
      <c r="N359" s="276"/>
      <c r="O359" s="276"/>
      <c r="P359" s="276"/>
      <c r="Q359" s="276"/>
      <c r="R359" s="276"/>
      <c r="S359" s="276"/>
      <c r="T359" s="276"/>
      <c r="U359" s="276"/>
      <c r="V359" s="276"/>
      <c r="W359" s="276"/>
      <c r="X359" s="276"/>
    </row>
    <row r="360" ht="15.75" customHeight="1">
      <c r="A360" s="289"/>
      <c r="B360" s="284"/>
      <c r="C360" s="284"/>
      <c r="D360" s="284"/>
      <c r="E360" s="285"/>
      <c r="F360" s="285"/>
      <c r="G360" s="290"/>
      <c r="H360" s="288"/>
      <c r="I360" s="285"/>
      <c r="J360" s="276"/>
      <c r="K360" s="276"/>
      <c r="L360" s="276"/>
      <c r="M360" s="276"/>
      <c r="N360" s="276"/>
      <c r="O360" s="276"/>
      <c r="P360" s="276"/>
      <c r="Q360" s="276"/>
      <c r="R360" s="276"/>
      <c r="S360" s="276"/>
      <c r="T360" s="276"/>
      <c r="U360" s="276"/>
      <c r="V360" s="276"/>
      <c r="W360" s="276"/>
      <c r="X360" s="276"/>
    </row>
    <row r="361" ht="15.75" customHeight="1">
      <c r="A361" s="289"/>
      <c r="B361" s="284"/>
      <c r="C361" s="284"/>
      <c r="D361" s="284"/>
      <c r="E361" s="285"/>
      <c r="F361" s="35"/>
      <c r="G361" s="290"/>
      <c r="H361" s="360"/>
      <c r="I361" s="285"/>
      <c r="J361" s="276"/>
      <c r="K361" s="276"/>
      <c r="L361" s="276"/>
      <c r="M361" s="276"/>
      <c r="N361" s="276"/>
      <c r="O361" s="276"/>
      <c r="P361" s="276"/>
      <c r="Q361" s="276"/>
      <c r="R361" s="276"/>
      <c r="S361" s="276"/>
      <c r="T361" s="276"/>
      <c r="U361" s="276"/>
      <c r="V361" s="276"/>
      <c r="W361" s="276"/>
      <c r="X361" s="276"/>
    </row>
    <row r="362" ht="15.75" customHeight="1">
      <c r="A362" s="289"/>
      <c r="B362" s="284"/>
      <c r="C362" s="284"/>
      <c r="D362" s="284"/>
      <c r="E362" s="285"/>
      <c r="F362" s="35"/>
      <c r="G362" s="290"/>
      <c r="H362" s="360"/>
      <c r="I362" s="285"/>
      <c r="J362" s="276"/>
      <c r="K362" s="276"/>
      <c r="L362" s="276"/>
      <c r="M362" s="276"/>
      <c r="N362" s="276"/>
      <c r="O362" s="276"/>
      <c r="P362" s="276"/>
      <c r="Q362" s="276"/>
      <c r="R362" s="276"/>
      <c r="S362" s="276"/>
      <c r="T362" s="276"/>
      <c r="U362" s="276"/>
      <c r="V362" s="276"/>
      <c r="W362" s="276"/>
      <c r="X362" s="276"/>
    </row>
    <row r="363" ht="15.75" customHeight="1">
      <c r="A363" s="289"/>
      <c r="B363" s="284"/>
      <c r="C363" s="284"/>
      <c r="D363" s="284"/>
      <c r="E363" s="285"/>
      <c r="F363" s="35"/>
      <c r="G363" s="290"/>
      <c r="H363" s="360"/>
      <c r="I363" s="285"/>
      <c r="J363" s="276"/>
      <c r="K363" s="276"/>
      <c r="L363" s="276"/>
      <c r="M363" s="276"/>
      <c r="N363" s="276"/>
      <c r="O363" s="276"/>
      <c r="P363" s="276"/>
      <c r="Q363" s="276"/>
      <c r="R363" s="276"/>
      <c r="S363" s="276"/>
      <c r="T363" s="276"/>
      <c r="U363" s="276"/>
      <c r="V363" s="276"/>
      <c r="W363" s="276"/>
      <c r="X363" s="276"/>
    </row>
    <row r="364" ht="15.75" customHeight="1">
      <c r="A364" s="289"/>
      <c r="B364" s="284"/>
      <c r="C364" s="284"/>
      <c r="D364" s="284"/>
      <c r="E364" s="285"/>
      <c r="F364" s="35"/>
      <c r="G364" s="290"/>
      <c r="H364" s="360"/>
      <c r="I364" s="285"/>
      <c r="J364" s="64" t="s">
        <v>1198</v>
      </c>
      <c r="K364" s="276"/>
      <c r="L364" s="276"/>
      <c r="M364" s="276"/>
      <c r="N364" s="276"/>
      <c r="O364" s="276"/>
      <c r="P364" s="276"/>
      <c r="Q364" s="276"/>
      <c r="R364" s="276"/>
      <c r="S364" s="276"/>
      <c r="T364" s="276"/>
      <c r="U364" s="276"/>
      <c r="V364" s="276"/>
      <c r="W364" s="276"/>
      <c r="X364" s="276"/>
    </row>
    <row r="365" ht="15.75" customHeight="1">
      <c r="A365" s="289"/>
      <c r="B365" s="284"/>
      <c r="C365" s="284"/>
      <c r="D365" s="284"/>
      <c r="E365" s="285"/>
      <c r="F365" s="35"/>
      <c r="G365" s="290"/>
      <c r="H365" s="360"/>
      <c r="I365" s="285"/>
      <c r="J365" s="276"/>
      <c r="K365" s="276"/>
      <c r="L365" s="276"/>
      <c r="M365" s="276"/>
      <c r="N365" s="276"/>
      <c r="O365" s="276"/>
      <c r="P365" s="276"/>
      <c r="Q365" s="276"/>
      <c r="R365" s="276"/>
      <c r="S365" s="276"/>
      <c r="T365" s="276"/>
      <c r="U365" s="276"/>
      <c r="V365" s="276"/>
      <c r="W365" s="276"/>
      <c r="X365" s="276"/>
    </row>
    <row r="366" ht="15.75" customHeight="1">
      <c r="A366" s="289"/>
      <c r="B366" s="284"/>
      <c r="C366" s="284"/>
      <c r="D366" s="284"/>
      <c r="E366" s="285"/>
      <c r="F366" s="35"/>
      <c r="G366" s="290"/>
      <c r="H366" s="360"/>
      <c r="I366" s="285"/>
      <c r="J366" s="276"/>
      <c r="K366" s="276"/>
      <c r="L366" s="276"/>
      <c r="M366" s="276"/>
      <c r="N366" s="276"/>
      <c r="O366" s="276"/>
      <c r="P366" s="276"/>
      <c r="Q366" s="276"/>
      <c r="R366" s="276"/>
      <c r="S366" s="276"/>
      <c r="T366" s="276"/>
      <c r="U366" s="276"/>
      <c r="V366" s="276"/>
      <c r="W366" s="276"/>
      <c r="X366" s="276"/>
    </row>
    <row r="367" ht="15.75" customHeight="1">
      <c r="A367" s="289"/>
      <c r="B367" s="284"/>
      <c r="C367" s="284"/>
      <c r="D367" s="284"/>
      <c r="E367" s="285"/>
      <c r="F367" s="35"/>
      <c r="G367" s="290"/>
      <c r="H367" s="360"/>
      <c r="I367" s="285"/>
      <c r="J367" s="276"/>
      <c r="K367" s="276"/>
      <c r="L367" s="276"/>
      <c r="M367" s="276"/>
      <c r="N367" s="276"/>
      <c r="O367" s="276"/>
      <c r="P367" s="276"/>
      <c r="Q367" s="276"/>
      <c r="R367" s="276"/>
      <c r="S367" s="276"/>
      <c r="T367" s="276"/>
      <c r="U367" s="276"/>
      <c r="V367" s="276"/>
      <c r="W367" s="276"/>
      <c r="X367" s="276"/>
    </row>
    <row r="368" ht="15.75" customHeight="1">
      <c r="A368" s="289"/>
      <c r="B368" s="284"/>
      <c r="C368" s="284"/>
      <c r="D368" s="284"/>
      <c r="E368" s="285"/>
      <c r="F368" s="35"/>
      <c r="G368" s="290"/>
      <c r="H368" s="360"/>
      <c r="I368" s="285"/>
      <c r="J368" s="276"/>
      <c r="K368" s="276"/>
      <c r="L368" s="276"/>
      <c r="M368" s="276"/>
      <c r="N368" s="276"/>
      <c r="O368" s="276"/>
      <c r="P368" s="276"/>
      <c r="Q368" s="276"/>
      <c r="R368" s="276"/>
      <c r="S368" s="276"/>
      <c r="T368" s="276"/>
      <c r="U368" s="276"/>
      <c r="V368" s="276"/>
      <c r="W368" s="276"/>
      <c r="X368" s="276"/>
    </row>
    <row r="369" ht="15.75" customHeight="1">
      <c r="A369" s="289"/>
      <c r="B369" s="284"/>
      <c r="C369" s="284"/>
      <c r="D369" s="284"/>
      <c r="E369" s="285"/>
      <c r="F369" s="35"/>
      <c r="G369" s="290"/>
      <c r="H369" s="360"/>
      <c r="I369" s="285"/>
      <c r="J369" s="276"/>
      <c r="K369" s="276"/>
      <c r="L369" s="276"/>
      <c r="M369" s="276"/>
      <c r="N369" s="276"/>
      <c r="O369" s="276"/>
      <c r="P369" s="276"/>
      <c r="Q369" s="276"/>
      <c r="R369" s="276"/>
      <c r="S369" s="276"/>
      <c r="T369" s="276"/>
      <c r="U369" s="276"/>
      <c r="V369" s="276"/>
      <c r="W369" s="276"/>
      <c r="X369" s="276"/>
    </row>
    <row r="370" ht="15.75" customHeight="1">
      <c r="A370" s="289"/>
      <c r="B370" s="284"/>
      <c r="C370" s="284"/>
      <c r="D370" s="284"/>
      <c r="E370" s="285"/>
      <c r="F370" s="35"/>
      <c r="G370" s="290"/>
      <c r="H370" s="360"/>
      <c r="I370" s="285"/>
      <c r="J370" s="276"/>
      <c r="K370" s="276"/>
      <c r="L370" s="276"/>
      <c r="M370" s="276"/>
      <c r="N370" s="276"/>
      <c r="O370" s="276"/>
      <c r="P370" s="276"/>
      <c r="Q370" s="276"/>
      <c r="R370" s="276"/>
      <c r="S370" s="276"/>
      <c r="T370" s="276"/>
      <c r="U370" s="276"/>
      <c r="V370" s="276"/>
      <c r="W370" s="276"/>
      <c r="X370" s="276"/>
    </row>
    <row r="371" ht="15.75" customHeight="1">
      <c r="A371" s="289"/>
      <c r="B371" s="284"/>
      <c r="C371" s="284"/>
      <c r="D371" s="284"/>
      <c r="E371" s="285"/>
      <c r="F371" s="35"/>
      <c r="G371" s="290"/>
      <c r="H371" s="360"/>
      <c r="I371" s="285"/>
      <c r="J371" s="276"/>
      <c r="K371" s="276"/>
      <c r="L371" s="276"/>
      <c r="M371" s="276"/>
      <c r="N371" s="276"/>
      <c r="O371" s="276"/>
      <c r="P371" s="276"/>
      <c r="Q371" s="276"/>
      <c r="R371" s="276"/>
      <c r="S371" s="276"/>
      <c r="T371" s="276"/>
      <c r="U371" s="276"/>
      <c r="V371" s="276"/>
      <c r="W371" s="276"/>
      <c r="X371" s="276"/>
    </row>
    <row r="372" ht="15.75" customHeight="1">
      <c r="A372" s="289"/>
      <c r="B372" s="284"/>
      <c r="C372" s="284"/>
      <c r="D372" s="284"/>
      <c r="E372" s="285"/>
      <c r="F372" s="35"/>
      <c r="G372" s="290"/>
      <c r="H372" s="360"/>
      <c r="I372" s="285"/>
      <c r="J372" s="276"/>
      <c r="K372" s="276"/>
      <c r="L372" s="276"/>
      <c r="M372" s="276"/>
      <c r="N372" s="276"/>
      <c r="O372" s="276"/>
      <c r="P372" s="276"/>
      <c r="Q372" s="276"/>
      <c r="R372" s="276"/>
      <c r="S372" s="276"/>
      <c r="T372" s="276"/>
      <c r="U372" s="276"/>
      <c r="V372" s="276"/>
      <c r="W372" s="276"/>
      <c r="X372" s="276"/>
    </row>
    <row r="373" ht="15.75" customHeight="1">
      <c r="A373" s="289"/>
      <c r="B373" s="284"/>
      <c r="C373" s="284"/>
      <c r="D373" s="284"/>
      <c r="E373" s="285"/>
      <c r="F373" s="35"/>
      <c r="G373" s="290"/>
      <c r="H373" s="360"/>
      <c r="I373" s="285"/>
      <c r="J373" s="276"/>
      <c r="K373" s="276"/>
      <c r="L373" s="276"/>
      <c r="M373" s="276"/>
      <c r="N373" s="276"/>
      <c r="O373" s="276"/>
      <c r="P373" s="276"/>
      <c r="Q373" s="276"/>
      <c r="R373" s="276"/>
      <c r="S373" s="276"/>
      <c r="T373" s="276"/>
      <c r="U373" s="276"/>
      <c r="V373" s="276"/>
      <c r="W373" s="276"/>
      <c r="X373" s="276"/>
    </row>
    <row r="374" ht="15.75" customHeight="1">
      <c r="A374" s="289"/>
      <c r="B374" s="284"/>
      <c r="C374" s="284"/>
      <c r="D374" s="284"/>
      <c r="E374" s="285"/>
      <c r="F374" s="35"/>
      <c r="G374" s="290"/>
      <c r="H374" s="360"/>
      <c r="I374" s="285"/>
      <c r="J374" s="276"/>
      <c r="K374" s="276"/>
      <c r="L374" s="276"/>
      <c r="M374" s="276"/>
      <c r="N374" s="276"/>
      <c r="O374" s="276"/>
      <c r="P374" s="276"/>
      <c r="Q374" s="276"/>
      <c r="R374" s="276"/>
      <c r="S374" s="276"/>
      <c r="T374" s="276"/>
      <c r="U374" s="276"/>
      <c r="V374" s="276"/>
      <c r="W374" s="276"/>
      <c r="X374" s="276"/>
    </row>
    <row r="375" ht="15.75" customHeight="1">
      <c r="A375" s="289"/>
      <c r="B375" s="284"/>
      <c r="C375" s="284"/>
      <c r="D375" s="284"/>
      <c r="E375" s="285"/>
      <c r="F375" s="35"/>
      <c r="G375" s="290"/>
      <c r="H375" s="360"/>
      <c r="I375" s="285"/>
      <c r="J375" s="276"/>
      <c r="K375" s="276"/>
      <c r="L375" s="276"/>
      <c r="M375" s="276"/>
      <c r="N375" s="276"/>
      <c r="O375" s="276"/>
      <c r="P375" s="276"/>
      <c r="Q375" s="276"/>
      <c r="R375" s="276"/>
      <c r="S375" s="276"/>
      <c r="T375" s="276"/>
      <c r="U375" s="276"/>
      <c r="V375" s="276"/>
      <c r="W375" s="276"/>
      <c r="X375" s="276"/>
    </row>
    <row r="376" ht="15.75" customHeight="1">
      <c r="A376" s="289"/>
      <c r="B376" s="284"/>
      <c r="C376" s="284"/>
      <c r="D376" s="284"/>
      <c r="E376" s="285"/>
      <c r="F376" s="35"/>
      <c r="G376" s="290"/>
      <c r="H376" s="360"/>
      <c r="I376" s="285"/>
      <c r="J376" s="276"/>
      <c r="K376" s="276"/>
      <c r="L376" s="276"/>
      <c r="M376" s="276"/>
      <c r="N376" s="276"/>
      <c r="O376" s="276"/>
      <c r="P376" s="276"/>
      <c r="Q376" s="276"/>
      <c r="R376" s="276"/>
      <c r="S376" s="276"/>
      <c r="T376" s="276"/>
      <c r="U376" s="276"/>
      <c r="V376" s="276"/>
      <c r="W376" s="276"/>
      <c r="X376" s="276"/>
    </row>
    <row r="377" ht="15.75" customHeight="1">
      <c r="A377" s="289"/>
      <c r="B377" s="284"/>
      <c r="C377" s="284"/>
      <c r="D377" s="284"/>
      <c r="E377" s="285"/>
      <c r="F377" s="35"/>
      <c r="G377" s="290"/>
      <c r="H377" s="360"/>
      <c r="I377" s="285"/>
      <c r="J377" s="276"/>
      <c r="K377" s="276"/>
      <c r="L377" s="276"/>
      <c r="M377" s="276"/>
      <c r="N377" s="276"/>
      <c r="O377" s="276"/>
      <c r="P377" s="276"/>
      <c r="Q377" s="276"/>
      <c r="R377" s="276"/>
      <c r="S377" s="276"/>
      <c r="T377" s="276"/>
      <c r="U377" s="276"/>
      <c r="V377" s="276"/>
      <c r="W377" s="276"/>
      <c r="X377" s="276"/>
    </row>
    <row r="378" ht="15.75" customHeight="1">
      <c r="A378" s="289"/>
      <c r="B378" s="284"/>
      <c r="C378" s="284"/>
      <c r="D378" s="284"/>
      <c r="E378" s="285"/>
      <c r="F378" s="35"/>
      <c r="G378" s="290"/>
      <c r="H378" s="360"/>
      <c r="I378" s="285"/>
      <c r="J378" s="276"/>
      <c r="K378" s="276"/>
      <c r="L378" s="276"/>
      <c r="M378" s="276"/>
      <c r="N378" s="276"/>
      <c r="O378" s="276"/>
      <c r="P378" s="276"/>
      <c r="Q378" s="276"/>
      <c r="R378" s="276"/>
      <c r="S378" s="276"/>
      <c r="T378" s="276"/>
      <c r="U378" s="276"/>
      <c r="V378" s="276"/>
      <c r="W378" s="276"/>
      <c r="X378" s="276"/>
    </row>
    <row r="379" ht="15.75" customHeight="1">
      <c r="A379" s="289"/>
      <c r="B379" s="284"/>
      <c r="C379" s="284"/>
      <c r="D379" s="284"/>
      <c r="E379" s="285"/>
      <c r="F379" s="35"/>
      <c r="G379" s="290"/>
      <c r="H379" s="360"/>
      <c r="I379" s="285"/>
      <c r="J379" s="276"/>
      <c r="K379" s="276"/>
      <c r="L379" s="276"/>
      <c r="M379" s="276"/>
      <c r="N379" s="276"/>
      <c r="O379" s="276"/>
      <c r="P379" s="276"/>
      <c r="Q379" s="276"/>
      <c r="R379" s="276"/>
      <c r="S379" s="276"/>
      <c r="T379" s="276"/>
      <c r="U379" s="276"/>
      <c r="V379" s="276"/>
      <c r="W379" s="276"/>
      <c r="X379" s="276"/>
    </row>
    <row r="380" ht="15.75" customHeight="1">
      <c r="A380" s="289"/>
      <c r="B380" s="284"/>
      <c r="C380" s="284"/>
      <c r="D380" s="284"/>
      <c r="E380" s="285"/>
      <c r="F380" s="35"/>
      <c r="G380" s="290"/>
      <c r="H380" s="360"/>
      <c r="I380" s="285"/>
      <c r="J380" s="276"/>
      <c r="K380" s="276"/>
      <c r="L380" s="276"/>
      <c r="M380" s="276"/>
      <c r="N380" s="276"/>
      <c r="O380" s="276"/>
      <c r="P380" s="276"/>
      <c r="Q380" s="276"/>
      <c r="R380" s="276"/>
      <c r="S380" s="276"/>
      <c r="T380" s="276"/>
      <c r="U380" s="276"/>
      <c r="V380" s="276"/>
      <c r="W380" s="276"/>
      <c r="X380" s="276"/>
    </row>
    <row r="381" ht="15.75" customHeight="1">
      <c r="A381" s="289"/>
      <c r="B381" s="284"/>
      <c r="C381" s="284"/>
      <c r="D381" s="284"/>
      <c r="E381" s="285"/>
      <c r="F381" s="35"/>
      <c r="G381" s="290"/>
      <c r="H381" s="360"/>
      <c r="I381" s="285"/>
      <c r="J381" s="276"/>
      <c r="K381" s="276"/>
      <c r="L381" s="276"/>
      <c r="M381" s="276"/>
      <c r="N381" s="276"/>
      <c r="O381" s="276"/>
      <c r="P381" s="276"/>
      <c r="Q381" s="276"/>
      <c r="R381" s="276"/>
      <c r="S381" s="276"/>
      <c r="T381" s="276"/>
      <c r="U381" s="276"/>
      <c r="V381" s="276"/>
      <c r="W381" s="276"/>
      <c r="X381" s="276"/>
    </row>
    <row r="382" ht="15.75" customHeight="1">
      <c r="A382" s="289"/>
      <c r="B382" s="284"/>
      <c r="C382" s="284"/>
      <c r="D382" s="284"/>
      <c r="E382" s="285"/>
      <c r="F382" s="35"/>
      <c r="G382" s="290"/>
      <c r="H382" s="360"/>
      <c r="I382" s="285"/>
      <c r="J382" s="276"/>
      <c r="K382" s="276"/>
      <c r="L382" s="276"/>
      <c r="M382" s="276"/>
      <c r="N382" s="276"/>
      <c r="O382" s="276"/>
      <c r="P382" s="276"/>
      <c r="Q382" s="276"/>
      <c r="R382" s="276"/>
      <c r="S382" s="276"/>
      <c r="T382" s="276"/>
      <c r="U382" s="276"/>
      <c r="V382" s="276"/>
      <c r="W382" s="276"/>
      <c r="X382" s="276"/>
    </row>
    <row r="383" ht="15.75" customHeight="1">
      <c r="A383" s="289"/>
      <c r="B383" s="284"/>
      <c r="C383" s="284"/>
      <c r="D383" s="284"/>
      <c r="E383" s="285"/>
      <c r="F383" s="35"/>
      <c r="G383" s="290"/>
      <c r="H383" s="360"/>
      <c r="I383" s="285"/>
      <c r="J383" s="276"/>
      <c r="K383" s="276"/>
      <c r="L383" s="276"/>
      <c r="M383" s="276"/>
      <c r="N383" s="276"/>
      <c r="O383" s="276"/>
      <c r="P383" s="276"/>
      <c r="Q383" s="276"/>
      <c r="R383" s="276"/>
      <c r="S383" s="276"/>
      <c r="T383" s="276"/>
      <c r="U383" s="276"/>
      <c r="V383" s="276"/>
      <c r="W383" s="276"/>
      <c r="X383" s="276"/>
    </row>
    <row r="384" ht="15.75" customHeight="1">
      <c r="A384" s="289"/>
      <c r="B384" s="284"/>
      <c r="C384" s="284"/>
      <c r="D384" s="284"/>
      <c r="E384" s="285"/>
      <c r="F384" s="35"/>
      <c r="G384" s="290"/>
      <c r="H384" s="360"/>
      <c r="I384" s="285"/>
      <c r="J384" s="276"/>
      <c r="K384" s="276"/>
      <c r="L384" s="276"/>
      <c r="M384" s="276"/>
      <c r="N384" s="276"/>
      <c r="O384" s="276"/>
      <c r="P384" s="276"/>
      <c r="Q384" s="276"/>
      <c r="R384" s="276"/>
      <c r="S384" s="276"/>
      <c r="T384" s="276"/>
      <c r="U384" s="276"/>
      <c r="V384" s="276"/>
      <c r="W384" s="276"/>
      <c r="X384" s="276"/>
    </row>
    <row r="385" ht="15.75" customHeight="1">
      <c r="A385" s="289"/>
      <c r="B385" s="284"/>
      <c r="C385" s="284"/>
      <c r="D385" s="284"/>
      <c r="E385" s="285"/>
      <c r="F385" s="35"/>
      <c r="G385" s="290"/>
      <c r="H385" s="360"/>
      <c r="I385" s="285"/>
      <c r="J385" s="276"/>
      <c r="K385" s="276"/>
      <c r="L385" s="276"/>
      <c r="M385" s="276"/>
      <c r="N385" s="276"/>
      <c r="O385" s="276"/>
      <c r="P385" s="276"/>
      <c r="Q385" s="276"/>
      <c r="R385" s="276"/>
      <c r="S385" s="276"/>
      <c r="T385" s="276"/>
      <c r="U385" s="276"/>
      <c r="V385" s="276"/>
      <c r="W385" s="276"/>
      <c r="X385" s="276"/>
    </row>
    <row r="386" ht="15.75" customHeight="1">
      <c r="A386" s="289"/>
      <c r="B386" s="284"/>
      <c r="C386" s="284"/>
      <c r="D386" s="284"/>
      <c r="E386" s="285"/>
      <c r="F386" s="35"/>
      <c r="G386" s="290"/>
      <c r="H386" s="360"/>
      <c r="I386" s="285"/>
      <c r="J386" s="276"/>
      <c r="K386" s="276"/>
      <c r="L386" s="276"/>
      <c r="M386" s="276"/>
      <c r="N386" s="276"/>
      <c r="O386" s="276"/>
      <c r="P386" s="276"/>
      <c r="Q386" s="276"/>
      <c r="R386" s="276"/>
      <c r="S386" s="276"/>
      <c r="T386" s="276"/>
      <c r="U386" s="276"/>
      <c r="V386" s="276"/>
      <c r="W386" s="276"/>
      <c r="X386" s="276"/>
    </row>
    <row r="387" ht="15.75" customHeight="1">
      <c r="A387" s="289"/>
      <c r="B387" s="284"/>
      <c r="C387" s="284"/>
      <c r="D387" s="284"/>
      <c r="E387" s="285"/>
      <c r="F387" s="35"/>
      <c r="G387" s="290"/>
      <c r="H387" s="360"/>
      <c r="I387" s="285"/>
      <c r="J387" s="276"/>
      <c r="K387" s="276"/>
      <c r="L387" s="276"/>
      <c r="M387" s="276"/>
      <c r="N387" s="276"/>
      <c r="O387" s="276"/>
      <c r="P387" s="276"/>
      <c r="Q387" s="276"/>
      <c r="R387" s="276"/>
      <c r="S387" s="276"/>
      <c r="T387" s="276"/>
      <c r="U387" s="276"/>
      <c r="V387" s="276"/>
      <c r="W387" s="276"/>
      <c r="X387" s="276"/>
    </row>
    <row r="388" ht="15.75" customHeight="1">
      <c r="A388" s="289"/>
      <c r="B388" s="284"/>
      <c r="C388" s="284"/>
      <c r="D388" s="284"/>
      <c r="E388" s="285"/>
      <c r="F388" s="35"/>
      <c r="G388" s="290"/>
      <c r="H388" s="360"/>
      <c r="I388" s="285"/>
      <c r="J388" s="276"/>
      <c r="K388" s="276"/>
      <c r="L388" s="276"/>
      <c r="M388" s="276"/>
      <c r="N388" s="276"/>
      <c r="O388" s="276"/>
      <c r="P388" s="276"/>
      <c r="Q388" s="276"/>
      <c r="R388" s="276"/>
      <c r="S388" s="276"/>
      <c r="T388" s="276"/>
      <c r="U388" s="276"/>
      <c r="V388" s="276"/>
      <c r="W388" s="276"/>
      <c r="X388" s="276"/>
    </row>
    <row r="389" ht="15.75" customHeight="1">
      <c r="A389" s="289"/>
      <c r="B389" s="284"/>
      <c r="C389" s="284"/>
      <c r="D389" s="284"/>
      <c r="E389" s="285"/>
      <c r="F389" s="35"/>
      <c r="G389" s="290"/>
      <c r="H389" s="360"/>
      <c r="I389" s="285"/>
      <c r="J389" s="276"/>
      <c r="K389" s="276"/>
      <c r="L389" s="276"/>
      <c r="M389" s="276"/>
      <c r="N389" s="276"/>
      <c r="O389" s="276"/>
      <c r="P389" s="276"/>
      <c r="Q389" s="276"/>
      <c r="R389" s="276"/>
      <c r="S389" s="276"/>
      <c r="T389" s="276"/>
      <c r="U389" s="276"/>
      <c r="V389" s="276"/>
      <c r="W389" s="276"/>
      <c r="X389" s="276"/>
    </row>
    <row r="390" ht="15.75" customHeight="1">
      <c r="A390" s="289"/>
      <c r="B390" s="284"/>
      <c r="C390" s="284"/>
      <c r="D390" s="284"/>
      <c r="E390" s="285"/>
      <c r="F390" s="35"/>
      <c r="G390" s="290"/>
      <c r="H390" s="360"/>
      <c r="I390" s="285"/>
      <c r="J390" s="276"/>
      <c r="K390" s="276"/>
      <c r="L390" s="276"/>
      <c r="M390" s="276"/>
      <c r="N390" s="276"/>
      <c r="O390" s="276"/>
      <c r="P390" s="276"/>
      <c r="Q390" s="276"/>
      <c r="R390" s="276"/>
      <c r="S390" s="276"/>
      <c r="T390" s="276"/>
      <c r="U390" s="276"/>
      <c r="V390" s="276"/>
      <c r="W390" s="276"/>
      <c r="X390" s="276"/>
    </row>
    <row r="391" ht="15.75" customHeight="1">
      <c r="A391" s="289"/>
      <c r="B391" s="284"/>
      <c r="C391" s="284"/>
      <c r="D391" s="284"/>
      <c r="E391" s="285"/>
      <c r="F391" s="35"/>
      <c r="G391" s="290"/>
      <c r="H391" s="360"/>
      <c r="I391" s="285"/>
      <c r="J391" s="276"/>
      <c r="K391" s="276"/>
      <c r="L391" s="276"/>
      <c r="M391" s="276"/>
      <c r="N391" s="276"/>
      <c r="O391" s="276"/>
      <c r="P391" s="276"/>
      <c r="Q391" s="276"/>
      <c r="R391" s="276"/>
      <c r="S391" s="276"/>
      <c r="T391" s="276"/>
      <c r="U391" s="276"/>
      <c r="V391" s="276"/>
      <c r="W391" s="276"/>
      <c r="X391" s="276"/>
    </row>
    <row r="392" ht="15.75" customHeight="1">
      <c r="A392" s="289"/>
      <c r="B392" s="284"/>
      <c r="C392" s="284"/>
      <c r="D392" s="284"/>
      <c r="E392" s="285"/>
      <c r="F392" s="35"/>
      <c r="G392" s="290"/>
      <c r="H392" s="360"/>
      <c r="I392" s="285"/>
      <c r="J392" s="276"/>
      <c r="K392" s="276"/>
      <c r="L392" s="276"/>
      <c r="M392" s="276"/>
      <c r="N392" s="276"/>
      <c r="O392" s="276"/>
      <c r="P392" s="276"/>
      <c r="Q392" s="276"/>
      <c r="R392" s="276"/>
      <c r="S392" s="276"/>
      <c r="T392" s="276"/>
      <c r="U392" s="276"/>
      <c r="V392" s="276"/>
      <c r="W392" s="276"/>
      <c r="X392" s="276"/>
    </row>
    <row r="393" ht="15.75" customHeight="1">
      <c r="A393" s="289"/>
      <c r="B393" s="284"/>
      <c r="C393" s="284"/>
      <c r="D393" s="284"/>
      <c r="E393" s="285"/>
      <c r="F393" s="35"/>
      <c r="G393" s="290"/>
      <c r="H393" s="360"/>
      <c r="I393" s="285"/>
      <c r="J393" s="276"/>
      <c r="K393" s="276"/>
      <c r="L393" s="276"/>
      <c r="M393" s="276"/>
      <c r="N393" s="276"/>
      <c r="O393" s="276"/>
      <c r="P393" s="276"/>
      <c r="Q393" s="276"/>
      <c r="R393" s="276"/>
      <c r="S393" s="276"/>
      <c r="T393" s="276"/>
      <c r="U393" s="276"/>
      <c r="V393" s="276"/>
      <c r="W393" s="276"/>
      <c r="X393" s="276"/>
    </row>
    <row r="394" ht="15.75" customHeight="1">
      <c r="A394" s="289"/>
      <c r="B394" s="284"/>
      <c r="C394" s="284"/>
      <c r="D394" s="284"/>
      <c r="E394" s="285"/>
      <c r="F394" s="35"/>
      <c r="G394" s="290"/>
      <c r="H394" s="360"/>
      <c r="I394" s="285"/>
      <c r="J394" s="276"/>
      <c r="K394" s="276"/>
      <c r="L394" s="276"/>
      <c r="M394" s="276"/>
      <c r="N394" s="276"/>
      <c r="O394" s="276"/>
      <c r="P394" s="276"/>
      <c r="Q394" s="276"/>
      <c r="R394" s="276"/>
      <c r="S394" s="276"/>
      <c r="T394" s="276"/>
      <c r="U394" s="276"/>
      <c r="V394" s="276"/>
      <c r="W394" s="276"/>
      <c r="X394" s="276"/>
    </row>
    <row r="395" ht="15.75" customHeight="1">
      <c r="A395" s="289"/>
      <c r="B395" s="284"/>
      <c r="C395" s="284"/>
      <c r="D395" s="284"/>
      <c r="E395" s="285"/>
      <c r="F395" s="35"/>
      <c r="G395" s="290"/>
      <c r="H395" s="360"/>
      <c r="I395" s="285"/>
      <c r="J395" s="276"/>
      <c r="K395" s="276"/>
      <c r="L395" s="276"/>
      <c r="M395" s="276"/>
      <c r="N395" s="276"/>
      <c r="O395" s="276"/>
      <c r="P395" s="276"/>
      <c r="Q395" s="276"/>
      <c r="R395" s="276"/>
      <c r="S395" s="276"/>
      <c r="T395" s="276"/>
      <c r="U395" s="276"/>
      <c r="V395" s="276"/>
      <c r="W395" s="276"/>
      <c r="X395" s="276"/>
    </row>
    <row r="396" ht="15.75" customHeight="1">
      <c r="A396" s="289"/>
      <c r="B396" s="284"/>
      <c r="C396" s="284"/>
      <c r="D396" s="284"/>
      <c r="E396" s="285"/>
      <c r="F396" s="35"/>
      <c r="G396" s="290"/>
      <c r="H396" s="360"/>
      <c r="I396" s="285"/>
      <c r="J396" s="276"/>
      <c r="K396" s="276"/>
      <c r="L396" s="276"/>
      <c r="M396" s="276"/>
      <c r="N396" s="276"/>
      <c r="O396" s="276"/>
      <c r="P396" s="276"/>
      <c r="Q396" s="276"/>
      <c r="R396" s="276"/>
      <c r="S396" s="276"/>
      <c r="T396" s="276"/>
      <c r="U396" s="276"/>
      <c r="V396" s="276"/>
      <c r="W396" s="276"/>
      <c r="X396" s="276"/>
    </row>
    <row r="397" ht="15.75" customHeight="1">
      <c r="A397" s="289"/>
      <c r="B397" s="284"/>
      <c r="C397" s="284"/>
      <c r="D397" s="284"/>
      <c r="E397" s="285"/>
      <c r="F397" s="35"/>
      <c r="G397" s="290"/>
      <c r="H397" s="360"/>
      <c r="I397" s="285"/>
      <c r="J397" s="276"/>
      <c r="K397" s="276"/>
      <c r="L397" s="276"/>
      <c r="M397" s="276"/>
      <c r="N397" s="276"/>
      <c r="O397" s="276"/>
      <c r="P397" s="276"/>
      <c r="Q397" s="276"/>
      <c r="R397" s="276"/>
      <c r="S397" s="276"/>
      <c r="T397" s="276"/>
      <c r="U397" s="276"/>
      <c r="V397" s="276"/>
      <c r="W397" s="276"/>
      <c r="X397" s="276"/>
    </row>
    <row r="398" ht="15.75" customHeight="1">
      <c r="A398" s="289"/>
      <c r="B398" s="284"/>
      <c r="C398" s="284"/>
      <c r="D398" s="284"/>
      <c r="E398" s="285"/>
      <c r="F398" s="35"/>
      <c r="G398" s="290"/>
      <c r="H398" s="360"/>
      <c r="I398" s="285"/>
      <c r="J398" s="276"/>
      <c r="K398" s="276"/>
      <c r="L398" s="276"/>
      <c r="M398" s="276"/>
      <c r="N398" s="276"/>
      <c r="O398" s="276"/>
      <c r="P398" s="276"/>
      <c r="Q398" s="276"/>
      <c r="R398" s="276"/>
      <c r="S398" s="276"/>
      <c r="T398" s="276"/>
      <c r="U398" s="276"/>
      <c r="V398" s="276"/>
      <c r="W398" s="276"/>
      <c r="X398" s="276"/>
    </row>
    <row r="399" ht="15.75" customHeight="1">
      <c r="A399" s="289"/>
      <c r="B399" s="284"/>
      <c r="C399" s="284"/>
      <c r="D399" s="284"/>
      <c r="E399" s="285"/>
      <c r="F399" s="35"/>
      <c r="G399" s="290"/>
      <c r="H399" s="360"/>
      <c r="I399" s="285"/>
      <c r="J399" s="276"/>
      <c r="K399" s="276"/>
      <c r="L399" s="276"/>
      <c r="M399" s="276"/>
      <c r="N399" s="276"/>
      <c r="O399" s="276"/>
      <c r="P399" s="276"/>
      <c r="Q399" s="276"/>
      <c r="R399" s="276"/>
      <c r="S399" s="276"/>
      <c r="T399" s="276"/>
      <c r="U399" s="276"/>
      <c r="V399" s="276"/>
      <c r="W399" s="276"/>
      <c r="X399" s="276"/>
    </row>
    <row r="400" ht="15.75" customHeight="1">
      <c r="A400" s="289"/>
      <c r="B400" s="284"/>
      <c r="C400" s="284"/>
      <c r="D400" s="284"/>
      <c r="E400" s="285"/>
      <c r="F400" s="35"/>
      <c r="G400" s="290"/>
      <c r="H400" s="360"/>
      <c r="I400" s="285"/>
      <c r="J400" s="276"/>
      <c r="K400" s="276"/>
      <c r="L400" s="276"/>
      <c r="M400" s="276"/>
      <c r="N400" s="276"/>
      <c r="O400" s="276"/>
      <c r="P400" s="276"/>
      <c r="Q400" s="276"/>
      <c r="R400" s="276"/>
      <c r="S400" s="276"/>
      <c r="T400" s="276"/>
      <c r="U400" s="276"/>
      <c r="V400" s="276"/>
      <c r="W400" s="276"/>
      <c r="X400" s="276"/>
    </row>
    <row r="401" ht="15.75" customHeight="1">
      <c r="A401" s="289"/>
      <c r="B401" s="284"/>
      <c r="C401" s="284"/>
      <c r="D401" s="284"/>
      <c r="E401" s="285"/>
      <c r="F401" s="35"/>
      <c r="G401" s="290"/>
      <c r="H401" s="360"/>
      <c r="I401" s="285"/>
      <c r="J401" s="276"/>
      <c r="K401" s="276"/>
      <c r="L401" s="276"/>
      <c r="M401" s="276"/>
      <c r="N401" s="276"/>
      <c r="O401" s="276"/>
      <c r="P401" s="276"/>
      <c r="Q401" s="276"/>
      <c r="R401" s="276"/>
      <c r="S401" s="276"/>
      <c r="T401" s="276"/>
      <c r="U401" s="276"/>
      <c r="V401" s="276"/>
      <c r="W401" s="276"/>
      <c r="X401" s="276"/>
    </row>
    <row r="402" ht="15.75" customHeight="1">
      <c r="A402" s="289"/>
      <c r="B402" s="284"/>
      <c r="C402" s="284"/>
      <c r="D402" s="284"/>
      <c r="E402" s="285"/>
      <c r="F402" s="35"/>
      <c r="G402" s="290"/>
      <c r="H402" s="360"/>
      <c r="I402" s="285"/>
      <c r="J402" s="276"/>
      <c r="K402" s="276"/>
      <c r="L402" s="276"/>
      <c r="M402" s="276"/>
      <c r="N402" s="276"/>
      <c r="O402" s="276"/>
      <c r="P402" s="276"/>
      <c r="Q402" s="276"/>
      <c r="R402" s="276"/>
      <c r="S402" s="276"/>
      <c r="T402" s="276"/>
      <c r="U402" s="276"/>
      <c r="V402" s="276"/>
      <c r="W402" s="276"/>
      <c r="X402" s="276"/>
    </row>
    <row r="403" ht="15.75" customHeight="1">
      <c r="A403" s="289"/>
      <c r="B403" s="284"/>
      <c r="C403" s="284"/>
      <c r="D403" s="284"/>
      <c r="E403" s="285"/>
      <c r="F403" s="35"/>
      <c r="G403" s="290"/>
      <c r="H403" s="360"/>
      <c r="I403" s="285"/>
      <c r="J403" s="276"/>
      <c r="K403" s="276"/>
      <c r="L403" s="276"/>
      <c r="M403" s="276"/>
      <c r="N403" s="276"/>
      <c r="O403" s="276"/>
      <c r="P403" s="276"/>
      <c r="Q403" s="276"/>
      <c r="R403" s="276"/>
      <c r="S403" s="276"/>
      <c r="T403" s="276"/>
      <c r="U403" s="276"/>
      <c r="V403" s="276"/>
      <c r="W403" s="276"/>
      <c r="X403" s="276"/>
    </row>
    <row r="404" ht="15.75" customHeight="1">
      <c r="A404" s="289"/>
      <c r="B404" s="284"/>
      <c r="C404" s="284"/>
      <c r="D404" s="284"/>
      <c r="E404" s="285"/>
      <c r="F404" s="35"/>
      <c r="G404" s="290"/>
      <c r="H404" s="360"/>
      <c r="I404" s="285"/>
      <c r="J404" s="276"/>
      <c r="K404" s="276"/>
      <c r="L404" s="276"/>
      <c r="M404" s="276"/>
      <c r="N404" s="276"/>
      <c r="O404" s="276"/>
      <c r="P404" s="276"/>
      <c r="Q404" s="276"/>
      <c r="R404" s="276"/>
      <c r="S404" s="276"/>
      <c r="T404" s="276"/>
      <c r="U404" s="276"/>
      <c r="V404" s="276"/>
      <c r="W404" s="276"/>
      <c r="X404" s="276"/>
    </row>
    <row r="405" ht="15.75" customHeight="1">
      <c r="A405" s="289"/>
      <c r="B405" s="284"/>
      <c r="C405" s="284"/>
      <c r="D405" s="284"/>
      <c r="E405" s="285"/>
      <c r="F405" s="35"/>
      <c r="G405" s="290"/>
      <c r="H405" s="360"/>
      <c r="I405" s="285"/>
      <c r="J405" s="276"/>
      <c r="K405" s="276"/>
      <c r="L405" s="276"/>
      <c r="M405" s="276"/>
      <c r="N405" s="276"/>
      <c r="O405" s="276"/>
      <c r="P405" s="276"/>
      <c r="Q405" s="276"/>
      <c r="R405" s="276"/>
      <c r="S405" s="276"/>
      <c r="T405" s="276"/>
      <c r="U405" s="276"/>
      <c r="V405" s="276"/>
      <c r="W405" s="276"/>
      <c r="X405" s="276"/>
    </row>
    <row r="406" ht="15.75" customHeight="1">
      <c r="A406" s="289"/>
      <c r="B406" s="284"/>
      <c r="C406" s="284"/>
      <c r="D406" s="284"/>
      <c r="E406" s="285"/>
      <c r="F406" s="35"/>
      <c r="G406" s="290"/>
      <c r="H406" s="360"/>
      <c r="I406" s="285"/>
      <c r="J406" s="276"/>
      <c r="K406" s="276"/>
      <c r="L406" s="276"/>
      <c r="M406" s="276"/>
      <c r="N406" s="276"/>
      <c r="O406" s="276"/>
      <c r="P406" s="276"/>
      <c r="Q406" s="276"/>
      <c r="R406" s="276"/>
      <c r="S406" s="276"/>
      <c r="T406" s="276"/>
      <c r="U406" s="276"/>
      <c r="V406" s="276"/>
      <c r="W406" s="276"/>
      <c r="X406" s="276"/>
    </row>
    <row r="407" ht="15.75" customHeight="1">
      <c r="A407" s="289"/>
      <c r="B407" s="284"/>
      <c r="C407" s="284"/>
      <c r="D407" s="284"/>
      <c r="E407" s="285"/>
      <c r="F407" s="35"/>
      <c r="G407" s="290"/>
      <c r="H407" s="360"/>
      <c r="I407" s="285"/>
      <c r="J407" s="276"/>
      <c r="K407" s="276"/>
      <c r="L407" s="276"/>
      <c r="M407" s="276"/>
      <c r="N407" s="276"/>
      <c r="O407" s="276"/>
      <c r="P407" s="276"/>
      <c r="Q407" s="276"/>
      <c r="R407" s="276"/>
      <c r="S407" s="276"/>
      <c r="T407" s="276"/>
      <c r="U407" s="276"/>
      <c r="V407" s="276"/>
      <c r="W407" s="276"/>
      <c r="X407" s="276"/>
    </row>
    <row r="408" ht="15.75" customHeight="1">
      <c r="A408" s="289"/>
      <c r="B408" s="284"/>
      <c r="C408" s="284"/>
      <c r="D408" s="284"/>
      <c r="E408" s="285"/>
      <c r="F408" s="35"/>
      <c r="G408" s="290"/>
      <c r="H408" s="360"/>
      <c r="I408" s="285"/>
      <c r="J408" s="276"/>
      <c r="K408" s="276"/>
      <c r="L408" s="276"/>
      <c r="M408" s="276"/>
      <c r="N408" s="276"/>
      <c r="O408" s="276"/>
      <c r="P408" s="276"/>
      <c r="Q408" s="276"/>
      <c r="R408" s="276"/>
      <c r="S408" s="276"/>
      <c r="T408" s="276"/>
      <c r="U408" s="276"/>
      <c r="V408" s="276"/>
      <c r="W408" s="276"/>
      <c r="X408" s="276"/>
    </row>
    <row r="409" ht="15.75" customHeight="1">
      <c r="A409" s="289"/>
      <c r="B409" s="284"/>
      <c r="C409" s="284"/>
      <c r="D409" s="284"/>
      <c r="E409" s="285"/>
      <c r="F409" s="35"/>
      <c r="G409" s="290"/>
      <c r="H409" s="360"/>
      <c r="I409" s="285"/>
      <c r="J409" s="276"/>
      <c r="K409" s="276"/>
      <c r="L409" s="276"/>
      <c r="M409" s="276"/>
      <c r="N409" s="276"/>
      <c r="O409" s="276"/>
      <c r="P409" s="276"/>
      <c r="Q409" s="276"/>
      <c r="R409" s="276"/>
      <c r="S409" s="276"/>
      <c r="T409" s="276"/>
      <c r="U409" s="276"/>
      <c r="V409" s="276"/>
      <c r="W409" s="276"/>
      <c r="X409" s="276"/>
    </row>
    <row r="410" ht="15.75" customHeight="1">
      <c r="A410" s="289"/>
      <c r="B410" s="284"/>
      <c r="C410" s="284"/>
      <c r="D410" s="284"/>
      <c r="E410" s="285"/>
      <c r="F410" s="35"/>
      <c r="G410" s="290"/>
      <c r="H410" s="360"/>
      <c r="I410" s="285"/>
      <c r="J410" s="276"/>
      <c r="K410" s="276"/>
      <c r="L410" s="276"/>
      <c r="M410" s="276"/>
      <c r="N410" s="276"/>
      <c r="O410" s="276"/>
      <c r="P410" s="276"/>
      <c r="Q410" s="276"/>
      <c r="R410" s="276"/>
      <c r="S410" s="276"/>
      <c r="T410" s="276"/>
      <c r="U410" s="276"/>
      <c r="V410" s="276"/>
      <c r="W410" s="276"/>
      <c r="X410" s="276"/>
    </row>
    <row r="411" ht="15.75" customHeight="1">
      <c r="A411" s="289"/>
      <c r="B411" s="284"/>
      <c r="C411" s="284"/>
      <c r="D411" s="284"/>
      <c r="E411" s="285"/>
      <c r="F411" s="35"/>
      <c r="G411" s="290"/>
      <c r="H411" s="360"/>
      <c r="I411" s="285"/>
      <c r="J411" s="276"/>
      <c r="K411" s="276"/>
      <c r="L411" s="276"/>
      <c r="M411" s="276"/>
      <c r="N411" s="276"/>
      <c r="O411" s="276"/>
      <c r="P411" s="276"/>
      <c r="Q411" s="276"/>
      <c r="R411" s="276"/>
      <c r="S411" s="276"/>
      <c r="T411" s="276"/>
      <c r="U411" s="276"/>
      <c r="V411" s="276"/>
      <c r="W411" s="276"/>
      <c r="X411" s="276"/>
    </row>
    <row r="412" ht="15.75" customHeight="1">
      <c r="A412" s="289"/>
      <c r="B412" s="284"/>
      <c r="C412" s="284"/>
      <c r="D412" s="284"/>
      <c r="E412" s="285"/>
      <c r="F412" s="35"/>
      <c r="G412" s="290"/>
      <c r="H412" s="360"/>
      <c r="I412" s="285"/>
      <c r="J412" s="276"/>
      <c r="K412" s="276"/>
      <c r="L412" s="276"/>
      <c r="M412" s="276"/>
      <c r="N412" s="276"/>
      <c r="O412" s="276"/>
      <c r="P412" s="276"/>
      <c r="Q412" s="276"/>
      <c r="R412" s="276"/>
      <c r="S412" s="276"/>
      <c r="T412" s="276"/>
      <c r="U412" s="276"/>
      <c r="V412" s="276"/>
      <c r="W412" s="276"/>
      <c r="X412" s="276"/>
    </row>
    <row r="413" ht="15.75" customHeight="1">
      <c r="A413" s="289"/>
      <c r="B413" s="284"/>
      <c r="C413" s="284"/>
      <c r="D413" s="284"/>
      <c r="E413" s="285"/>
      <c r="F413" s="35"/>
      <c r="G413" s="290"/>
      <c r="H413" s="360"/>
      <c r="I413" s="285"/>
      <c r="J413" s="276"/>
      <c r="K413" s="276"/>
      <c r="L413" s="276"/>
      <c r="M413" s="276"/>
      <c r="N413" s="276"/>
      <c r="O413" s="276"/>
      <c r="P413" s="276"/>
      <c r="Q413" s="276"/>
      <c r="R413" s="276"/>
      <c r="S413" s="276"/>
      <c r="T413" s="276"/>
      <c r="U413" s="276"/>
      <c r="V413" s="276"/>
      <c r="W413" s="276"/>
      <c r="X413" s="276"/>
    </row>
    <row r="414" ht="15.75" customHeight="1">
      <c r="A414" s="289"/>
      <c r="B414" s="284"/>
      <c r="C414" s="284"/>
      <c r="D414" s="284"/>
      <c r="E414" s="285"/>
      <c r="F414" s="35"/>
      <c r="G414" s="290"/>
      <c r="H414" s="360"/>
      <c r="I414" s="285"/>
      <c r="J414" s="276"/>
      <c r="K414" s="276"/>
      <c r="L414" s="276"/>
      <c r="M414" s="276"/>
      <c r="N414" s="276"/>
      <c r="O414" s="276"/>
      <c r="P414" s="276"/>
      <c r="Q414" s="276"/>
      <c r="R414" s="276"/>
      <c r="S414" s="276"/>
      <c r="T414" s="276"/>
      <c r="U414" s="276"/>
      <c r="V414" s="276"/>
      <c r="W414" s="276"/>
      <c r="X414" s="276"/>
    </row>
    <row r="415" ht="15.75" customHeight="1">
      <c r="A415" s="289"/>
      <c r="B415" s="284"/>
      <c r="C415" s="284"/>
      <c r="D415" s="284"/>
      <c r="E415" s="285"/>
      <c r="F415" s="35"/>
      <c r="G415" s="290"/>
      <c r="H415" s="360"/>
      <c r="I415" s="285"/>
      <c r="J415" s="276"/>
      <c r="K415" s="276"/>
      <c r="L415" s="276"/>
      <c r="M415" s="276"/>
      <c r="N415" s="276"/>
      <c r="O415" s="276"/>
      <c r="P415" s="276"/>
      <c r="Q415" s="276"/>
      <c r="R415" s="276"/>
      <c r="S415" s="276"/>
      <c r="T415" s="276"/>
      <c r="U415" s="276"/>
      <c r="V415" s="276"/>
      <c r="W415" s="276"/>
      <c r="X415" s="276"/>
    </row>
    <row r="416" ht="15.75" customHeight="1">
      <c r="A416" s="289"/>
      <c r="B416" s="284"/>
      <c r="C416" s="284"/>
      <c r="D416" s="284"/>
      <c r="E416" s="285"/>
      <c r="F416" s="35"/>
      <c r="G416" s="290"/>
      <c r="H416" s="360"/>
      <c r="I416" s="285"/>
      <c r="J416" s="276"/>
      <c r="K416" s="276"/>
      <c r="L416" s="276"/>
      <c r="M416" s="276"/>
      <c r="N416" s="276"/>
      <c r="O416" s="276"/>
      <c r="P416" s="276"/>
      <c r="Q416" s="276"/>
      <c r="R416" s="276"/>
      <c r="S416" s="276"/>
      <c r="T416" s="276"/>
      <c r="U416" s="276"/>
      <c r="V416" s="276"/>
      <c r="W416" s="276"/>
      <c r="X416" s="276"/>
    </row>
    <row r="417" ht="15.75" customHeight="1">
      <c r="A417" s="289"/>
      <c r="B417" s="284"/>
      <c r="C417" s="284"/>
      <c r="D417" s="284"/>
      <c r="E417" s="285"/>
      <c r="F417" s="35"/>
      <c r="G417" s="290"/>
      <c r="H417" s="360"/>
      <c r="I417" s="285"/>
      <c r="J417" s="276"/>
      <c r="K417" s="276"/>
      <c r="L417" s="276"/>
      <c r="M417" s="276"/>
      <c r="N417" s="276"/>
      <c r="O417" s="276"/>
      <c r="P417" s="276"/>
      <c r="Q417" s="276"/>
      <c r="R417" s="276"/>
      <c r="S417" s="276"/>
      <c r="T417" s="276"/>
      <c r="U417" s="276"/>
      <c r="V417" s="276"/>
      <c r="W417" s="276"/>
      <c r="X417" s="276"/>
    </row>
    <row r="418" ht="15.75" customHeight="1">
      <c r="A418" s="289"/>
      <c r="B418" s="284"/>
      <c r="C418" s="284"/>
      <c r="D418" s="284"/>
      <c r="E418" s="285"/>
      <c r="F418" s="35"/>
      <c r="G418" s="290"/>
      <c r="H418" s="360"/>
      <c r="I418" s="285"/>
      <c r="J418" s="276"/>
      <c r="K418" s="276"/>
      <c r="L418" s="276"/>
      <c r="M418" s="276"/>
      <c r="N418" s="276"/>
      <c r="O418" s="276"/>
      <c r="P418" s="276"/>
      <c r="Q418" s="276"/>
      <c r="R418" s="276"/>
      <c r="S418" s="276"/>
      <c r="T418" s="276"/>
      <c r="U418" s="276"/>
      <c r="V418" s="276"/>
      <c r="W418" s="276"/>
      <c r="X418" s="276"/>
    </row>
    <row r="419" ht="15.75" customHeight="1">
      <c r="A419" s="289"/>
      <c r="B419" s="284"/>
      <c r="C419" s="284"/>
      <c r="D419" s="284"/>
      <c r="E419" s="285"/>
      <c r="F419" s="35"/>
      <c r="G419" s="290"/>
      <c r="H419" s="360"/>
      <c r="I419" s="285"/>
      <c r="J419" s="276"/>
      <c r="K419" s="276"/>
      <c r="L419" s="276"/>
      <c r="M419" s="276"/>
      <c r="N419" s="276"/>
      <c r="O419" s="276"/>
      <c r="P419" s="276"/>
      <c r="Q419" s="276"/>
      <c r="R419" s="276"/>
      <c r="S419" s="276"/>
      <c r="T419" s="276"/>
      <c r="U419" s="276"/>
      <c r="V419" s="276"/>
      <c r="W419" s="276"/>
      <c r="X419" s="276"/>
    </row>
    <row r="420" ht="15.75" customHeight="1">
      <c r="A420" s="289"/>
      <c r="B420" s="284"/>
      <c r="C420" s="284"/>
      <c r="D420" s="284"/>
      <c r="E420" s="285"/>
      <c r="F420" s="35"/>
      <c r="G420" s="290"/>
      <c r="H420" s="360"/>
      <c r="I420" s="285"/>
      <c r="J420" s="276"/>
      <c r="K420" s="276"/>
      <c r="L420" s="276"/>
      <c r="M420" s="276"/>
      <c r="N420" s="276"/>
      <c r="O420" s="276"/>
      <c r="P420" s="276"/>
      <c r="Q420" s="276"/>
      <c r="R420" s="276"/>
      <c r="S420" s="276"/>
      <c r="T420" s="276"/>
      <c r="U420" s="276"/>
      <c r="V420" s="276"/>
      <c r="W420" s="276"/>
      <c r="X420" s="276"/>
    </row>
    <row r="421" ht="15.75" customHeight="1">
      <c r="A421" s="289"/>
      <c r="B421" s="284"/>
      <c r="C421" s="284"/>
      <c r="D421" s="284"/>
      <c r="E421" s="285"/>
      <c r="F421" s="35"/>
      <c r="G421" s="290"/>
      <c r="H421" s="360"/>
      <c r="I421" s="285"/>
      <c r="J421" s="276"/>
      <c r="K421" s="276"/>
      <c r="L421" s="276"/>
      <c r="M421" s="276"/>
      <c r="N421" s="276"/>
      <c r="O421" s="276"/>
      <c r="P421" s="276"/>
      <c r="Q421" s="276"/>
      <c r="R421" s="276"/>
      <c r="S421" s="276"/>
      <c r="T421" s="276"/>
      <c r="U421" s="276"/>
      <c r="V421" s="276"/>
      <c r="W421" s="276"/>
      <c r="X421" s="276"/>
    </row>
    <row r="422" ht="15.75" customHeight="1">
      <c r="A422" s="289"/>
      <c r="B422" s="284"/>
      <c r="C422" s="284"/>
      <c r="D422" s="284"/>
      <c r="E422" s="285"/>
      <c r="F422" s="35"/>
      <c r="G422" s="290"/>
      <c r="H422" s="360"/>
      <c r="I422" s="285"/>
      <c r="J422" s="276"/>
      <c r="K422" s="276"/>
      <c r="L422" s="276"/>
      <c r="M422" s="276"/>
      <c r="N422" s="276"/>
      <c r="O422" s="276"/>
      <c r="P422" s="276"/>
      <c r="Q422" s="276"/>
      <c r="R422" s="276"/>
      <c r="S422" s="276"/>
      <c r="T422" s="276"/>
      <c r="U422" s="276"/>
      <c r="V422" s="276"/>
      <c r="W422" s="276"/>
      <c r="X422" s="276"/>
    </row>
    <row r="423" ht="15.75" customHeight="1">
      <c r="A423" s="289"/>
      <c r="B423" s="284"/>
      <c r="C423" s="284"/>
      <c r="D423" s="284"/>
      <c r="E423" s="285"/>
      <c r="F423" s="35"/>
      <c r="G423" s="290"/>
      <c r="H423" s="360"/>
      <c r="I423" s="285"/>
      <c r="J423" s="276"/>
      <c r="K423" s="276"/>
      <c r="L423" s="276"/>
      <c r="M423" s="276"/>
      <c r="N423" s="276"/>
      <c r="O423" s="276"/>
      <c r="P423" s="276"/>
      <c r="Q423" s="276"/>
      <c r="R423" s="276"/>
      <c r="S423" s="276"/>
      <c r="T423" s="276"/>
      <c r="U423" s="276"/>
      <c r="V423" s="276"/>
      <c r="W423" s="276"/>
      <c r="X423" s="276"/>
    </row>
    <row r="424" ht="15.75" customHeight="1">
      <c r="A424" s="289"/>
      <c r="B424" s="284"/>
      <c r="C424" s="284"/>
      <c r="D424" s="284"/>
      <c r="E424" s="285"/>
      <c r="F424" s="35"/>
      <c r="G424" s="290"/>
      <c r="H424" s="360"/>
      <c r="I424" s="285"/>
      <c r="J424" s="276"/>
      <c r="K424" s="276"/>
      <c r="L424" s="276"/>
      <c r="M424" s="276"/>
      <c r="N424" s="276"/>
      <c r="O424" s="276"/>
      <c r="P424" s="276"/>
      <c r="Q424" s="276"/>
      <c r="R424" s="276"/>
      <c r="S424" s="276"/>
      <c r="T424" s="276"/>
      <c r="U424" s="276"/>
      <c r="V424" s="276"/>
      <c r="W424" s="276"/>
      <c r="X424" s="276"/>
    </row>
    <row r="425" ht="15.75" customHeight="1">
      <c r="A425" s="289"/>
      <c r="B425" s="284"/>
      <c r="C425" s="284"/>
      <c r="D425" s="284"/>
      <c r="E425" s="285"/>
      <c r="F425" s="35"/>
      <c r="G425" s="290"/>
      <c r="H425" s="360"/>
      <c r="I425" s="285"/>
      <c r="J425" s="276"/>
      <c r="K425" s="276"/>
      <c r="L425" s="276"/>
      <c r="M425" s="276"/>
      <c r="N425" s="276"/>
      <c r="O425" s="276"/>
      <c r="P425" s="276"/>
      <c r="Q425" s="276"/>
      <c r="R425" s="276"/>
      <c r="S425" s="276"/>
      <c r="T425" s="276"/>
      <c r="U425" s="276"/>
      <c r="V425" s="276"/>
      <c r="W425" s="276"/>
      <c r="X425" s="276"/>
    </row>
    <row r="426" ht="15.75" customHeight="1">
      <c r="A426" s="289"/>
      <c r="B426" s="284"/>
      <c r="C426" s="284"/>
      <c r="D426" s="284"/>
      <c r="E426" s="285"/>
      <c r="F426" s="35"/>
      <c r="G426" s="290"/>
      <c r="H426" s="360"/>
      <c r="I426" s="285"/>
      <c r="J426" s="276"/>
      <c r="K426" s="276"/>
      <c r="L426" s="276"/>
      <c r="M426" s="276"/>
      <c r="N426" s="276"/>
      <c r="O426" s="276"/>
      <c r="P426" s="276"/>
      <c r="Q426" s="276"/>
      <c r="R426" s="276"/>
      <c r="S426" s="276"/>
      <c r="T426" s="276"/>
      <c r="U426" s="276"/>
      <c r="V426" s="276"/>
      <c r="W426" s="276"/>
      <c r="X426" s="276"/>
    </row>
    <row r="427" ht="15.75" customHeight="1">
      <c r="A427" s="289"/>
      <c r="B427" s="284"/>
      <c r="C427" s="284"/>
      <c r="D427" s="284"/>
      <c r="E427" s="285"/>
      <c r="F427" s="35"/>
      <c r="G427" s="290"/>
      <c r="H427" s="360"/>
      <c r="I427" s="285"/>
      <c r="J427" s="276"/>
      <c r="K427" s="276"/>
      <c r="L427" s="276"/>
      <c r="M427" s="276"/>
      <c r="N427" s="276"/>
      <c r="O427" s="276"/>
      <c r="P427" s="276"/>
      <c r="Q427" s="276"/>
      <c r="R427" s="276"/>
      <c r="S427" s="276"/>
      <c r="T427" s="276"/>
      <c r="U427" s="276"/>
      <c r="V427" s="276"/>
      <c r="W427" s="276"/>
      <c r="X427" s="276"/>
    </row>
    <row r="428" ht="15.75" customHeight="1">
      <c r="A428" s="289"/>
      <c r="B428" s="284"/>
      <c r="C428" s="284"/>
      <c r="D428" s="284"/>
      <c r="E428" s="285"/>
      <c r="F428" s="35"/>
      <c r="G428" s="290"/>
      <c r="H428" s="360"/>
      <c r="I428" s="285"/>
      <c r="J428" s="276"/>
      <c r="K428" s="276"/>
      <c r="L428" s="276"/>
      <c r="M428" s="276"/>
      <c r="N428" s="276"/>
      <c r="O428" s="276"/>
      <c r="P428" s="276"/>
      <c r="Q428" s="276"/>
      <c r="R428" s="276"/>
      <c r="S428" s="276"/>
      <c r="T428" s="276"/>
      <c r="U428" s="276"/>
      <c r="V428" s="276"/>
      <c r="W428" s="276"/>
      <c r="X428" s="276"/>
    </row>
    <row r="429" ht="15.75" customHeight="1">
      <c r="A429" s="289"/>
      <c r="B429" s="284"/>
      <c r="C429" s="284"/>
      <c r="D429" s="284"/>
      <c r="E429" s="285"/>
      <c r="F429" s="35"/>
      <c r="G429" s="290"/>
      <c r="H429" s="360"/>
      <c r="I429" s="285"/>
      <c r="J429" s="276"/>
      <c r="K429" s="276"/>
      <c r="L429" s="276"/>
      <c r="M429" s="276"/>
      <c r="N429" s="276"/>
      <c r="O429" s="276"/>
      <c r="P429" s="276"/>
      <c r="Q429" s="276"/>
      <c r="R429" s="276"/>
      <c r="S429" s="276"/>
      <c r="T429" s="276"/>
      <c r="U429" s="276"/>
      <c r="V429" s="276"/>
      <c r="W429" s="276"/>
      <c r="X429" s="276"/>
    </row>
    <row r="430" ht="15.75" customHeight="1">
      <c r="A430" s="289"/>
      <c r="B430" s="284"/>
      <c r="C430" s="284"/>
      <c r="D430" s="284"/>
      <c r="E430" s="285"/>
      <c r="F430" s="35"/>
      <c r="G430" s="290"/>
      <c r="H430" s="360"/>
      <c r="I430" s="285"/>
      <c r="J430" s="276"/>
      <c r="K430" s="276"/>
      <c r="L430" s="276"/>
      <c r="M430" s="276"/>
      <c r="N430" s="276"/>
      <c r="O430" s="276"/>
      <c r="P430" s="276"/>
      <c r="Q430" s="276"/>
      <c r="R430" s="276"/>
      <c r="S430" s="276"/>
      <c r="T430" s="276"/>
      <c r="U430" s="276"/>
      <c r="V430" s="276"/>
      <c r="W430" s="276"/>
      <c r="X430" s="276"/>
    </row>
    <row r="431" ht="15.75" customHeight="1">
      <c r="A431" s="289"/>
      <c r="B431" s="284"/>
      <c r="C431" s="284"/>
      <c r="D431" s="284"/>
      <c r="E431" s="285"/>
      <c r="F431" s="35"/>
      <c r="G431" s="290"/>
      <c r="H431" s="360"/>
      <c r="I431" s="285"/>
      <c r="J431" s="276"/>
      <c r="K431" s="276"/>
      <c r="L431" s="276"/>
      <c r="M431" s="276"/>
      <c r="N431" s="276"/>
      <c r="O431" s="276"/>
      <c r="P431" s="276"/>
      <c r="Q431" s="276"/>
      <c r="R431" s="276"/>
      <c r="S431" s="276"/>
      <c r="T431" s="276"/>
      <c r="U431" s="276"/>
      <c r="V431" s="276"/>
      <c r="W431" s="276"/>
      <c r="X431" s="276"/>
    </row>
    <row r="432" ht="15.75" customHeight="1">
      <c r="A432" s="289"/>
      <c r="B432" s="284"/>
      <c r="C432" s="284"/>
      <c r="D432" s="284"/>
      <c r="E432" s="285"/>
      <c r="F432" s="35"/>
      <c r="G432" s="290"/>
      <c r="H432" s="360"/>
      <c r="I432" s="285"/>
      <c r="J432" s="276"/>
      <c r="K432" s="276"/>
      <c r="L432" s="276"/>
      <c r="M432" s="276"/>
      <c r="N432" s="276"/>
      <c r="O432" s="276"/>
      <c r="P432" s="276"/>
      <c r="Q432" s="276"/>
      <c r="R432" s="276"/>
      <c r="S432" s="276"/>
      <c r="T432" s="276"/>
      <c r="U432" s="276"/>
      <c r="V432" s="276"/>
      <c r="W432" s="276"/>
      <c r="X432" s="276"/>
    </row>
    <row r="433" ht="15.75" customHeight="1">
      <c r="A433" s="289"/>
      <c r="B433" s="284"/>
      <c r="C433" s="284"/>
      <c r="D433" s="284"/>
      <c r="E433" s="285"/>
      <c r="F433" s="35"/>
      <c r="G433" s="290"/>
      <c r="H433" s="360"/>
      <c r="I433" s="285"/>
      <c r="J433" s="276"/>
      <c r="K433" s="276"/>
      <c r="L433" s="276"/>
      <c r="M433" s="276"/>
      <c r="N433" s="276"/>
      <c r="O433" s="276"/>
      <c r="P433" s="276"/>
      <c r="Q433" s="276"/>
      <c r="R433" s="276"/>
      <c r="S433" s="276"/>
      <c r="T433" s="276"/>
      <c r="U433" s="276"/>
      <c r="V433" s="276"/>
      <c r="W433" s="276"/>
      <c r="X433" s="276"/>
    </row>
    <row r="434" ht="15.75" customHeight="1">
      <c r="A434" s="289"/>
      <c r="B434" s="284"/>
      <c r="C434" s="284"/>
      <c r="D434" s="284"/>
      <c r="E434" s="285"/>
      <c r="F434" s="35"/>
      <c r="G434" s="290"/>
      <c r="H434" s="360"/>
      <c r="I434" s="285"/>
      <c r="J434" s="276"/>
      <c r="K434" s="276"/>
      <c r="L434" s="276"/>
      <c r="M434" s="276"/>
      <c r="N434" s="276"/>
      <c r="O434" s="276"/>
      <c r="P434" s="276"/>
      <c r="Q434" s="276"/>
      <c r="R434" s="276"/>
      <c r="S434" s="276"/>
      <c r="T434" s="276"/>
      <c r="U434" s="276"/>
      <c r="V434" s="276"/>
      <c r="W434" s="276"/>
      <c r="X434" s="276"/>
    </row>
    <row r="435" ht="15.75" customHeight="1">
      <c r="A435" s="289"/>
      <c r="B435" s="284"/>
      <c r="C435" s="284"/>
      <c r="D435" s="284"/>
      <c r="E435" s="285"/>
      <c r="F435" s="35"/>
      <c r="G435" s="290"/>
      <c r="H435" s="360"/>
      <c r="I435" s="285"/>
      <c r="J435" s="276"/>
      <c r="K435" s="276"/>
      <c r="L435" s="276"/>
      <c r="M435" s="276"/>
      <c r="N435" s="276"/>
      <c r="O435" s="276"/>
      <c r="P435" s="276"/>
      <c r="Q435" s="276"/>
      <c r="R435" s="276"/>
      <c r="S435" s="276"/>
      <c r="T435" s="276"/>
      <c r="U435" s="276"/>
      <c r="V435" s="276"/>
      <c r="W435" s="276"/>
      <c r="X435" s="276"/>
    </row>
    <row r="436" ht="15.75" customHeight="1">
      <c r="A436" s="289"/>
      <c r="B436" s="284"/>
      <c r="C436" s="284"/>
      <c r="D436" s="284"/>
      <c r="E436" s="285"/>
      <c r="F436" s="35"/>
      <c r="G436" s="290"/>
      <c r="H436" s="360"/>
      <c r="I436" s="285"/>
      <c r="J436" s="276"/>
      <c r="K436" s="276"/>
      <c r="L436" s="276"/>
      <c r="M436" s="276"/>
      <c r="N436" s="276"/>
      <c r="O436" s="276"/>
      <c r="P436" s="276"/>
      <c r="Q436" s="276"/>
      <c r="R436" s="276"/>
      <c r="S436" s="276"/>
      <c r="T436" s="276"/>
      <c r="U436" s="276"/>
      <c r="V436" s="276"/>
      <c r="W436" s="276"/>
      <c r="X436" s="276"/>
    </row>
    <row r="437" ht="15.75" customHeight="1">
      <c r="A437" s="289"/>
      <c r="B437" s="284"/>
      <c r="C437" s="284"/>
      <c r="D437" s="284"/>
      <c r="E437" s="285"/>
      <c r="F437" s="35"/>
      <c r="G437" s="290"/>
      <c r="H437" s="360"/>
      <c r="I437" s="285"/>
      <c r="J437" s="276"/>
      <c r="K437" s="276"/>
      <c r="L437" s="276"/>
      <c r="M437" s="276"/>
      <c r="N437" s="276"/>
      <c r="O437" s="276"/>
      <c r="P437" s="276"/>
      <c r="Q437" s="276"/>
      <c r="R437" s="276"/>
      <c r="S437" s="276"/>
      <c r="T437" s="276"/>
      <c r="U437" s="276"/>
      <c r="V437" s="276"/>
      <c r="W437" s="276"/>
      <c r="X437" s="276"/>
    </row>
    <row r="438" ht="15.75" customHeight="1">
      <c r="A438" s="289"/>
      <c r="B438" s="284"/>
      <c r="C438" s="284"/>
      <c r="D438" s="284"/>
      <c r="E438" s="285"/>
      <c r="F438" s="35"/>
      <c r="G438" s="290"/>
      <c r="H438" s="360"/>
      <c r="I438" s="285"/>
      <c r="J438" s="276"/>
      <c r="K438" s="276"/>
      <c r="L438" s="276"/>
      <c r="M438" s="276"/>
      <c r="N438" s="276"/>
      <c r="O438" s="276"/>
      <c r="P438" s="276"/>
      <c r="Q438" s="276"/>
      <c r="R438" s="276"/>
      <c r="S438" s="276"/>
      <c r="T438" s="276"/>
      <c r="U438" s="276"/>
      <c r="V438" s="276"/>
      <c r="W438" s="276"/>
      <c r="X438" s="276"/>
    </row>
    <row r="439" ht="15.75" customHeight="1">
      <c r="A439" s="289"/>
      <c r="B439" s="284"/>
      <c r="C439" s="284"/>
      <c r="D439" s="284"/>
      <c r="E439" s="285"/>
      <c r="F439" s="35"/>
      <c r="G439" s="290"/>
      <c r="H439" s="360"/>
      <c r="I439" s="285"/>
      <c r="J439" s="276"/>
      <c r="K439" s="276"/>
      <c r="L439" s="276"/>
      <c r="M439" s="276"/>
      <c r="N439" s="276"/>
      <c r="O439" s="276"/>
      <c r="P439" s="276"/>
      <c r="Q439" s="276"/>
      <c r="R439" s="276"/>
      <c r="S439" s="276"/>
      <c r="T439" s="276"/>
      <c r="U439" s="276"/>
      <c r="V439" s="276"/>
      <c r="W439" s="276"/>
      <c r="X439" s="276"/>
    </row>
    <row r="440" ht="15.75" customHeight="1">
      <c r="A440" s="289"/>
      <c r="B440" s="284"/>
      <c r="C440" s="284"/>
      <c r="D440" s="284"/>
      <c r="E440" s="285"/>
      <c r="F440" s="35"/>
      <c r="G440" s="290"/>
      <c r="H440" s="360"/>
      <c r="I440" s="285"/>
      <c r="J440" s="276"/>
      <c r="K440" s="276"/>
      <c r="L440" s="276"/>
      <c r="M440" s="276"/>
      <c r="N440" s="276"/>
      <c r="O440" s="276"/>
      <c r="P440" s="276"/>
      <c r="Q440" s="276"/>
      <c r="R440" s="276"/>
      <c r="S440" s="276"/>
      <c r="T440" s="276"/>
      <c r="U440" s="276"/>
      <c r="V440" s="276"/>
      <c r="W440" s="276"/>
      <c r="X440" s="276"/>
    </row>
    <row r="441" ht="15.75" customHeight="1">
      <c r="A441" s="289"/>
      <c r="B441" s="284"/>
      <c r="C441" s="284"/>
      <c r="D441" s="284"/>
      <c r="E441" s="285"/>
      <c r="F441" s="35"/>
      <c r="G441" s="290"/>
      <c r="H441" s="360"/>
      <c r="I441" s="285"/>
      <c r="J441" s="276"/>
      <c r="K441" s="276"/>
      <c r="L441" s="276"/>
      <c r="M441" s="276"/>
      <c r="N441" s="276"/>
      <c r="O441" s="276"/>
      <c r="P441" s="276"/>
      <c r="Q441" s="276"/>
      <c r="R441" s="276"/>
      <c r="S441" s="276"/>
      <c r="T441" s="276"/>
      <c r="U441" s="276"/>
      <c r="V441" s="276"/>
      <c r="W441" s="276"/>
      <c r="X441" s="276"/>
    </row>
    <row r="442" ht="15.75" customHeight="1">
      <c r="A442" s="289"/>
      <c r="B442" s="284"/>
      <c r="C442" s="284"/>
      <c r="D442" s="284"/>
      <c r="E442" s="285"/>
      <c r="F442" s="35"/>
      <c r="G442" s="290"/>
      <c r="H442" s="360"/>
      <c r="I442" s="285"/>
      <c r="J442" s="276"/>
      <c r="K442" s="276"/>
      <c r="L442" s="276"/>
      <c r="M442" s="276"/>
      <c r="N442" s="276"/>
      <c r="O442" s="276"/>
      <c r="P442" s="276"/>
      <c r="Q442" s="276"/>
      <c r="R442" s="276"/>
      <c r="S442" s="276"/>
      <c r="T442" s="276"/>
      <c r="U442" s="276"/>
      <c r="V442" s="276"/>
      <c r="W442" s="276"/>
      <c r="X442" s="276"/>
    </row>
    <row r="443" ht="15.75" customHeight="1">
      <c r="A443" s="289"/>
      <c r="B443" s="284"/>
      <c r="C443" s="284"/>
      <c r="D443" s="284"/>
      <c r="E443" s="285"/>
      <c r="F443" s="35"/>
      <c r="G443" s="290"/>
      <c r="H443" s="360"/>
      <c r="I443" s="285"/>
      <c r="J443" s="276"/>
      <c r="K443" s="276"/>
      <c r="L443" s="276"/>
      <c r="M443" s="276"/>
      <c r="N443" s="276"/>
      <c r="O443" s="276"/>
      <c r="P443" s="276"/>
      <c r="Q443" s="276"/>
      <c r="R443" s="276"/>
      <c r="S443" s="276"/>
      <c r="T443" s="276"/>
      <c r="U443" s="276"/>
      <c r="V443" s="276"/>
      <c r="W443" s="276"/>
      <c r="X443" s="276"/>
    </row>
    <row r="444" ht="15.75" customHeight="1">
      <c r="A444" s="289"/>
      <c r="B444" s="284"/>
      <c r="C444" s="284"/>
      <c r="D444" s="284"/>
      <c r="E444" s="285"/>
      <c r="F444" s="35"/>
      <c r="G444" s="290"/>
      <c r="H444" s="360"/>
      <c r="I444" s="285"/>
      <c r="J444" s="276"/>
      <c r="K444" s="276"/>
      <c r="L444" s="276"/>
      <c r="M444" s="276"/>
      <c r="N444" s="276"/>
      <c r="O444" s="276"/>
      <c r="P444" s="276"/>
      <c r="Q444" s="276"/>
      <c r="R444" s="276"/>
      <c r="S444" s="276"/>
      <c r="T444" s="276"/>
      <c r="U444" s="276"/>
      <c r="V444" s="276"/>
      <c r="W444" s="276"/>
      <c r="X444" s="276"/>
    </row>
    <row r="445" ht="15.75" customHeight="1">
      <c r="A445" s="289"/>
      <c r="B445" s="284"/>
      <c r="C445" s="284"/>
      <c r="D445" s="284"/>
      <c r="E445" s="285"/>
      <c r="F445" s="35"/>
      <c r="G445" s="290"/>
      <c r="H445" s="360"/>
      <c r="I445" s="285"/>
      <c r="J445" s="276"/>
      <c r="K445" s="276"/>
      <c r="L445" s="276"/>
      <c r="M445" s="276"/>
      <c r="N445" s="276"/>
      <c r="O445" s="276"/>
      <c r="P445" s="276"/>
      <c r="Q445" s="276"/>
      <c r="R445" s="276"/>
      <c r="S445" s="276"/>
      <c r="T445" s="276"/>
      <c r="U445" s="276"/>
      <c r="V445" s="276"/>
      <c r="W445" s="276"/>
      <c r="X445" s="276"/>
    </row>
    <row r="446" ht="15.75" customHeight="1">
      <c r="A446" s="289"/>
      <c r="B446" s="284"/>
      <c r="C446" s="284"/>
      <c r="D446" s="284"/>
      <c r="E446" s="285"/>
      <c r="F446" s="35"/>
      <c r="G446" s="290"/>
      <c r="H446" s="360"/>
      <c r="I446" s="285"/>
      <c r="J446" s="276"/>
      <c r="K446" s="276"/>
      <c r="L446" s="276"/>
      <c r="M446" s="276"/>
      <c r="N446" s="276"/>
      <c r="O446" s="276"/>
      <c r="P446" s="276"/>
      <c r="Q446" s="276"/>
      <c r="R446" s="276"/>
      <c r="S446" s="276"/>
      <c r="T446" s="276"/>
      <c r="U446" s="276"/>
      <c r="V446" s="276"/>
      <c r="W446" s="276"/>
      <c r="X446" s="276"/>
    </row>
    <row r="447" ht="15.75" customHeight="1">
      <c r="A447" s="289"/>
      <c r="B447" s="284"/>
      <c r="C447" s="284"/>
      <c r="D447" s="284"/>
      <c r="E447" s="285"/>
      <c r="F447" s="35"/>
      <c r="G447" s="290"/>
      <c r="H447" s="360"/>
      <c r="I447" s="285"/>
      <c r="J447" s="276"/>
      <c r="K447" s="276"/>
      <c r="L447" s="276"/>
      <c r="M447" s="276"/>
      <c r="N447" s="276"/>
      <c r="O447" s="276"/>
      <c r="P447" s="276"/>
      <c r="Q447" s="276"/>
      <c r="R447" s="276"/>
      <c r="S447" s="276"/>
      <c r="T447" s="276"/>
      <c r="U447" s="276"/>
      <c r="V447" s="276"/>
      <c r="W447" s="276"/>
      <c r="X447" s="276"/>
    </row>
    <row r="448" ht="15.75" customHeight="1">
      <c r="A448" s="289"/>
      <c r="B448" s="284"/>
      <c r="C448" s="284"/>
      <c r="D448" s="284"/>
      <c r="E448" s="285"/>
      <c r="F448" s="35"/>
      <c r="G448" s="290"/>
      <c r="H448" s="360"/>
      <c r="I448" s="285"/>
      <c r="J448" s="276"/>
      <c r="K448" s="276"/>
      <c r="L448" s="276"/>
      <c r="M448" s="276"/>
      <c r="N448" s="276"/>
      <c r="O448" s="276"/>
      <c r="P448" s="276"/>
      <c r="Q448" s="276"/>
      <c r="R448" s="276"/>
      <c r="S448" s="276"/>
      <c r="T448" s="276"/>
      <c r="U448" s="276"/>
      <c r="V448" s="276"/>
      <c r="W448" s="276"/>
      <c r="X448" s="276"/>
    </row>
    <row r="449" ht="15.75" customHeight="1">
      <c r="A449" s="289"/>
      <c r="B449" s="284"/>
      <c r="C449" s="284"/>
      <c r="D449" s="284"/>
      <c r="E449" s="285"/>
      <c r="F449" s="35"/>
      <c r="G449" s="290"/>
      <c r="H449" s="360"/>
      <c r="I449" s="285"/>
      <c r="J449" s="276"/>
      <c r="K449" s="276"/>
      <c r="L449" s="276"/>
      <c r="M449" s="276"/>
      <c r="N449" s="276"/>
      <c r="O449" s="276"/>
      <c r="P449" s="276"/>
      <c r="Q449" s="276"/>
      <c r="R449" s="276"/>
      <c r="S449" s="276"/>
      <c r="T449" s="276"/>
      <c r="U449" s="276"/>
      <c r="V449" s="276"/>
      <c r="W449" s="276"/>
      <c r="X449" s="276"/>
    </row>
    <row r="450" ht="15.75" customHeight="1">
      <c r="A450" s="289"/>
      <c r="B450" s="284"/>
      <c r="C450" s="284"/>
      <c r="D450" s="284"/>
      <c r="E450" s="285"/>
      <c r="F450" s="35"/>
      <c r="G450" s="290"/>
      <c r="H450" s="360"/>
      <c r="I450" s="285"/>
      <c r="J450" s="276"/>
      <c r="K450" s="276"/>
      <c r="L450" s="276"/>
      <c r="M450" s="276"/>
      <c r="N450" s="276"/>
      <c r="O450" s="276"/>
      <c r="P450" s="276"/>
      <c r="Q450" s="276"/>
      <c r="R450" s="276"/>
      <c r="S450" s="276"/>
      <c r="T450" s="276"/>
      <c r="U450" s="276"/>
      <c r="V450" s="276"/>
      <c r="W450" s="276"/>
      <c r="X450" s="276"/>
    </row>
    <row r="451" ht="15.75" customHeight="1">
      <c r="A451" s="289"/>
      <c r="B451" s="284"/>
      <c r="C451" s="284"/>
      <c r="D451" s="284"/>
      <c r="E451" s="285"/>
      <c r="F451" s="35"/>
      <c r="G451" s="290"/>
      <c r="H451" s="360"/>
      <c r="I451" s="285"/>
      <c r="J451" s="276"/>
      <c r="K451" s="276"/>
      <c r="L451" s="276"/>
      <c r="M451" s="276"/>
      <c r="N451" s="276"/>
      <c r="O451" s="276"/>
      <c r="P451" s="276"/>
      <c r="Q451" s="276"/>
      <c r="R451" s="276"/>
      <c r="S451" s="276"/>
      <c r="T451" s="276"/>
      <c r="U451" s="276"/>
      <c r="V451" s="276"/>
      <c r="W451" s="276"/>
      <c r="X451" s="276"/>
    </row>
    <row r="452" ht="15.75" customHeight="1">
      <c r="A452" s="289"/>
      <c r="B452" s="284"/>
      <c r="C452" s="284"/>
      <c r="D452" s="284"/>
      <c r="E452" s="285"/>
      <c r="F452" s="35"/>
      <c r="G452" s="290"/>
      <c r="H452" s="360"/>
      <c r="I452" s="285"/>
      <c r="J452" s="276"/>
      <c r="K452" s="276"/>
      <c r="L452" s="276"/>
      <c r="M452" s="276"/>
      <c r="N452" s="276"/>
      <c r="O452" s="276"/>
      <c r="P452" s="276"/>
      <c r="Q452" s="276"/>
      <c r="R452" s="276"/>
      <c r="S452" s="276"/>
      <c r="T452" s="276"/>
      <c r="U452" s="276"/>
      <c r="V452" s="276"/>
      <c r="W452" s="276"/>
      <c r="X452" s="276"/>
    </row>
    <row r="453" ht="15.75" customHeight="1">
      <c r="A453" s="289"/>
      <c r="B453" s="284"/>
      <c r="C453" s="284"/>
      <c r="D453" s="284"/>
      <c r="E453" s="285"/>
      <c r="F453" s="35"/>
      <c r="G453" s="290"/>
      <c r="H453" s="360"/>
      <c r="I453" s="285"/>
      <c r="J453" s="276"/>
      <c r="K453" s="276"/>
      <c r="L453" s="276"/>
      <c r="M453" s="276"/>
      <c r="N453" s="276"/>
      <c r="O453" s="276"/>
      <c r="P453" s="276"/>
      <c r="Q453" s="276"/>
      <c r="R453" s="276"/>
      <c r="S453" s="276"/>
      <c r="T453" s="276"/>
      <c r="U453" s="276"/>
      <c r="V453" s="276"/>
      <c r="W453" s="276"/>
      <c r="X453" s="276"/>
    </row>
    <row r="454" ht="15.75" customHeight="1">
      <c r="A454" s="289"/>
      <c r="B454" s="284"/>
      <c r="C454" s="284"/>
      <c r="D454" s="284"/>
      <c r="E454" s="285"/>
      <c r="F454" s="35"/>
      <c r="G454" s="290"/>
      <c r="H454" s="360"/>
      <c r="I454" s="285"/>
      <c r="J454" s="276"/>
      <c r="K454" s="276"/>
      <c r="L454" s="276"/>
      <c r="M454" s="276"/>
      <c r="N454" s="276"/>
      <c r="O454" s="276"/>
      <c r="P454" s="276"/>
      <c r="Q454" s="276"/>
      <c r="R454" s="276"/>
      <c r="S454" s="276"/>
      <c r="T454" s="276"/>
      <c r="U454" s="276"/>
      <c r="V454" s="276"/>
      <c r="W454" s="276"/>
      <c r="X454" s="276"/>
    </row>
    <row r="455" ht="15.75" customHeight="1">
      <c r="A455" s="289"/>
      <c r="B455" s="284"/>
      <c r="C455" s="284"/>
      <c r="D455" s="284"/>
      <c r="E455" s="285"/>
      <c r="F455" s="35"/>
      <c r="G455" s="290"/>
      <c r="H455" s="360"/>
      <c r="I455" s="285"/>
      <c r="J455" s="276"/>
      <c r="K455" s="276"/>
      <c r="L455" s="276"/>
      <c r="M455" s="276"/>
      <c r="N455" s="276"/>
      <c r="O455" s="276"/>
      <c r="P455" s="276"/>
      <c r="Q455" s="276"/>
      <c r="R455" s="276"/>
      <c r="S455" s="276"/>
      <c r="T455" s="276"/>
      <c r="U455" s="276"/>
      <c r="V455" s="276"/>
      <c r="W455" s="276"/>
      <c r="X455" s="276"/>
    </row>
    <row r="456" ht="15.75" customHeight="1">
      <c r="A456" s="289"/>
      <c r="B456" s="284"/>
      <c r="C456" s="284"/>
      <c r="D456" s="284"/>
      <c r="E456" s="285"/>
      <c r="F456" s="35"/>
      <c r="G456" s="290"/>
      <c r="H456" s="360"/>
      <c r="I456" s="285"/>
      <c r="J456" s="276"/>
      <c r="K456" s="276"/>
      <c r="L456" s="276"/>
      <c r="M456" s="276"/>
      <c r="N456" s="276"/>
      <c r="O456" s="276"/>
      <c r="P456" s="276"/>
      <c r="Q456" s="276"/>
      <c r="R456" s="276"/>
      <c r="S456" s="276"/>
      <c r="T456" s="276"/>
      <c r="U456" s="276"/>
      <c r="V456" s="276"/>
      <c r="W456" s="276"/>
      <c r="X456" s="276"/>
    </row>
    <row r="457" ht="15.75" customHeight="1">
      <c r="A457" s="289"/>
      <c r="B457" s="284"/>
      <c r="C457" s="284"/>
      <c r="D457" s="284"/>
      <c r="E457" s="285"/>
      <c r="F457" s="35"/>
      <c r="G457" s="290"/>
      <c r="H457" s="360"/>
      <c r="I457" s="285"/>
      <c r="J457" s="276"/>
      <c r="K457" s="276"/>
      <c r="L457" s="276"/>
      <c r="M457" s="276"/>
      <c r="N457" s="276"/>
      <c r="O457" s="276"/>
      <c r="P457" s="276"/>
      <c r="Q457" s="276"/>
      <c r="R457" s="276"/>
      <c r="S457" s="276"/>
      <c r="T457" s="276"/>
      <c r="U457" s="276"/>
      <c r="V457" s="276"/>
      <c r="W457" s="276"/>
      <c r="X457" s="276"/>
    </row>
    <row r="458" ht="15.75" customHeight="1">
      <c r="A458" s="289"/>
      <c r="B458" s="284"/>
      <c r="C458" s="284"/>
      <c r="D458" s="284"/>
      <c r="E458" s="285"/>
      <c r="F458" s="35"/>
      <c r="G458" s="290"/>
      <c r="H458" s="360"/>
      <c r="I458" s="285"/>
      <c r="J458" s="276"/>
      <c r="K458" s="276"/>
      <c r="L458" s="276"/>
      <c r="M458" s="276"/>
      <c r="N458" s="276"/>
      <c r="O458" s="276"/>
      <c r="P458" s="276"/>
      <c r="Q458" s="276"/>
      <c r="R458" s="276"/>
      <c r="S458" s="276"/>
      <c r="T458" s="276"/>
      <c r="U458" s="276"/>
      <c r="V458" s="276"/>
      <c r="W458" s="276"/>
      <c r="X458" s="276"/>
    </row>
    <row r="459" ht="15.75" customHeight="1">
      <c r="A459" s="289"/>
      <c r="B459" s="284"/>
      <c r="C459" s="284"/>
      <c r="D459" s="284"/>
      <c r="E459" s="285"/>
      <c r="F459" s="35"/>
      <c r="G459" s="290"/>
      <c r="H459" s="360"/>
      <c r="I459" s="285"/>
      <c r="J459" s="276"/>
      <c r="K459" s="276"/>
      <c r="L459" s="276"/>
      <c r="M459" s="276"/>
      <c r="N459" s="276"/>
      <c r="O459" s="276"/>
      <c r="P459" s="276"/>
      <c r="Q459" s="276"/>
      <c r="R459" s="276"/>
      <c r="S459" s="276"/>
      <c r="T459" s="276"/>
      <c r="U459" s="276"/>
      <c r="V459" s="276"/>
      <c r="W459" s="276"/>
      <c r="X459" s="276"/>
    </row>
    <row r="460" ht="15.75" customHeight="1">
      <c r="A460" s="289"/>
      <c r="B460" s="284"/>
      <c r="C460" s="284"/>
      <c r="D460" s="284"/>
      <c r="E460" s="285"/>
      <c r="F460" s="35"/>
      <c r="G460" s="290"/>
      <c r="H460" s="360"/>
      <c r="I460" s="285"/>
      <c r="J460" s="276"/>
      <c r="K460" s="276"/>
      <c r="L460" s="276"/>
      <c r="M460" s="276"/>
      <c r="N460" s="276"/>
      <c r="O460" s="276"/>
      <c r="P460" s="276"/>
      <c r="Q460" s="276"/>
      <c r="R460" s="276"/>
      <c r="S460" s="276"/>
      <c r="T460" s="276"/>
      <c r="U460" s="276"/>
      <c r="V460" s="276"/>
      <c r="W460" s="276"/>
      <c r="X460" s="276"/>
    </row>
    <row r="461" ht="15.75" customHeight="1">
      <c r="A461" s="289"/>
      <c r="B461" s="284"/>
      <c r="C461" s="284"/>
      <c r="D461" s="284"/>
      <c r="E461" s="285"/>
      <c r="F461" s="35"/>
      <c r="G461" s="290"/>
      <c r="H461" s="360"/>
      <c r="I461" s="285"/>
      <c r="J461" s="276"/>
      <c r="K461" s="276"/>
      <c r="L461" s="276"/>
      <c r="M461" s="276"/>
      <c r="N461" s="276"/>
      <c r="O461" s="276"/>
      <c r="P461" s="276"/>
      <c r="Q461" s="276"/>
      <c r="R461" s="276"/>
      <c r="S461" s="276"/>
      <c r="T461" s="276"/>
      <c r="U461" s="276"/>
      <c r="V461" s="276"/>
      <c r="W461" s="276"/>
      <c r="X461" s="276"/>
    </row>
    <row r="462" ht="15.75" customHeight="1">
      <c r="A462" s="289"/>
      <c r="B462" s="284"/>
      <c r="C462" s="284"/>
      <c r="D462" s="284"/>
      <c r="E462" s="285"/>
      <c r="F462" s="35"/>
      <c r="G462" s="290"/>
      <c r="H462" s="360"/>
      <c r="I462" s="285"/>
      <c r="J462" s="276"/>
      <c r="K462" s="276"/>
      <c r="L462" s="276"/>
      <c r="M462" s="276"/>
      <c r="N462" s="276"/>
      <c r="O462" s="276"/>
      <c r="P462" s="276"/>
      <c r="Q462" s="276"/>
      <c r="R462" s="276"/>
      <c r="S462" s="276"/>
      <c r="T462" s="276"/>
      <c r="U462" s="276"/>
      <c r="V462" s="276"/>
      <c r="W462" s="276"/>
      <c r="X462" s="276"/>
    </row>
    <row r="463" ht="15.75" customHeight="1">
      <c r="A463" s="289"/>
      <c r="B463" s="284"/>
      <c r="C463" s="284"/>
      <c r="D463" s="284"/>
      <c r="E463" s="285"/>
      <c r="F463" s="35"/>
      <c r="G463" s="290"/>
      <c r="H463" s="360"/>
      <c r="I463" s="285"/>
      <c r="J463" s="276"/>
      <c r="K463" s="276"/>
      <c r="L463" s="276"/>
      <c r="M463" s="276"/>
      <c r="N463" s="276"/>
      <c r="O463" s="276"/>
      <c r="P463" s="276"/>
      <c r="Q463" s="276"/>
      <c r="R463" s="276"/>
      <c r="S463" s="276"/>
      <c r="T463" s="276"/>
      <c r="U463" s="276"/>
      <c r="V463" s="276"/>
      <c r="W463" s="276"/>
      <c r="X463" s="276"/>
    </row>
    <row r="464" ht="15.75" customHeight="1">
      <c r="A464" s="289"/>
      <c r="B464" s="284"/>
      <c r="C464" s="284"/>
      <c r="D464" s="284"/>
      <c r="E464" s="285"/>
      <c r="F464" s="35"/>
      <c r="G464" s="290"/>
      <c r="H464" s="360"/>
      <c r="I464" s="285"/>
      <c r="J464" s="276"/>
      <c r="K464" s="276"/>
      <c r="L464" s="276"/>
      <c r="M464" s="276"/>
      <c r="N464" s="276"/>
      <c r="O464" s="276"/>
      <c r="P464" s="276"/>
      <c r="Q464" s="276"/>
      <c r="R464" s="276"/>
      <c r="S464" s="276"/>
      <c r="T464" s="276"/>
      <c r="U464" s="276"/>
      <c r="V464" s="276"/>
      <c r="W464" s="276"/>
      <c r="X464" s="276"/>
    </row>
    <row r="465" ht="15.75" customHeight="1">
      <c r="A465" s="289"/>
      <c r="B465" s="284"/>
      <c r="C465" s="284"/>
      <c r="D465" s="284"/>
      <c r="E465" s="285"/>
      <c r="F465" s="35"/>
      <c r="G465" s="290"/>
      <c r="H465" s="360"/>
      <c r="I465" s="285"/>
      <c r="J465" s="276"/>
      <c r="K465" s="276"/>
      <c r="L465" s="276"/>
      <c r="M465" s="276"/>
      <c r="N465" s="276"/>
      <c r="O465" s="276"/>
      <c r="P465" s="276"/>
      <c r="Q465" s="276"/>
      <c r="R465" s="276"/>
      <c r="S465" s="276"/>
      <c r="T465" s="276"/>
      <c r="U465" s="276"/>
      <c r="V465" s="276"/>
      <c r="W465" s="276"/>
      <c r="X465" s="276"/>
    </row>
    <row r="466" ht="15.75" customHeight="1">
      <c r="A466" s="289"/>
      <c r="B466" s="284"/>
      <c r="C466" s="284"/>
      <c r="D466" s="284"/>
      <c r="E466" s="285"/>
      <c r="F466" s="35"/>
      <c r="G466" s="290"/>
      <c r="H466" s="360"/>
      <c r="I466" s="285"/>
      <c r="J466" s="276"/>
      <c r="K466" s="276"/>
      <c r="L466" s="276"/>
      <c r="M466" s="276"/>
      <c r="N466" s="276"/>
      <c r="O466" s="276"/>
      <c r="P466" s="276"/>
      <c r="Q466" s="276"/>
      <c r="R466" s="276"/>
      <c r="S466" s="276"/>
      <c r="T466" s="276"/>
      <c r="U466" s="276"/>
      <c r="V466" s="276"/>
      <c r="W466" s="276"/>
      <c r="X466" s="276"/>
    </row>
    <row r="467" ht="15.75" customHeight="1">
      <c r="A467" s="289"/>
      <c r="B467" s="284"/>
      <c r="C467" s="284"/>
      <c r="D467" s="284"/>
      <c r="E467" s="285"/>
      <c r="F467" s="35"/>
      <c r="G467" s="290"/>
      <c r="H467" s="360"/>
      <c r="I467" s="285"/>
      <c r="J467" s="276"/>
      <c r="K467" s="276"/>
      <c r="L467" s="276"/>
      <c r="M467" s="276"/>
      <c r="N467" s="276"/>
      <c r="O467" s="276"/>
      <c r="P467" s="276"/>
      <c r="Q467" s="276"/>
      <c r="R467" s="276"/>
      <c r="S467" s="276"/>
      <c r="T467" s="276"/>
      <c r="U467" s="276"/>
      <c r="V467" s="276"/>
      <c r="W467" s="276"/>
      <c r="X467" s="276"/>
    </row>
    <row r="468" ht="15.75" customHeight="1">
      <c r="A468" s="289"/>
      <c r="B468" s="284"/>
      <c r="C468" s="284"/>
      <c r="D468" s="284"/>
      <c r="E468" s="285"/>
      <c r="F468" s="35"/>
      <c r="G468" s="290"/>
      <c r="H468" s="360"/>
      <c r="I468" s="285"/>
      <c r="J468" s="276"/>
      <c r="K468" s="276"/>
      <c r="L468" s="276"/>
      <c r="M468" s="276"/>
      <c r="N468" s="276"/>
      <c r="O468" s="276"/>
      <c r="P468" s="276"/>
      <c r="Q468" s="276"/>
      <c r="R468" s="276"/>
      <c r="S468" s="276"/>
      <c r="T468" s="276"/>
      <c r="U468" s="276"/>
      <c r="V468" s="276"/>
      <c r="W468" s="276"/>
      <c r="X468" s="276"/>
    </row>
    <row r="469" ht="15.75" customHeight="1">
      <c r="A469" s="289"/>
      <c r="B469" s="284"/>
      <c r="C469" s="284"/>
      <c r="D469" s="284"/>
      <c r="E469" s="285"/>
      <c r="F469" s="35"/>
      <c r="G469" s="290"/>
      <c r="H469" s="360"/>
      <c r="I469" s="285"/>
      <c r="J469" s="276"/>
      <c r="K469" s="276"/>
      <c r="L469" s="276"/>
      <c r="M469" s="276"/>
      <c r="N469" s="276"/>
      <c r="O469" s="276"/>
      <c r="P469" s="276"/>
      <c r="Q469" s="276"/>
      <c r="R469" s="276"/>
      <c r="S469" s="276"/>
      <c r="T469" s="276"/>
      <c r="U469" s="276"/>
      <c r="V469" s="276"/>
      <c r="W469" s="276"/>
      <c r="X469" s="276"/>
    </row>
    <row r="470" ht="15.75" customHeight="1">
      <c r="A470" s="289"/>
      <c r="B470" s="284"/>
      <c r="C470" s="284"/>
      <c r="D470" s="284"/>
      <c r="E470" s="285"/>
      <c r="F470" s="35"/>
      <c r="G470" s="290"/>
      <c r="H470" s="360"/>
      <c r="I470" s="285"/>
      <c r="J470" s="276"/>
      <c r="K470" s="276"/>
      <c r="L470" s="276"/>
      <c r="M470" s="276"/>
      <c r="N470" s="276"/>
      <c r="O470" s="276"/>
      <c r="P470" s="276"/>
      <c r="Q470" s="276"/>
      <c r="R470" s="276"/>
      <c r="S470" s="276"/>
      <c r="T470" s="276"/>
      <c r="U470" s="276"/>
      <c r="V470" s="276"/>
      <c r="W470" s="276"/>
      <c r="X470" s="276"/>
    </row>
    <row r="471" ht="15.75" customHeight="1">
      <c r="A471" s="289"/>
      <c r="B471" s="284"/>
      <c r="C471" s="284"/>
      <c r="D471" s="284"/>
      <c r="E471" s="285"/>
      <c r="F471" s="35"/>
      <c r="G471" s="290"/>
      <c r="H471" s="360"/>
      <c r="I471" s="285"/>
      <c r="J471" s="276"/>
      <c r="K471" s="276"/>
      <c r="L471" s="276"/>
      <c r="M471" s="276"/>
      <c r="N471" s="276"/>
      <c r="O471" s="276"/>
      <c r="P471" s="276"/>
      <c r="Q471" s="276"/>
      <c r="R471" s="276"/>
      <c r="S471" s="276"/>
      <c r="T471" s="276"/>
      <c r="U471" s="276"/>
      <c r="V471" s="276"/>
      <c r="W471" s="276"/>
      <c r="X471" s="276"/>
    </row>
    <row r="472" ht="15.75" customHeight="1">
      <c r="A472" s="289"/>
      <c r="B472" s="284"/>
      <c r="C472" s="284"/>
      <c r="D472" s="284"/>
      <c r="E472" s="285"/>
      <c r="F472" s="35"/>
      <c r="G472" s="290"/>
      <c r="H472" s="360"/>
      <c r="I472" s="285"/>
      <c r="J472" s="276"/>
      <c r="K472" s="276"/>
      <c r="L472" s="276"/>
      <c r="M472" s="276"/>
      <c r="N472" s="276"/>
      <c r="O472" s="276"/>
      <c r="P472" s="276"/>
      <c r="Q472" s="276"/>
      <c r="R472" s="276"/>
      <c r="S472" s="276"/>
      <c r="T472" s="276"/>
      <c r="U472" s="276"/>
      <c r="V472" s="276"/>
      <c r="W472" s="276"/>
      <c r="X472" s="276"/>
    </row>
    <row r="473" ht="15.75" customHeight="1">
      <c r="A473" s="289"/>
      <c r="B473" s="284"/>
      <c r="C473" s="284"/>
      <c r="D473" s="284"/>
      <c r="E473" s="285"/>
      <c r="F473" s="35"/>
      <c r="G473" s="290"/>
      <c r="H473" s="360"/>
      <c r="I473" s="285"/>
      <c r="J473" s="276"/>
      <c r="K473" s="276"/>
      <c r="L473" s="276"/>
      <c r="M473" s="276"/>
      <c r="N473" s="276"/>
      <c r="O473" s="276"/>
      <c r="P473" s="276"/>
      <c r="Q473" s="276"/>
      <c r="R473" s="276"/>
      <c r="S473" s="276"/>
      <c r="T473" s="276"/>
      <c r="U473" s="276"/>
      <c r="V473" s="276"/>
      <c r="W473" s="276"/>
      <c r="X473" s="276"/>
    </row>
    <row r="474" ht="15.75" customHeight="1">
      <c r="A474" s="289"/>
      <c r="B474" s="284"/>
      <c r="C474" s="284"/>
      <c r="D474" s="284"/>
      <c r="E474" s="285"/>
      <c r="F474" s="35"/>
      <c r="G474" s="290"/>
      <c r="H474" s="360"/>
      <c r="I474" s="285"/>
      <c r="J474" s="276"/>
      <c r="K474" s="276"/>
      <c r="L474" s="276"/>
      <c r="M474" s="276"/>
      <c r="N474" s="276"/>
      <c r="O474" s="276"/>
      <c r="P474" s="276"/>
      <c r="Q474" s="276"/>
      <c r="R474" s="276"/>
      <c r="S474" s="276"/>
      <c r="T474" s="276"/>
      <c r="U474" s="276"/>
      <c r="V474" s="276"/>
      <c r="W474" s="276"/>
      <c r="X474" s="276"/>
    </row>
    <row r="475" ht="15.75" customHeight="1">
      <c r="A475" s="289"/>
      <c r="B475" s="284"/>
      <c r="C475" s="284"/>
      <c r="D475" s="284"/>
      <c r="E475" s="285"/>
      <c r="F475" s="35"/>
      <c r="G475" s="290"/>
      <c r="H475" s="360"/>
      <c r="I475" s="285"/>
      <c r="J475" s="276"/>
      <c r="K475" s="276"/>
      <c r="L475" s="276"/>
      <c r="M475" s="276"/>
      <c r="N475" s="276"/>
      <c r="O475" s="276"/>
      <c r="P475" s="276"/>
      <c r="Q475" s="276"/>
      <c r="R475" s="276"/>
      <c r="S475" s="276"/>
      <c r="T475" s="276"/>
      <c r="U475" s="276"/>
      <c r="V475" s="276"/>
      <c r="W475" s="276"/>
      <c r="X475" s="276"/>
    </row>
    <row r="476" ht="15.75" customHeight="1">
      <c r="A476" s="289"/>
      <c r="B476" s="284"/>
      <c r="C476" s="284"/>
      <c r="D476" s="284"/>
      <c r="E476" s="285"/>
      <c r="F476" s="35"/>
      <c r="G476" s="290"/>
      <c r="H476" s="360"/>
      <c r="I476" s="285"/>
      <c r="J476" s="276"/>
      <c r="K476" s="276"/>
      <c r="L476" s="276"/>
      <c r="M476" s="276"/>
      <c r="N476" s="276"/>
      <c r="O476" s="276"/>
      <c r="P476" s="276"/>
      <c r="Q476" s="276"/>
      <c r="R476" s="276"/>
      <c r="S476" s="276"/>
      <c r="T476" s="276"/>
      <c r="U476" s="276"/>
      <c r="V476" s="276"/>
      <c r="W476" s="276"/>
      <c r="X476" s="276"/>
    </row>
    <row r="477" ht="15.75" customHeight="1">
      <c r="A477" s="289"/>
      <c r="B477" s="284"/>
      <c r="C477" s="284"/>
      <c r="D477" s="284"/>
      <c r="E477" s="285"/>
      <c r="F477" s="35"/>
      <c r="G477" s="290"/>
      <c r="H477" s="360"/>
      <c r="I477" s="285"/>
      <c r="J477" s="276"/>
      <c r="K477" s="276"/>
      <c r="L477" s="276"/>
      <c r="M477" s="276"/>
      <c r="N477" s="276"/>
      <c r="O477" s="276"/>
      <c r="P477" s="276"/>
      <c r="Q477" s="276"/>
      <c r="R477" s="276"/>
      <c r="S477" s="276"/>
      <c r="T477" s="276"/>
      <c r="U477" s="276"/>
      <c r="V477" s="276"/>
      <c r="W477" s="276"/>
      <c r="X477" s="276"/>
    </row>
    <row r="478" ht="15.75" customHeight="1">
      <c r="A478" s="289"/>
      <c r="B478" s="284"/>
      <c r="C478" s="284"/>
      <c r="D478" s="284"/>
      <c r="E478" s="285"/>
      <c r="F478" s="35"/>
      <c r="G478" s="290"/>
      <c r="H478" s="360"/>
      <c r="I478" s="285"/>
      <c r="J478" s="276"/>
      <c r="K478" s="276"/>
      <c r="L478" s="276"/>
      <c r="M478" s="276"/>
      <c r="N478" s="276"/>
      <c r="O478" s="276"/>
      <c r="P478" s="276"/>
      <c r="Q478" s="276"/>
      <c r="R478" s="276"/>
      <c r="S478" s="276"/>
      <c r="T478" s="276"/>
      <c r="U478" s="276"/>
      <c r="V478" s="276"/>
      <c r="W478" s="276"/>
      <c r="X478" s="276"/>
    </row>
    <row r="479" ht="15.75" customHeight="1">
      <c r="A479" s="289"/>
      <c r="B479" s="284"/>
      <c r="C479" s="284"/>
      <c r="D479" s="284"/>
      <c r="E479" s="285"/>
      <c r="F479" s="35"/>
      <c r="G479" s="290"/>
      <c r="H479" s="360"/>
      <c r="I479" s="285"/>
      <c r="J479" s="276"/>
      <c r="K479" s="276"/>
      <c r="L479" s="276"/>
      <c r="M479" s="276"/>
      <c r="N479" s="276"/>
      <c r="O479" s="276"/>
      <c r="P479" s="276"/>
      <c r="Q479" s="276"/>
      <c r="R479" s="276"/>
      <c r="S479" s="276"/>
      <c r="T479" s="276"/>
      <c r="U479" s="276"/>
      <c r="V479" s="276"/>
      <c r="W479" s="276"/>
      <c r="X479" s="276"/>
    </row>
    <row r="480" ht="15.75" customHeight="1">
      <c r="A480" s="289"/>
      <c r="B480" s="284"/>
      <c r="C480" s="284"/>
      <c r="D480" s="284"/>
      <c r="E480" s="285"/>
      <c r="F480" s="35"/>
      <c r="G480" s="290"/>
      <c r="H480" s="360"/>
      <c r="I480" s="285"/>
      <c r="J480" s="276"/>
      <c r="K480" s="276"/>
      <c r="L480" s="276"/>
      <c r="M480" s="276"/>
      <c r="N480" s="276"/>
      <c r="O480" s="276"/>
      <c r="P480" s="276"/>
      <c r="Q480" s="276"/>
      <c r="R480" s="276"/>
      <c r="S480" s="276"/>
      <c r="T480" s="276"/>
      <c r="U480" s="276"/>
      <c r="V480" s="276"/>
      <c r="W480" s="276"/>
      <c r="X480" s="276"/>
    </row>
    <row r="481" ht="15.75" customHeight="1">
      <c r="A481" s="289"/>
      <c r="B481" s="284"/>
      <c r="C481" s="284"/>
      <c r="D481" s="284"/>
      <c r="E481" s="285"/>
      <c r="F481" s="35"/>
      <c r="G481" s="290"/>
      <c r="H481" s="360"/>
      <c r="I481" s="285"/>
      <c r="J481" s="276"/>
      <c r="K481" s="276"/>
      <c r="L481" s="276"/>
      <c r="M481" s="276"/>
      <c r="N481" s="276"/>
      <c r="O481" s="276"/>
      <c r="P481" s="276"/>
      <c r="Q481" s="276"/>
      <c r="R481" s="276"/>
      <c r="S481" s="276"/>
      <c r="T481" s="276"/>
      <c r="U481" s="276"/>
      <c r="V481" s="276"/>
      <c r="W481" s="276"/>
      <c r="X481" s="276"/>
    </row>
    <row r="482" ht="15.75" customHeight="1">
      <c r="A482" s="289"/>
      <c r="B482" s="284"/>
      <c r="C482" s="284"/>
      <c r="D482" s="284"/>
      <c r="E482" s="285"/>
      <c r="F482" s="35"/>
      <c r="G482" s="290"/>
      <c r="H482" s="360"/>
      <c r="I482" s="285"/>
      <c r="J482" s="276"/>
      <c r="K482" s="276"/>
      <c r="L482" s="276"/>
      <c r="M482" s="276"/>
      <c r="N482" s="276"/>
      <c r="O482" s="276"/>
      <c r="P482" s="276"/>
      <c r="Q482" s="276"/>
      <c r="R482" s="276"/>
      <c r="S482" s="276"/>
      <c r="T482" s="276"/>
      <c r="U482" s="276"/>
      <c r="V482" s="276"/>
      <c r="W482" s="276"/>
      <c r="X482" s="276"/>
    </row>
    <row r="483" ht="15.75" customHeight="1">
      <c r="A483" s="289"/>
      <c r="B483" s="284"/>
      <c r="C483" s="284"/>
      <c r="D483" s="284"/>
      <c r="E483" s="285"/>
      <c r="F483" s="35"/>
      <c r="G483" s="290"/>
      <c r="H483" s="360"/>
      <c r="I483" s="285"/>
      <c r="J483" s="276"/>
      <c r="K483" s="276"/>
      <c r="L483" s="276"/>
      <c r="M483" s="276"/>
      <c r="N483" s="276"/>
      <c r="O483" s="276"/>
      <c r="P483" s="276"/>
      <c r="Q483" s="276"/>
      <c r="R483" s="276"/>
      <c r="S483" s="276"/>
      <c r="T483" s="276"/>
      <c r="U483" s="276"/>
      <c r="V483" s="276"/>
      <c r="W483" s="276"/>
      <c r="X483" s="276"/>
    </row>
    <row r="484" ht="15.75" customHeight="1">
      <c r="A484" s="289"/>
      <c r="B484" s="284"/>
      <c r="C484" s="284"/>
      <c r="D484" s="284"/>
      <c r="E484" s="285"/>
      <c r="F484" s="35"/>
      <c r="G484" s="290"/>
      <c r="H484" s="360"/>
      <c r="I484" s="285"/>
      <c r="J484" s="276"/>
      <c r="K484" s="276"/>
      <c r="L484" s="276"/>
      <c r="M484" s="276"/>
      <c r="N484" s="276"/>
      <c r="O484" s="276"/>
      <c r="P484" s="276"/>
      <c r="Q484" s="276"/>
      <c r="R484" s="276"/>
      <c r="S484" s="276"/>
      <c r="T484" s="276"/>
      <c r="U484" s="276"/>
      <c r="V484" s="276"/>
      <c r="W484" s="276"/>
      <c r="X484" s="276"/>
    </row>
    <row r="485" ht="15.75" customHeight="1">
      <c r="A485" s="289"/>
      <c r="B485" s="284"/>
      <c r="C485" s="284"/>
      <c r="D485" s="284"/>
      <c r="E485" s="285"/>
      <c r="F485" s="35"/>
      <c r="G485" s="290"/>
      <c r="H485" s="360"/>
      <c r="I485" s="285"/>
      <c r="J485" s="276"/>
      <c r="K485" s="276"/>
      <c r="L485" s="276"/>
      <c r="M485" s="276"/>
      <c r="N485" s="276"/>
      <c r="O485" s="276"/>
      <c r="P485" s="276"/>
      <c r="Q485" s="276"/>
      <c r="R485" s="276"/>
      <c r="S485" s="276"/>
      <c r="T485" s="276"/>
      <c r="U485" s="276"/>
      <c r="V485" s="276"/>
      <c r="W485" s="276"/>
      <c r="X485" s="276"/>
    </row>
    <row r="486" ht="15.75" customHeight="1">
      <c r="A486" s="289"/>
      <c r="B486" s="284"/>
      <c r="C486" s="284"/>
      <c r="D486" s="284"/>
      <c r="E486" s="285"/>
      <c r="F486" s="35"/>
      <c r="G486" s="290"/>
      <c r="H486" s="360"/>
      <c r="I486" s="285"/>
      <c r="J486" s="276"/>
      <c r="K486" s="276"/>
      <c r="L486" s="276"/>
      <c r="M486" s="276"/>
      <c r="N486" s="276"/>
      <c r="O486" s="276"/>
      <c r="P486" s="276"/>
      <c r="Q486" s="276"/>
      <c r="R486" s="276"/>
      <c r="S486" s="276"/>
      <c r="T486" s="276"/>
      <c r="U486" s="276"/>
      <c r="V486" s="276"/>
      <c r="W486" s="276"/>
      <c r="X486" s="276"/>
    </row>
    <row r="487" ht="15.75" customHeight="1">
      <c r="A487" s="289"/>
      <c r="B487" s="284"/>
      <c r="C487" s="284"/>
      <c r="D487" s="284"/>
      <c r="E487" s="285"/>
      <c r="F487" s="35"/>
      <c r="G487" s="290"/>
      <c r="H487" s="360"/>
      <c r="I487" s="285"/>
      <c r="J487" s="276"/>
      <c r="K487" s="276"/>
      <c r="L487" s="276"/>
      <c r="M487" s="276"/>
      <c r="N487" s="276"/>
      <c r="O487" s="276"/>
      <c r="P487" s="276"/>
      <c r="Q487" s="276"/>
      <c r="R487" s="276"/>
      <c r="S487" s="276"/>
      <c r="T487" s="276"/>
      <c r="U487" s="276"/>
      <c r="V487" s="276"/>
      <c r="W487" s="276"/>
      <c r="X487" s="276"/>
    </row>
    <row r="488" ht="15.75" customHeight="1">
      <c r="A488" s="289"/>
      <c r="B488" s="284"/>
      <c r="C488" s="284"/>
      <c r="D488" s="284"/>
      <c r="E488" s="285"/>
      <c r="F488" s="35"/>
      <c r="G488" s="290"/>
      <c r="H488" s="360"/>
      <c r="I488" s="285"/>
      <c r="J488" s="276"/>
      <c r="K488" s="276"/>
      <c r="L488" s="276"/>
      <c r="M488" s="276"/>
      <c r="N488" s="276"/>
      <c r="O488" s="276"/>
      <c r="P488" s="276"/>
      <c r="Q488" s="276"/>
      <c r="R488" s="276"/>
      <c r="S488" s="276"/>
      <c r="T488" s="276"/>
      <c r="U488" s="276"/>
      <c r="V488" s="276"/>
      <c r="W488" s="276"/>
      <c r="X488" s="276"/>
    </row>
    <row r="489" ht="15.75" customHeight="1">
      <c r="A489" s="289"/>
      <c r="B489" s="284"/>
      <c r="C489" s="284"/>
      <c r="D489" s="284"/>
      <c r="E489" s="285"/>
      <c r="F489" s="35"/>
      <c r="G489" s="290"/>
      <c r="H489" s="360"/>
      <c r="I489" s="285"/>
      <c r="J489" s="276"/>
      <c r="K489" s="276"/>
      <c r="L489" s="276"/>
      <c r="M489" s="276"/>
      <c r="N489" s="276"/>
      <c r="O489" s="276"/>
      <c r="P489" s="276"/>
      <c r="Q489" s="276"/>
      <c r="R489" s="276"/>
      <c r="S489" s="276"/>
      <c r="T489" s="276"/>
      <c r="U489" s="276"/>
      <c r="V489" s="276"/>
      <c r="W489" s="276"/>
      <c r="X489" s="276"/>
    </row>
    <row r="490" ht="15.75" customHeight="1">
      <c r="A490" s="289"/>
      <c r="B490" s="284"/>
      <c r="C490" s="284"/>
      <c r="D490" s="284"/>
      <c r="E490" s="285"/>
      <c r="F490" s="35"/>
      <c r="G490" s="290"/>
      <c r="H490" s="360"/>
      <c r="I490" s="285"/>
      <c r="J490" s="276"/>
      <c r="K490" s="276"/>
      <c r="L490" s="276"/>
      <c r="M490" s="276"/>
      <c r="N490" s="276"/>
      <c r="O490" s="276"/>
      <c r="P490" s="276"/>
      <c r="Q490" s="276"/>
      <c r="R490" s="276"/>
      <c r="S490" s="276"/>
      <c r="T490" s="276"/>
      <c r="U490" s="276"/>
      <c r="V490" s="276"/>
      <c r="W490" s="276"/>
      <c r="X490" s="276"/>
    </row>
    <row r="491" ht="15.75" customHeight="1">
      <c r="A491" s="289"/>
      <c r="B491" s="284"/>
      <c r="C491" s="284"/>
      <c r="D491" s="284"/>
      <c r="E491" s="285"/>
      <c r="F491" s="35"/>
      <c r="G491" s="290"/>
      <c r="H491" s="360"/>
      <c r="I491" s="285"/>
      <c r="J491" s="276"/>
      <c r="K491" s="276"/>
      <c r="L491" s="276"/>
      <c r="M491" s="276"/>
      <c r="N491" s="276"/>
      <c r="O491" s="276"/>
      <c r="P491" s="276"/>
      <c r="Q491" s="276"/>
      <c r="R491" s="276"/>
      <c r="S491" s="276"/>
      <c r="T491" s="276"/>
      <c r="U491" s="276"/>
      <c r="V491" s="276"/>
      <c r="W491" s="276"/>
      <c r="X491" s="276"/>
    </row>
    <row r="492" ht="15.75" customHeight="1">
      <c r="A492" s="289"/>
      <c r="B492" s="284"/>
      <c r="C492" s="284"/>
      <c r="D492" s="284"/>
      <c r="E492" s="285"/>
      <c r="F492" s="35"/>
      <c r="G492" s="290"/>
      <c r="H492" s="360"/>
      <c r="I492" s="285"/>
      <c r="J492" s="276"/>
      <c r="K492" s="276"/>
      <c r="L492" s="276"/>
      <c r="M492" s="276"/>
      <c r="N492" s="276"/>
      <c r="O492" s="276"/>
      <c r="P492" s="276"/>
      <c r="Q492" s="276"/>
      <c r="R492" s="276"/>
      <c r="S492" s="276"/>
      <c r="T492" s="276"/>
      <c r="U492" s="276"/>
      <c r="V492" s="276"/>
      <c r="W492" s="276"/>
      <c r="X492" s="276"/>
    </row>
    <row r="493" ht="15.75" customHeight="1">
      <c r="A493" s="289"/>
      <c r="B493" s="284"/>
      <c r="C493" s="284"/>
      <c r="D493" s="284"/>
      <c r="E493" s="285"/>
      <c r="F493" s="35"/>
      <c r="G493" s="290"/>
      <c r="H493" s="360"/>
      <c r="I493" s="285"/>
      <c r="J493" s="276"/>
      <c r="K493" s="276"/>
      <c r="L493" s="276"/>
      <c r="M493" s="276"/>
      <c r="N493" s="276"/>
      <c r="O493" s="276"/>
      <c r="P493" s="276"/>
      <c r="Q493" s="276"/>
      <c r="R493" s="276"/>
      <c r="S493" s="276"/>
      <c r="T493" s="276"/>
      <c r="U493" s="276"/>
      <c r="V493" s="276"/>
      <c r="W493" s="276"/>
      <c r="X493" s="276"/>
    </row>
    <row r="494" ht="15.75" customHeight="1">
      <c r="A494" s="289"/>
      <c r="B494" s="284"/>
      <c r="C494" s="284"/>
      <c r="D494" s="284"/>
      <c r="E494" s="285"/>
      <c r="F494" s="35"/>
      <c r="G494" s="290"/>
      <c r="H494" s="360"/>
      <c r="I494" s="285"/>
      <c r="J494" s="276"/>
      <c r="K494" s="276"/>
      <c r="L494" s="276"/>
      <c r="M494" s="276"/>
      <c r="N494" s="276"/>
      <c r="O494" s="276"/>
      <c r="P494" s="276"/>
      <c r="Q494" s="276"/>
      <c r="R494" s="276"/>
      <c r="S494" s="276"/>
      <c r="T494" s="276"/>
      <c r="U494" s="276"/>
      <c r="V494" s="276"/>
      <c r="W494" s="276"/>
      <c r="X494" s="276"/>
    </row>
    <row r="495" ht="15.75" customHeight="1">
      <c r="A495" s="289"/>
      <c r="B495" s="284"/>
      <c r="C495" s="284"/>
      <c r="D495" s="284"/>
      <c r="E495" s="285"/>
      <c r="F495" s="35"/>
      <c r="G495" s="290"/>
      <c r="H495" s="360"/>
      <c r="I495" s="285"/>
      <c r="J495" s="276"/>
      <c r="K495" s="276"/>
      <c r="L495" s="276"/>
      <c r="M495" s="276"/>
      <c r="N495" s="276"/>
      <c r="O495" s="276"/>
      <c r="P495" s="276"/>
      <c r="Q495" s="276"/>
      <c r="R495" s="276"/>
      <c r="S495" s="276"/>
      <c r="T495" s="276"/>
      <c r="U495" s="276"/>
      <c r="V495" s="276"/>
      <c r="W495" s="276"/>
      <c r="X495" s="276"/>
    </row>
    <row r="496" ht="15.75" customHeight="1">
      <c r="A496" s="289"/>
      <c r="B496" s="284"/>
      <c r="C496" s="284"/>
      <c r="D496" s="284"/>
      <c r="E496" s="285"/>
      <c r="F496" s="35"/>
      <c r="G496" s="290"/>
      <c r="H496" s="360"/>
      <c r="I496" s="285"/>
      <c r="J496" s="276"/>
      <c r="K496" s="276"/>
      <c r="L496" s="276"/>
      <c r="M496" s="276"/>
      <c r="N496" s="276"/>
      <c r="O496" s="276"/>
      <c r="P496" s="276"/>
      <c r="Q496" s="276"/>
      <c r="R496" s="276"/>
      <c r="S496" s="276"/>
      <c r="T496" s="276"/>
      <c r="U496" s="276"/>
      <c r="V496" s="276"/>
      <c r="W496" s="276"/>
      <c r="X496" s="276"/>
    </row>
    <row r="497" ht="15.75" customHeight="1">
      <c r="A497" s="289"/>
      <c r="B497" s="284"/>
      <c r="C497" s="284"/>
      <c r="D497" s="284"/>
      <c r="E497" s="285"/>
      <c r="F497" s="35"/>
      <c r="G497" s="290"/>
      <c r="H497" s="360"/>
      <c r="I497" s="285"/>
      <c r="J497" s="276"/>
      <c r="K497" s="276"/>
      <c r="L497" s="276"/>
      <c r="M497" s="276"/>
      <c r="N497" s="276"/>
      <c r="O497" s="276"/>
      <c r="P497" s="276"/>
      <c r="Q497" s="276"/>
      <c r="R497" s="276"/>
      <c r="S497" s="276"/>
      <c r="T497" s="276"/>
      <c r="U497" s="276"/>
      <c r="V497" s="276"/>
      <c r="W497" s="276"/>
      <c r="X497" s="276"/>
    </row>
    <row r="498" ht="15.75" customHeight="1">
      <c r="A498" s="289"/>
      <c r="B498" s="284"/>
      <c r="C498" s="284"/>
      <c r="D498" s="284"/>
      <c r="E498" s="285"/>
      <c r="F498" s="35"/>
      <c r="G498" s="290"/>
      <c r="H498" s="360"/>
      <c r="I498" s="285"/>
      <c r="J498" s="276"/>
      <c r="K498" s="276"/>
      <c r="L498" s="276"/>
      <c r="M498" s="276"/>
      <c r="N498" s="276"/>
      <c r="O498" s="276"/>
      <c r="P498" s="276"/>
      <c r="Q498" s="276"/>
      <c r="R498" s="276"/>
      <c r="S498" s="276"/>
      <c r="T498" s="276"/>
      <c r="U498" s="276"/>
      <c r="V498" s="276"/>
      <c r="W498" s="276"/>
      <c r="X498" s="276"/>
    </row>
    <row r="499" ht="15.75" customHeight="1">
      <c r="A499" s="289"/>
      <c r="B499" s="284"/>
      <c r="C499" s="284"/>
      <c r="D499" s="284"/>
      <c r="E499" s="285"/>
      <c r="F499" s="35"/>
      <c r="G499" s="290"/>
      <c r="H499" s="360"/>
      <c r="I499" s="285"/>
      <c r="J499" s="276"/>
      <c r="K499" s="276"/>
      <c r="L499" s="276"/>
      <c r="M499" s="276"/>
      <c r="N499" s="276"/>
      <c r="O499" s="276"/>
      <c r="P499" s="276"/>
      <c r="Q499" s="276"/>
      <c r="R499" s="276"/>
      <c r="S499" s="276"/>
      <c r="T499" s="276"/>
      <c r="U499" s="276"/>
      <c r="V499" s="276"/>
      <c r="W499" s="276"/>
      <c r="X499" s="276"/>
    </row>
    <row r="500" ht="15.75" customHeight="1">
      <c r="A500" s="289"/>
      <c r="B500" s="284"/>
      <c r="C500" s="284"/>
      <c r="D500" s="284"/>
      <c r="E500" s="285"/>
      <c r="F500" s="35"/>
      <c r="G500" s="290"/>
      <c r="H500" s="360"/>
      <c r="I500" s="285"/>
      <c r="J500" s="276"/>
      <c r="K500" s="276"/>
      <c r="L500" s="276"/>
      <c r="M500" s="276"/>
      <c r="N500" s="276"/>
      <c r="O500" s="276"/>
      <c r="P500" s="276"/>
      <c r="Q500" s="276"/>
      <c r="R500" s="276"/>
      <c r="S500" s="276"/>
      <c r="T500" s="276"/>
      <c r="U500" s="276"/>
      <c r="V500" s="276"/>
      <c r="W500" s="276"/>
      <c r="X500" s="276"/>
    </row>
    <row r="501" ht="15.75" customHeight="1">
      <c r="A501" s="289"/>
      <c r="B501" s="284"/>
      <c r="C501" s="284"/>
      <c r="D501" s="284"/>
      <c r="E501" s="285"/>
      <c r="F501" s="35"/>
      <c r="G501" s="290"/>
      <c r="H501" s="360"/>
      <c r="I501" s="285"/>
      <c r="J501" s="276"/>
      <c r="K501" s="276"/>
      <c r="L501" s="276"/>
      <c r="M501" s="276"/>
      <c r="N501" s="276"/>
      <c r="O501" s="276"/>
      <c r="P501" s="276"/>
      <c r="Q501" s="276"/>
      <c r="R501" s="276"/>
      <c r="S501" s="276"/>
      <c r="T501" s="276"/>
      <c r="U501" s="276"/>
      <c r="V501" s="276"/>
      <c r="W501" s="276"/>
      <c r="X501" s="276"/>
    </row>
    <row r="502" ht="15.75" customHeight="1">
      <c r="A502" s="289"/>
      <c r="B502" s="284"/>
      <c r="C502" s="284"/>
      <c r="D502" s="284"/>
      <c r="E502" s="285"/>
      <c r="F502" s="35"/>
      <c r="G502" s="290"/>
      <c r="H502" s="360"/>
      <c r="I502" s="285"/>
      <c r="J502" s="276"/>
      <c r="K502" s="276"/>
      <c r="L502" s="276"/>
      <c r="M502" s="276"/>
      <c r="N502" s="276"/>
      <c r="O502" s="276"/>
      <c r="P502" s="276"/>
      <c r="Q502" s="276"/>
      <c r="R502" s="276"/>
      <c r="S502" s="276"/>
      <c r="T502" s="276"/>
      <c r="U502" s="276"/>
      <c r="V502" s="276"/>
      <c r="W502" s="276"/>
      <c r="X502" s="276"/>
    </row>
    <row r="503" ht="15.75" customHeight="1">
      <c r="A503" s="289"/>
      <c r="B503" s="284"/>
      <c r="C503" s="284"/>
      <c r="D503" s="284"/>
      <c r="E503" s="285"/>
      <c r="F503" s="35"/>
      <c r="G503" s="290"/>
      <c r="H503" s="360"/>
      <c r="I503" s="285"/>
      <c r="J503" s="276"/>
      <c r="K503" s="276"/>
      <c r="L503" s="276"/>
      <c r="M503" s="276"/>
      <c r="N503" s="276"/>
      <c r="O503" s="276"/>
      <c r="P503" s="276"/>
      <c r="Q503" s="276"/>
      <c r="R503" s="276"/>
      <c r="S503" s="276"/>
      <c r="T503" s="276"/>
      <c r="U503" s="276"/>
      <c r="V503" s="276"/>
      <c r="W503" s="276"/>
      <c r="X503" s="276"/>
    </row>
    <row r="504" ht="15.75" customHeight="1">
      <c r="A504" s="289"/>
      <c r="B504" s="284"/>
      <c r="C504" s="284"/>
      <c r="D504" s="284"/>
      <c r="E504" s="285"/>
      <c r="F504" s="35"/>
      <c r="G504" s="290"/>
      <c r="H504" s="360"/>
      <c r="I504" s="285"/>
      <c r="J504" s="276"/>
      <c r="K504" s="276"/>
      <c r="L504" s="276"/>
      <c r="M504" s="276"/>
      <c r="N504" s="276"/>
      <c r="O504" s="276"/>
      <c r="P504" s="276"/>
      <c r="Q504" s="276"/>
      <c r="R504" s="276"/>
      <c r="S504" s="276"/>
      <c r="T504" s="276"/>
      <c r="U504" s="276"/>
      <c r="V504" s="276"/>
      <c r="W504" s="276"/>
      <c r="X504" s="276"/>
    </row>
    <row r="505" ht="15.75" customHeight="1">
      <c r="A505" s="289"/>
      <c r="B505" s="284"/>
      <c r="C505" s="284"/>
      <c r="D505" s="284"/>
      <c r="E505" s="285"/>
      <c r="F505" s="35"/>
      <c r="G505" s="290"/>
      <c r="H505" s="360"/>
      <c r="I505" s="285"/>
      <c r="J505" s="276"/>
      <c r="K505" s="276"/>
      <c r="L505" s="276"/>
      <c r="M505" s="276"/>
      <c r="N505" s="276"/>
      <c r="O505" s="276"/>
      <c r="P505" s="276"/>
      <c r="Q505" s="276"/>
      <c r="R505" s="276"/>
      <c r="S505" s="276"/>
      <c r="T505" s="276"/>
      <c r="U505" s="276"/>
      <c r="V505" s="276"/>
      <c r="W505" s="276"/>
      <c r="X505" s="276"/>
    </row>
    <row r="506" ht="15.75" customHeight="1">
      <c r="A506" s="289"/>
      <c r="B506" s="284"/>
      <c r="C506" s="284"/>
      <c r="D506" s="284"/>
      <c r="E506" s="285"/>
      <c r="F506" s="35"/>
      <c r="G506" s="290"/>
      <c r="H506" s="360"/>
      <c r="I506" s="285"/>
      <c r="J506" s="276"/>
      <c r="K506" s="276"/>
      <c r="L506" s="276"/>
      <c r="M506" s="276"/>
      <c r="N506" s="276"/>
      <c r="O506" s="276"/>
      <c r="P506" s="276"/>
      <c r="Q506" s="276"/>
      <c r="R506" s="276"/>
      <c r="S506" s="276"/>
      <c r="T506" s="276"/>
      <c r="U506" s="276"/>
      <c r="V506" s="276"/>
      <c r="W506" s="276"/>
      <c r="X506" s="276"/>
    </row>
    <row r="507" ht="15.75" customHeight="1">
      <c r="A507" s="289"/>
      <c r="B507" s="284"/>
      <c r="C507" s="284"/>
      <c r="D507" s="284"/>
      <c r="E507" s="285"/>
      <c r="F507" s="35"/>
      <c r="G507" s="290"/>
      <c r="H507" s="360"/>
      <c r="I507" s="285"/>
      <c r="J507" s="276"/>
      <c r="K507" s="276"/>
      <c r="L507" s="276"/>
      <c r="M507" s="276"/>
      <c r="N507" s="276"/>
      <c r="O507" s="276"/>
      <c r="P507" s="276"/>
      <c r="Q507" s="276"/>
      <c r="R507" s="276"/>
      <c r="S507" s="276"/>
      <c r="T507" s="276"/>
      <c r="U507" s="276"/>
      <c r="V507" s="276"/>
      <c r="W507" s="276"/>
      <c r="X507" s="276"/>
    </row>
    <row r="508" ht="15.75" customHeight="1">
      <c r="A508" s="289"/>
      <c r="B508" s="284"/>
      <c r="C508" s="284"/>
      <c r="D508" s="284"/>
      <c r="E508" s="285"/>
      <c r="F508" s="35"/>
      <c r="G508" s="290"/>
      <c r="H508" s="360"/>
      <c r="I508" s="285"/>
      <c r="J508" s="276"/>
      <c r="K508" s="276"/>
      <c r="L508" s="276"/>
      <c r="M508" s="276"/>
      <c r="N508" s="276"/>
      <c r="O508" s="276"/>
      <c r="P508" s="276"/>
      <c r="Q508" s="276"/>
      <c r="R508" s="276"/>
      <c r="S508" s="276"/>
      <c r="T508" s="276"/>
      <c r="U508" s="276"/>
      <c r="V508" s="276"/>
      <c r="W508" s="276"/>
      <c r="X508" s="276"/>
    </row>
    <row r="509" ht="15.75" customHeight="1">
      <c r="A509" s="289"/>
      <c r="B509" s="284"/>
      <c r="C509" s="284"/>
      <c r="D509" s="284"/>
      <c r="E509" s="285"/>
      <c r="F509" s="35"/>
      <c r="G509" s="290"/>
      <c r="H509" s="360"/>
      <c r="I509" s="285"/>
      <c r="J509" s="276"/>
      <c r="K509" s="276"/>
      <c r="L509" s="276"/>
      <c r="M509" s="276"/>
      <c r="N509" s="276"/>
      <c r="O509" s="276"/>
      <c r="P509" s="276"/>
      <c r="Q509" s="276"/>
      <c r="R509" s="276"/>
      <c r="S509" s="276"/>
      <c r="T509" s="276"/>
      <c r="U509" s="276"/>
      <c r="V509" s="276"/>
      <c r="W509" s="276"/>
      <c r="X509" s="276"/>
    </row>
    <row r="510" ht="15.75" customHeight="1">
      <c r="A510" s="289"/>
      <c r="B510" s="284"/>
      <c r="C510" s="284"/>
      <c r="D510" s="284"/>
      <c r="E510" s="285"/>
      <c r="F510" s="35"/>
      <c r="G510" s="290"/>
      <c r="H510" s="360"/>
      <c r="I510" s="285"/>
      <c r="J510" s="276"/>
      <c r="K510" s="276"/>
      <c r="L510" s="276"/>
      <c r="M510" s="276"/>
      <c r="N510" s="276"/>
      <c r="O510" s="276"/>
      <c r="P510" s="276"/>
      <c r="Q510" s="276"/>
      <c r="R510" s="276"/>
      <c r="S510" s="276"/>
      <c r="T510" s="276"/>
      <c r="U510" s="276"/>
      <c r="V510" s="276"/>
      <c r="W510" s="276"/>
      <c r="X510" s="276"/>
    </row>
    <row r="511" ht="15.75" customHeight="1">
      <c r="A511" s="289"/>
      <c r="B511" s="284"/>
      <c r="C511" s="284"/>
      <c r="D511" s="284"/>
      <c r="E511" s="285"/>
      <c r="F511" s="35"/>
      <c r="G511" s="290"/>
      <c r="H511" s="360"/>
      <c r="I511" s="285"/>
      <c r="J511" s="276"/>
      <c r="K511" s="276"/>
      <c r="L511" s="276"/>
      <c r="M511" s="276"/>
      <c r="N511" s="276"/>
      <c r="O511" s="276"/>
      <c r="P511" s="276"/>
      <c r="Q511" s="276"/>
      <c r="R511" s="276"/>
      <c r="S511" s="276"/>
      <c r="T511" s="276"/>
      <c r="U511" s="276"/>
      <c r="V511" s="276"/>
      <c r="W511" s="276"/>
      <c r="X511" s="276"/>
    </row>
    <row r="512" ht="15.75" customHeight="1">
      <c r="A512" s="289"/>
      <c r="B512" s="284"/>
      <c r="C512" s="284"/>
      <c r="D512" s="284"/>
      <c r="E512" s="285"/>
      <c r="F512" s="35"/>
      <c r="G512" s="290"/>
      <c r="H512" s="360"/>
      <c r="I512" s="285"/>
      <c r="J512" s="276"/>
      <c r="K512" s="276"/>
      <c r="L512" s="276"/>
      <c r="M512" s="276"/>
      <c r="N512" s="276"/>
      <c r="O512" s="276"/>
      <c r="P512" s="276"/>
      <c r="Q512" s="276"/>
      <c r="R512" s="276"/>
      <c r="S512" s="276"/>
      <c r="T512" s="276"/>
      <c r="U512" s="276"/>
      <c r="V512" s="276"/>
      <c r="W512" s="276"/>
      <c r="X512" s="276"/>
    </row>
    <row r="513" ht="15.75" customHeight="1">
      <c r="A513" s="289"/>
      <c r="B513" s="284"/>
      <c r="C513" s="284"/>
      <c r="D513" s="284"/>
      <c r="E513" s="285"/>
      <c r="F513" s="35"/>
      <c r="G513" s="290"/>
      <c r="H513" s="360"/>
      <c r="I513" s="285"/>
      <c r="J513" s="276"/>
      <c r="K513" s="276"/>
      <c r="L513" s="276"/>
      <c r="M513" s="276"/>
      <c r="N513" s="276"/>
      <c r="O513" s="276"/>
      <c r="P513" s="276"/>
      <c r="Q513" s="276"/>
      <c r="R513" s="276"/>
      <c r="S513" s="276"/>
      <c r="T513" s="276"/>
      <c r="U513" s="276"/>
      <c r="V513" s="276"/>
      <c r="W513" s="276"/>
      <c r="X513" s="276"/>
    </row>
    <row r="514" ht="15.75" customHeight="1">
      <c r="A514" s="289"/>
      <c r="B514" s="284"/>
      <c r="C514" s="284"/>
      <c r="D514" s="284"/>
      <c r="E514" s="285"/>
      <c r="F514" s="35"/>
      <c r="G514" s="290"/>
      <c r="H514" s="360"/>
      <c r="I514" s="285"/>
      <c r="J514" s="276"/>
      <c r="K514" s="276"/>
      <c r="L514" s="276"/>
      <c r="M514" s="276"/>
      <c r="N514" s="276"/>
      <c r="O514" s="276"/>
      <c r="P514" s="276"/>
      <c r="Q514" s="276"/>
      <c r="R514" s="276"/>
      <c r="S514" s="276"/>
      <c r="T514" s="276"/>
      <c r="U514" s="276"/>
      <c r="V514" s="276"/>
      <c r="W514" s="276"/>
      <c r="X514" s="276"/>
    </row>
    <row r="515" ht="15.75" customHeight="1">
      <c r="A515" s="289"/>
      <c r="B515" s="284"/>
      <c r="C515" s="284"/>
      <c r="D515" s="284"/>
      <c r="E515" s="285"/>
      <c r="F515" s="35"/>
      <c r="G515" s="290"/>
      <c r="H515" s="360"/>
      <c r="I515" s="285"/>
      <c r="J515" s="276"/>
      <c r="K515" s="276"/>
      <c r="L515" s="276"/>
      <c r="M515" s="276"/>
      <c r="N515" s="276"/>
      <c r="O515" s="276"/>
      <c r="P515" s="276"/>
      <c r="Q515" s="276"/>
      <c r="R515" s="276"/>
      <c r="S515" s="276"/>
      <c r="T515" s="276"/>
      <c r="U515" s="276"/>
      <c r="V515" s="276"/>
      <c r="W515" s="276"/>
      <c r="X515" s="276"/>
    </row>
    <row r="516" ht="15.75" customHeight="1">
      <c r="A516" s="289"/>
      <c r="B516" s="284"/>
      <c r="C516" s="284"/>
      <c r="D516" s="284"/>
      <c r="E516" s="285"/>
      <c r="F516" s="35"/>
      <c r="G516" s="290"/>
      <c r="H516" s="360"/>
      <c r="I516" s="285"/>
      <c r="J516" s="276"/>
      <c r="K516" s="276"/>
      <c r="L516" s="276"/>
      <c r="M516" s="276"/>
      <c r="N516" s="276"/>
      <c r="O516" s="276"/>
      <c r="P516" s="276"/>
      <c r="Q516" s="276"/>
      <c r="R516" s="276"/>
      <c r="S516" s="276"/>
      <c r="T516" s="276"/>
      <c r="U516" s="276"/>
      <c r="V516" s="276"/>
      <c r="W516" s="276"/>
      <c r="X516" s="276"/>
    </row>
    <row r="517" ht="15.75" customHeight="1">
      <c r="A517" s="289"/>
      <c r="B517" s="284"/>
      <c r="C517" s="284"/>
      <c r="D517" s="284"/>
      <c r="E517" s="285"/>
      <c r="F517" s="35"/>
      <c r="G517" s="290"/>
      <c r="H517" s="360"/>
      <c r="I517" s="285"/>
      <c r="J517" s="276"/>
      <c r="K517" s="276"/>
      <c r="L517" s="276"/>
      <c r="M517" s="276"/>
      <c r="N517" s="276"/>
      <c r="O517" s="276"/>
      <c r="P517" s="276"/>
      <c r="Q517" s="276"/>
      <c r="R517" s="276"/>
      <c r="S517" s="276"/>
      <c r="T517" s="276"/>
      <c r="U517" s="276"/>
      <c r="V517" s="276"/>
      <c r="W517" s="276"/>
      <c r="X517" s="276"/>
    </row>
    <row r="518" ht="15.75" customHeight="1">
      <c r="A518" s="289"/>
      <c r="B518" s="284"/>
      <c r="C518" s="284"/>
      <c r="D518" s="284"/>
      <c r="E518" s="285"/>
      <c r="F518" s="35"/>
      <c r="G518" s="290"/>
      <c r="H518" s="360"/>
      <c r="I518" s="285"/>
      <c r="J518" s="276"/>
      <c r="K518" s="276"/>
      <c r="L518" s="276"/>
      <c r="M518" s="276"/>
      <c r="N518" s="276"/>
      <c r="O518" s="276"/>
      <c r="P518" s="276"/>
      <c r="Q518" s="276"/>
      <c r="R518" s="276"/>
      <c r="S518" s="276"/>
      <c r="T518" s="276"/>
      <c r="U518" s="276"/>
      <c r="V518" s="276"/>
      <c r="W518" s="276"/>
      <c r="X518" s="276"/>
    </row>
    <row r="519" ht="15.75" customHeight="1">
      <c r="A519" s="289"/>
      <c r="B519" s="284"/>
      <c r="C519" s="284"/>
      <c r="D519" s="284"/>
      <c r="E519" s="285"/>
      <c r="F519" s="35"/>
      <c r="G519" s="290"/>
      <c r="H519" s="360"/>
      <c r="I519" s="285"/>
      <c r="J519" s="276"/>
      <c r="K519" s="276"/>
      <c r="L519" s="276"/>
      <c r="M519" s="276"/>
      <c r="N519" s="276"/>
      <c r="O519" s="276"/>
      <c r="P519" s="276"/>
      <c r="Q519" s="276"/>
      <c r="R519" s="276"/>
      <c r="S519" s="276"/>
      <c r="T519" s="276"/>
      <c r="U519" s="276"/>
      <c r="V519" s="276"/>
      <c r="W519" s="276"/>
      <c r="X519" s="276"/>
    </row>
    <row r="520" ht="15.75" customHeight="1">
      <c r="A520" s="289"/>
      <c r="B520" s="284"/>
      <c r="C520" s="284"/>
      <c r="D520" s="284"/>
      <c r="E520" s="285"/>
      <c r="F520" s="35"/>
      <c r="G520" s="290"/>
      <c r="H520" s="360"/>
      <c r="I520" s="285"/>
      <c r="J520" s="276"/>
      <c r="K520" s="276"/>
      <c r="L520" s="276"/>
      <c r="M520" s="276"/>
      <c r="N520" s="276"/>
      <c r="O520" s="276"/>
      <c r="P520" s="276"/>
      <c r="Q520" s="276"/>
      <c r="R520" s="276"/>
      <c r="S520" s="276"/>
      <c r="T520" s="276"/>
      <c r="U520" s="276"/>
      <c r="V520" s="276"/>
      <c r="W520" s="276"/>
      <c r="X520" s="276"/>
    </row>
    <row r="521" ht="15.75" customHeight="1">
      <c r="A521" s="289"/>
      <c r="B521" s="284"/>
      <c r="C521" s="284"/>
      <c r="D521" s="284"/>
      <c r="E521" s="285"/>
      <c r="F521" s="35"/>
      <c r="G521" s="290"/>
      <c r="H521" s="360"/>
      <c r="I521" s="285"/>
      <c r="J521" s="276"/>
      <c r="K521" s="276"/>
      <c r="L521" s="276"/>
      <c r="M521" s="276"/>
      <c r="N521" s="276"/>
      <c r="O521" s="276"/>
      <c r="P521" s="276"/>
      <c r="Q521" s="276"/>
      <c r="R521" s="276"/>
      <c r="S521" s="276"/>
      <c r="T521" s="276"/>
      <c r="U521" s="276"/>
      <c r="V521" s="276"/>
      <c r="W521" s="276"/>
      <c r="X521" s="276"/>
    </row>
    <row r="522" ht="15.75" customHeight="1">
      <c r="A522" s="289"/>
      <c r="B522" s="284"/>
      <c r="C522" s="284"/>
      <c r="D522" s="284"/>
      <c r="E522" s="285"/>
      <c r="F522" s="35"/>
      <c r="G522" s="290"/>
      <c r="H522" s="360"/>
      <c r="I522" s="285"/>
      <c r="J522" s="276"/>
      <c r="K522" s="276"/>
      <c r="L522" s="276"/>
      <c r="M522" s="276"/>
      <c r="N522" s="276"/>
      <c r="O522" s="276"/>
      <c r="P522" s="276"/>
      <c r="Q522" s="276"/>
      <c r="R522" s="276"/>
      <c r="S522" s="276"/>
      <c r="T522" s="276"/>
      <c r="U522" s="276"/>
      <c r="V522" s="276"/>
      <c r="W522" s="276"/>
      <c r="X522" s="276"/>
    </row>
    <row r="523" ht="15.75" customHeight="1">
      <c r="A523" s="289"/>
      <c r="B523" s="284"/>
      <c r="C523" s="284"/>
      <c r="D523" s="284"/>
      <c r="E523" s="285"/>
      <c r="F523" s="35"/>
      <c r="G523" s="290"/>
      <c r="H523" s="360"/>
      <c r="I523" s="285"/>
      <c r="J523" s="276"/>
      <c r="K523" s="276"/>
      <c r="L523" s="276"/>
      <c r="M523" s="276"/>
      <c r="N523" s="276"/>
      <c r="O523" s="276"/>
      <c r="P523" s="276"/>
      <c r="Q523" s="276"/>
      <c r="R523" s="276"/>
      <c r="S523" s="276"/>
      <c r="T523" s="276"/>
      <c r="U523" s="276"/>
      <c r="V523" s="276"/>
      <c r="W523" s="276"/>
      <c r="X523" s="276"/>
    </row>
    <row r="524" ht="15.75" customHeight="1">
      <c r="A524" s="289"/>
      <c r="B524" s="284"/>
      <c r="C524" s="284"/>
      <c r="D524" s="284"/>
      <c r="E524" s="285"/>
      <c r="F524" s="35"/>
      <c r="G524" s="290"/>
      <c r="H524" s="360"/>
      <c r="I524" s="285"/>
      <c r="J524" s="276"/>
      <c r="K524" s="276"/>
      <c r="L524" s="276"/>
      <c r="M524" s="276"/>
      <c r="N524" s="276"/>
      <c r="O524" s="276"/>
      <c r="P524" s="276"/>
      <c r="Q524" s="276"/>
      <c r="R524" s="276"/>
      <c r="S524" s="276"/>
      <c r="T524" s="276"/>
      <c r="U524" s="276"/>
      <c r="V524" s="276"/>
      <c r="W524" s="276"/>
      <c r="X524" s="276"/>
    </row>
    <row r="525" ht="15.75" customHeight="1">
      <c r="A525" s="289"/>
      <c r="B525" s="284"/>
      <c r="C525" s="284"/>
      <c r="D525" s="284"/>
      <c r="E525" s="285"/>
      <c r="F525" s="35"/>
      <c r="G525" s="290"/>
      <c r="H525" s="360"/>
      <c r="I525" s="285"/>
      <c r="J525" s="276"/>
      <c r="K525" s="276"/>
      <c r="L525" s="276"/>
      <c r="M525" s="276"/>
      <c r="N525" s="276"/>
      <c r="O525" s="276"/>
      <c r="P525" s="276"/>
      <c r="Q525" s="276"/>
      <c r="R525" s="276"/>
      <c r="S525" s="276"/>
      <c r="T525" s="276"/>
      <c r="U525" s="276"/>
      <c r="V525" s="276"/>
      <c r="W525" s="276"/>
      <c r="X525" s="276"/>
    </row>
    <row r="526" ht="15.75" customHeight="1">
      <c r="A526" s="289"/>
      <c r="B526" s="284"/>
      <c r="C526" s="284"/>
      <c r="D526" s="284"/>
      <c r="E526" s="285"/>
      <c r="F526" s="35"/>
      <c r="G526" s="290"/>
      <c r="H526" s="360"/>
      <c r="I526" s="285"/>
      <c r="J526" s="276"/>
      <c r="K526" s="276"/>
      <c r="L526" s="276"/>
      <c r="M526" s="276"/>
      <c r="N526" s="276"/>
      <c r="O526" s="276"/>
      <c r="P526" s="276"/>
      <c r="Q526" s="276"/>
      <c r="R526" s="276"/>
      <c r="S526" s="276"/>
      <c r="T526" s="276"/>
      <c r="U526" s="276"/>
      <c r="V526" s="276"/>
      <c r="W526" s="276"/>
      <c r="X526" s="276"/>
    </row>
    <row r="527" ht="15.75" customHeight="1">
      <c r="A527" s="289"/>
      <c r="B527" s="284"/>
      <c r="C527" s="284"/>
      <c r="D527" s="284"/>
      <c r="E527" s="285"/>
      <c r="F527" s="35"/>
      <c r="G527" s="290"/>
      <c r="H527" s="360"/>
      <c r="I527" s="285"/>
      <c r="J527" s="276"/>
      <c r="K527" s="276"/>
      <c r="L527" s="276"/>
      <c r="M527" s="276"/>
      <c r="N527" s="276"/>
      <c r="O527" s="276"/>
      <c r="P527" s="276"/>
      <c r="Q527" s="276"/>
      <c r="R527" s="276"/>
      <c r="S527" s="276"/>
      <c r="T527" s="276"/>
      <c r="U527" s="276"/>
      <c r="V527" s="276"/>
      <c r="W527" s="276"/>
      <c r="X527" s="276"/>
    </row>
    <row r="528" ht="15.75" customHeight="1">
      <c r="A528" s="289"/>
      <c r="B528" s="284"/>
      <c r="C528" s="284"/>
      <c r="D528" s="284"/>
      <c r="E528" s="285"/>
      <c r="F528" s="35"/>
      <c r="G528" s="290"/>
      <c r="H528" s="360"/>
      <c r="I528" s="285"/>
      <c r="J528" s="276"/>
      <c r="K528" s="276"/>
      <c r="L528" s="276"/>
      <c r="M528" s="276"/>
      <c r="N528" s="276"/>
      <c r="O528" s="276"/>
      <c r="P528" s="276"/>
      <c r="Q528" s="276"/>
      <c r="R528" s="276"/>
      <c r="S528" s="276"/>
      <c r="T528" s="276"/>
      <c r="U528" s="276"/>
      <c r="V528" s="276"/>
      <c r="W528" s="276"/>
      <c r="X528" s="276"/>
    </row>
    <row r="529" ht="15.75" customHeight="1">
      <c r="A529" s="289"/>
      <c r="B529" s="284"/>
      <c r="C529" s="284"/>
      <c r="D529" s="284"/>
      <c r="E529" s="285"/>
      <c r="F529" s="35"/>
      <c r="G529" s="290"/>
      <c r="H529" s="360"/>
      <c r="I529" s="285"/>
      <c r="J529" s="276"/>
      <c r="K529" s="276"/>
      <c r="L529" s="276"/>
      <c r="M529" s="276"/>
      <c r="N529" s="276"/>
      <c r="O529" s="276"/>
      <c r="P529" s="276"/>
      <c r="Q529" s="276"/>
      <c r="R529" s="276"/>
      <c r="S529" s="276"/>
      <c r="T529" s="276"/>
      <c r="U529" s="276"/>
      <c r="V529" s="276"/>
      <c r="W529" s="276"/>
      <c r="X529" s="276"/>
    </row>
    <row r="530" ht="15.75" customHeight="1">
      <c r="A530" s="289"/>
      <c r="B530" s="284"/>
      <c r="C530" s="284"/>
      <c r="D530" s="284"/>
      <c r="E530" s="285"/>
      <c r="F530" s="35"/>
      <c r="G530" s="290"/>
      <c r="H530" s="360"/>
      <c r="I530" s="285"/>
      <c r="J530" s="276"/>
      <c r="K530" s="276"/>
      <c r="L530" s="276"/>
      <c r="M530" s="276"/>
      <c r="N530" s="276"/>
      <c r="O530" s="276"/>
      <c r="P530" s="276"/>
      <c r="Q530" s="276"/>
      <c r="R530" s="276"/>
      <c r="S530" s="276"/>
      <c r="T530" s="276"/>
      <c r="U530" s="276"/>
      <c r="V530" s="276"/>
      <c r="W530" s="276"/>
      <c r="X530" s="276"/>
    </row>
    <row r="531" ht="15.75" customHeight="1">
      <c r="A531" s="289"/>
      <c r="B531" s="284"/>
      <c r="C531" s="284"/>
      <c r="D531" s="284"/>
      <c r="E531" s="285"/>
      <c r="F531" s="35"/>
      <c r="G531" s="290"/>
      <c r="H531" s="360"/>
      <c r="I531" s="285"/>
      <c r="J531" s="276"/>
      <c r="K531" s="276"/>
      <c r="L531" s="276"/>
      <c r="M531" s="276"/>
      <c r="N531" s="276"/>
      <c r="O531" s="276"/>
      <c r="P531" s="276"/>
      <c r="Q531" s="276"/>
      <c r="R531" s="276"/>
      <c r="S531" s="276"/>
      <c r="T531" s="276"/>
      <c r="U531" s="276"/>
      <c r="V531" s="276"/>
      <c r="W531" s="276"/>
      <c r="X531" s="276"/>
    </row>
    <row r="532" ht="15.75" customHeight="1">
      <c r="A532" s="289"/>
      <c r="B532" s="284"/>
      <c r="C532" s="284"/>
      <c r="D532" s="284"/>
      <c r="E532" s="285"/>
      <c r="F532" s="35"/>
      <c r="G532" s="290"/>
      <c r="H532" s="360"/>
      <c r="I532" s="285"/>
      <c r="J532" s="276"/>
      <c r="K532" s="276"/>
      <c r="L532" s="276"/>
      <c r="M532" s="276"/>
      <c r="N532" s="276"/>
      <c r="O532" s="276"/>
      <c r="P532" s="276"/>
      <c r="Q532" s="276"/>
      <c r="R532" s="276"/>
      <c r="S532" s="276"/>
      <c r="T532" s="276"/>
      <c r="U532" s="276"/>
      <c r="V532" s="276"/>
      <c r="W532" s="276"/>
      <c r="X532" s="276"/>
    </row>
    <row r="533" ht="15.75" customHeight="1">
      <c r="A533" s="289"/>
      <c r="B533" s="284"/>
      <c r="C533" s="284"/>
      <c r="D533" s="284"/>
      <c r="E533" s="285"/>
      <c r="F533" s="35"/>
      <c r="G533" s="290"/>
      <c r="H533" s="360"/>
      <c r="I533" s="285"/>
      <c r="J533" s="276"/>
      <c r="K533" s="276"/>
      <c r="L533" s="276"/>
      <c r="M533" s="276"/>
      <c r="N533" s="276"/>
      <c r="O533" s="276"/>
      <c r="P533" s="276"/>
      <c r="Q533" s="276"/>
      <c r="R533" s="276"/>
      <c r="S533" s="276"/>
      <c r="T533" s="276"/>
      <c r="U533" s="276"/>
      <c r="V533" s="276"/>
      <c r="W533" s="276"/>
      <c r="X533" s="276"/>
    </row>
    <row r="534" ht="15.75" customHeight="1">
      <c r="A534" s="289"/>
      <c r="B534" s="284"/>
      <c r="C534" s="284"/>
      <c r="D534" s="284"/>
      <c r="E534" s="285"/>
      <c r="F534" s="35"/>
      <c r="G534" s="290"/>
      <c r="H534" s="360"/>
      <c r="I534" s="285"/>
      <c r="J534" s="276"/>
      <c r="K534" s="276"/>
      <c r="L534" s="276"/>
      <c r="M534" s="276"/>
      <c r="N534" s="276"/>
      <c r="O534" s="276"/>
      <c r="P534" s="276"/>
      <c r="Q534" s="276"/>
      <c r="R534" s="276"/>
      <c r="S534" s="276"/>
      <c r="T534" s="276"/>
      <c r="U534" s="276"/>
      <c r="V534" s="276"/>
      <c r="W534" s="276"/>
      <c r="X534" s="276"/>
    </row>
    <row r="535" ht="15.75" customHeight="1">
      <c r="A535" s="289"/>
      <c r="B535" s="284"/>
      <c r="C535" s="284"/>
      <c r="D535" s="284"/>
      <c r="E535" s="285"/>
      <c r="F535" s="35"/>
      <c r="G535" s="290"/>
      <c r="H535" s="360"/>
      <c r="I535" s="285"/>
      <c r="J535" s="276"/>
      <c r="K535" s="276"/>
      <c r="L535" s="276"/>
      <c r="M535" s="276"/>
      <c r="N535" s="276"/>
      <c r="O535" s="276"/>
      <c r="P535" s="276"/>
      <c r="Q535" s="276"/>
      <c r="R535" s="276"/>
      <c r="S535" s="276"/>
      <c r="T535" s="276"/>
      <c r="U535" s="276"/>
      <c r="V535" s="276"/>
      <c r="W535" s="276"/>
      <c r="X535" s="276"/>
    </row>
    <row r="536" ht="15.75" customHeight="1">
      <c r="A536" s="289"/>
      <c r="B536" s="284"/>
      <c r="C536" s="284"/>
      <c r="D536" s="284"/>
      <c r="E536" s="285"/>
      <c r="F536" s="35"/>
      <c r="G536" s="290"/>
      <c r="H536" s="360"/>
      <c r="I536" s="285"/>
      <c r="J536" s="276"/>
      <c r="K536" s="276"/>
      <c r="L536" s="276"/>
      <c r="M536" s="276"/>
      <c r="N536" s="276"/>
      <c r="O536" s="276"/>
      <c r="P536" s="276"/>
      <c r="Q536" s="276"/>
      <c r="R536" s="276"/>
      <c r="S536" s="276"/>
      <c r="T536" s="276"/>
      <c r="U536" s="276"/>
      <c r="V536" s="276"/>
      <c r="W536" s="276"/>
      <c r="X536" s="276"/>
    </row>
    <row r="537" ht="15.75" customHeight="1">
      <c r="A537" s="289"/>
      <c r="B537" s="284"/>
      <c r="C537" s="284"/>
      <c r="D537" s="284"/>
      <c r="E537" s="285"/>
      <c r="F537" s="35"/>
      <c r="G537" s="290"/>
      <c r="H537" s="360"/>
      <c r="I537" s="285"/>
      <c r="J537" s="276"/>
      <c r="K537" s="276"/>
      <c r="L537" s="276"/>
      <c r="M537" s="276"/>
      <c r="N537" s="276"/>
      <c r="O537" s="276"/>
      <c r="P537" s="276"/>
      <c r="Q537" s="276"/>
      <c r="R537" s="276"/>
      <c r="S537" s="276"/>
      <c r="T537" s="276"/>
      <c r="U537" s="276"/>
      <c r="V537" s="276"/>
      <c r="W537" s="276"/>
      <c r="X537" s="276"/>
    </row>
    <row r="538" ht="15.75" customHeight="1">
      <c r="A538" s="289"/>
      <c r="B538" s="284"/>
      <c r="C538" s="284"/>
      <c r="D538" s="284"/>
      <c r="E538" s="285"/>
      <c r="F538" s="35"/>
      <c r="G538" s="290"/>
      <c r="H538" s="360"/>
      <c r="I538" s="285"/>
      <c r="J538" s="276"/>
      <c r="K538" s="276"/>
      <c r="L538" s="276"/>
      <c r="M538" s="276"/>
      <c r="N538" s="276"/>
      <c r="O538" s="276"/>
      <c r="P538" s="276"/>
      <c r="Q538" s="276"/>
      <c r="R538" s="276"/>
      <c r="S538" s="276"/>
      <c r="T538" s="276"/>
      <c r="U538" s="276"/>
      <c r="V538" s="276"/>
      <c r="W538" s="276"/>
      <c r="X538" s="276"/>
    </row>
    <row r="539" ht="15.75" customHeight="1">
      <c r="A539" s="289"/>
      <c r="B539" s="284"/>
      <c r="C539" s="284"/>
      <c r="D539" s="284"/>
      <c r="E539" s="285"/>
      <c r="F539" s="35"/>
      <c r="G539" s="290"/>
      <c r="H539" s="360"/>
      <c r="I539" s="285"/>
      <c r="J539" s="276"/>
      <c r="K539" s="276"/>
      <c r="L539" s="276"/>
      <c r="M539" s="276"/>
      <c r="N539" s="276"/>
      <c r="O539" s="276"/>
      <c r="P539" s="276"/>
      <c r="Q539" s="276"/>
      <c r="R539" s="276"/>
      <c r="S539" s="276"/>
      <c r="T539" s="276"/>
      <c r="U539" s="276"/>
      <c r="V539" s="276"/>
      <c r="W539" s="276"/>
      <c r="X539" s="276"/>
    </row>
    <row r="540" ht="15.75" customHeight="1">
      <c r="A540" s="289"/>
      <c r="B540" s="284"/>
      <c r="C540" s="284"/>
      <c r="D540" s="284"/>
      <c r="E540" s="285"/>
      <c r="F540" s="35"/>
      <c r="G540" s="290"/>
      <c r="H540" s="360"/>
      <c r="I540" s="285"/>
      <c r="J540" s="276"/>
      <c r="K540" s="276"/>
      <c r="L540" s="276"/>
      <c r="M540" s="276"/>
      <c r="N540" s="276"/>
      <c r="O540" s="276"/>
      <c r="P540" s="276"/>
      <c r="Q540" s="276"/>
      <c r="R540" s="276"/>
      <c r="S540" s="276"/>
      <c r="T540" s="276"/>
      <c r="U540" s="276"/>
      <c r="V540" s="276"/>
      <c r="W540" s="276"/>
      <c r="X540" s="276"/>
    </row>
    <row r="541" ht="15.75" customHeight="1">
      <c r="A541" s="289"/>
      <c r="B541" s="284"/>
      <c r="C541" s="284"/>
      <c r="D541" s="284"/>
      <c r="E541" s="285"/>
      <c r="F541" s="35"/>
      <c r="G541" s="290"/>
      <c r="H541" s="360"/>
      <c r="I541" s="285"/>
      <c r="J541" s="276"/>
      <c r="K541" s="276"/>
      <c r="L541" s="276"/>
      <c r="M541" s="276"/>
      <c r="N541" s="276"/>
      <c r="O541" s="276"/>
      <c r="P541" s="276"/>
      <c r="Q541" s="276"/>
      <c r="R541" s="276"/>
      <c r="S541" s="276"/>
      <c r="T541" s="276"/>
      <c r="U541" s="276"/>
      <c r="V541" s="276"/>
      <c r="W541" s="276"/>
      <c r="X541" s="276"/>
    </row>
    <row r="542" ht="15.75" customHeight="1">
      <c r="A542" s="289"/>
      <c r="B542" s="284"/>
      <c r="C542" s="284"/>
      <c r="D542" s="284"/>
      <c r="E542" s="285"/>
      <c r="F542" s="35"/>
      <c r="G542" s="290"/>
      <c r="H542" s="360"/>
      <c r="I542" s="285"/>
      <c r="J542" s="276"/>
      <c r="K542" s="276"/>
      <c r="L542" s="276"/>
      <c r="M542" s="276"/>
      <c r="N542" s="276"/>
      <c r="O542" s="276"/>
      <c r="P542" s="276"/>
      <c r="Q542" s="276"/>
      <c r="R542" s="276"/>
      <c r="S542" s="276"/>
      <c r="T542" s="276"/>
      <c r="U542" s="276"/>
      <c r="V542" s="276"/>
      <c r="W542" s="276"/>
      <c r="X542" s="276"/>
    </row>
    <row r="543" ht="15.75" customHeight="1">
      <c r="A543" s="289"/>
      <c r="B543" s="284"/>
      <c r="C543" s="284"/>
      <c r="D543" s="284"/>
      <c r="E543" s="285"/>
      <c r="F543" s="35"/>
      <c r="G543" s="290"/>
      <c r="H543" s="360"/>
      <c r="I543" s="285"/>
      <c r="J543" s="276"/>
      <c r="K543" s="276"/>
      <c r="L543" s="276"/>
      <c r="M543" s="276"/>
      <c r="N543" s="276"/>
      <c r="O543" s="276"/>
      <c r="P543" s="276"/>
      <c r="Q543" s="276"/>
      <c r="R543" s="276"/>
      <c r="S543" s="276"/>
      <c r="T543" s="276"/>
      <c r="U543" s="276"/>
      <c r="V543" s="276"/>
      <c r="W543" s="276"/>
      <c r="X543" s="276"/>
    </row>
    <row r="544" ht="15.75" customHeight="1">
      <c r="A544" s="289"/>
      <c r="B544" s="284"/>
      <c r="C544" s="284"/>
      <c r="D544" s="284"/>
      <c r="E544" s="285"/>
      <c r="F544" s="35"/>
      <c r="G544" s="290"/>
      <c r="H544" s="360"/>
      <c r="I544" s="285"/>
      <c r="J544" s="276"/>
      <c r="K544" s="276"/>
      <c r="L544" s="276"/>
      <c r="M544" s="276"/>
      <c r="N544" s="276"/>
      <c r="O544" s="276"/>
      <c r="P544" s="276"/>
      <c r="Q544" s="276"/>
      <c r="R544" s="276"/>
      <c r="S544" s="276"/>
      <c r="T544" s="276"/>
      <c r="U544" s="276"/>
      <c r="V544" s="276"/>
      <c r="W544" s="276"/>
      <c r="X544" s="276"/>
    </row>
    <row r="545" ht="15.75" customHeight="1">
      <c r="A545" s="289"/>
      <c r="B545" s="284"/>
      <c r="C545" s="284"/>
      <c r="D545" s="284"/>
      <c r="E545" s="285"/>
      <c r="F545" s="35"/>
      <c r="G545" s="290"/>
      <c r="H545" s="360"/>
      <c r="I545" s="285"/>
      <c r="J545" s="276"/>
      <c r="K545" s="276"/>
      <c r="L545" s="276"/>
      <c r="M545" s="276"/>
      <c r="N545" s="276"/>
      <c r="O545" s="276"/>
      <c r="P545" s="276"/>
      <c r="Q545" s="276"/>
      <c r="R545" s="276"/>
      <c r="S545" s="276"/>
      <c r="T545" s="276"/>
      <c r="U545" s="276"/>
      <c r="V545" s="276"/>
      <c r="W545" s="276"/>
      <c r="X545" s="276"/>
    </row>
    <row r="546" ht="15.75" customHeight="1">
      <c r="A546" s="289"/>
      <c r="B546" s="284"/>
      <c r="C546" s="284"/>
      <c r="D546" s="284"/>
      <c r="E546" s="285"/>
      <c r="F546" s="35"/>
      <c r="G546" s="290"/>
      <c r="H546" s="360"/>
      <c r="I546" s="285"/>
      <c r="J546" s="276"/>
      <c r="K546" s="276"/>
      <c r="L546" s="276"/>
      <c r="M546" s="276"/>
      <c r="N546" s="276"/>
      <c r="O546" s="276"/>
      <c r="P546" s="276"/>
      <c r="Q546" s="276"/>
      <c r="R546" s="276"/>
      <c r="S546" s="276"/>
      <c r="T546" s="276"/>
      <c r="U546" s="276"/>
      <c r="V546" s="276"/>
      <c r="W546" s="276"/>
      <c r="X546" s="276"/>
    </row>
    <row r="547" ht="15.75" customHeight="1">
      <c r="A547" s="289"/>
      <c r="B547" s="284"/>
      <c r="C547" s="284"/>
      <c r="D547" s="284"/>
      <c r="E547" s="285"/>
      <c r="F547" s="35"/>
      <c r="G547" s="290"/>
      <c r="H547" s="360"/>
      <c r="I547" s="285"/>
      <c r="J547" s="276"/>
      <c r="K547" s="276"/>
      <c r="L547" s="276"/>
      <c r="M547" s="276"/>
      <c r="N547" s="276"/>
      <c r="O547" s="276"/>
      <c r="P547" s="276"/>
      <c r="Q547" s="276"/>
      <c r="R547" s="276"/>
      <c r="S547" s="276"/>
      <c r="T547" s="276"/>
      <c r="U547" s="276"/>
      <c r="V547" s="276"/>
      <c r="W547" s="276"/>
      <c r="X547" s="276"/>
    </row>
    <row r="548" ht="15.75" customHeight="1">
      <c r="A548" s="289"/>
      <c r="B548" s="284"/>
      <c r="C548" s="284"/>
      <c r="D548" s="284"/>
      <c r="E548" s="285"/>
      <c r="F548" s="35"/>
      <c r="G548" s="290"/>
      <c r="H548" s="360"/>
      <c r="I548" s="285"/>
      <c r="J548" s="276"/>
      <c r="K548" s="276"/>
      <c r="L548" s="276"/>
      <c r="M548" s="276"/>
      <c r="N548" s="276"/>
      <c r="O548" s="276"/>
      <c r="P548" s="276"/>
      <c r="Q548" s="276"/>
      <c r="R548" s="276"/>
      <c r="S548" s="276"/>
      <c r="T548" s="276"/>
      <c r="U548" s="276"/>
      <c r="V548" s="276"/>
      <c r="W548" s="276"/>
      <c r="X548" s="276"/>
    </row>
    <row r="549" ht="15.75" customHeight="1">
      <c r="A549" s="289"/>
      <c r="B549" s="284"/>
      <c r="C549" s="284"/>
      <c r="D549" s="284"/>
      <c r="E549" s="285"/>
      <c r="F549" s="35"/>
      <c r="G549" s="290"/>
      <c r="H549" s="360"/>
      <c r="I549" s="285"/>
      <c r="J549" s="276"/>
      <c r="K549" s="276"/>
      <c r="L549" s="276"/>
      <c r="M549" s="276"/>
      <c r="N549" s="276"/>
      <c r="O549" s="276"/>
      <c r="P549" s="276"/>
      <c r="Q549" s="276"/>
      <c r="R549" s="276"/>
      <c r="S549" s="276"/>
      <c r="T549" s="276"/>
      <c r="U549" s="276"/>
      <c r="V549" s="276"/>
      <c r="W549" s="276"/>
      <c r="X549" s="276"/>
    </row>
    <row r="550" ht="15.75" customHeight="1">
      <c r="A550" s="289"/>
      <c r="B550" s="284"/>
      <c r="C550" s="284"/>
      <c r="D550" s="284"/>
      <c r="E550" s="285"/>
      <c r="F550" s="35"/>
      <c r="G550" s="290"/>
      <c r="H550" s="360"/>
      <c r="I550" s="285"/>
      <c r="J550" s="276"/>
      <c r="K550" s="276"/>
      <c r="L550" s="276"/>
      <c r="M550" s="276"/>
      <c r="N550" s="276"/>
      <c r="O550" s="276"/>
      <c r="P550" s="276"/>
      <c r="Q550" s="276"/>
      <c r="R550" s="276"/>
      <c r="S550" s="276"/>
      <c r="T550" s="276"/>
      <c r="U550" s="276"/>
      <c r="V550" s="276"/>
      <c r="W550" s="276"/>
      <c r="X550" s="276"/>
    </row>
    <row r="551" ht="15.75" customHeight="1">
      <c r="A551" s="289"/>
      <c r="B551" s="284"/>
      <c r="C551" s="284"/>
      <c r="D551" s="284"/>
      <c r="E551" s="285"/>
      <c r="F551" s="35"/>
      <c r="G551" s="290"/>
      <c r="H551" s="360"/>
      <c r="I551" s="285"/>
      <c r="J551" s="276"/>
      <c r="K551" s="276"/>
      <c r="L551" s="276"/>
      <c r="M551" s="276"/>
      <c r="N551" s="276"/>
      <c r="O551" s="276"/>
      <c r="P551" s="276"/>
      <c r="Q551" s="276"/>
      <c r="R551" s="276"/>
      <c r="S551" s="276"/>
      <c r="T551" s="276"/>
      <c r="U551" s="276"/>
      <c r="V551" s="276"/>
      <c r="W551" s="276"/>
      <c r="X551" s="276"/>
    </row>
    <row r="552" ht="15.75" customHeight="1">
      <c r="A552" s="289"/>
      <c r="B552" s="284"/>
      <c r="C552" s="284"/>
      <c r="D552" s="284"/>
      <c r="E552" s="285"/>
      <c r="F552" s="35"/>
      <c r="G552" s="290"/>
      <c r="H552" s="360"/>
      <c r="I552" s="285"/>
      <c r="J552" s="276"/>
      <c r="K552" s="276"/>
      <c r="L552" s="276"/>
      <c r="M552" s="276"/>
      <c r="N552" s="276"/>
      <c r="O552" s="276"/>
      <c r="P552" s="276"/>
      <c r="Q552" s="276"/>
      <c r="R552" s="276"/>
      <c r="S552" s="276"/>
      <c r="T552" s="276"/>
      <c r="U552" s="276"/>
      <c r="V552" s="276"/>
      <c r="W552" s="276"/>
      <c r="X552" s="276"/>
    </row>
    <row r="553" ht="15.75" customHeight="1">
      <c r="A553" s="289"/>
      <c r="B553" s="284"/>
      <c r="C553" s="284"/>
      <c r="D553" s="284"/>
      <c r="E553" s="285"/>
      <c r="F553" s="35"/>
      <c r="G553" s="290"/>
      <c r="H553" s="360"/>
      <c r="I553" s="285"/>
      <c r="J553" s="276"/>
      <c r="K553" s="276"/>
      <c r="L553" s="276"/>
      <c r="M553" s="276"/>
      <c r="N553" s="276"/>
      <c r="O553" s="276"/>
      <c r="P553" s="276"/>
      <c r="Q553" s="276"/>
      <c r="R553" s="276"/>
      <c r="S553" s="276"/>
      <c r="T553" s="276"/>
      <c r="U553" s="276"/>
      <c r="V553" s="276"/>
      <c r="W553" s="276"/>
      <c r="X553" s="276"/>
    </row>
    <row r="554" ht="15.75" customHeight="1">
      <c r="A554" s="289"/>
      <c r="B554" s="284"/>
      <c r="C554" s="284"/>
      <c r="D554" s="284"/>
      <c r="E554" s="285"/>
      <c r="F554" s="35"/>
      <c r="G554" s="290"/>
      <c r="H554" s="360"/>
      <c r="I554" s="285"/>
      <c r="J554" s="276"/>
      <c r="K554" s="276"/>
      <c r="L554" s="276"/>
      <c r="M554" s="276"/>
      <c r="N554" s="276"/>
      <c r="O554" s="276"/>
      <c r="P554" s="276"/>
      <c r="Q554" s="276"/>
      <c r="R554" s="276"/>
      <c r="S554" s="276"/>
      <c r="T554" s="276"/>
      <c r="U554" s="276"/>
      <c r="V554" s="276"/>
      <c r="W554" s="276"/>
      <c r="X554" s="276"/>
    </row>
    <row r="555" ht="15.75" customHeight="1">
      <c r="A555" s="289"/>
      <c r="B555" s="284"/>
      <c r="C555" s="284"/>
      <c r="D555" s="284"/>
      <c r="E555" s="285"/>
      <c r="F555" s="35"/>
      <c r="G555" s="290"/>
      <c r="H555" s="360"/>
      <c r="I555" s="285"/>
      <c r="J555" s="276"/>
      <c r="K555" s="276"/>
      <c r="L555" s="276"/>
      <c r="M555" s="276"/>
      <c r="N555" s="276"/>
      <c r="O555" s="276"/>
      <c r="P555" s="276"/>
      <c r="Q555" s="276"/>
      <c r="R555" s="276"/>
      <c r="S555" s="276"/>
      <c r="T555" s="276"/>
      <c r="U555" s="276"/>
      <c r="V555" s="276"/>
      <c r="W555" s="276"/>
      <c r="X555" s="276"/>
    </row>
    <row r="556" ht="15.75" customHeight="1">
      <c r="A556" s="289"/>
      <c r="B556" s="284"/>
      <c r="C556" s="284"/>
      <c r="D556" s="284"/>
      <c r="E556" s="285"/>
      <c r="F556" s="35"/>
      <c r="G556" s="290"/>
      <c r="H556" s="360"/>
      <c r="I556" s="285"/>
      <c r="J556" s="276"/>
      <c r="K556" s="276"/>
      <c r="L556" s="276"/>
      <c r="M556" s="276"/>
      <c r="N556" s="276"/>
      <c r="O556" s="276"/>
      <c r="P556" s="276"/>
      <c r="Q556" s="276"/>
      <c r="R556" s="276"/>
      <c r="S556" s="276"/>
      <c r="T556" s="276"/>
      <c r="U556" s="276"/>
      <c r="V556" s="276"/>
      <c r="W556" s="276"/>
      <c r="X556" s="276"/>
    </row>
    <row r="557" ht="15.75" customHeight="1">
      <c r="A557" s="289"/>
      <c r="B557" s="284"/>
      <c r="C557" s="284"/>
      <c r="D557" s="284"/>
      <c r="E557" s="285"/>
      <c r="F557" s="35"/>
      <c r="G557" s="290"/>
      <c r="H557" s="360"/>
      <c r="I557" s="285"/>
      <c r="J557" s="276"/>
      <c r="K557" s="276"/>
      <c r="L557" s="276"/>
      <c r="M557" s="276"/>
      <c r="N557" s="276"/>
      <c r="O557" s="276"/>
      <c r="P557" s="276"/>
      <c r="Q557" s="276"/>
      <c r="R557" s="276"/>
      <c r="S557" s="276"/>
      <c r="T557" s="276"/>
      <c r="U557" s="276"/>
      <c r="V557" s="276"/>
      <c r="W557" s="276"/>
      <c r="X557" s="276"/>
    </row>
    <row r="558" ht="15.75" customHeight="1">
      <c r="A558" s="289"/>
      <c r="B558" s="284"/>
      <c r="C558" s="284"/>
      <c r="D558" s="284"/>
      <c r="E558" s="285"/>
      <c r="F558" s="35"/>
      <c r="G558" s="290"/>
      <c r="H558" s="360"/>
      <c r="I558" s="285"/>
      <c r="J558" s="276"/>
      <c r="K558" s="276"/>
      <c r="L558" s="276"/>
      <c r="M558" s="276"/>
      <c r="N558" s="276"/>
      <c r="O558" s="276"/>
      <c r="P558" s="276"/>
      <c r="Q558" s="276"/>
      <c r="R558" s="276"/>
      <c r="S558" s="276"/>
      <c r="T558" s="276"/>
      <c r="U558" s="276"/>
      <c r="V558" s="276"/>
      <c r="W558" s="276"/>
      <c r="X558" s="276"/>
    </row>
    <row r="559" ht="15.75" customHeight="1">
      <c r="A559" s="289"/>
      <c r="B559" s="284"/>
      <c r="C559" s="284"/>
      <c r="D559" s="284"/>
      <c r="E559" s="285"/>
      <c r="F559" s="35"/>
      <c r="G559" s="290"/>
      <c r="H559" s="360"/>
      <c r="I559" s="285"/>
      <c r="J559" s="276"/>
      <c r="K559" s="276"/>
      <c r="L559" s="276"/>
      <c r="M559" s="276"/>
      <c r="N559" s="276"/>
      <c r="O559" s="276"/>
      <c r="P559" s="276"/>
      <c r="Q559" s="276"/>
      <c r="R559" s="276"/>
      <c r="S559" s="276"/>
      <c r="T559" s="276"/>
      <c r="U559" s="276"/>
      <c r="V559" s="276"/>
      <c r="W559" s="276"/>
      <c r="X559" s="276"/>
    </row>
    <row r="560" ht="15.75" customHeight="1">
      <c r="A560" s="289"/>
      <c r="B560" s="284"/>
      <c r="C560" s="284"/>
      <c r="D560" s="284"/>
      <c r="E560" s="285"/>
      <c r="F560" s="35"/>
      <c r="G560" s="290"/>
      <c r="H560" s="360"/>
      <c r="I560" s="285"/>
      <c r="J560" s="276"/>
      <c r="K560" s="276"/>
      <c r="L560" s="276"/>
      <c r="M560" s="276"/>
      <c r="N560" s="276"/>
      <c r="O560" s="276"/>
      <c r="P560" s="276"/>
      <c r="Q560" s="276"/>
      <c r="R560" s="276"/>
      <c r="S560" s="276"/>
      <c r="T560" s="276"/>
      <c r="U560" s="276"/>
      <c r="V560" s="276"/>
      <c r="W560" s="276"/>
      <c r="X560" s="276"/>
    </row>
    <row r="561" ht="15.75" customHeight="1">
      <c r="A561" s="289"/>
      <c r="B561" s="284"/>
      <c r="C561" s="284"/>
      <c r="D561" s="284"/>
      <c r="E561" s="285"/>
      <c r="F561" s="35"/>
      <c r="G561" s="290"/>
      <c r="H561" s="360"/>
      <c r="I561" s="285"/>
      <c r="J561" s="276"/>
      <c r="K561" s="276"/>
      <c r="L561" s="276"/>
      <c r="M561" s="276"/>
      <c r="N561" s="276"/>
      <c r="O561" s="276"/>
      <c r="P561" s="276"/>
      <c r="Q561" s="276"/>
      <c r="R561" s="276"/>
      <c r="S561" s="276"/>
      <c r="T561" s="276"/>
      <c r="U561" s="276"/>
      <c r="V561" s="276"/>
      <c r="W561" s="276"/>
      <c r="X561" s="276"/>
    </row>
    <row r="562" ht="15.75" customHeight="1">
      <c r="A562" s="289"/>
      <c r="B562" s="284"/>
      <c r="C562" s="284"/>
      <c r="D562" s="284"/>
      <c r="E562" s="285"/>
      <c r="F562" s="35"/>
      <c r="G562" s="290"/>
      <c r="H562" s="360"/>
      <c r="I562" s="285"/>
      <c r="J562" s="276"/>
      <c r="K562" s="276"/>
      <c r="L562" s="276"/>
      <c r="M562" s="276"/>
      <c r="N562" s="276"/>
      <c r="O562" s="276"/>
      <c r="P562" s="276"/>
      <c r="Q562" s="276"/>
      <c r="R562" s="276"/>
      <c r="S562" s="276"/>
      <c r="T562" s="276"/>
      <c r="U562" s="276"/>
      <c r="V562" s="276"/>
      <c r="W562" s="276"/>
      <c r="X562" s="276"/>
    </row>
    <row r="563" ht="15.75" customHeight="1">
      <c r="A563" s="289"/>
      <c r="B563" s="284"/>
      <c r="C563" s="284"/>
      <c r="D563" s="284"/>
      <c r="E563" s="285"/>
      <c r="F563" s="35"/>
      <c r="G563" s="290"/>
      <c r="H563" s="360"/>
      <c r="I563" s="285"/>
      <c r="J563" s="276"/>
      <c r="K563" s="276"/>
      <c r="L563" s="276"/>
      <c r="M563" s="276"/>
      <c r="N563" s="276"/>
      <c r="O563" s="276"/>
      <c r="P563" s="276"/>
      <c r="Q563" s="276"/>
      <c r="R563" s="276"/>
      <c r="S563" s="276"/>
      <c r="T563" s="276"/>
      <c r="U563" s="276"/>
      <c r="V563" s="276"/>
      <c r="W563" s="276"/>
      <c r="X563" s="276"/>
    </row>
    <row r="564" ht="15.75" customHeight="1">
      <c r="A564" s="289"/>
      <c r="B564" s="284"/>
      <c r="C564" s="284"/>
      <c r="D564" s="284"/>
      <c r="E564" s="285"/>
      <c r="F564" s="35"/>
      <c r="G564" s="290"/>
      <c r="H564" s="360"/>
      <c r="I564" s="285"/>
      <c r="J564" s="276"/>
      <c r="K564" s="276"/>
      <c r="L564" s="276"/>
      <c r="M564" s="276"/>
      <c r="N564" s="276"/>
      <c r="O564" s="276"/>
      <c r="P564" s="276"/>
      <c r="Q564" s="276"/>
      <c r="R564" s="276"/>
      <c r="S564" s="276"/>
      <c r="T564" s="276"/>
      <c r="U564" s="276"/>
      <c r="V564" s="276"/>
      <c r="W564" s="276"/>
      <c r="X564" s="276"/>
    </row>
    <row r="565" ht="15.75" customHeight="1">
      <c r="A565" s="289"/>
      <c r="B565" s="284"/>
      <c r="C565" s="284"/>
      <c r="D565" s="284"/>
      <c r="E565" s="285"/>
      <c r="F565" s="35"/>
      <c r="G565" s="290"/>
      <c r="H565" s="360"/>
      <c r="I565" s="285"/>
      <c r="J565" s="276"/>
      <c r="K565" s="276"/>
      <c r="L565" s="276"/>
      <c r="M565" s="276"/>
      <c r="N565" s="276"/>
      <c r="O565" s="276"/>
      <c r="P565" s="276"/>
      <c r="Q565" s="276"/>
      <c r="R565" s="276"/>
      <c r="S565" s="276"/>
      <c r="T565" s="276"/>
      <c r="U565" s="276"/>
      <c r="V565" s="276"/>
      <c r="W565" s="276"/>
      <c r="X565" s="276"/>
    </row>
    <row r="566" ht="15.75" customHeight="1">
      <c r="A566" s="289"/>
      <c r="B566" s="284"/>
      <c r="C566" s="284"/>
      <c r="D566" s="284"/>
      <c r="E566" s="285"/>
      <c r="F566" s="35"/>
      <c r="G566" s="290"/>
      <c r="H566" s="360"/>
      <c r="I566" s="285"/>
      <c r="J566" s="276"/>
      <c r="K566" s="276"/>
      <c r="L566" s="276"/>
      <c r="M566" s="276"/>
      <c r="N566" s="276"/>
      <c r="O566" s="276"/>
      <c r="P566" s="276"/>
      <c r="Q566" s="276"/>
      <c r="R566" s="276"/>
      <c r="S566" s="276"/>
      <c r="T566" s="276"/>
      <c r="U566" s="276"/>
      <c r="V566" s="276"/>
      <c r="W566" s="276"/>
      <c r="X566" s="276"/>
    </row>
    <row r="567" ht="15.75" customHeight="1">
      <c r="A567" s="289"/>
      <c r="B567" s="284"/>
      <c r="C567" s="284"/>
      <c r="D567" s="284"/>
      <c r="E567" s="285"/>
      <c r="F567" s="35"/>
      <c r="G567" s="290"/>
      <c r="H567" s="360"/>
      <c r="I567" s="285"/>
      <c r="J567" s="276"/>
      <c r="K567" s="276"/>
      <c r="L567" s="276"/>
      <c r="M567" s="276"/>
      <c r="N567" s="276"/>
      <c r="O567" s="276"/>
      <c r="P567" s="276"/>
      <c r="Q567" s="276"/>
      <c r="R567" s="276"/>
      <c r="S567" s="276"/>
      <c r="T567" s="276"/>
      <c r="U567" s="276"/>
      <c r="V567" s="276"/>
      <c r="W567" s="276"/>
      <c r="X567" s="276"/>
    </row>
    <row r="568" ht="15.75" customHeight="1">
      <c r="A568" s="289"/>
      <c r="B568" s="284"/>
      <c r="C568" s="284"/>
      <c r="D568" s="284"/>
      <c r="E568" s="285"/>
      <c r="F568" s="35"/>
      <c r="G568" s="290"/>
      <c r="H568" s="360"/>
      <c r="I568" s="285"/>
      <c r="J568" s="276"/>
      <c r="K568" s="276"/>
      <c r="L568" s="276"/>
      <c r="M568" s="276"/>
      <c r="N568" s="276"/>
      <c r="O568" s="276"/>
      <c r="P568" s="276"/>
      <c r="Q568" s="276"/>
      <c r="R568" s="276"/>
      <c r="S568" s="276"/>
      <c r="T568" s="276"/>
      <c r="U568" s="276"/>
      <c r="V568" s="276"/>
      <c r="W568" s="276"/>
      <c r="X568" s="276"/>
    </row>
    <row r="569" ht="15.75" customHeight="1">
      <c r="A569" s="289"/>
      <c r="B569" s="284"/>
      <c r="C569" s="284"/>
      <c r="D569" s="284"/>
      <c r="E569" s="285"/>
      <c r="F569" s="35"/>
      <c r="G569" s="290"/>
      <c r="H569" s="360"/>
      <c r="I569" s="285"/>
      <c r="J569" s="276"/>
      <c r="K569" s="276"/>
      <c r="L569" s="276"/>
      <c r="M569" s="276"/>
      <c r="N569" s="276"/>
      <c r="O569" s="276"/>
      <c r="P569" s="276"/>
      <c r="Q569" s="276"/>
      <c r="R569" s="276"/>
      <c r="S569" s="276"/>
      <c r="T569" s="276"/>
      <c r="U569" s="276"/>
      <c r="V569" s="276"/>
      <c r="W569" s="276"/>
      <c r="X569" s="276"/>
    </row>
    <row r="570" ht="15.75" customHeight="1">
      <c r="A570" s="289"/>
      <c r="B570" s="284"/>
      <c r="C570" s="284"/>
      <c r="D570" s="284"/>
      <c r="E570" s="285"/>
      <c r="F570" s="35"/>
      <c r="G570" s="290"/>
      <c r="H570" s="360"/>
      <c r="I570" s="285"/>
      <c r="J570" s="276"/>
      <c r="K570" s="276"/>
      <c r="L570" s="276"/>
      <c r="M570" s="276"/>
      <c r="N570" s="276"/>
      <c r="O570" s="276"/>
      <c r="P570" s="276"/>
      <c r="Q570" s="276"/>
      <c r="R570" s="276"/>
      <c r="S570" s="276"/>
      <c r="T570" s="276"/>
      <c r="U570" s="276"/>
      <c r="V570" s="276"/>
      <c r="W570" s="276"/>
      <c r="X570" s="276"/>
    </row>
    <row r="571" ht="15.75" customHeight="1">
      <c r="A571" s="289"/>
      <c r="B571" s="284"/>
      <c r="C571" s="284"/>
      <c r="D571" s="284"/>
      <c r="E571" s="285"/>
      <c r="F571" s="35"/>
      <c r="G571" s="290"/>
      <c r="H571" s="360"/>
      <c r="I571" s="285"/>
      <c r="J571" s="276"/>
      <c r="K571" s="276"/>
      <c r="L571" s="276"/>
      <c r="M571" s="276"/>
      <c r="N571" s="276"/>
      <c r="O571" s="276"/>
      <c r="P571" s="276"/>
      <c r="Q571" s="276"/>
      <c r="R571" s="276"/>
      <c r="S571" s="276"/>
      <c r="T571" s="276"/>
      <c r="U571" s="276"/>
      <c r="V571" s="276"/>
      <c r="W571" s="276"/>
      <c r="X571" s="276"/>
    </row>
    <row r="572" ht="15.75" customHeight="1">
      <c r="A572" s="289"/>
      <c r="B572" s="284"/>
      <c r="C572" s="284"/>
      <c r="D572" s="284"/>
      <c r="E572" s="285"/>
      <c r="F572" s="35"/>
      <c r="G572" s="290"/>
      <c r="H572" s="360"/>
      <c r="I572" s="285"/>
      <c r="J572" s="276"/>
      <c r="K572" s="276"/>
      <c r="L572" s="276"/>
      <c r="M572" s="276"/>
      <c r="N572" s="276"/>
      <c r="O572" s="276"/>
      <c r="P572" s="276"/>
      <c r="Q572" s="276"/>
      <c r="R572" s="276"/>
      <c r="S572" s="276"/>
      <c r="T572" s="276"/>
      <c r="U572" s="276"/>
      <c r="V572" s="276"/>
      <c r="W572" s="276"/>
      <c r="X572" s="276"/>
    </row>
    <row r="573" ht="15.75" customHeight="1">
      <c r="A573" s="289"/>
      <c r="B573" s="284"/>
      <c r="C573" s="284"/>
      <c r="D573" s="284"/>
      <c r="E573" s="285"/>
      <c r="F573" s="35"/>
      <c r="G573" s="290"/>
      <c r="H573" s="360"/>
      <c r="I573" s="285"/>
      <c r="J573" s="276"/>
      <c r="K573" s="276"/>
      <c r="L573" s="276"/>
      <c r="M573" s="276"/>
      <c r="N573" s="276"/>
      <c r="O573" s="276"/>
      <c r="P573" s="276"/>
      <c r="Q573" s="276"/>
      <c r="R573" s="276"/>
      <c r="S573" s="276"/>
      <c r="T573" s="276"/>
      <c r="U573" s="276"/>
      <c r="V573" s="276"/>
      <c r="W573" s="276"/>
      <c r="X573" s="276"/>
    </row>
    <row r="574" ht="15.75" customHeight="1">
      <c r="A574" s="289"/>
      <c r="B574" s="284"/>
      <c r="C574" s="284"/>
      <c r="D574" s="284"/>
      <c r="E574" s="285"/>
      <c r="F574" s="35"/>
      <c r="G574" s="290"/>
      <c r="H574" s="360"/>
      <c r="I574" s="285"/>
      <c r="J574" s="276"/>
      <c r="K574" s="276"/>
      <c r="L574" s="276"/>
      <c r="M574" s="276"/>
      <c r="N574" s="276"/>
      <c r="O574" s="276"/>
      <c r="P574" s="276"/>
      <c r="Q574" s="276"/>
      <c r="R574" s="276"/>
      <c r="S574" s="276"/>
      <c r="T574" s="276"/>
      <c r="U574" s="276"/>
      <c r="V574" s="276"/>
      <c r="W574" s="276"/>
      <c r="X574" s="276"/>
    </row>
    <row r="575" ht="15.75" customHeight="1">
      <c r="A575" s="289"/>
      <c r="B575" s="284"/>
      <c r="C575" s="284"/>
      <c r="D575" s="284"/>
      <c r="E575" s="285"/>
      <c r="F575" s="285"/>
      <c r="G575" s="290"/>
      <c r="H575" s="288"/>
      <c r="I575" s="285"/>
      <c r="J575" s="276"/>
      <c r="K575" s="276"/>
      <c r="L575" s="276"/>
      <c r="M575" s="276"/>
      <c r="N575" s="276"/>
      <c r="O575" s="276"/>
      <c r="P575" s="276"/>
      <c r="Q575" s="276"/>
      <c r="R575" s="276"/>
      <c r="S575" s="276"/>
      <c r="T575" s="276"/>
      <c r="U575" s="276"/>
      <c r="V575" s="276"/>
      <c r="W575" s="276"/>
      <c r="X575" s="276"/>
    </row>
    <row r="576" ht="15.75" customHeight="1">
      <c r="A576" s="289"/>
      <c r="B576" s="284"/>
      <c r="C576" s="284"/>
      <c r="D576" s="284"/>
      <c r="E576" s="285"/>
      <c r="F576" s="35"/>
      <c r="G576" s="290"/>
      <c r="H576" s="288"/>
      <c r="I576" s="285"/>
      <c r="J576" s="276"/>
      <c r="K576" s="276"/>
      <c r="L576" s="276"/>
      <c r="M576" s="276"/>
      <c r="N576" s="276"/>
      <c r="O576" s="276"/>
      <c r="P576" s="276"/>
      <c r="Q576" s="276"/>
      <c r="R576" s="276"/>
      <c r="S576" s="276"/>
      <c r="T576" s="276"/>
      <c r="U576" s="276"/>
      <c r="V576" s="276"/>
      <c r="W576" s="276"/>
      <c r="X576" s="276"/>
    </row>
    <row r="577" ht="15.75" customHeight="1">
      <c r="A577" s="289"/>
      <c r="B577" s="284"/>
      <c r="C577" s="284"/>
      <c r="D577" s="284"/>
      <c r="E577" s="312"/>
      <c r="F577" s="312"/>
      <c r="G577" s="319"/>
      <c r="H577" s="288"/>
      <c r="I577" s="285"/>
      <c r="J577" s="276"/>
      <c r="K577" s="276"/>
      <c r="L577" s="276"/>
      <c r="M577" s="276"/>
      <c r="N577" s="276"/>
      <c r="O577" s="276"/>
      <c r="P577" s="276"/>
      <c r="Q577" s="276"/>
      <c r="R577" s="276"/>
      <c r="S577" s="276"/>
      <c r="T577" s="276"/>
      <c r="U577" s="276"/>
      <c r="V577" s="276"/>
      <c r="W577" s="276"/>
      <c r="X577" s="276"/>
    </row>
    <row r="578" ht="15.75" customHeight="1">
      <c r="A578" s="289"/>
      <c r="B578" s="284"/>
      <c r="C578" s="284"/>
      <c r="D578" s="284"/>
      <c r="E578" s="285"/>
      <c r="F578" s="35"/>
      <c r="G578" s="290"/>
      <c r="H578" s="288"/>
      <c r="I578" s="285"/>
      <c r="J578" s="276"/>
      <c r="K578" s="276"/>
      <c r="L578" s="276"/>
      <c r="M578" s="276"/>
      <c r="N578" s="276"/>
      <c r="O578" s="276"/>
      <c r="P578" s="276"/>
      <c r="Q578" s="276"/>
      <c r="R578" s="276"/>
      <c r="S578" s="276"/>
      <c r="T578" s="276"/>
      <c r="U578" s="276"/>
      <c r="V578" s="276"/>
      <c r="W578" s="276"/>
      <c r="X578" s="276"/>
    </row>
    <row r="579" ht="15.75" customHeight="1">
      <c r="A579" s="289"/>
      <c r="B579" s="284"/>
      <c r="C579" s="284"/>
      <c r="D579" s="284"/>
      <c r="E579" s="285"/>
      <c r="F579" s="285"/>
      <c r="G579" s="290"/>
      <c r="H579" s="288"/>
      <c r="I579" s="285"/>
      <c r="J579" s="276"/>
      <c r="K579" s="276"/>
      <c r="L579" s="276"/>
      <c r="M579" s="276"/>
      <c r="N579" s="276"/>
      <c r="O579" s="276"/>
      <c r="P579" s="276"/>
      <c r="Q579" s="276"/>
      <c r="R579" s="276"/>
      <c r="S579" s="276"/>
      <c r="T579" s="276"/>
      <c r="U579" s="276"/>
      <c r="V579" s="276"/>
      <c r="W579" s="276"/>
      <c r="X579" s="276"/>
    </row>
    <row r="580" ht="15.75" customHeight="1">
      <c r="A580" s="289"/>
      <c r="B580" s="284"/>
      <c r="C580" s="284"/>
      <c r="D580" s="284"/>
      <c r="E580" s="285"/>
      <c r="F580" s="35"/>
      <c r="G580" s="290"/>
      <c r="H580" s="288"/>
      <c r="I580" s="285"/>
      <c r="J580" s="276"/>
      <c r="K580" s="276"/>
      <c r="L580" s="276"/>
      <c r="M580" s="276"/>
      <c r="N580" s="276"/>
      <c r="O580" s="276"/>
      <c r="P580" s="276"/>
      <c r="Q580" s="276"/>
      <c r="R580" s="276"/>
      <c r="S580" s="276"/>
      <c r="T580" s="276"/>
      <c r="U580" s="276"/>
      <c r="V580" s="276"/>
      <c r="W580" s="276"/>
      <c r="X580" s="276"/>
    </row>
    <row r="581" ht="15.75" customHeight="1">
      <c r="A581" s="289"/>
      <c r="B581" s="284"/>
      <c r="C581" s="284"/>
      <c r="D581" s="284"/>
      <c r="E581" s="285"/>
      <c r="F581" s="35"/>
      <c r="G581" s="290"/>
      <c r="H581" s="288"/>
      <c r="I581" s="285"/>
      <c r="J581" s="276"/>
      <c r="K581" s="276"/>
      <c r="L581" s="276"/>
      <c r="M581" s="276"/>
      <c r="N581" s="276"/>
      <c r="O581" s="276"/>
      <c r="P581" s="276"/>
      <c r="Q581" s="276"/>
      <c r="R581" s="276"/>
      <c r="S581" s="276"/>
      <c r="T581" s="276"/>
      <c r="U581" s="276"/>
      <c r="V581" s="276"/>
      <c r="W581" s="276"/>
      <c r="X581" s="276"/>
    </row>
    <row r="582" ht="15.75" customHeight="1">
      <c r="A582" s="289"/>
      <c r="B582" s="284"/>
      <c r="C582" s="284"/>
      <c r="D582" s="284"/>
      <c r="E582" s="285"/>
      <c r="F582" s="285"/>
      <c r="G582" s="290"/>
      <c r="H582" s="288"/>
      <c r="I582" s="285"/>
      <c r="J582" s="276"/>
      <c r="K582" s="276"/>
      <c r="L582" s="276"/>
      <c r="M582" s="276"/>
      <c r="N582" s="276"/>
      <c r="O582" s="276"/>
      <c r="P582" s="276"/>
      <c r="Q582" s="276"/>
      <c r="R582" s="276"/>
      <c r="S582" s="276"/>
      <c r="T582" s="276"/>
      <c r="U582" s="276"/>
      <c r="V582" s="276"/>
      <c r="W582" s="276"/>
      <c r="X582" s="276"/>
    </row>
    <row r="583" ht="15.75" customHeight="1">
      <c r="A583" s="289"/>
      <c r="B583" s="284"/>
      <c r="C583" s="284"/>
      <c r="D583" s="284"/>
      <c r="E583" s="285"/>
      <c r="F583" s="35"/>
      <c r="G583" s="290"/>
      <c r="H583" s="288"/>
      <c r="I583" s="285"/>
      <c r="J583" s="276"/>
      <c r="K583" s="276"/>
      <c r="L583" s="276"/>
      <c r="M583" s="276"/>
      <c r="N583" s="276"/>
      <c r="O583" s="276"/>
      <c r="P583" s="276"/>
      <c r="Q583" s="276"/>
      <c r="R583" s="276"/>
      <c r="S583" s="276"/>
      <c r="T583" s="276"/>
      <c r="U583" s="276"/>
      <c r="V583" s="276"/>
      <c r="W583" s="276"/>
      <c r="X583" s="276"/>
    </row>
    <row r="584" ht="15.75" customHeight="1">
      <c r="A584" s="289"/>
      <c r="B584" s="284"/>
      <c r="C584" s="284"/>
      <c r="D584" s="284"/>
      <c r="E584" s="285"/>
      <c r="F584" s="35"/>
      <c r="G584" s="290"/>
      <c r="H584" s="360"/>
      <c r="I584" s="285"/>
      <c r="J584" s="276"/>
      <c r="K584" s="276"/>
      <c r="L584" s="276"/>
      <c r="M584" s="276"/>
      <c r="N584" s="276"/>
      <c r="O584" s="276"/>
      <c r="P584" s="276"/>
      <c r="Q584" s="276"/>
      <c r="R584" s="276"/>
      <c r="S584" s="276"/>
      <c r="T584" s="276"/>
      <c r="U584" s="276"/>
      <c r="V584" s="276"/>
      <c r="W584" s="276"/>
      <c r="X584" s="276"/>
    </row>
    <row r="585" ht="15.75" customHeight="1">
      <c r="A585" s="289"/>
      <c r="B585" s="284"/>
      <c r="C585" s="284"/>
      <c r="D585" s="284"/>
      <c r="E585" s="312"/>
      <c r="F585" s="312"/>
      <c r="G585" s="319"/>
      <c r="H585" s="288"/>
      <c r="I585" s="285"/>
      <c r="J585" s="276"/>
      <c r="K585" s="276"/>
      <c r="L585" s="276"/>
      <c r="M585" s="276"/>
      <c r="N585" s="276"/>
      <c r="O585" s="276"/>
      <c r="P585" s="276"/>
      <c r="Q585" s="276"/>
      <c r="R585" s="276"/>
      <c r="S585" s="276"/>
      <c r="T585" s="276"/>
      <c r="U585" s="276"/>
      <c r="V585" s="276"/>
      <c r="W585" s="276"/>
      <c r="X585" s="276"/>
    </row>
    <row r="586" ht="15.75" customHeight="1">
      <c r="A586" s="289"/>
      <c r="B586" s="284"/>
      <c r="C586" s="284"/>
      <c r="D586" s="284"/>
      <c r="E586" s="285"/>
      <c r="F586" s="285"/>
      <c r="G586" s="290"/>
      <c r="H586" s="288"/>
      <c r="I586" s="285"/>
      <c r="J586" s="276"/>
      <c r="K586" s="276"/>
      <c r="L586" s="276"/>
      <c r="M586" s="276"/>
      <c r="N586" s="276"/>
      <c r="O586" s="276"/>
      <c r="P586" s="276"/>
      <c r="Q586" s="276"/>
      <c r="R586" s="276"/>
      <c r="S586" s="276"/>
      <c r="T586" s="276"/>
      <c r="U586" s="276"/>
      <c r="V586" s="276"/>
      <c r="W586" s="276"/>
      <c r="X586" s="276"/>
    </row>
    <row r="587" ht="15.75" customHeight="1">
      <c r="A587" s="289"/>
      <c r="B587" s="284"/>
      <c r="C587" s="284"/>
      <c r="D587" s="284"/>
      <c r="E587" s="312"/>
      <c r="F587" s="312"/>
      <c r="G587" s="319"/>
      <c r="H587" s="288"/>
      <c r="I587" s="285"/>
      <c r="J587" s="276"/>
      <c r="K587" s="276"/>
      <c r="L587" s="276"/>
      <c r="M587" s="276"/>
      <c r="N587" s="276"/>
      <c r="O587" s="276"/>
      <c r="P587" s="276"/>
      <c r="Q587" s="276"/>
      <c r="R587" s="276"/>
      <c r="S587" s="276"/>
      <c r="T587" s="276"/>
      <c r="U587" s="276"/>
      <c r="V587" s="276"/>
      <c r="W587" s="276"/>
      <c r="X587" s="276"/>
    </row>
    <row r="588" ht="15.75" customHeight="1">
      <c r="A588" s="283"/>
      <c r="B588" s="284"/>
      <c r="C588" s="284"/>
      <c r="D588" s="284"/>
      <c r="E588" s="285"/>
      <c r="F588" s="286"/>
      <c r="G588" s="287"/>
      <c r="H588" s="288"/>
      <c r="I588" s="285"/>
      <c r="J588" s="276"/>
      <c r="K588" s="276"/>
      <c r="L588" s="276"/>
      <c r="M588" s="276"/>
      <c r="N588" s="276"/>
      <c r="O588" s="276"/>
      <c r="P588" s="276"/>
      <c r="Q588" s="276"/>
      <c r="R588" s="276"/>
      <c r="S588" s="276"/>
      <c r="T588" s="276"/>
      <c r="U588" s="276"/>
      <c r="V588" s="276"/>
      <c r="W588" s="276"/>
      <c r="X588" s="276"/>
    </row>
    <row r="589" ht="15.75" customHeight="1">
      <c r="A589" s="283"/>
      <c r="B589" s="284"/>
      <c r="C589" s="284"/>
      <c r="D589" s="284"/>
      <c r="E589" s="285"/>
      <c r="F589" s="286"/>
      <c r="G589" s="287"/>
      <c r="H589" s="288"/>
      <c r="I589" s="285"/>
      <c r="J589" s="276"/>
      <c r="K589" s="276"/>
      <c r="L589" s="276"/>
      <c r="M589" s="276"/>
      <c r="N589" s="276"/>
      <c r="O589" s="276"/>
      <c r="P589" s="276"/>
      <c r="Q589" s="276"/>
      <c r="R589" s="276"/>
      <c r="S589" s="276"/>
      <c r="T589" s="276"/>
      <c r="U589" s="276"/>
      <c r="V589" s="276"/>
      <c r="W589" s="276"/>
      <c r="X589" s="276"/>
    </row>
    <row r="590" ht="15.75" customHeight="1">
      <c r="A590" s="283"/>
      <c r="B590" s="284"/>
      <c r="C590" s="284"/>
      <c r="D590" s="284"/>
      <c r="E590" s="285"/>
      <c r="F590" s="286"/>
      <c r="G590" s="287"/>
      <c r="H590" s="288"/>
      <c r="I590" s="285"/>
      <c r="J590" s="276"/>
      <c r="K590" s="276"/>
      <c r="L590" s="276"/>
      <c r="M590" s="276"/>
      <c r="N590" s="276"/>
      <c r="O590" s="276"/>
      <c r="P590" s="276"/>
      <c r="Q590" s="276"/>
      <c r="R590" s="276"/>
      <c r="S590" s="276"/>
      <c r="T590" s="276"/>
      <c r="U590" s="276"/>
      <c r="V590" s="276"/>
      <c r="W590" s="276"/>
      <c r="X590" s="276"/>
    </row>
    <row r="591" ht="15.75" customHeight="1">
      <c r="A591" s="283"/>
      <c r="B591" s="284"/>
      <c r="C591" s="284"/>
      <c r="D591" s="284"/>
      <c r="E591" s="285"/>
      <c r="F591" s="286"/>
      <c r="G591" s="287"/>
      <c r="H591" s="288"/>
      <c r="I591" s="285"/>
      <c r="J591" s="276"/>
      <c r="K591" s="276"/>
      <c r="L591" s="276"/>
      <c r="M591" s="276"/>
      <c r="N591" s="276"/>
      <c r="O591" s="276"/>
      <c r="P591" s="276"/>
      <c r="Q591" s="276"/>
      <c r="R591" s="276"/>
      <c r="S591" s="276"/>
      <c r="T591" s="276"/>
      <c r="U591" s="276"/>
      <c r="V591" s="276"/>
      <c r="W591" s="276"/>
      <c r="X591" s="276"/>
    </row>
    <row r="592" ht="15.75" customHeight="1">
      <c r="A592" s="283"/>
      <c r="B592" s="284"/>
      <c r="C592" s="284"/>
      <c r="D592" s="284"/>
      <c r="E592" s="285"/>
      <c r="F592" s="286"/>
      <c r="G592" s="287"/>
      <c r="H592" s="288"/>
      <c r="I592" s="285"/>
      <c r="J592" s="276"/>
      <c r="K592" s="276"/>
      <c r="L592" s="276"/>
      <c r="M592" s="276"/>
      <c r="N592" s="276"/>
      <c r="O592" s="276"/>
      <c r="P592" s="276"/>
      <c r="Q592" s="276"/>
      <c r="R592" s="276"/>
      <c r="S592" s="276"/>
      <c r="T592" s="276"/>
      <c r="U592" s="276"/>
      <c r="V592" s="276"/>
      <c r="W592" s="276"/>
      <c r="X592" s="276"/>
    </row>
    <row r="593" ht="15.75" customHeight="1">
      <c r="A593" s="283"/>
      <c r="B593" s="284"/>
      <c r="C593" s="284"/>
      <c r="D593" s="284"/>
      <c r="E593" s="285"/>
      <c r="F593" s="286"/>
      <c r="G593" s="287"/>
      <c r="H593" s="288"/>
      <c r="I593" s="285"/>
      <c r="J593" s="276"/>
      <c r="K593" s="276"/>
      <c r="L593" s="276"/>
      <c r="M593" s="276"/>
      <c r="N593" s="276"/>
      <c r="O593" s="276"/>
      <c r="P593" s="276"/>
      <c r="Q593" s="276"/>
      <c r="R593" s="276"/>
      <c r="S593" s="276"/>
      <c r="T593" s="276"/>
      <c r="U593" s="276"/>
      <c r="V593" s="276"/>
      <c r="W593" s="276"/>
      <c r="X593" s="276"/>
    </row>
    <row r="594" ht="15.75" customHeight="1">
      <c r="A594" s="283"/>
      <c r="B594" s="284"/>
      <c r="C594" s="284"/>
      <c r="D594" s="284"/>
      <c r="E594" s="285"/>
      <c r="F594" s="286"/>
      <c r="G594" s="287"/>
      <c r="H594" s="288"/>
      <c r="I594" s="285"/>
      <c r="J594" s="276"/>
      <c r="K594" s="276"/>
      <c r="L594" s="276"/>
      <c r="M594" s="276"/>
      <c r="N594" s="276"/>
      <c r="O594" s="276"/>
      <c r="P594" s="276"/>
      <c r="Q594" s="276"/>
      <c r="R594" s="276"/>
      <c r="S594" s="276"/>
      <c r="T594" s="276"/>
      <c r="U594" s="276"/>
      <c r="V594" s="276"/>
      <c r="W594" s="276"/>
      <c r="X594" s="276"/>
    </row>
    <row r="595" ht="15.75" customHeight="1">
      <c r="A595" s="283"/>
      <c r="B595" s="284"/>
      <c r="C595" s="284"/>
      <c r="D595" s="284"/>
      <c r="E595" s="285"/>
      <c r="F595" s="285"/>
      <c r="G595" s="290"/>
      <c r="H595" s="288"/>
      <c r="I595" s="285"/>
      <c r="J595" s="276"/>
      <c r="K595" s="276"/>
      <c r="L595" s="276"/>
      <c r="M595" s="276"/>
      <c r="N595" s="276"/>
      <c r="O595" s="276"/>
      <c r="P595" s="276"/>
      <c r="Q595" s="276"/>
      <c r="R595" s="276"/>
      <c r="S595" s="276"/>
      <c r="T595" s="276"/>
      <c r="U595" s="276"/>
      <c r="V595" s="276"/>
      <c r="W595" s="276"/>
      <c r="X595" s="276"/>
    </row>
    <row r="596" ht="15.75" customHeight="1">
      <c r="A596" s="283"/>
      <c r="B596" s="284"/>
      <c r="C596" s="284"/>
      <c r="D596" s="284"/>
      <c r="E596" s="285"/>
      <c r="F596" s="285"/>
      <c r="G596" s="290"/>
      <c r="H596" s="288"/>
      <c r="I596" s="285"/>
      <c r="J596" s="276"/>
      <c r="K596" s="276"/>
      <c r="L596" s="276"/>
      <c r="M596" s="276"/>
      <c r="N596" s="276"/>
      <c r="O596" s="276"/>
      <c r="P596" s="276"/>
      <c r="Q596" s="276"/>
      <c r="R596" s="276"/>
      <c r="S596" s="276"/>
      <c r="T596" s="276"/>
      <c r="U596" s="276"/>
      <c r="V596" s="276"/>
      <c r="W596" s="276"/>
      <c r="X596" s="276"/>
    </row>
    <row r="597" ht="15.75" customHeight="1">
      <c r="A597" s="396"/>
      <c r="B597" s="397"/>
      <c r="C597" s="397"/>
      <c r="D597" s="397"/>
      <c r="E597" s="398"/>
      <c r="F597" s="398"/>
      <c r="G597" s="399"/>
      <c r="H597" s="400"/>
      <c r="I597" s="401"/>
      <c r="J597" s="334" t="s">
        <v>1432</v>
      </c>
      <c r="K597" s="402"/>
      <c r="L597" s="402"/>
      <c r="M597" s="402"/>
      <c r="N597" s="402"/>
      <c r="O597" s="402"/>
      <c r="P597" s="402"/>
      <c r="Q597" s="402"/>
      <c r="R597" s="402"/>
      <c r="S597" s="402"/>
      <c r="T597" s="402"/>
      <c r="U597" s="402"/>
      <c r="V597" s="402"/>
      <c r="W597" s="402"/>
      <c r="X597" s="402"/>
    </row>
    <row r="598" ht="15.75" customHeight="1">
      <c r="A598" s="283"/>
      <c r="B598" s="284"/>
      <c r="C598" s="284"/>
      <c r="D598" s="284"/>
      <c r="E598" s="285"/>
      <c r="F598" s="35"/>
      <c r="G598" s="290"/>
      <c r="H598" s="360"/>
      <c r="I598" s="285"/>
      <c r="J598" s="276"/>
      <c r="K598" s="276"/>
      <c r="L598" s="276"/>
      <c r="M598" s="276"/>
      <c r="N598" s="276"/>
      <c r="O598" s="276"/>
      <c r="P598" s="276"/>
      <c r="Q598" s="276"/>
      <c r="R598" s="276"/>
      <c r="S598" s="276"/>
      <c r="T598" s="276"/>
      <c r="U598" s="276"/>
      <c r="V598" s="276"/>
      <c r="W598" s="276"/>
      <c r="X598" s="276"/>
    </row>
    <row r="599" ht="15.75" customHeight="1">
      <c r="A599" s="283"/>
      <c r="B599" s="284"/>
      <c r="C599" s="284"/>
      <c r="D599" s="284"/>
      <c r="E599" s="285"/>
      <c r="F599" s="286"/>
      <c r="G599" s="287"/>
      <c r="H599" s="288"/>
      <c r="I599" s="285"/>
      <c r="J599" s="276"/>
      <c r="K599" s="276"/>
      <c r="L599" s="276"/>
      <c r="M599" s="276"/>
      <c r="N599" s="276"/>
      <c r="O599" s="276"/>
      <c r="P599" s="276"/>
      <c r="Q599" s="276"/>
      <c r="R599" s="276"/>
      <c r="S599" s="276"/>
      <c r="T599" s="276"/>
      <c r="U599" s="276"/>
      <c r="V599" s="276"/>
      <c r="W599" s="276"/>
      <c r="X599" s="276"/>
    </row>
    <row r="600" ht="15.75" customHeight="1">
      <c r="A600" s="283"/>
      <c r="B600" s="284"/>
      <c r="C600" s="284"/>
      <c r="D600" s="284"/>
      <c r="E600" s="285"/>
      <c r="F600" s="35"/>
      <c r="G600" s="290"/>
      <c r="H600" s="360"/>
      <c r="I600" s="285"/>
      <c r="J600" s="276"/>
      <c r="K600" s="276"/>
      <c r="L600" s="276"/>
      <c r="M600" s="276"/>
      <c r="N600" s="276"/>
      <c r="O600" s="276"/>
      <c r="P600" s="276"/>
      <c r="Q600" s="276"/>
      <c r="R600" s="276"/>
      <c r="S600" s="276"/>
      <c r="T600" s="276"/>
      <c r="U600" s="276"/>
      <c r="V600" s="276"/>
      <c r="W600" s="276"/>
      <c r="X600" s="276"/>
    </row>
    <row r="601" ht="15.75" customHeight="1">
      <c r="A601" s="283"/>
      <c r="B601" s="284"/>
      <c r="C601" s="284"/>
      <c r="D601" s="284"/>
      <c r="E601" s="285"/>
      <c r="F601" s="35"/>
      <c r="G601" s="290"/>
      <c r="H601" s="360"/>
      <c r="I601" s="285"/>
      <c r="J601" s="276"/>
      <c r="K601" s="276"/>
      <c r="L601" s="276"/>
      <c r="M601" s="276"/>
      <c r="N601" s="276"/>
      <c r="O601" s="276"/>
      <c r="P601" s="276"/>
      <c r="Q601" s="276"/>
      <c r="R601" s="276"/>
      <c r="S601" s="276"/>
      <c r="T601" s="276"/>
      <c r="U601" s="276"/>
      <c r="V601" s="276"/>
      <c r="W601" s="276"/>
      <c r="X601" s="276"/>
    </row>
    <row r="602" ht="15.75" customHeight="1">
      <c r="A602" s="283"/>
      <c r="B602" s="284"/>
      <c r="C602" s="284"/>
      <c r="D602" s="284"/>
      <c r="E602" s="285"/>
      <c r="F602" s="286"/>
      <c r="G602" s="287"/>
      <c r="H602" s="288"/>
      <c r="I602" s="285"/>
      <c r="J602" s="276"/>
      <c r="K602" s="276"/>
      <c r="L602" s="276"/>
      <c r="M602" s="276"/>
      <c r="N602" s="276"/>
      <c r="O602" s="276"/>
      <c r="P602" s="276"/>
      <c r="Q602" s="276"/>
      <c r="R602" s="276"/>
      <c r="S602" s="276"/>
      <c r="T602" s="276"/>
      <c r="U602" s="276"/>
      <c r="V602" s="276"/>
      <c r="W602" s="276"/>
      <c r="X602" s="276"/>
    </row>
    <row r="603" ht="15.75" customHeight="1">
      <c r="A603" s="283"/>
      <c r="B603" s="284"/>
      <c r="C603" s="284"/>
      <c r="D603" s="284"/>
      <c r="E603" s="285"/>
      <c r="F603" s="286"/>
      <c r="G603" s="287"/>
      <c r="H603" s="288"/>
      <c r="I603" s="285"/>
      <c r="J603" s="276"/>
      <c r="K603" s="276"/>
      <c r="L603" s="276"/>
      <c r="M603" s="276"/>
      <c r="N603" s="276"/>
      <c r="O603" s="276"/>
      <c r="P603" s="276"/>
      <c r="Q603" s="276"/>
      <c r="R603" s="276"/>
      <c r="S603" s="276"/>
      <c r="T603" s="276"/>
      <c r="U603" s="276"/>
      <c r="V603" s="276"/>
      <c r="W603" s="276"/>
      <c r="X603" s="276"/>
    </row>
    <row r="604" ht="15.75" customHeight="1">
      <c r="A604" s="283"/>
      <c r="B604" s="284"/>
      <c r="C604" s="284"/>
      <c r="D604" s="284"/>
      <c r="E604" s="285"/>
      <c r="F604" s="35"/>
      <c r="G604" s="290"/>
      <c r="H604" s="360"/>
      <c r="I604" s="285"/>
      <c r="J604" s="276"/>
      <c r="K604" s="276"/>
      <c r="L604" s="276"/>
      <c r="M604" s="276"/>
      <c r="N604" s="276"/>
      <c r="O604" s="276"/>
      <c r="P604" s="276"/>
      <c r="Q604" s="276"/>
      <c r="R604" s="276"/>
      <c r="S604" s="276"/>
      <c r="T604" s="276"/>
      <c r="U604" s="276"/>
      <c r="V604" s="276"/>
      <c r="W604" s="276"/>
      <c r="X604" s="276"/>
    </row>
    <row r="605" ht="15.75" customHeight="1">
      <c r="A605" s="283"/>
      <c r="B605" s="284"/>
      <c r="C605" s="284"/>
      <c r="D605" s="284"/>
      <c r="E605" s="285"/>
      <c r="F605" s="286"/>
      <c r="G605" s="287"/>
      <c r="H605" s="288"/>
      <c r="I605" s="285"/>
      <c r="J605" s="276"/>
      <c r="K605" s="276"/>
      <c r="L605" s="276"/>
      <c r="M605" s="276"/>
      <c r="N605" s="276"/>
      <c r="O605" s="276"/>
      <c r="P605" s="276"/>
      <c r="Q605" s="276"/>
      <c r="R605" s="276"/>
      <c r="S605" s="276"/>
      <c r="T605" s="276"/>
      <c r="U605" s="276"/>
      <c r="V605" s="276"/>
      <c r="W605" s="276"/>
      <c r="X605" s="276"/>
    </row>
    <row r="606" ht="15.75" customHeight="1">
      <c r="A606" s="283"/>
      <c r="B606" s="284"/>
      <c r="C606" s="284"/>
      <c r="D606" s="284"/>
      <c r="E606" s="285"/>
      <c r="F606" s="35"/>
      <c r="G606" s="290"/>
      <c r="H606" s="360"/>
      <c r="I606" s="285"/>
      <c r="J606" s="276"/>
      <c r="K606" s="276"/>
      <c r="L606" s="276"/>
      <c r="M606" s="276"/>
      <c r="N606" s="276"/>
      <c r="O606" s="276"/>
      <c r="P606" s="276"/>
      <c r="Q606" s="276"/>
      <c r="R606" s="276"/>
      <c r="S606" s="276"/>
      <c r="T606" s="276"/>
      <c r="U606" s="276"/>
      <c r="V606" s="276"/>
      <c r="W606" s="276"/>
      <c r="X606" s="276"/>
    </row>
    <row r="607" ht="15.75" customHeight="1">
      <c r="A607" s="289"/>
      <c r="B607" s="284"/>
      <c r="C607" s="284"/>
      <c r="D607" s="284"/>
      <c r="E607" s="285"/>
      <c r="F607" s="286"/>
      <c r="G607" s="287"/>
      <c r="H607" s="288"/>
      <c r="I607" s="285"/>
      <c r="J607" s="276"/>
      <c r="K607" s="276"/>
      <c r="L607" s="276"/>
      <c r="M607" s="276"/>
      <c r="N607" s="276"/>
      <c r="O607" s="276"/>
      <c r="P607" s="276"/>
      <c r="Q607" s="276"/>
      <c r="R607" s="276"/>
      <c r="S607" s="276"/>
      <c r="T607" s="276"/>
      <c r="U607" s="276"/>
      <c r="V607" s="276"/>
      <c r="W607" s="276"/>
      <c r="X607" s="276"/>
    </row>
    <row r="608" ht="15.75" customHeight="1">
      <c r="A608" s="289"/>
      <c r="B608" s="284"/>
      <c r="C608" s="284"/>
      <c r="D608" s="284"/>
      <c r="E608" s="285"/>
      <c r="F608" s="35"/>
      <c r="G608" s="290"/>
      <c r="H608" s="360"/>
      <c r="I608" s="285"/>
      <c r="J608" s="276"/>
      <c r="K608" s="276"/>
      <c r="L608" s="276"/>
      <c r="M608" s="276"/>
      <c r="N608" s="276"/>
      <c r="O608" s="276"/>
      <c r="P608" s="276"/>
      <c r="Q608" s="276"/>
      <c r="R608" s="276"/>
      <c r="S608" s="276"/>
      <c r="T608" s="276"/>
      <c r="U608" s="276"/>
      <c r="V608" s="276"/>
      <c r="W608" s="276"/>
      <c r="X608" s="276"/>
    </row>
    <row r="609" ht="15.75" customHeight="1">
      <c r="A609" s="289"/>
      <c r="B609" s="284"/>
      <c r="C609" s="284"/>
      <c r="D609" s="284"/>
      <c r="E609" s="285"/>
      <c r="F609" s="35"/>
      <c r="G609" s="290"/>
      <c r="H609" s="360"/>
      <c r="I609" s="285"/>
      <c r="J609" s="276"/>
      <c r="K609" s="276"/>
      <c r="L609" s="276"/>
      <c r="M609" s="276"/>
      <c r="N609" s="276"/>
      <c r="O609" s="276"/>
      <c r="P609" s="276"/>
      <c r="Q609" s="276"/>
      <c r="R609" s="276"/>
      <c r="S609" s="276"/>
      <c r="T609" s="276"/>
      <c r="U609" s="276"/>
      <c r="V609" s="276"/>
      <c r="W609" s="276"/>
      <c r="X609" s="276"/>
    </row>
    <row r="610" ht="15.75" customHeight="1">
      <c r="A610" s="289"/>
      <c r="B610" s="284"/>
      <c r="C610" s="284"/>
      <c r="D610" s="284"/>
      <c r="E610" s="285"/>
      <c r="F610" s="35"/>
      <c r="G610" s="290"/>
      <c r="H610" s="360"/>
      <c r="I610" s="285"/>
      <c r="J610" s="276"/>
      <c r="K610" s="276"/>
      <c r="L610" s="276"/>
      <c r="M610" s="276"/>
      <c r="N610" s="276"/>
      <c r="O610" s="276"/>
      <c r="P610" s="276"/>
      <c r="Q610" s="276"/>
      <c r="R610" s="276"/>
      <c r="S610" s="276"/>
      <c r="T610" s="276"/>
      <c r="U610" s="276"/>
      <c r="V610" s="276"/>
      <c r="W610" s="276"/>
      <c r="X610" s="276"/>
    </row>
    <row r="611" ht="15.75" customHeight="1">
      <c r="A611" s="289"/>
      <c r="B611" s="284"/>
      <c r="C611" s="284"/>
      <c r="D611" s="284"/>
      <c r="E611" s="285"/>
      <c r="F611" s="285"/>
      <c r="G611" s="290"/>
      <c r="H611" s="288"/>
      <c r="I611" s="285"/>
      <c r="J611" s="276"/>
      <c r="K611" s="276"/>
      <c r="L611" s="276"/>
      <c r="M611" s="276"/>
      <c r="N611" s="276"/>
      <c r="O611" s="276"/>
      <c r="P611" s="276"/>
      <c r="Q611" s="276"/>
      <c r="R611" s="276"/>
      <c r="S611" s="276"/>
      <c r="T611" s="276"/>
      <c r="U611" s="276"/>
      <c r="V611" s="276"/>
      <c r="W611" s="276"/>
      <c r="X611" s="276"/>
    </row>
    <row r="612" ht="15.75" customHeight="1">
      <c r="A612" s="289"/>
      <c r="B612" s="284"/>
      <c r="C612" s="284"/>
      <c r="D612" s="284"/>
      <c r="E612" s="285"/>
      <c r="F612" s="286"/>
      <c r="G612" s="287"/>
      <c r="H612" s="288"/>
      <c r="I612" s="285"/>
      <c r="J612" s="276"/>
      <c r="K612" s="276"/>
      <c r="L612" s="276"/>
      <c r="M612" s="276"/>
      <c r="N612" s="276"/>
      <c r="O612" s="276"/>
      <c r="P612" s="276"/>
      <c r="Q612" s="276"/>
      <c r="R612" s="276"/>
      <c r="S612" s="276"/>
      <c r="T612" s="276"/>
      <c r="U612" s="276"/>
      <c r="V612" s="276"/>
      <c r="W612" s="276"/>
      <c r="X612" s="276"/>
    </row>
    <row r="613" ht="15.75" customHeight="1">
      <c r="A613" s="289"/>
      <c r="B613" s="284"/>
      <c r="C613" s="284"/>
      <c r="D613" s="284"/>
      <c r="E613" s="285"/>
      <c r="F613" s="35"/>
      <c r="G613" s="290"/>
      <c r="H613" s="360"/>
      <c r="I613" s="285"/>
      <c r="J613" s="276"/>
      <c r="K613" s="276"/>
      <c r="L613" s="276"/>
      <c r="M613" s="276"/>
      <c r="N613" s="276"/>
      <c r="O613" s="276"/>
      <c r="P613" s="276"/>
      <c r="Q613" s="276"/>
      <c r="R613" s="276"/>
      <c r="S613" s="276"/>
      <c r="T613" s="276"/>
      <c r="U613" s="276"/>
      <c r="V613" s="276"/>
      <c r="W613" s="276"/>
      <c r="X613" s="276"/>
    </row>
    <row r="614" ht="15.75" customHeight="1">
      <c r="A614" s="289"/>
      <c r="B614" s="284"/>
      <c r="C614" s="284"/>
      <c r="D614" s="284"/>
      <c r="E614" s="285"/>
      <c r="F614" s="35"/>
      <c r="G614" s="290"/>
      <c r="H614" s="360"/>
      <c r="I614" s="285"/>
      <c r="J614" s="276"/>
      <c r="K614" s="276"/>
      <c r="L614" s="276"/>
      <c r="M614" s="276"/>
      <c r="N614" s="276"/>
      <c r="O614" s="276"/>
      <c r="P614" s="276"/>
      <c r="Q614" s="276"/>
      <c r="R614" s="276"/>
      <c r="S614" s="276"/>
      <c r="T614" s="276"/>
      <c r="U614" s="276"/>
      <c r="V614" s="276"/>
      <c r="W614" s="276"/>
      <c r="X614" s="276"/>
    </row>
    <row r="615" ht="15.75" customHeight="1">
      <c r="A615" s="289"/>
      <c r="B615" s="284"/>
      <c r="C615" s="284"/>
      <c r="D615" s="284"/>
      <c r="E615" s="312"/>
      <c r="F615" s="312"/>
      <c r="G615" s="319"/>
      <c r="H615" s="288"/>
      <c r="I615" s="285"/>
      <c r="J615" s="276"/>
      <c r="K615" s="276"/>
      <c r="L615" s="276"/>
      <c r="M615" s="276"/>
      <c r="N615" s="276"/>
      <c r="O615" s="276"/>
      <c r="P615" s="276"/>
      <c r="Q615" s="276"/>
      <c r="R615" s="276"/>
      <c r="S615" s="276"/>
      <c r="T615" s="276"/>
      <c r="U615" s="276"/>
      <c r="V615" s="276"/>
      <c r="W615" s="276"/>
      <c r="X615" s="276"/>
    </row>
    <row r="616" ht="15.75" customHeight="1">
      <c r="A616" s="289"/>
      <c r="B616" s="284"/>
      <c r="C616" s="284"/>
      <c r="D616" s="284"/>
      <c r="E616" s="285"/>
      <c r="F616" s="285"/>
      <c r="G616" s="290"/>
      <c r="H616" s="288"/>
      <c r="I616" s="285"/>
      <c r="J616" s="276"/>
      <c r="K616" s="276"/>
      <c r="L616" s="276"/>
      <c r="M616" s="276"/>
      <c r="N616" s="276"/>
      <c r="O616" s="276"/>
      <c r="P616" s="276"/>
      <c r="Q616" s="276"/>
      <c r="R616" s="276"/>
      <c r="S616" s="276"/>
      <c r="T616" s="276"/>
      <c r="U616" s="276"/>
      <c r="V616" s="276"/>
      <c r="W616" s="276"/>
      <c r="X616" s="276"/>
    </row>
    <row r="617" ht="15.75" customHeight="1">
      <c r="A617" s="289"/>
      <c r="B617" s="284"/>
      <c r="C617" s="284"/>
      <c r="D617" s="284"/>
      <c r="E617" s="312"/>
      <c r="F617" s="312"/>
      <c r="G617" s="319"/>
      <c r="H617" s="288"/>
      <c r="I617" s="285"/>
      <c r="J617" s="276"/>
      <c r="K617" s="276"/>
      <c r="L617" s="276"/>
      <c r="M617" s="276"/>
      <c r="N617" s="276"/>
      <c r="O617" s="276"/>
      <c r="P617" s="276"/>
      <c r="Q617" s="276"/>
      <c r="R617" s="276"/>
      <c r="S617" s="276"/>
      <c r="T617" s="276"/>
      <c r="U617" s="276"/>
      <c r="V617" s="276"/>
      <c r="W617" s="276"/>
      <c r="X617" s="276"/>
    </row>
    <row r="618" ht="15.75" customHeight="1">
      <c r="A618" s="289"/>
      <c r="B618" s="284"/>
      <c r="C618" s="284"/>
      <c r="D618" s="284"/>
      <c r="E618" s="285"/>
      <c r="F618" s="285"/>
      <c r="G618" s="290"/>
      <c r="H618" s="288"/>
      <c r="I618" s="285"/>
      <c r="J618" s="276"/>
      <c r="K618" s="276"/>
      <c r="L618" s="276"/>
      <c r="M618" s="276"/>
      <c r="N618" s="276"/>
      <c r="O618" s="276"/>
      <c r="P618" s="276"/>
      <c r="Q618" s="276"/>
      <c r="R618" s="276"/>
      <c r="S618" s="276"/>
      <c r="T618" s="276"/>
      <c r="U618" s="276"/>
      <c r="V618" s="276"/>
      <c r="W618" s="276"/>
      <c r="X618" s="276"/>
    </row>
    <row r="619" ht="15.75" customHeight="1">
      <c r="A619" s="289"/>
      <c r="B619" s="284"/>
      <c r="C619" s="284"/>
      <c r="D619" s="284"/>
      <c r="E619" s="312"/>
      <c r="F619" s="312"/>
      <c r="G619" s="319"/>
      <c r="H619" s="288"/>
      <c r="I619" s="285"/>
      <c r="J619" s="276"/>
      <c r="K619" s="276"/>
      <c r="L619" s="276"/>
      <c r="M619" s="276"/>
      <c r="N619" s="276"/>
      <c r="O619" s="276"/>
      <c r="P619" s="276"/>
      <c r="Q619" s="276"/>
      <c r="R619" s="276"/>
      <c r="S619" s="276"/>
      <c r="T619" s="276"/>
      <c r="U619" s="276"/>
      <c r="V619" s="276"/>
      <c r="W619" s="276"/>
      <c r="X619" s="276"/>
    </row>
    <row r="620" ht="15.75" customHeight="1">
      <c r="A620" s="297"/>
      <c r="B620" s="284"/>
      <c r="C620" s="284"/>
      <c r="D620" s="284"/>
      <c r="E620" s="285"/>
      <c r="F620" s="35"/>
      <c r="G620" s="290"/>
      <c r="H620" s="360"/>
      <c r="I620" s="285"/>
      <c r="J620" s="276"/>
      <c r="K620" s="276"/>
      <c r="L620" s="276"/>
      <c r="M620" s="276"/>
      <c r="N620" s="276"/>
      <c r="O620" s="276"/>
      <c r="P620" s="276"/>
      <c r="Q620" s="276"/>
      <c r="R620" s="276"/>
      <c r="S620" s="276"/>
      <c r="T620" s="276"/>
      <c r="U620" s="276"/>
      <c r="V620" s="276"/>
      <c r="W620" s="276"/>
      <c r="X620" s="276"/>
    </row>
    <row r="621" ht="15.75" customHeight="1">
      <c r="A621" s="297"/>
      <c r="B621" s="284"/>
      <c r="C621" s="284"/>
      <c r="D621" s="284"/>
      <c r="E621" s="285"/>
      <c r="F621" s="286"/>
      <c r="G621" s="287"/>
      <c r="H621" s="288"/>
      <c r="I621" s="285"/>
      <c r="J621" s="276"/>
      <c r="K621" s="276"/>
      <c r="L621" s="276"/>
      <c r="M621" s="276"/>
      <c r="N621" s="276"/>
      <c r="O621" s="276"/>
      <c r="P621" s="276"/>
      <c r="Q621" s="276"/>
      <c r="R621" s="276"/>
      <c r="S621" s="276"/>
      <c r="T621" s="276"/>
      <c r="U621" s="276"/>
      <c r="V621" s="276"/>
      <c r="W621" s="276"/>
      <c r="X621" s="276"/>
    </row>
    <row r="622" ht="15.75" customHeight="1">
      <c r="A622" s="297"/>
      <c r="B622" s="284"/>
      <c r="C622" s="284"/>
      <c r="D622" s="284"/>
      <c r="E622" s="285"/>
      <c r="F622" s="35"/>
      <c r="G622" s="290"/>
      <c r="H622" s="360"/>
      <c r="I622" s="285"/>
      <c r="J622" s="276"/>
      <c r="K622" s="276"/>
      <c r="L622" s="276"/>
      <c r="M622" s="276"/>
      <c r="N622" s="276"/>
      <c r="O622" s="276"/>
      <c r="P622" s="276"/>
      <c r="Q622" s="276"/>
      <c r="R622" s="276"/>
      <c r="S622" s="276"/>
      <c r="T622" s="276"/>
      <c r="U622" s="276"/>
      <c r="V622" s="276"/>
      <c r="W622" s="276"/>
      <c r="X622" s="276"/>
    </row>
    <row r="623" ht="15.75" customHeight="1">
      <c r="A623" s="283"/>
      <c r="B623" s="284"/>
      <c r="C623" s="284"/>
      <c r="D623" s="284"/>
      <c r="E623" s="285"/>
      <c r="F623" s="286"/>
      <c r="G623" s="287"/>
      <c r="H623" s="288"/>
      <c r="I623" s="285"/>
      <c r="J623" s="276"/>
      <c r="K623" s="276"/>
      <c r="L623" s="276"/>
      <c r="M623" s="276"/>
      <c r="N623" s="276"/>
      <c r="O623" s="276"/>
      <c r="P623" s="276"/>
      <c r="Q623" s="276"/>
      <c r="R623" s="276"/>
      <c r="S623" s="276"/>
      <c r="T623" s="276"/>
      <c r="U623" s="276"/>
      <c r="V623" s="276"/>
      <c r="W623" s="276"/>
      <c r="X623" s="276"/>
    </row>
    <row r="624" ht="15.75" customHeight="1">
      <c r="A624" s="289"/>
      <c r="B624" s="284"/>
      <c r="C624" s="284"/>
      <c r="D624" s="284"/>
      <c r="E624" s="285"/>
      <c r="F624" s="35"/>
      <c r="G624" s="290"/>
      <c r="H624" s="360"/>
      <c r="I624" s="285"/>
      <c r="J624" s="276"/>
      <c r="K624" s="276"/>
      <c r="L624" s="276"/>
      <c r="M624" s="276"/>
      <c r="N624" s="276"/>
      <c r="O624" s="276"/>
      <c r="P624" s="276"/>
      <c r="Q624" s="276"/>
      <c r="R624" s="276"/>
      <c r="S624" s="276"/>
      <c r="T624" s="276"/>
      <c r="U624" s="276"/>
      <c r="V624" s="276"/>
      <c r="W624" s="276"/>
      <c r="X624" s="276"/>
    </row>
    <row r="625" ht="15.75" customHeight="1">
      <c r="A625" s="297"/>
      <c r="B625" s="284"/>
      <c r="C625" s="284"/>
      <c r="D625" s="284"/>
      <c r="E625" s="285"/>
      <c r="F625" s="35"/>
      <c r="G625" s="290"/>
      <c r="H625" s="360"/>
      <c r="I625" s="285"/>
      <c r="J625" s="276"/>
      <c r="K625" s="276"/>
      <c r="L625" s="276"/>
      <c r="M625" s="276"/>
      <c r="N625" s="276"/>
      <c r="O625" s="276"/>
      <c r="P625" s="276"/>
      <c r="Q625" s="276"/>
      <c r="R625" s="276"/>
      <c r="S625" s="276"/>
      <c r="T625" s="276"/>
      <c r="U625" s="276"/>
      <c r="V625" s="276"/>
      <c r="W625" s="276"/>
      <c r="X625" s="276"/>
    </row>
    <row r="626" ht="15.75" customHeight="1">
      <c r="A626" s="289"/>
      <c r="B626" s="284"/>
      <c r="C626" s="284"/>
      <c r="D626" s="284"/>
      <c r="E626" s="285"/>
      <c r="F626" s="285"/>
      <c r="G626" s="290"/>
      <c r="H626" s="288"/>
      <c r="I626" s="285"/>
      <c r="J626" s="276"/>
      <c r="K626" s="276"/>
      <c r="L626" s="276"/>
      <c r="M626" s="276"/>
      <c r="N626" s="276"/>
      <c r="O626" s="276"/>
      <c r="P626" s="276"/>
      <c r="Q626" s="276"/>
      <c r="R626" s="276"/>
      <c r="S626" s="276"/>
      <c r="T626" s="276"/>
      <c r="U626" s="276"/>
      <c r="V626" s="276"/>
      <c r="W626" s="276"/>
      <c r="X626" s="276"/>
    </row>
    <row r="627" ht="15.75" customHeight="1">
      <c r="A627" s="289"/>
      <c r="B627" s="284"/>
      <c r="C627" s="284"/>
      <c r="D627" s="284"/>
      <c r="E627" s="312"/>
      <c r="F627" s="312"/>
      <c r="G627" s="319"/>
      <c r="H627" s="288"/>
      <c r="I627" s="285"/>
      <c r="J627" s="276"/>
      <c r="K627" s="276"/>
      <c r="L627" s="276"/>
      <c r="M627" s="276"/>
      <c r="N627" s="276"/>
      <c r="O627" s="276"/>
      <c r="P627" s="276"/>
      <c r="Q627" s="276"/>
      <c r="R627" s="276"/>
      <c r="S627" s="276"/>
      <c r="T627" s="276"/>
      <c r="U627" s="276"/>
      <c r="V627" s="276"/>
      <c r="W627" s="276"/>
      <c r="X627" s="276"/>
    </row>
    <row r="628" ht="15.75" customHeight="1">
      <c r="A628" s="289"/>
      <c r="B628" s="284"/>
      <c r="C628" s="284"/>
      <c r="D628" s="284"/>
      <c r="E628" s="285"/>
      <c r="F628" s="285"/>
      <c r="G628" s="290"/>
      <c r="H628" s="288"/>
      <c r="I628" s="285"/>
      <c r="J628" s="276"/>
      <c r="K628" s="276"/>
      <c r="L628" s="276"/>
      <c r="M628" s="276"/>
      <c r="N628" s="276"/>
      <c r="O628" s="276"/>
      <c r="P628" s="276"/>
      <c r="Q628" s="276"/>
      <c r="R628" s="276"/>
      <c r="S628" s="276"/>
      <c r="T628" s="276"/>
      <c r="U628" s="276"/>
      <c r="V628" s="276"/>
      <c r="W628" s="276"/>
      <c r="X628" s="276"/>
    </row>
    <row r="629" ht="15.75" customHeight="1">
      <c r="A629" s="289"/>
      <c r="B629" s="284"/>
      <c r="C629" s="284"/>
      <c r="D629" s="284"/>
      <c r="E629" s="285"/>
      <c r="F629" s="285"/>
      <c r="G629" s="290"/>
      <c r="H629" s="288"/>
      <c r="I629" s="285"/>
      <c r="J629" s="276"/>
      <c r="K629" s="276"/>
      <c r="L629" s="276"/>
      <c r="M629" s="276"/>
      <c r="N629" s="276"/>
      <c r="O629" s="276"/>
      <c r="P629" s="276"/>
      <c r="Q629" s="276"/>
      <c r="R629" s="276"/>
      <c r="S629" s="276"/>
      <c r="T629" s="276"/>
      <c r="U629" s="276"/>
      <c r="V629" s="276"/>
      <c r="W629" s="276"/>
      <c r="X629" s="276"/>
    </row>
    <row r="630" ht="15.75" customHeight="1">
      <c r="A630" s="289"/>
      <c r="B630" s="284"/>
      <c r="C630" s="284"/>
      <c r="D630" s="284"/>
      <c r="E630" s="285"/>
      <c r="F630" s="285"/>
      <c r="G630" s="290"/>
      <c r="H630" s="288"/>
      <c r="I630" s="285"/>
      <c r="J630" s="276"/>
      <c r="K630" s="276"/>
      <c r="L630" s="276"/>
      <c r="M630" s="276"/>
      <c r="N630" s="276"/>
      <c r="O630" s="276"/>
      <c r="P630" s="276"/>
      <c r="Q630" s="276"/>
      <c r="R630" s="276"/>
      <c r="S630" s="276"/>
      <c r="T630" s="276"/>
      <c r="U630" s="276"/>
      <c r="V630" s="276"/>
      <c r="W630" s="276"/>
      <c r="X630" s="276"/>
    </row>
    <row r="631" ht="15.75" customHeight="1">
      <c r="A631" s="289"/>
      <c r="B631" s="284"/>
      <c r="C631" s="284"/>
      <c r="D631" s="284"/>
      <c r="E631" s="285"/>
      <c r="F631" s="35"/>
      <c r="G631" s="290"/>
      <c r="H631" s="288"/>
      <c r="I631" s="285"/>
      <c r="J631" s="276"/>
      <c r="K631" s="276"/>
      <c r="L631" s="276"/>
      <c r="M631" s="276"/>
      <c r="N631" s="276"/>
      <c r="O631" s="276"/>
      <c r="P631" s="276"/>
      <c r="Q631" s="276"/>
      <c r="R631" s="276"/>
      <c r="S631" s="276"/>
      <c r="T631" s="276"/>
      <c r="U631" s="276"/>
      <c r="V631" s="276"/>
      <c r="W631" s="276"/>
      <c r="X631" s="276"/>
    </row>
    <row r="632" ht="15.75" customHeight="1">
      <c r="A632" s="289"/>
      <c r="B632" s="284"/>
      <c r="C632" s="284"/>
      <c r="D632" s="284"/>
      <c r="E632" s="285"/>
      <c r="F632" s="285"/>
      <c r="G632" s="290"/>
      <c r="H632" s="288"/>
      <c r="I632" s="285"/>
      <c r="J632" s="276"/>
      <c r="K632" s="276"/>
      <c r="L632" s="276"/>
      <c r="M632" s="276"/>
      <c r="N632" s="276"/>
      <c r="O632" s="276"/>
      <c r="P632" s="276"/>
      <c r="Q632" s="276"/>
      <c r="R632" s="276"/>
      <c r="S632" s="276"/>
      <c r="T632" s="276"/>
      <c r="U632" s="276"/>
      <c r="V632" s="276"/>
      <c r="W632" s="276"/>
      <c r="X632" s="276"/>
    </row>
    <row r="633" ht="15.75" customHeight="1">
      <c r="A633" s="289"/>
      <c r="B633" s="284"/>
      <c r="C633" s="284"/>
      <c r="D633" s="284"/>
      <c r="E633" s="312"/>
      <c r="F633" s="312"/>
      <c r="G633" s="319"/>
      <c r="H633" s="288"/>
      <c r="I633" s="285"/>
      <c r="J633" s="276"/>
      <c r="K633" s="276"/>
      <c r="L633" s="276"/>
      <c r="M633" s="276"/>
      <c r="N633" s="276"/>
      <c r="O633" s="276"/>
      <c r="P633" s="276"/>
      <c r="Q633" s="276"/>
      <c r="R633" s="276"/>
      <c r="S633" s="276"/>
      <c r="T633" s="276"/>
      <c r="U633" s="276"/>
      <c r="V633" s="276"/>
      <c r="W633" s="276"/>
      <c r="X633" s="276"/>
    </row>
    <row r="634" ht="15.75" customHeight="1">
      <c r="A634" s="289"/>
      <c r="B634" s="284"/>
      <c r="C634" s="284"/>
      <c r="D634" s="284"/>
      <c r="E634" s="285"/>
      <c r="F634" s="285"/>
      <c r="G634" s="290"/>
      <c r="H634" s="288"/>
      <c r="I634" s="285"/>
      <c r="J634" s="276"/>
      <c r="K634" s="276"/>
      <c r="L634" s="276"/>
      <c r="M634" s="276"/>
      <c r="N634" s="276"/>
      <c r="O634" s="276"/>
      <c r="P634" s="276"/>
      <c r="Q634" s="276"/>
      <c r="R634" s="276"/>
      <c r="S634" s="276"/>
      <c r="T634" s="276"/>
      <c r="U634" s="276"/>
      <c r="V634" s="276"/>
      <c r="W634" s="276"/>
      <c r="X634" s="276"/>
    </row>
    <row r="635" ht="15.75" customHeight="1">
      <c r="A635" s="289"/>
      <c r="B635" s="284"/>
      <c r="C635" s="284"/>
      <c r="D635" s="284"/>
      <c r="E635" s="285"/>
      <c r="F635" s="285"/>
      <c r="G635" s="290"/>
      <c r="H635" s="288"/>
      <c r="I635" s="285"/>
      <c r="J635" s="276"/>
      <c r="K635" s="276"/>
      <c r="L635" s="276"/>
      <c r="M635" s="276"/>
      <c r="N635" s="276"/>
      <c r="O635" s="276"/>
      <c r="P635" s="276"/>
      <c r="Q635" s="276"/>
      <c r="R635" s="276"/>
      <c r="S635" s="276"/>
      <c r="T635" s="276"/>
      <c r="U635" s="276"/>
      <c r="V635" s="276"/>
      <c r="W635" s="276"/>
      <c r="X635" s="276"/>
    </row>
    <row r="636" ht="15.75" customHeight="1">
      <c r="A636" s="289"/>
      <c r="B636" s="284"/>
      <c r="C636" s="284"/>
      <c r="D636" s="284"/>
      <c r="E636" s="285"/>
      <c r="F636" s="285"/>
      <c r="G636" s="290"/>
      <c r="H636" s="288"/>
      <c r="I636" s="285"/>
      <c r="J636" s="276"/>
      <c r="K636" s="276"/>
      <c r="L636" s="276"/>
      <c r="M636" s="276"/>
      <c r="N636" s="276"/>
      <c r="O636" s="276"/>
      <c r="P636" s="276"/>
      <c r="Q636" s="276"/>
      <c r="R636" s="276"/>
      <c r="S636" s="276"/>
      <c r="T636" s="276"/>
      <c r="U636" s="276"/>
      <c r="V636" s="276"/>
      <c r="W636" s="276"/>
      <c r="X636" s="276"/>
    </row>
    <row r="637" ht="15.75" customHeight="1">
      <c r="A637" s="289"/>
      <c r="B637" s="284"/>
      <c r="C637" s="284"/>
      <c r="D637" s="284"/>
      <c r="E637" s="285"/>
      <c r="F637" s="285"/>
      <c r="G637" s="290"/>
      <c r="H637" s="288"/>
      <c r="I637" s="285"/>
      <c r="J637" s="276"/>
      <c r="K637" s="276"/>
      <c r="L637" s="276"/>
      <c r="M637" s="276"/>
      <c r="N637" s="276"/>
      <c r="O637" s="276"/>
      <c r="P637" s="276"/>
      <c r="Q637" s="276"/>
      <c r="R637" s="276"/>
      <c r="S637" s="276"/>
      <c r="T637" s="276"/>
      <c r="U637" s="276"/>
      <c r="V637" s="276"/>
      <c r="W637" s="276"/>
      <c r="X637" s="276"/>
    </row>
    <row r="638" ht="15.75" customHeight="1">
      <c r="A638" s="289"/>
      <c r="B638" s="284"/>
      <c r="C638" s="284"/>
      <c r="D638" s="284"/>
      <c r="E638" s="285"/>
      <c r="F638" s="285"/>
      <c r="G638" s="290"/>
      <c r="H638" s="288"/>
      <c r="I638" s="285"/>
      <c r="J638" s="276"/>
      <c r="K638" s="276"/>
      <c r="L638" s="276"/>
      <c r="M638" s="276"/>
      <c r="N638" s="276"/>
      <c r="O638" s="276"/>
      <c r="P638" s="276"/>
      <c r="Q638" s="276"/>
      <c r="R638" s="276"/>
      <c r="S638" s="276"/>
      <c r="T638" s="276"/>
      <c r="U638" s="276"/>
      <c r="V638" s="276"/>
      <c r="W638" s="276"/>
      <c r="X638" s="276"/>
    </row>
    <row r="639" ht="15.75" customHeight="1">
      <c r="A639" s="297"/>
      <c r="B639" s="284"/>
      <c r="C639" s="284"/>
      <c r="D639" s="284"/>
      <c r="E639" s="285"/>
      <c r="F639" s="35"/>
      <c r="G639" s="290"/>
      <c r="H639" s="360"/>
      <c r="I639" s="285"/>
      <c r="J639" s="276"/>
      <c r="K639" s="276"/>
      <c r="L639" s="276"/>
      <c r="M639" s="276"/>
      <c r="N639" s="276"/>
      <c r="O639" s="276"/>
      <c r="P639" s="276"/>
      <c r="Q639" s="276"/>
      <c r="R639" s="276"/>
      <c r="S639" s="276"/>
      <c r="T639" s="276"/>
      <c r="U639" s="276"/>
      <c r="V639" s="276"/>
      <c r="W639" s="276"/>
      <c r="X639" s="276"/>
    </row>
    <row r="640" ht="15.75" customHeight="1">
      <c r="A640" s="297"/>
      <c r="B640" s="284"/>
      <c r="C640" s="284"/>
      <c r="D640" s="284"/>
      <c r="E640" s="285"/>
      <c r="F640" s="35"/>
      <c r="G640" s="290"/>
      <c r="H640" s="360"/>
      <c r="I640" s="285"/>
      <c r="J640" s="276"/>
      <c r="K640" s="276"/>
      <c r="L640" s="276"/>
      <c r="M640" s="276"/>
      <c r="N640" s="276"/>
      <c r="O640" s="276"/>
      <c r="P640" s="276"/>
      <c r="Q640" s="276"/>
      <c r="R640" s="276"/>
      <c r="S640" s="276"/>
      <c r="T640" s="276"/>
      <c r="U640" s="276"/>
      <c r="V640" s="276"/>
      <c r="W640" s="276"/>
      <c r="X640" s="276"/>
    </row>
    <row r="641" ht="15.75" customHeight="1">
      <c r="A641" s="283"/>
      <c r="B641" s="284"/>
      <c r="C641" s="284"/>
      <c r="D641" s="284"/>
      <c r="E641" s="285"/>
      <c r="F641" s="285"/>
      <c r="G641" s="290"/>
      <c r="H641" s="288"/>
      <c r="I641" s="285"/>
      <c r="J641" s="276"/>
      <c r="K641" s="276"/>
      <c r="L641" s="276"/>
      <c r="M641" s="276"/>
      <c r="N641" s="276"/>
      <c r="O641" s="276"/>
      <c r="P641" s="276"/>
      <c r="Q641" s="276"/>
      <c r="R641" s="276"/>
      <c r="S641" s="276"/>
      <c r="T641" s="276"/>
      <c r="U641" s="276"/>
      <c r="V641" s="276"/>
      <c r="W641" s="276"/>
      <c r="X641" s="276"/>
    </row>
    <row r="642" ht="15.75" customHeight="1">
      <c r="A642" s="283"/>
      <c r="B642" s="284"/>
      <c r="C642" s="284"/>
      <c r="D642" s="284"/>
      <c r="E642" s="285"/>
      <c r="F642" s="286"/>
      <c r="G642" s="287"/>
      <c r="H642" s="288"/>
      <c r="I642" s="285"/>
      <c r="J642" s="276"/>
      <c r="K642" s="276"/>
      <c r="L642" s="276"/>
      <c r="M642" s="276"/>
      <c r="N642" s="276"/>
      <c r="O642" s="276"/>
      <c r="P642" s="276"/>
      <c r="Q642" s="276"/>
      <c r="R642" s="276"/>
      <c r="S642" s="276"/>
      <c r="T642" s="276"/>
      <c r="U642" s="276"/>
      <c r="V642" s="276"/>
      <c r="W642" s="276"/>
      <c r="X642" s="276"/>
    </row>
    <row r="643" ht="15.75" customHeight="1">
      <c r="A643" s="283"/>
      <c r="B643" s="284"/>
      <c r="C643" s="284"/>
      <c r="D643" s="284"/>
      <c r="E643" s="285"/>
      <c r="F643" s="286"/>
      <c r="G643" s="287"/>
      <c r="H643" s="288"/>
      <c r="I643" s="285"/>
      <c r="J643" s="276"/>
      <c r="K643" s="276"/>
      <c r="L643" s="276"/>
      <c r="M643" s="276"/>
      <c r="N643" s="276"/>
      <c r="O643" s="276"/>
      <c r="P643" s="276"/>
      <c r="Q643" s="276"/>
      <c r="R643" s="276"/>
      <c r="S643" s="276"/>
      <c r="T643" s="276"/>
      <c r="U643" s="276"/>
      <c r="V643" s="276"/>
      <c r="W643" s="276"/>
      <c r="X643" s="276"/>
    </row>
    <row r="644" ht="15.75" customHeight="1">
      <c r="A644" s="283"/>
      <c r="B644" s="284"/>
      <c r="C644" s="284"/>
      <c r="D644" s="284"/>
      <c r="E644" s="285"/>
      <c r="F644" s="286"/>
      <c r="G644" s="287"/>
      <c r="H644" s="288"/>
      <c r="I644" s="285"/>
      <c r="J644" s="276"/>
      <c r="K644" s="276"/>
      <c r="L644" s="276"/>
      <c r="M644" s="276"/>
      <c r="N644" s="276"/>
      <c r="O644" s="276"/>
      <c r="P644" s="276"/>
      <c r="Q644" s="276"/>
      <c r="R644" s="276"/>
      <c r="S644" s="276"/>
      <c r="T644" s="276"/>
      <c r="U644" s="276"/>
      <c r="V644" s="276"/>
      <c r="W644" s="276"/>
      <c r="X644" s="276"/>
    </row>
    <row r="645" ht="15.75" customHeight="1">
      <c r="A645" s="283"/>
      <c r="B645" s="284"/>
      <c r="C645" s="284"/>
      <c r="D645" s="284"/>
      <c r="E645" s="285"/>
      <c r="F645" s="286"/>
      <c r="G645" s="287"/>
      <c r="H645" s="288"/>
      <c r="I645" s="285"/>
      <c r="J645" s="276"/>
      <c r="K645" s="276"/>
      <c r="L645" s="276"/>
      <c r="M645" s="276"/>
      <c r="N645" s="276"/>
      <c r="O645" s="276"/>
      <c r="P645" s="276"/>
      <c r="Q645" s="276"/>
      <c r="R645" s="276"/>
      <c r="S645" s="276"/>
      <c r="T645" s="276"/>
      <c r="U645" s="276"/>
      <c r="V645" s="276"/>
      <c r="W645" s="276"/>
      <c r="X645" s="276"/>
    </row>
    <row r="646" ht="15.75" customHeight="1">
      <c r="A646" s="283"/>
      <c r="B646" s="284"/>
      <c r="C646" s="284"/>
      <c r="D646" s="284"/>
      <c r="E646" s="285"/>
      <c r="F646" s="286"/>
      <c r="G646" s="287"/>
      <c r="H646" s="288"/>
      <c r="I646" s="285"/>
      <c r="J646" s="276"/>
      <c r="K646" s="276"/>
      <c r="L646" s="276"/>
      <c r="M646" s="276"/>
      <c r="N646" s="276"/>
      <c r="O646" s="276"/>
      <c r="P646" s="276"/>
      <c r="Q646" s="276"/>
      <c r="R646" s="276"/>
      <c r="S646" s="276"/>
      <c r="T646" s="276"/>
      <c r="U646" s="276"/>
      <c r="V646" s="276"/>
      <c r="W646" s="276"/>
      <c r="X646" s="276"/>
    </row>
    <row r="647" ht="15.75" customHeight="1">
      <c r="A647" s="283"/>
      <c r="B647" s="284"/>
      <c r="C647" s="284"/>
      <c r="D647" s="284"/>
      <c r="E647" s="285"/>
      <c r="F647" s="286"/>
      <c r="G647" s="287"/>
      <c r="H647" s="288"/>
      <c r="I647" s="285"/>
      <c r="J647" s="276"/>
      <c r="K647" s="276"/>
      <c r="L647" s="276"/>
      <c r="M647" s="276"/>
      <c r="N647" s="276"/>
      <c r="O647" s="276"/>
      <c r="P647" s="276"/>
      <c r="Q647" s="276"/>
      <c r="R647" s="276"/>
      <c r="S647" s="276"/>
      <c r="T647" s="276"/>
      <c r="U647" s="276"/>
      <c r="V647" s="276"/>
      <c r="W647" s="276"/>
      <c r="X647" s="276"/>
    </row>
    <row r="648" ht="15.75" customHeight="1">
      <c r="A648" s="283"/>
      <c r="B648" s="284"/>
      <c r="C648" s="284"/>
      <c r="D648" s="284"/>
      <c r="E648" s="285"/>
      <c r="F648" s="286"/>
      <c r="G648" s="287"/>
      <c r="H648" s="288"/>
      <c r="I648" s="285"/>
      <c r="J648" s="276"/>
      <c r="K648" s="276"/>
      <c r="L648" s="276"/>
      <c r="M648" s="276"/>
      <c r="N648" s="276"/>
      <c r="O648" s="276"/>
      <c r="P648" s="276"/>
      <c r="Q648" s="276"/>
      <c r="R648" s="276"/>
      <c r="S648" s="276"/>
      <c r="T648" s="276"/>
      <c r="U648" s="276"/>
      <c r="V648" s="276"/>
      <c r="W648" s="276"/>
      <c r="X648" s="276"/>
    </row>
    <row r="649" ht="15.75" customHeight="1">
      <c r="A649" s="289"/>
      <c r="B649" s="284"/>
      <c r="C649" s="284"/>
      <c r="D649" s="284"/>
      <c r="E649" s="285"/>
      <c r="F649" s="35"/>
      <c r="G649" s="290"/>
      <c r="H649" s="360"/>
      <c r="I649" s="285"/>
      <c r="J649" s="276"/>
      <c r="K649" s="276"/>
      <c r="L649" s="276"/>
      <c r="M649" s="276"/>
      <c r="N649" s="276"/>
      <c r="O649" s="276"/>
      <c r="P649" s="276"/>
      <c r="Q649" s="276"/>
      <c r="R649" s="276"/>
      <c r="S649" s="276"/>
      <c r="T649" s="276"/>
      <c r="U649" s="276"/>
      <c r="V649" s="276"/>
      <c r="W649" s="276"/>
      <c r="X649" s="276"/>
    </row>
    <row r="650" ht="15.75" customHeight="1">
      <c r="A650" s="289"/>
      <c r="B650" s="284"/>
      <c r="C650" s="284"/>
      <c r="D650" s="284"/>
      <c r="E650" s="285"/>
      <c r="F650" s="35"/>
      <c r="G650" s="290"/>
      <c r="H650" s="360"/>
      <c r="I650" s="285"/>
      <c r="J650" s="276"/>
      <c r="K650" s="276"/>
      <c r="L650" s="276"/>
      <c r="M650" s="276"/>
      <c r="N650" s="276"/>
      <c r="O650" s="276"/>
      <c r="P650" s="276"/>
      <c r="Q650" s="276"/>
      <c r="R650" s="276"/>
      <c r="S650" s="276"/>
      <c r="T650" s="276"/>
      <c r="U650" s="276"/>
      <c r="V650" s="276"/>
      <c r="W650" s="276"/>
      <c r="X650" s="276"/>
    </row>
    <row r="651" ht="15.75" customHeight="1">
      <c r="A651" s="289"/>
      <c r="B651" s="284"/>
      <c r="C651" s="284"/>
      <c r="D651" s="284"/>
      <c r="E651" s="285"/>
      <c r="F651" s="35"/>
      <c r="G651" s="290"/>
      <c r="H651" s="360"/>
      <c r="I651" s="285"/>
      <c r="J651" s="276"/>
      <c r="K651" s="276"/>
      <c r="L651" s="276"/>
      <c r="M651" s="276"/>
      <c r="N651" s="276"/>
      <c r="O651" s="276"/>
      <c r="P651" s="276"/>
      <c r="Q651" s="276"/>
      <c r="R651" s="276"/>
      <c r="S651" s="276"/>
      <c r="T651" s="276"/>
      <c r="U651" s="276"/>
      <c r="V651" s="276"/>
      <c r="W651" s="276"/>
      <c r="X651" s="276"/>
    </row>
    <row r="652" ht="15.75" customHeight="1">
      <c r="A652" s="289"/>
      <c r="B652" s="284"/>
      <c r="C652" s="284"/>
      <c r="D652" s="284"/>
      <c r="E652" s="285"/>
      <c r="F652" s="35"/>
      <c r="G652" s="290"/>
      <c r="H652" s="360"/>
      <c r="I652" s="285"/>
      <c r="J652" s="276"/>
      <c r="K652" s="276"/>
      <c r="L652" s="276"/>
      <c r="M652" s="276"/>
      <c r="N652" s="276"/>
      <c r="O652" s="276"/>
      <c r="P652" s="276"/>
      <c r="Q652" s="276"/>
      <c r="R652" s="276"/>
      <c r="S652" s="276"/>
      <c r="T652" s="276"/>
      <c r="U652" s="276"/>
      <c r="V652" s="276"/>
      <c r="W652" s="276"/>
      <c r="X652" s="276"/>
    </row>
    <row r="653" ht="15.75" customHeight="1">
      <c r="A653" s="289"/>
      <c r="B653" s="284"/>
      <c r="C653" s="284"/>
      <c r="D653" s="284"/>
      <c r="E653" s="285"/>
      <c r="F653" s="35"/>
      <c r="G653" s="290"/>
      <c r="H653" s="360"/>
      <c r="I653" s="285"/>
      <c r="J653" s="276"/>
      <c r="K653" s="276"/>
      <c r="L653" s="276"/>
      <c r="M653" s="276"/>
      <c r="N653" s="276"/>
      <c r="O653" s="276"/>
      <c r="P653" s="276"/>
      <c r="Q653" s="276"/>
      <c r="R653" s="276"/>
      <c r="S653" s="276"/>
      <c r="T653" s="276"/>
      <c r="U653" s="276"/>
      <c r="V653" s="276"/>
      <c r="W653" s="276"/>
      <c r="X653" s="276"/>
    </row>
    <row r="654" ht="15.75" customHeight="1">
      <c r="A654" s="289"/>
      <c r="B654" s="284"/>
      <c r="C654" s="284"/>
      <c r="D654" s="284"/>
      <c r="E654" s="285"/>
      <c r="F654" s="35"/>
      <c r="G654" s="290"/>
      <c r="H654" s="360"/>
      <c r="I654" s="285"/>
      <c r="J654" s="276"/>
      <c r="K654" s="276"/>
      <c r="L654" s="276"/>
      <c r="M654" s="276"/>
      <c r="N654" s="276"/>
      <c r="O654" s="276"/>
      <c r="P654" s="276"/>
      <c r="Q654" s="276"/>
      <c r="R654" s="276"/>
      <c r="S654" s="276"/>
      <c r="T654" s="276"/>
      <c r="U654" s="276"/>
      <c r="V654" s="276"/>
      <c r="W654" s="276"/>
      <c r="X654" s="276"/>
    </row>
    <row r="655" ht="15.75" customHeight="1">
      <c r="A655" s="289"/>
      <c r="B655" s="284"/>
      <c r="C655" s="284"/>
      <c r="D655" s="284"/>
      <c r="E655" s="285"/>
      <c r="F655" s="35"/>
      <c r="G655" s="290"/>
      <c r="H655" s="360"/>
      <c r="I655" s="285"/>
      <c r="J655" s="276"/>
      <c r="K655" s="276"/>
      <c r="L655" s="276"/>
      <c r="M655" s="276"/>
      <c r="N655" s="276"/>
      <c r="O655" s="276"/>
      <c r="P655" s="276"/>
      <c r="Q655" s="276"/>
      <c r="R655" s="276"/>
      <c r="S655" s="276"/>
      <c r="T655" s="276"/>
      <c r="U655" s="276"/>
      <c r="V655" s="276"/>
      <c r="W655" s="276"/>
      <c r="X655" s="276"/>
    </row>
    <row r="656" ht="15.75" customHeight="1">
      <c r="A656" s="289"/>
      <c r="B656" s="284"/>
      <c r="C656" s="284"/>
      <c r="D656" s="284"/>
      <c r="E656" s="285"/>
      <c r="F656" s="35"/>
      <c r="G656" s="290"/>
      <c r="H656" s="360"/>
      <c r="I656" s="285"/>
      <c r="J656" s="276"/>
      <c r="K656" s="276"/>
      <c r="L656" s="276"/>
      <c r="M656" s="276"/>
      <c r="N656" s="276"/>
      <c r="O656" s="276"/>
      <c r="P656" s="276"/>
      <c r="Q656" s="276"/>
      <c r="R656" s="276"/>
      <c r="S656" s="276"/>
      <c r="T656" s="276"/>
      <c r="U656" s="276"/>
      <c r="V656" s="276"/>
      <c r="W656" s="276"/>
      <c r="X656" s="276"/>
    </row>
    <row r="657" ht="15.75" customHeight="1">
      <c r="A657" s="289"/>
      <c r="B657" s="284"/>
      <c r="C657" s="284"/>
      <c r="D657" s="284"/>
      <c r="E657" s="285"/>
      <c r="F657" s="35"/>
      <c r="G657" s="290"/>
      <c r="H657" s="360"/>
      <c r="I657" s="285"/>
      <c r="J657" s="276"/>
      <c r="K657" s="276"/>
      <c r="L657" s="276"/>
      <c r="M657" s="276"/>
      <c r="N657" s="276"/>
      <c r="O657" s="276"/>
      <c r="P657" s="276"/>
      <c r="Q657" s="276"/>
      <c r="R657" s="276"/>
      <c r="S657" s="276"/>
      <c r="T657" s="276"/>
      <c r="U657" s="276"/>
      <c r="V657" s="276"/>
      <c r="W657" s="276"/>
      <c r="X657" s="276"/>
    </row>
    <row r="658" ht="15.75" customHeight="1">
      <c r="A658" s="289"/>
      <c r="B658" s="284"/>
      <c r="C658" s="284"/>
      <c r="D658" s="284"/>
      <c r="E658" s="285"/>
      <c r="F658" s="35"/>
      <c r="G658" s="290"/>
      <c r="H658" s="360"/>
      <c r="I658" s="285"/>
      <c r="J658" s="276"/>
      <c r="K658" s="276"/>
      <c r="L658" s="276"/>
      <c r="M658" s="276"/>
      <c r="N658" s="276"/>
      <c r="O658" s="276"/>
      <c r="P658" s="276"/>
      <c r="Q658" s="276"/>
      <c r="R658" s="276"/>
      <c r="S658" s="276"/>
      <c r="T658" s="276"/>
      <c r="U658" s="276"/>
      <c r="V658" s="276"/>
      <c r="W658" s="276"/>
      <c r="X658" s="276"/>
    </row>
    <row r="659" ht="15.75" customHeight="1">
      <c r="A659" s="289"/>
      <c r="B659" s="284"/>
      <c r="C659" s="284"/>
      <c r="D659" s="284"/>
      <c r="E659" s="285"/>
      <c r="F659" s="35"/>
      <c r="G659" s="290"/>
      <c r="H659" s="360"/>
      <c r="I659" s="285"/>
      <c r="J659" s="276"/>
      <c r="K659" s="276"/>
      <c r="L659" s="276"/>
      <c r="M659" s="276"/>
      <c r="N659" s="276"/>
      <c r="O659" s="276"/>
      <c r="P659" s="276"/>
      <c r="Q659" s="276"/>
      <c r="R659" s="276"/>
      <c r="S659" s="276"/>
      <c r="T659" s="276"/>
      <c r="U659" s="276"/>
      <c r="V659" s="276"/>
      <c r="W659" s="276"/>
      <c r="X659" s="276"/>
    </row>
    <row r="660" ht="15.75" customHeight="1">
      <c r="A660" s="289"/>
      <c r="B660" s="284"/>
      <c r="C660" s="284"/>
      <c r="D660" s="284"/>
      <c r="E660" s="285"/>
      <c r="F660" s="35"/>
      <c r="G660" s="290"/>
      <c r="H660" s="360"/>
      <c r="I660" s="285"/>
      <c r="J660" s="276"/>
      <c r="K660" s="276"/>
      <c r="L660" s="276"/>
      <c r="M660" s="276"/>
      <c r="N660" s="276"/>
      <c r="O660" s="276"/>
      <c r="P660" s="276"/>
      <c r="Q660" s="276"/>
      <c r="R660" s="276"/>
      <c r="S660" s="276"/>
      <c r="T660" s="276"/>
      <c r="U660" s="276"/>
      <c r="V660" s="276"/>
      <c r="W660" s="276"/>
      <c r="X660" s="276"/>
    </row>
    <row r="661" ht="15.75" customHeight="1">
      <c r="A661" s="289"/>
      <c r="B661" s="284"/>
      <c r="C661" s="284"/>
      <c r="D661" s="284"/>
      <c r="E661" s="285"/>
      <c r="F661" s="35"/>
      <c r="G661" s="290"/>
      <c r="H661" s="360"/>
      <c r="I661" s="285"/>
      <c r="J661" s="276"/>
      <c r="K661" s="276"/>
      <c r="L661" s="276"/>
      <c r="M661" s="276"/>
      <c r="N661" s="276"/>
      <c r="O661" s="276"/>
      <c r="P661" s="276"/>
      <c r="Q661" s="276"/>
      <c r="R661" s="276"/>
      <c r="S661" s="276"/>
      <c r="T661" s="276"/>
      <c r="U661" s="276"/>
      <c r="V661" s="276"/>
      <c r="W661" s="276"/>
      <c r="X661" s="276"/>
    </row>
    <row r="662" ht="15.75" customHeight="1">
      <c r="A662" s="289"/>
      <c r="B662" s="284"/>
      <c r="C662" s="284"/>
      <c r="D662" s="284"/>
      <c r="E662" s="285"/>
      <c r="F662" s="35"/>
      <c r="G662" s="290"/>
      <c r="H662" s="360"/>
      <c r="I662" s="285"/>
      <c r="J662" s="276"/>
      <c r="K662" s="276"/>
      <c r="L662" s="276"/>
      <c r="M662" s="276"/>
      <c r="N662" s="276"/>
      <c r="O662" s="276"/>
      <c r="P662" s="276"/>
      <c r="Q662" s="276"/>
      <c r="R662" s="276"/>
      <c r="S662" s="276"/>
      <c r="T662" s="276"/>
      <c r="U662" s="276"/>
      <c r="V662" s="276"/>
      <c r="W662" s="276"/>
      <c r="X662" s="276"/>
    </row>
    <row r="663" ht="15.75" customHeight="1">
      <c r="A663" s="289"/>
      <c r="B663" s="284"/>
      <c r="C663" s="284"/>
      <c r="D663" s="284"/>
      <c r="E663" s="285"/>
      <c r="F663" s="35"/>
      <c r="G663" s="290"/>
      <c r="H663" s="360"/>
      <c r="I663" s="285"/>
      <c r="J663" s="276"/>
      <c r="K663" s="276"/>
      <c r="L663" s="276"/>
      <c r="M663" s="276"/>
      <c r="N663" s="276"/>
      <c r="O663" s="276"/>
      <c r="P663" s="276"/>
      <c r="Q663" s="276"/>
      <c r="R663" s="276"/>
      <c r="S663" s="276"/>
      <c r="T663" s="276"/>
      <c r="U663" s="276"/>
      <c r="V663" s="276"/>
      <c r="W663" s="276"/>
      <c r="X663" s="276"/>
    </row>
    <row r="664" ht="15.75" customHeight="1">
      <c r="A664" s="289"/>
      <c r="B664" s="284"/>
      <c r="C664" s="284"/>
      <c r="D664" s="284"/>
      <c r="E664" s="285"/>
      <c r="F664" s="35"/>
      <c r="G664" s="290"/>
      <c r="H664" s="360"/>
      <c r="I664" s="285"/>
      <c r="J664" s="276"/>
      <c r="K664" s="276"/>
      <c r="L664" s="276"/>
      <c r="M664" s="276"/>
      <c r="N664" s="276"/>
      <c r="O664" s="276"/>
      <c r="P664" s="276"/>
      <c r="Q664" s="276"/>
      <c r="R664" s="276"/>
      <c r="S664" s="276"/>
      <c r="T664" s="276"/>
      <c r="U664" s="276"/>
      <c r="V664" s="276"/>
      <c r="W664" s="276"/>
      <c r="X664" s="276"/>
    </row>
    <row r="665" ht="15.75" customHeight="1">
      <c r="A665" s="289"/>
      <c r="B665" s="284"/>
      <c r="C665" s="284"/>
      <c r="D665" s="284"/>
      <c r="E665" s="285"/>
      <c r="F665" s="35"/>
      <c r="G665" s="290"/>
      <c r="H665" s="360"/>
      <c r="I665" s="285"/>
      <c r="J665" s="276"/>
      <c r="K665" s="276"/>
      <c r="L665" s="276"/>
      <c r="M665" s="276"/>
      <c r="N665" s="276"/>
      <c r="O665" s="276"/>
      <c r="P665" s="276"/>
      <c r="Q665" s="276"/>
      <c r="R665" s="276"/>
      <c r="S665" s="276"/>
      <c r="T665" s="276"/>
      <c r="U665" s="276"/>
      <c r="V665" s="276"/>
      <c r="W665" s="276"/>
      <c r="X665" s="276"/>
    </row>
    <row r="666" ht="15.75" customHeight="1">
      <c r="A666" s="289"/>
      <c r="B666" s="284"/>
      <c r="C666" s="284"/>
      <c r="D666" s="284"/>
      <c r="E666" s="285"/>
      <c r="F666" s="35"/>
      <c r="G666" s="290"/>
      <c r="H666" s="360"/>
      <c r="I666" s="285"/>
      <c r="J666" s="276"/>
      <c r="K666" s="276"/>
      <c r="L666" s="276"/>
      <c r="M666" s="276"/>
      <c r="N666" s="276"/>
      <c r="O666" s="276"/>
      <c r="P666" s="276"/>
      <c r="Q666" s="276"/>
      <c r="R666" s="276"/>
      <c r="S666" s="276"/>
      <c r="T666" s="276"/>
      <c r="U666" s="276"/>
      <c r="V666" s="276"/>
      <c r="W666" s="276"/>
      <c r="X666" s="276"/>
    </row>
    <row r="667" ht="15.75" customHeight="1">
      <c r="A667" s="289"/>
      <c r="B667" s="284"/>
      <c r="C667" s="284"/>
      <c r="D667" s="284"/>
      <c r="E667" s="285"/>
      <c r="F667" s="35"/>
      <c r="G667" s="290"/>
      <c r="H667" s="360"/>
      <c r="I667" s="285"/>
      <c r="J667" s="276"/>
      <c r="K667" s="276"/>
      <c r="L667" s="276"/>
      <c r="M667" s="276"/>
      <c r="N667" s="276"/>
      <c r="O667" s="276"/>
      <c r="P667" s="276"/>
      <c r="Q667" s="276"/>
      <c r="R667" s="276"/>
      <c r="S667" s="276"/>
      <c r="T667" s="276"/>
      <c r="U667" s="276"/>
      <c r="V667" s="276"/>
      <c r="W667" s="276"/>
      <c r="X667" s="276"/>
    </row>
    <row r="668" ht="15.75" customHeight="1">
      <c r="A668" s="289"/>
      <c r="B668" s="284"/>
      <c r="C668" s="284"/>
      <c r="D668" s="284"/>
      <c r="E668" s="285"/>
      <c r="F668" s="35"/>
      <c r="G668" s="290"/>
      <c r="H668" s="360"/>
      <c r="I668" s="285"/>
      <c r="J668" s="276"/>
      <c r="K668" s="276"/>
      <c r="L668" s="276"/>
      <c r="M668" s="276"/>
      <c r="N668" s="276"/>
      <c r="O668" s="276"/>
      <c r="P668" s="276"/>
      <c r="Q668" s="276"/>
      <c r="R668" s="276"/>
      <c r="S668" s="276"/>
      <c r="T668" s="276"/>
      <c r="U668" s="276"/>
      <c r="V668" s="276"/>
      <c r="W668" s="276"/>
      <c r="X668" s="276"/>
    </row>
    <row r="669" ht="15.75" customHeight="1">
      <c r="A669" s="289"/>
      <c r="B669" s="284"/>
      <c r="C669" s="284"/>
      <c r="D669" s="284"/>
      <c r="E669" s="285"/>
      <c r="F669" s="35"/>
      <c r="G669" s="290"/>
      <c r="H669" s="360"/>
      <c r="I669" s="285"/>
      <c r="J669" s="276"/>
      <c r="K669" s="276"/>
      <c r="L669" s="276"/>
      <c r="M669" s="276"/>
      <c r="N669" s="276"/>
      <c r="O669" s="276"/>
      <c r="P669" s="276"/>
      <c r="Q669" s="276"/>
      <c r="R669" s="276"/>
      <c r="S669" s="276"/>
      <c r="T669" s="276"/>
      <c r="U669" s="276"/>
      <c r="V669" s="276"/>
      <c r="W669" s="276"/>
      <c r="X669" s="276"/>
    </row>
    <row r="670" ht="15.75" customHeight="1">
      <c r="A670" s="407"/>
      <c r="B670" s="284"/>
      <c r="C670" s="284"/>
      <c r="D670" s="284"/>
      <c r="E670" s="285"/>
      <c r="F670" s="35"/>
      <c r="G670" s="290"/>
      <c r="H670" s="288"/>
      <c r="I670" s="285"/>
      <c r="J670" s="276"/>
      <c r="K670" s="276"/>
      <c r="L670" s="276"/>
      <c r="M670" s="276"/>
      <c r="N670" s="276"/>
      <c r="O670" s="276"/>
      <c r="P670" s="276"/>
      <c r="Q670" s="276"/>
      <c r="R670" s="276"/>
      <c r="S670" s="276"/>
      <c r="T670" s="276"/>
      <c r="U670" s="276"/>
      <c r="V670" s="276"/>
      <c r="W670" s="276"/>
      <c r="X670" s="276"/>
    </row>
    <row r="671" ht="15.75" customHeight="1">
      <c r="A671" s="407"/>
      <c r="B671" s="284"/>
      <c r="C671" s="284"/>
      <c r="D671" s="284"/>
      <c r="E671" s="285"/>
      <c r="F671" s="285"/>
      <c r="G671" s="290"/>
      <c r="H671" s="288"/>
      <c r="I671" s="285"/>
      <c r="J671" s="276"/>
      <c r="K671" s="276"/>
      <c r="L671" s="276"/>
      <c r="M671" s="276"/>
      <c r="N671" s="276"/>
      <c r="O671" s="276"/>
      <c r="P671" s="276"/>
      <c r="Q671" s="276"/>
      <c r="R671" s="276"/>
      <c r="S671" s="276"/>
      <c r="T671" s="276"/>
      <c r="U671" s="276"/>
      <c r="V671" s="276"/>
      <c r="W671" s="276"/>
      <c r="X671" s="276"/>
    </row>
    <row r="672" ht="15.75" customHeight="1">
      <c r="A672" s="407"/>
      <c r="B672" s="284"/>
      <c r="C672" s="284"/>
      <c r="D672" s="284"/>
      <c r="E672" s="285"/>
      <c r="F672" s="285"/>
      <c r="G672" s="290"/>
      <c r="H672" s="288"/>
      <c r="I672" s="285"/>
      <c r="J672" s="276"/>
      <c r="K672" s="276"/>
      <c r="L672" s="276"/>
      <c r="M672" s="276"/>
      <c r="N672" s="276"/>
      <c r="O672" s="276"/>
      <c r="P672" s="276"/>
      <c r="Q672" s="276"/>
      <c r="R672" s="276"/>
      <c r="S672" s="276"/>
      <c r="T672" s="276"/>
      <c r="U672" s="276"/>
      <c r="V672" s="276"/>
      <c r="W672" s="276"/>
      <c r="X672" s="276"/>
    </row>
    <row r="673" ht="15.75" customHeight="1">
      <c r="A673" s="407"/>
      <c r="B673" s="284"/>
      <c r="C673" s="284"/>
      <c r="D673" s="284"/>
      <c r="E673" s="285"/>
      <c r="F673" s="285"/>
      <c r="G673" s="290"/>
      <c r="H673" s="288"/>
      <c r="I673" s="285"/>
      <c r="J673" s="276"/>
      <c r="K673" s="276"/>
      <c r="L673" s="276"/>
      <c r="M673" s="276"/>
      <c r="N673" s="276"/>
      <c r="O673" s="276"/>
      <c r="P673" s="276"/>
      <c r="Q673" s="276"/>
      <c r="R673" s="276"/>
      <c r="S673" s="276"/>
      <c r="T673" s="276"/>
      <c r="U673" s="276"/>
      <c r="V673" s="276"/>
      <c r="W673" s="276"/>
      <c r="X673" s="276"/>
    </row>
    <row r="674" ht="15.75" customHeight="1">
      <c r="A674" s="407"/>
      <c r="B674" s="284"/>
      <c r="C674" s="284"/>
      <c r="D674" s="284"/>
      <c r="E674" s="312"/>
      <c r="F674" s="312"/>
      <c r="G674" s="319"/>
      <c r="H674" s="288"/>
      <c r="I674" s="285"/>
      <c r="J674" s="276"/>
      <c r="K674" s="276"/>
      <c r="L674" s="276"/>
      <c r="M674" s="276"/>
      <c r="N674" s="276"/>
      <c r="O674" s="276"/>
      <c r="P674" s="276"/>
      <c r="Q674" s="276"/>
      <c r="R674" s="276"/>
      <c r="S674" s="276"/>
      <c r="T674" s="276"/>
      <c r="U674" s="276"/>
      <c r="V674" s="276"/>
      <c r="W674" s="276"/>
      <c r="X674" s="276"/>
    </row>
    <row r="675" ht="15.75" customHeight="1">
      <c r="A675" s="407"/>
      <c r="B675" s="284"/>
      <c r="C675" s="284"/>
      <c r="D675" s="284"/>
      <c r="E675" s="285"/>
      <c r="F675" s="35"/>
      <c r="G675" s="290"/>
      <c r="H675" s="360"/>
      <c r="I675" s="285"/>
      <c r="J675" s="276"/>
      <c r="K675" s="276"/>
      <c r="L675" s="276"/>
      <c r="M675" s="276"/>
      <c r="N675" s="276"/>
      <c r="O675" s="276"/>
      <c r="P675" s="276"/>
      <c r="Q675" s="276"/>
      <c r="R675" s="276"/>
      <c r="S675" s="276"/>
      <c r="T675" s="276"/>
      <c r="U675" s="276"/>
      <c r="V675" s="276"/>
      <c r="W675" s="276"/>
      <c r="X675" s="276"/>
    </row>
    <row r="676" ht="15.75" customHeight="1">
      <c r="A676" s="407"/>
      <c r="B676" s="284"/>
      <c r="C676" s="284"/>
      <c r="D676" s="284"/>
      <c r="E676" s="285"/>
      <c r="F676" s="285"/>
      <c r="G676" s="290"/>
      <c r="H676" s="288"/>
      <c r="I676" s="285"/>
      <c r="J676" s="276"/>
      <c r="K676" s="276"/>
      <c r="L676" s="276"/>
      <c r="M676" s="276"/>
      <c r="N676" s="276"/>
      <c r="O676" s="276"/>
      <c r="P676" s="276"/>
      <c r="Q676" s="276"/>
      <c r="R676" s="276"/>
      <c r="S676" s="276"/>
      <c r="T676" s="276"/>
      <c r="U676" s="276"/>
      <c r="V676" s="276"/>
      <c r="W676" s="276"/>
      <c r="X676" s="276"/>
    </row>
    <row r="677" ht="15.75" customHeight="1">
      <c r="A677" s="407"/>
      <c r="B677" s="284"/>
      <c r="C677" s="284"/>
      <c r="D677" s="284"/>
      <c r="E677" s="312"/>
      <c r="F677" s="312"/>
      <c r="G677" s="319"/>
      <c r="H677" s="288"/>
      <c r="I677" s="285"/>
      <c r="J677" s="276"/>
      <c r="K677" s="276"/>
      <c r="L677" s="276"/>
      <c r="M677" s="276"/>
      <c r="N677" s="276"/>
      <c r="O677" s="276"/>
      <c r="P677" s="276"/>
      <c r="Q677" s="276"/>
      <c r="R677" s="276"/>
      <c r="S677" s="276"/>
      <c r="T677" s="276"/>
      <c r="U677" s="276"/>
      <c r="V677" s="276"/>
      <c r="W677" s="276"/>
      <c r="X677" s="276"/>
    </row>
    <row r="678" ht="15.75" customHeight="1">
      <c r="A678" s="297"/>
      <c r="B678" s="284"/>
      <c r="C678" s="284"/>
      <c r="D678" s="284"/>
      <c r="E678" s="285"/>
      <c r="F678" s="286"/>
      <c r="G678" s="287"/>
      <c r="H678" s="288"/>
      <c r="I678" s="285"/>
      <c r="J678" s="276"/>
      <c r="K678" s="276"/>
      <c r="L678" s="276"/>
      <c r="M678" s="276"/>
      <c r="N678" s="276"/>
      <c r="O678" s="276"/>
      <c r="P678" s="276"/>
      <c r="Q678" s="276"/>
      <c r="R678" s="276"/>
      <c r="S678" s="276"/>
      <c r="T678" s="276"/>
      <c r="U678" s="276"/>
      <c r="V678" s="276"/>
      <c r="W678" s="276"/>
      <c r="X678" s="276"/>
    </row>
    <row r="679" ht="15.75" customHeight="1">
      <c r="A679" s="297"/>
      <c r="B679" s="284"/>
      <c r="C679" s="284"/>
      <c r="D679" s="284"/>
      <c r="E679" s="285"/>
      <c r="F679" s="35"/>
      <c r="G679" s="290"/>
      <c r="H679" s="360"/>
      <c r="I679" s="285"/>
      <c r="J679" s="276"/>
      <c r="K679" s="276"/>
      <c r="L679" s="276"/>
      <c r="M679" s="276"/>
      <c r="N679" s="276"/>
      <c r="O679" s="276"/>
      <c r="P679" s="276"/>
      <c r="Q679" s="276"/>
      <c r="R679" s="276"/>
      <c r="S679" s="276"/>
      <c r="T679" s="276"/>
      <c r="U679" s="276"/>
      <c r="V679" s="276"/>
      <c r="W679" s="276"/>
      <c r="X679" s="276"/>
    </row>
    <row r="680" ht="15.75" customHeight="1">
      <c r="A680" s="297"/>
      <c r="B680" s="284"/>
      <c r="C680" s="284"/>
      <c r="D680" s="284"/>
      <c r="E680" s="285"/>
      <c r="F680" s="285"/>
      <c r="G680" s="290"/>
      <c r="H680" s="288"/>
      <c r="I680" s="285"/>
      <c r="J680" s="276"/>
      <c r="K680" s="276"/>
      <c r="L680" s="276"/>
      <c r="M680" s="276"/>
      <c r="N680" s="276"/>
      <c r="O680" s="276"/>
      <c r="P680" s="276"/>
      <c r="Q680" s="276"/>
      <c r="R680" s="276"/>
      <c r="S680" s="276"/>
      <c r="T680" s="276"/>
      <c r="U680" s="276"/>
      <c r="V680" s="276"/>
      <c r="W680" s="276"/>
      <c r="X680" s="276"/>
    </row>
    <row r="681" ht="15.75" customHeight="1">
      <c r="A681" s="297"/>
      <c r="B681" s="284"/>
      <c r="C681" s="284"/>
      <c r="D681" s="284"/>
      <c r="E681" s="285"/>
      <c r="F681" s="35"/>
      <c r="G681" s="290"/>
      <c r="H681" s="360"/>
      <c r="I681" s="285"/>
      <c r="J681" s="276"/>
      <c r="K681" s="276"/>
      <c r="L681" s="276"/>
      <c r="M681" s="276"/>
      <c r="N681" s="276"/>
      <c r="O681" s="276"/>
      <c r="P681" s="276"/>
      <c r="Q681" s="276"/>
      <c r="R681" s="276"/>
      <c r="S681" s="276"/>
      <c r="T681" s="276"/>
      <c r="U681" s="276"/>
      <c r="V681" s="276"/>
      <c r="W681" s="276"/>
      <c r="X681" s="276"/>
    </row>
    <row r="682" ht="15.75" customHeight="1">
      <c r="A682" s="297"/>
      <c r="B682" s="284"/>
      <c r="C682" s="284"/>
      <c r="D682" s="284"/>
      <c r="E682" s="285"/>
      <c r="F682" s="285"/>
      <c r="G682" s="290"/>
      <c r="H682" s="288"/>
      <c r="I682" s="285"/>
      <c r="J682" s="276"/>
      <c r="K682" s="276"/>
      <c r="L682" s="276"/>
      <c r="M682" s="276"/>
      <c r="N682" s="276"/>
      <c r="O682" s="276"/>
      <c r="P682" s="276"/>
      <c r="Q682" s="276"/>
      <c r="R682" s="276"/>
      <c r="S682" s="276"/>
      <c r="T682" s="276"/>
      <c r="U682" s="276"/>
      <c r="V682" s="276"/>
      <c r="W682" s="276"/>
      <c r="X682" s="276"/>
    </row>
    <row r="683" ht="15.75" customHeight="1">
      <c r="A683" s="283"/>
      <c r="B683" s="284"/>
      <c r="C683" s="284"/>
      <c r="D683" s="284"/>
      <c r="E683" s="285"/>
      <c r="F683" s="286"/>
      <c r="G683" s="287"/>
      <c r="H683" s="288"/>
      <c r="I683" s="285"/>
      <c r="J683" s="276"/>
      <c r="K683" s="276"/>
      <c r="L683" s="276"/>
      <c r="M683" s="276"/>
      <c r="N683" s="276"/>
      <c r="O683" s="276"/>
      <c r="P683" s="276"/>
      <c r="Q683" s="276"/>
      <c r="R683" s="276"/>
      <c r="S683" s="276"/>
      <c r="T683" s="276"/>
      <c r="U683" s="276"/>
      <c r="V683" s="276"/>
      <c r="W683" s="276"/>
      <c r="X683" s="276"/>
    </row>
    <row r="684" ht="15.75" customHeight="1">
      <c r="A684" s="283"/>
      <c r="B684" s="284"/>
      <c r="C684" s="284"/>
      <c r="D684" s="284"/>
      <c r="E684" s="285"/>
      <c r="F684" s="286"/>
      <c r="G684" s="287"/>
      <c r="H684" s="288"/>
      <c r="I684" s="285"/>
      <c r="J684" s="276"/>
      <c r="K684" s="276"/>
      <c r="L684" s="276"/>
      <c r="M684" s="276"/>
      <c r="N684" s="276"/>
      <c r="O684" s="276"/>
      <c r="P684" s="276"/>
      <c r="Q684" s="276"/>
      <c r="R684" s="276"/>
      <c r="S684" s="276"/>
      <c r="T684" s="276"/>
      <c r="U684" s="276"/>
      <c r="V684" s="276"/>
      <c r="W684" s="276"/>
      <c r="X684" s="276"/>
    </row>
    <row r="685" ht="15.75" customHeight="1">
      <c r="A685" s="283"/>
      <c r="B685" s="284"/>
      <c r="C685" s="284"/>
      <c r="D685" s="284"/>
      <c r="E685" s="285"/>
      <c r="F685" s="286"/>
      <c r="G685" s="287"/>
      <c r="H685" s="288"/>
      <c r="I685" s="285"/>
      <c r="J685" s="276"/>
      <c r="K685" s="276"/>
      <c r="L685" s="276"/>
      <c r="M685" s="276"/>
      <c r="N685" s="276"/>
      <c r="O685" s="276"/>
      <c r="P685" s="276"/>
      <c r="Q685" s="276"/>
      <c r="R685" s="276"/>
      <c r="S685" s="276"/>
      <c r="T685" s="276"/>
      <c r="U685" s="276"/>
      <c r="V685" s="276"/>
      <c r="W685" s="276"/>
      <c r="X685" s="276"/>
    </row>
    <row r="686" ht="15.75" customHeight="1">
      <c r="A686" s="283"/>
      <c r="B686" s="284"/>
      <c r="C686" s="284"/>
      <c r="D686" s="284"/>
      <c r="E686" s="285"/>
      <c r="F686" s="285"/>
      <c r="G686" s="290"/>
      <c r="H686" s="288"/>
      <c r="I686" s="285"/>
      <c r="J686" s="276"/>
      <c r="K686" s="276"/>
      <c r="L686" s="276"/>
      <c r="M686" s="276"/>
      <c r="N686" s="276"/>
      <c r="O686" s="276"/>
      <c r="P686" s="276"/>
      <c r="Q686" s="276"/>
      <c r="R686" s="276"/>
      <c r="S686" s="276"/>
      <c r="T686" s="276"/>
      <c r="U686" s="276"/>
      <c r="V686" s="276"/>
      <c r="W686" s="276"/>
      <c r="X686" s="276"/>
    </row>
    <row r="687" ht="15.75" customHeight="1">
      <c r="A687" s="283"/>
      <c r="B687" s="284"/>
      <c r="C687" s="284"/>
      <c r="D687" s="284"/>
      <c r="E687" s="285"/>
      <c r="F687" s="286"/>
      <c r="G687" s="287"/>
      <c r="H687" s="288"/>
      <c r="I687" s="285"/>
      <c r="J687" s="276"/>
      <c r="K687" s="276"/>
      <c r="L687" s="276"/>
      <c r="M687" s="276"/>
      <c r="N687" s="276"/>
      <c r="O687" s="276"/>
      <c r="P687" s="276"/>
      <c r="Q687" s="276"/>
      <c r="R687" s="276"/>
      <c r="S687" s="276"/>
      <c r="T687" s="276"/>
      <c r="U687" s="276"/>
      <c r="V687" s="276"/>
      <c r="W687" s="276"/>
      <c r="X687" s="276"/>
    </row>
    <row r="688" ht="15.75" customHeight="1">
      <c r="A688" s="407"/>
      <c r="B688" s="284"/>
      <c r="C688" s="284"/>
      <c r="D688" s="284"/>
      <c r="E688" s="312"/>
      <c r="F688" s="312"/>
      <c r="G688" s="319"/>
      <c r="H688" s="288"/>
      <c r="I688" s="285"/>
      <c r="J688" s="276"/>
      <c r="K688" s="276"/>
      <c r="L688" s="276"/>
      <c r="M688" s="276"/>
      <c r="N688" s="276"/>
      <c r="O688" s="276"/>
      <c r="P688" s="276"/>
      <c r="Q688" s="276"/>
      <c r="R688" s="276"/>
      <c r="S688" s="276"/>
      <c r="T688" s="276"/>
      <c r="U688" s="276"/>
      <c r="V688" s="276"/>
      <c r="W688" s="276"/>
      <c r="X688" s="276"/>
    </row>
    <row r="689" ht="15.75" customHeight="1">
      <c r="A689" s="407"/>
      <c r="B689" s="284"/>
      <c r="C689" s="284"/>
      <c r="D689" s="284"/>
      <c r="E689" s="285"/>
      <c r="F689" s="286"/>
      <c r="G689" s="287"/>
      <c r="H689" s="288"/>
      <c r="I689" s="285"/>
      <c r="J689" s="276"/>
      <c r="K689" s="276"/>
      <c r="L689" s="276"/>
      <c r="M689" s="276"/>
      <c r="N689" s="276"/>
      <c r="O689" s="276"/>
      <c r="P689" s="276"/>
      <c r="Q689" s="276"/>
      <c r="R689" s="276"/>
      <c r="S689" s="276"/>
      <c r="T689" s="276"/>
      <c r="U689" s="276"/>
      <c r="V689" s="276"/>
      <c r="W689" s="276"/>
      <c r="X689" s="276"/>
    </row>
    <row r="690" ht="15.75" customHeight="1">
      <c r="A690" s="407"/>
      <c r="B690" s="284"/>
      <c r="C690" s="284"/>
      <c r="D690" s="284"/>
      <c r="E690" s="312"/>
      <c r="F690" s="312"/>
      <c r="G690" s="319"/>
      <c r="H690" s="288"/>
      <c r="I690" s="285"/>
      <c r="J690" s="276"/>
      <c r="K690" s="276"/>
      <c r="L690" s="276"/>
      <c r="M690" s="276"/>
      <c r="N690" s="276"/>
      <c r="O690" s="276"/>
      <c r="P690" s="276"/>
      <c r="Q690" s="276"/>
      <c r="R690" s="276"/>
      <c r="S690" s="276"/>
      <c r="T690" s="276"/>
      <c r="U690" s="276"/>
      <c r="V690" s="276"/>
      <c r="W690" s="276"/>
      <c r="X690" s="276"/>
    </row>
    <row r="691" ht="15.75" customHeight="1">
      <c r="A691" s="283"/>
      <c r="B691" s="284"/>
      <c r="C691" s="284"/>
      <c r="D691" s="284"/>
      <c r="E691" s="285"/>
      <c r="F691" s="286"/>
      <c r="G691" s="287"/>
      <c r="H691" s="288"/>
      <c r="I691" s="285"/>
      <c r="J691" s="276"/>
      <c r="K691" s="276"/>
      <c r="L691" s="276"/>
      <c r="M691" s="276"/>
      <c r="N691" s="276"/>
      <c r="O691" s="276"/>
      <c r="P691" s="276"/>
      <c r="Q691" s="276"/>
      <c r="R691" s="276"/>
      <c r="S691" s="276"/>
      <c r="T691" s="276"/>
      <c r="U691" s="276"/>
      <c r="V691" s="276"/>
      <c r="W691" s="276"/>
      <c r="X691" s="276"/>
    </row>
    <row r="692" ht="15.75" customHeight="1">
      <c r="A692" s="283"/>
      <c r="B692" s="284"/>
      <c r="C692" s="284"/>
      <c r="D692" s="284"/>
      <c r="E692" s="285"/>
      <c r="F692" s="286"/>
      <c r="G692" s="287"/>
      <c r="H692" s="288"/>
      <c r="I692" s="285"/>
      <c r="J692" s="276"/>
      <c r="K692" s="276"/>
      <c r="L692" s="276"/>
      <c r="M692" s="276"/>
      <c r="N692" s="276"/>
      <c r="O692" s="276"/>
      <c r="P692" s="276"/>
      <c r="Q692" s="276"/>
      <c r="R692" s="276"/>
      <c r="S692" s="276"/>
      <c r="T692" s="276"/>
      <c r="U692" s="276"/>
      <c r="V692" s="276"/>
      <c r="W692" s="276"/>
      <c r="X692" s="276"/>
    </row>
    <row r="693" ht="15.75" customHeight="1">
      <c r="A693" s="283"/>
      <c r="B693" s="284"/>
      <c r="C693" s="284"/>
      <c r="D693" s="284"/>
      <c r="E693" s="285"/>
      <c r="F693" s="286"/>
      <c r="G693" s="287"/>
      <c r="H693" s="288"/>
      <c r="I693" s="285"/>
      <c r="J693" s="276"/>
      <c r="K693" s="276"/>
      <c r="L693" s="276"/>
      <c r="M693" s="276"/>
      <c r="N693" s="276"/>
      <c r="O693" s="276"/>
      <c r="P693" s="276"/>
      <c r="Q693" s="276"/>
      <c r="R693" s="276"/>
      <c r="S693" s="276"/>
      <c r="T693" s="276"/>
      <c r="U693" s="276"/>
      <c r="V693" s="276"/>
      <c r="W693" s="276"/>
      <c r="X693" s="276"/>
    </row>
    <row r="694" ht="15.75" customHeight="1">
      <c r="A694" s="283"/>
      <c r="B694" s="284"/>
      <c r="C694" s="284"/>
      <c r="D694" s="284"/>
      <c r="E694" s="285"/>
      <c r="F694" s="286"/>
      <c r="G694" s="287"/>
      <c r="H694" s="288"/>
      <c r="I694" s="285"/>
      <c r="J694" s="276"/>
      <c r="K694" s="276"/>
      <c r="L694" s="276"/>
      <c r="M694" s="276"/>
      <c r="N694" s="276"/>
      <c r="O694" s="276"/>
      <c r="P694" s="276"/>
      <c r="Q694" s="276"/>
      <c r="R694" s="276"/>
      <c r="S694" s="276"/>
      <c r="T694" s="276"/>
      <c r="U694" s="276"/>
      <c r="V694" s="276"/>
      <c r="W694" s="276"/>
      <c r="X694" s="276"/>
    </row>
    <row r="695" ht="15.75" customHeight="1">
      <c r="A695" s="283"/>
      <c r="B695" s="284"/>
      <c r="C695" s="284"/>
      <c r="D695" s="284"/>
      <c r="E695" s="285"/>
      <c r="F695" s="286"/>
      <c r="G695" s="287"/>
      <c r="H695" s="288"/>
      <c r="I695" s="285"/>
      <c r="J695" s="276"/>
      <c r="K695" s="276"/>
      <c r="L695" s="276"/>
      <c r="M695" s="276"/>
      <c r="N695" s="276"/>
      <c r="O695" s="276"/>
      <c r="P695" s="276"/>
      <c r="Q695" s="276"/>
      <c r="R695" s="276"/>
      <c r="S695" s="276"/>
      <c r="T695" s="276"/>
      <c r="U695" s="276"/>
      <c r="V695" s="276"/>
      <c r="W695" s="276"/>
      <c r="X695" s="276"/>
    </row>
    <row r="696" ht="15.75" customHeight="1">
      <c r="A696" s="283"/>
      <c r="B696" s="284"/>
      <c r="C696" s="284"/>
      <c r="D696" s="284"/>
      <c r="E696" s="285"/>
      <c r="F696" s="286"/>
      <c r="G696" s="287"/>
      <c r="H696" s="288"/>
      <c r="I696" s="285"/>
      <c r="J696" s="276"/>
      <c r="K696" s="276"/>
      <c r="L696" s="276"/>
      <c r="M696" s="276"/>
      <c r="N696" s="276"/>
      <c r="O696" s="276"/>
      <c r="P696" s="276"/>
      <c r="Q696" s="276"/>
      <c r="R696" s="276"/>
      <c r="S696" s="276"/>
      <c r="T696" s="276"/>
      <c r="U696" s="276"/>
      <c r="V696" s="276"/>
      <c r="W696" s="276"/>
      <c r="X696" s="276"/>
    </row>
    <row r="697" ht="15.75" customHeight="1">
      <c r="A697" s="283"/>
      <c r="B697" s="284"/>
      <c r="C697" s="284"/>
      <c r="D697" s="284"/>
      <c r="E697" s="285"/>
      <c r="F697" s="286"/>
      <c r="G697" s="287"/>
      <c r="H697" s="288"/>
      <c r="I697" s="285"/>
      <c r="J697" s="276"/>
      <c r="K697" s="276"/>
      <c r="L697" s="276"/>
      <c r="M697" s="276"/>
      <c r="N697" s="276"/>
      <c r="O697" s="276"/>
      <c r="P697" s="276"/>
      <c r="Q697" s="276"/>
      <c r="R697" s="276"/>
      <c r="S697" s="276"/>
      <c r="T697" s="276"/>
      <c r="U697" s="276"/>
      <c r="V697" s="276"/>
      <c r="W697" s="276"/>
      <c r="X697" s="276"/>
    </row>
    <row r="698" ht="15.75" customHeight="1">
      <c r="A698" s="407"/>
      <c r="B698" s="284"/>
      <c r="C698" s="284"/>
      <c r="D698" s="284"/>
      <c r="E698" s="312"/>
      <c r="F698" s="312"/>
      <c r="G698" s="319"/>
      <c r="H698" s="360"/>
      <c r="I698" s="285"/>
      <c r="J698" s="276"/>
      <c r="K698" s="276"/>
      <c r="L698" s="276"/>
      <c r="M698" s="276"/>
      <c r="N698" s="276"/>
      <c r="O698" s="276"/>
      <c r="P698" s="276"/>
      <c r="Q698" s="276"/>
      <c r="R698" s="276"/>
      <c r="S698" s="276"/>
      <c r="T698" s="276"/>
      <c r="U698" s="276"/>
      <c r="V698" s="276"/>
      <c r="W698" s="276"/>
      <c r="X698" s="276"/>
    </row>
    <row r="699" ht="15.75" customHeight="1">
      <c r="A699" s="407"/>
      <c r="B699" s="284"/>
      <c r="C699" s="284"/>
      <c r="D699" s="284"/>
      <c r="E699" s="285"/>
      <c r="F699" s="285"/>
      <c r="G699" s="290"/>
      <c r="H699" s="360"/>
      <c r="I699" s="285"/>
      <c r="J699" s="276"/>
      <c r="K699" s="276"/>
      <c r="L699" s="276"/>
      <c r="M699" s="276"/>
      <c r="N699" s="276"/>
      <c r="O699" s="276"/>
      <c r="P699" s="276"/>
      <c r="Q699" s="276"/>
      <c r="R699" s="276"/>
      <c r="S699" s="276"/>
      <c r="T699" s="276"/>
      <c r="U699" s="276"/>
      <c r="V699" s="276"/>
      <c r="W699" s="276"/>
      <c r="X699" s="276"/>
    </row>
    <row r="700" ht="15.75" customHeight="1">
      <c r="A700" s="407"/>
      <c r="B700" s="284"/>
      <c r="C700" s="284"/>
      <c r="D700" s="284"/>
      <c r="E700" s="285"/>
      <c r="F700" s="285"/>
      <c r="G700" s="290"/>
      <c r="H700" s="360"/>
      <c r="I700" s="285"/>
      <c r="J700" s="276"/>
      <c r="K700" s="276"/>
      <c r="L700" s="276"/>
      <c r="M700" s="276"/>
      <c r="N700" s="276"/>
      <c r="O700" s="276"/>
      <c r="P700" s="276"/>
      <c r="Q700" s="276"/>
      <c r="R700" s="276"/>
      <c r="S700" s="276"/>
      <c r="T700" s="276"/>
      <c r="U700" s="276"/>
      <c r="V700" s="276"/>
      <c r="W700" s="276"/>
      <c r="X700" s="276"/>
    </row>
    <row r="701" ht="15.75" customHeight="1">
      <c r="A701" s="407"/>
      <c r="B701" s="284"/>
      <c r="C701" s="284"/>
      <c r="D701" s="284"/>
      <c r="E701" s="285"/>
      <c r="F701" s="285"/>
      <c r="G701" s="290"/>
      <c r="H701" s="360"/>
      <c r="I701" s="285"/>
      <c r="J701" s="276"/>
      <c r="K701" s="276"/>
      <c r="L701" s="276"/>
      <c r="M701" s="276"/>
      <c r="N701" s="276"/>
      <c r="O701" s="276"/>
      <c r="P701" s="276"/>
      <c r="Q701" s="276"/>
      <c r="R701" s="276"/>
      <c r="S701" s="276"/>
      <c r="T701" s="276"/>
      <c r="U701" s="276"/>
      <c r="V701" s="276"/>
      <c r="W701" s="276"/>
      <c r="X701" s="276"/>
    </row>
    <row r="702" ht="15.75" customHeight="1">
      <c r="A702" s="407"/>
      <c r="B702" s="284"/>
      <c r="C702" s="284"/>
      <c r="D702" s="284"/>
      <c r="E702" s="285"/>
      <c r="F702" s="285"/>
      <c r="G702" s="290"/>
      <c r="H702" s="360"/>
      <c r="I702" s="285"/>
      <c r="J702" s="276"/>
      <c r="K702" s="276"/>
      <c r="L702" s="276"/>
      <c r="M702" s="276"/>
      <c r="N702" s="276"/>
      <c r="O702" s="276"/>
      <c r="P702" s="276"/>
      <c r="Q702" s="276"/>
      <c r="R702" s="276"/>
      <c r="S702" s="276"/>
      <c r="T702" s="276"/>
      <c r="U702" s="276"/>
      <c r="V702" s="276"/>
      <c r="W702" s="276"/>
      <c r="X702" s="276"/>
    </row>
    <row r="703" ht="15.75" customHeight="1">
      <c r="A703" s="407"/>
      <c r="B703" s="284"/>
      <c r="C703" s="284"/>
      <c r="D703" s="284"/>
      <c r="E703" s="312"/>
      <c r="F703" s="312"/>
      <c r="G703" s="319"/>
      <c r="H703" s="360"/>
      <c r="I703" s="285"/>
      <c r="J703" s="276"/>
      <c r="K703" s="276"/>
      <c r="L703" s="276"/>
      <c r="M703" s="276"/>
      <c r="N703" s="276"/>
      <c r="O703" s="276"/>
      <c r="P703" s="276"/>
      <c r="Q703" s="276"/>
      <c r="R703" s="276"/>
      <c r="S703" s="276"/>
      <c r="T703" s="276"/>
      <c r="U703" s="276"/>
      <c r="V703" s="276"/>
      <c r="W703" s="276"/>
      <c r="X703" s="276"/>
    </row>
    <row r="704" ht="15.75" customHeight="1">
      <c r="A704" s="407"/>
      <c r="B704" s="284"/>
      <c r="C704" s="284"/>
      <c r="D704" s="284"/>
      <c r="E704" s="285"/>
      <c r="F704" s="35"/>
      <c r="G704" s="290"/>
      <c r="H704" s="360"/>
      <c r="I704" s="285"/>
      <c r="J704" s="276"/>
      <c r="K704" s="276"/>
      <c r="L704" s="276"/>
      <c r="M704" s="276"/>
      <c r="N704" s="276"/>
      <c r="O704" s="276"/>
      <c r="P704" s="276"/>
      <c r="Q704" s="276"/>
      <c r="R704" s="276"/>
      <c r="S704" s="276"/>
      <c r="T704" s="276"/>
      <c r="U704" s="276"/>
      <c r="V704" s="276"/>
      <c r="W704" s="276"/>
      <c r="X704" s="276"/>
    </row>
    <row r="705" ht="15.75" customHeight="1">
      <c r="A705" s="407"/>
      <c r="B705" s="284"/>
      <c r="C705" s="284"/>
      <c r="D705" s="284"/>
      <c r="E705" s="285"/>
      <c r="F705" s="35"/>
      <c r="G705" s="290"/>
      <c r="H705" s="360"/>
      <c r="I705" s="285"/>
      <c r="J705" s="276"/>
      <c r="K705" s="276"/>
      <c r="L705" s="276"/>
      <c r="M705" s="276"/>
      <c r="N705" s="276"/>
      <c r="O705" s="276"/>
      <c r="P705" s="276"/>
      <c r="Q705" s="276"/>
      <c r="R705" s="276"/>
      <c r="S705" s="276"/>
      <c r="T705" s="276"/>
      <c r="U705" s="276"/>
      <c r="V705" s="276"/>
      <c r="W705" s="276"/>
      <c r="X705" s="276"/>
    </row>
    <row r="706" ht="15.75" customHeight="1">
      <c r="A706" s="407"/>
      <c r="B706" s="284"/>
      <c r="C706" s="284"/>
      <c r="D706" s="284"/>
      <c r="E706" s="285"/>
      <c r="F706" s="285"/>
      <c r="G706" s="290"/>
      <c r="H706" s="360"/>
      <c r="I706" s="285"/>
      <c r="J706" s="276"/>
      <c r="K706" s="276"/>
      <c r="L706" s="276"/>
      <c r="M706" s="276"/>
      <c r="N706" s="276"/>
      <c r="O706" s="276"/>
      <c r="P706" s="276"/>
      <c r="Q706" s="276"/>
      <c r="R706" s="276"/>
      <c r="S706" s="276"/>
      <c r="T706" s="276"/>
      <c r="U706" s="276"/>
      <c r="V706" s="276"/>
      <c r="W706" s="276"/>
      <c r="X706" s="276"/>
    </row>
    <row r="707" ht="15.75" customHeight="1">
      <c r="A707" s="407"/>
      <c r="B707" s="284"/>
      <c r="C707" s="284"/>
      <c r="D707" s="284"/>
      <c r="E707" s="285"/>
      <c r="F707" s="35"/>
      <c r="G707" s="290"/>
      <c r="H707" s="360"/>
      <c r="I707" s="285"/>
      <c r="J707" s="276"/>
      <c r="K707" s="276"/>
      <c r="L707" s="276"/>
      <c r="M707" s="276"/>
      <c r="N707" s="276"/>
      <c r="O707" s="276"/>
      <c r="P707" s="276"/>
      <c r="Q707" s="276"/>
      <c r="R707" s="276"/>
      <c r="S707" s="276"/>
      <c r="T707" s="276"/>
      <c r="U707" s="276"/>
      <c r="V707" s="276"/>
      <c r="W707" s="276"/>
      <c r="X707" s="276"/>
    </row>
    <row r="708" ht="15.75" customHeight="1">
      <c r="A708" s="407"/>
      <c r="B708" s="284"/>
      <c r="C708" s="284"/>
      <c r="D708" s="284"/>
      <c r="E708" s="285"/>
      <c r="F708" s="35"/>
      <c r="G708" s="290"/>
      <c r="H708" s="360"/>
      <c r="I708" s="285"/>
      <c r="J708" s="276"/>
      <c r="K708" s="276"/>
      <c r="L708" s="276"/>
      <c r="M708" s="276"/>
      <c r="N708" s="276"/>
      <c r="O708" s="276"/>
      <c r="P708" s="276"/>
      <c r="Q708" s="276"/>
      <c r="R708" s="276"/>
      <c r="S708" s="276"/>
      <c r="T708" s="276"/>
      <c r="U708" s="276"/>
      <c r="V708" s="276"/>
      <c r="W708" s="276"/>
      <c r="X708" s="276"/>
    </row>
    <row r="709" ht="15.75" customHeight="1">
      <c r="A709" s="407"/>
      <c r="B709" s="284"/>
      <c r="C709" s="284"/>
      <c r="D709" s="284"/>
      <c r="E709" s="285"/>
      <c r="F709" s="285"/>
      <c r="G709" s="290"/>
      <c r="H709" s="360"/>
      <c r="I709" s="285"/>
      <c r="J709" s="276"/>
      <c r="K709" s="276"/>
      <c r="L709" s="276"/>
      <c r="M709" s="276"/>
      <c r="N709" s="276"/>
      <c r="O709" s="276"/>
      <c r="P709" s="276"/>
      <c r="Q709" s="276"/>
      <c r="R709" s="276"/>
      <c r="S709" s="276"/>
      <c r="T709" s="276"/>
      <c r="U709" s="276"/>
      <c r="V709" s="276"/>
      <c r="W709" s="276"/>
      <c r="X709" s="276"/>
    </row>
    <row r="710" ht="15.75" customHeight="1">
      <c r="A710" s="283"/>
      <c r="B710" s="284"/>
      <c r="C710" s="284"/>
      <c r="D710" s="284"/>
      <c r="E710" s="312"/>
      <c r="F710" s="312"/>
      <c r="G710" s="319"/>
      <c r="H710" s="288"/>
      <c r="I710" s="285"/>
      <c r="J710" s="276"/>
      <c r="K710" s="276"/>
      <c r="L710" s="276"/>
      <c r="M710" s="276"/>
      <c r="N710" s="276"/>
      <c r="O710" s="276"/>
      <c r="P710" s="276"/>
      <c r="Q710" s="276"/>
      <c r="R710" s="276"/>
      <c r="S710" s="276"/>
      <c r="T710" s="276"/>
      <c r="U710" s="276"/>
      <c r="V710" s="276"/>
      <c r="W710" s="276"/>
      <c r="X710" s="276"/>
    </row>
    <row r="711" ht="15.75" customHeight="1">
      <c r="A711" s="283"/>
      <c r="B711" s="284"/>
      <c r="C711" s="284"/>
      <c r="D711" s="284"/>
      <c r="E711" s="285"/>
      <c r="F711" s="285"/>
      <c r="G711" s="290"/>
      <c r="H711" s="288"/>
      <c r="I711" s="285"/>
      <c r="J711" s="276"/>
      <c r="K711" s="276"/>
      <c r="L711" s="276"/>
      <c r="M711" s="276"/>
      <c r="N711" s="276"/>
      <c r="O711" s="276"/>
      <c r="P711" s="276"/>
      <c r="Q711" s="276"/>
      <c r="R711" s="276"/>
      <c r="S711" s="276"/>
      <c r="T711" s="276"/>
      <c r="U711" s="276"/>
      <c r="V711" s="276"/>
      <c r="W711" s="276"/>
      <c r="X711" s="276"/>
    </row>
    <row r="712" ht="15.75" customHeight="1">
      <c r="A712" s="283"/>
      <c r="B712" s="284"/>
      <c r="C712" s="284"/>
      <c r="D712" s="284"/>
      <c r="E712" s="285"/>
      <c r="F712" s="285"/>
      <c r="G712" s="290"/>
      <c r="H712" s="288"/>
      <c r="I712" s="285"/>
      <c r="J712" s="276"/>
      <c r="K712" s="276"/>
      <c r="L712" s="276"/>
      <c r="M712" s="276"/>
      <c r="N712" s="276"/>
      <c r="O712" s="276"/>
      <c r="P712" s="276"/>
      <c r="Q712" s="276"/>
      <c r="R712" s="276"/>
      <c r="S712" s="276"/>
      <c r="T712" s="276"/>
      <c r="U712" s="276"/>
      <c r="V712" s="276"/>
      <c r="W712" s="276"/>
      <c r="X712" s="276"/>
    </row>
    <row r="713" ht="15.75" customHeight="1">
      <c r="A713" s="283"/>
      <c r="B713" s="284"/>
      <c r="C713" s="284"/>
      <c r="D713" s="284"/>
      <c r="E713" s="285"/>
      <c r="F713" s="285"/>
      <c r="G713" s="290"/>
      <c r="H713" s="288"/>
      <c r="I713" s="285"/>
      <c r="J713" s="276"/>
      <c r="K713" s="276"/>
      <c r="L713" s="276"/>
      <c r="M713" s="276"/>
      <c r="N713" s="276"/>
      <c r="O713" s="276"/>
      <c r="P713" s="276"/>
      <c r="Q713" s="276"/>
      <c r="R713" s="276"/>
      <c r="S713" s="276"/>
      <c r="T713" s="276"/>
      <c r="U713" s="276"/>
      <c r="V713" s="276"/>
      <c r="W713" s="276"/>
      <c r="X713" s="276"/>
    </row>
    <row r="714" ht="15.75" customHeight="1">
      <c r="A714" s="283"/>
      <c r="B714" s="284"/>
      <c r="C714" s="284"/>
      <c r="D714" s="284"/>
      <c r="E714" s="312"/>
      <c r="F714" s="312"/>
      <c r="G714" s="319"/>
      <c r="H714" s="288"/>
      <c r="I714" s="285"/>
      <c r="J714" s="276"/>
      <c r="K714" s="276"/>
      <c r="L714" s="276"/>
      <c r="M714" s="276"/>
      <c r="N714" s="276"/>
      <c r="O714" s="276"/>
      <c r="P714" s="276"/>
      <c r="Q714" s="276"/>
      <c r="R714" s="276"/>
      <c r="S714" s="276"/>
      <c r="T714" s="276"/>
      <c r="U714" s="276"/>
      <c r="V714" s="276"/>
      <c r="W714" s="276"/>
      <c r="X714" s="276"/>
    </row>
    <row r="715" ht="15.75" customHeight="1">
      <c r="A715" s="283"/>
      <c r="B715" s="284"/>
      <c r="C715" s="284"/>
      <c r="D715" s="284"/>
      <c r="E715" s="285"/>
      <c r="F715" s="285"/>
      <c r="G715" s="290"/>
      <c r="H715" s="288"/>
      <c r="I715" s="285"/>
      <c r="J715" s="276"/>
      <c r="K715" s="276"/>
      <c r="L715" s="276"/>
      <c r="M715" s="276"/>
      <c r="N715" s="276"/>
      <c r="O715" s="276"/>
      <c r="P715" s="276"/>
      <c r="Q715" s="276"/>
      <c r="R715" s="276"/>
      <c r="S715" s="276"/>
      <c r="T715" s="276"/>
      <c r="U715" s="276"/>
      <c r="V715" s="276"/>
      <c r="W715" s="276"/>
      <c r="X715" s="276"/>
    </row>
    <row r="716" ht="15.75" customHeight="1">
      <c r="A716" s="283"/>
      <c r="B716" s="284"/>
      <c r="C716" s="284"/>
      <c r="D716" s="284"/>
      <c r="E716" s="285"/>
      <c r="F716" s="285"/>
      <c r="G716" s="290"/>
      <c r="H716" s="288"/>
      <c r="I716" s="285"/>
      <c r="J716" s="276"/>
      <c r="K716" s="276"/>
      <c r="L716" s="276"/>
      <c r="M716" s="276"/>
      <c r="N716" s="276"/>
      <c r="O716" s="276"/>
      <c r="P716" s="276"/>
      <c r="Q716" s="276"/>
      <c r="R716" s="276"/>
      <c r="S716" s="276"/>
      <c r="T716" s="276"/>
      <c r="U716" s="276"/>
      <c r="V716" s="276"/>
      <c r="W716" s="276"/>
      <c r="X716" s="276"/>
    </row>
    <row r="717" ht="15.75" customHeight="1">
      <c r="A717" s="283"/>
      <c r="B717" s="284"/>
      <c r="C717" s="284"/>
      <c r="D717" s="284"/>
      <c r="E717" s="312"/>
      <c r="F717" s="312"/>
      <c r="G717" s="319"/>
      <c r="H717" s="288"/>
      <c r="I717" s="285"/>
      <c r="J717" s="276"/>
      <c r="K717" s="276"/>
      <c r="L717" s="276"/>
      <c r="M717" s="276"/>
      <c r="N717" s="276"/>
      <c r="O717" s="276"/>
      <c r="P717" s="276"/>
      <c r="Q717" s="276"/>
      <c r="R717" s="276"/>
      <c r="S717" s="276"/>
      <c r="T717" s="276"/>
      <c r="U717" s="276"/>
      <c r="V717" s="276"/>
      <c r="W717" s="276"/>
      <c r="X717" s="276"/>
    </row>
    <row r="718" ht="15.75" customHeight="1">
      <c r="A718" s="283"/>
      <c r="B718" s="284"/>
      <c r="C718" s="284"/>
      <c r="D718" s="284"/>
      <c r="E718" s="285"/>
      <c r="F718" s="285"/>
      <c r="G718" s="290"/>
      <c r="H718" s="288"/>
      <c r="I718" s="285"/>
      <c r="J718" s="276"/>
      <c r="K718" s="276"/>
      <c r="L718" s="276"/>
      <c r="M718" s="276"/>
      <c r="N718" s="276"/>
      <c r="O718" s="276"/>
      <c r="P718" s="276"/>
      <c r="Q718" s="276"/>
      <c r="R718" s="276"/>
      <c r="S718" s="276"/>
      <c r="T718" s="276"/>
      <c r="U718" s="276"/>
      <c r="V718" s="276"/>
      <c r="W718" s="276"/>
      <c r="X718" s="276"/>
    </row>
    <row r="719" ht="15.75" customHeight="1">
      <c r="A719" s="283"/>
      <c r="B719" s="284"/>
      <c r="C719" s="284"/>
      <c r="D719" s="284"/>
      <c r="E719" s="285"/>
      <c r="F719" s="285"/>
      <c r="G719" s="290"/>
      <c r="H719" s="288"/>
      <c r="I719" s="285"/>
      <c r="J719" s="276"/>
      <c r="K719" s="276"/>
      <c r="L719" s="276"/>
      <c r="M719" s="276"/>
      <c r="N719" s="276"/>
      <c r="O719" s="276"/>
      <c r="P719" s="276"/>
      <c r="Q719" s="276"/>
      <c r="R719" s="276"/>
      <c r="S719" s="276"/>
      <c r="T719" s="276"/>
      <c r="U719" s="276"/>
      <c r="V719" s="276"/>
      <c r="W719" s="276"/>
      <c r="X719" s="276"/>
    </row>
    <row r="720" ht="15.75" customHeight="1">
      <c r="A720" s="283"/>
      <c r="B720" s="284"/>
      <c r="C720" s="284"/>
      <c r="D720" s="284"/>
      <c r="E720" s="285"/>
      <c r="F720" s="285"/>
      <c r="G720" s="290"/>
      <c r="H720" s="288"/>
      <c r="I720" s="285"/>
      <c r="J720" s="276"/>
      <c r="K720" s="276"/>
      <c r="L720" s="276"/>
      <c r="M720" s="276"/>
      <c r="N720" s="276"/>
      <c r="O720" s="276"/>
      <c r="P720" s="276"/>
      <c r="Q720" s="276"/>
      <c r="R720" s="276"/>
      <c r="S720" s="276"/>
      <c r="T720" s="276"/>
      <c r="U720" s="276"/>
      <c r="V720" s="276"/>
      <c r="W720" s="276"/>
      <c r="X720" s="276"/>
    </row>
    <row r="721" ht="15.75" customHeight="1">
      <c r="A721" s="283"/>
      <c r="B721" s="284"/>
      <c r="C721" s="284"/>
      <c r="D721" s="284"/>
      <c r="E721" s="285"/>
      <c r="F721" s="285"/>
      <c r="G721" s="290"/>
      <c r="H721" s="288"/>
      <c r="I721" s="285"/>
      <c r="J721" s="276"/>
      <c r="K721" s="276"/>
      <c r="L721" s="276"/>
      <c r="M721" s="276"/>
      <c r="N721" s="276"/>
      <c r="O721" s="276"/>
      <c r="P721" s="276"/>
      <c r="Q721" s="276"/>
      <c r="R721" s="276"/>
      <c r="S721" s="276"/>
      <c r="T721" s="276"/>
      <c r="U721" s="276"/>
      <c r="V721" s="276"/>
      <c r="W721" s="276"/>
      <c r="X721" s="276"/>
    </row>
    <row r="722" ht="15.75" customHeight="1">
      <c r="A722" s="283"/>
      <c r="B722" s="284"/>
      <c r="C722" s="284"/>
      <c r="D722" s="284"/>
      <c r="E722" s="285"/>
      <c r="F722" s="285"/>
      <c r="G722" s="290"/>
      <c r="H722" s="288"/>
      <c r="I722" s="285"/>
      <c r="J722" s="276"/>
      <c r="K722" s="276"/>
      <c r="L722" s="276"/>
      <c r="M722" s="276"/>
      <c r="N722" s="276"/>
      <c r="O722" s="276"/>
      <c r="P722" s="276"/>
      <c r="Q722" s="276"/>
      <c r="R722" s="276"/>
      <c r="S722" s="276"/>
      <c r="T722" s="276"/>
      <c r="U722" s="276"/>
      <c r="V722" s="276"/>
      <c r="W722" s="276"/>
      <c r="X722" s="276"/>
    </row>
    <row r="723" ht="15.75" customHeight="1">
      <c r="A723" s="283"/>
      <c r="B723" s="284"/>
      <c r="C723" s="284"/>
      <c r="D723" s="284"/>
      <c r="E723" s="285"/>
      <c r="F723" s="285"/>
      <c r="G723" s="290"/>
      <c r="H723" s="288"/>
      <c r="I723" s="285"/>
      <c r="J723" s="276"/>
      <c r="K723" s="276"/>
      <c r="L723" s="276"/>
      <c r="M723" s="276"/>
      <c r="N723" s="276"/>
      <c r="O723" s="276"/>
      <c r="P723" s="276"/>
      <c r="Q723" s="276"/>
      <c r="R723" s="276"/>
      <c r="S723" s="276"/>
      <c r="T723" s="276"/>
      <c r="U723" s="276"/>
      <c r="V723" s="276"/>
      <c r="W723" s="276"/>
      <c r="X723" s="276"/>
    </row>
    <row r="724" ht="15.75" customHeight="1">
      <c r="A724" s="283"/>
      <c r="B724" s="284"/>
      <c r="C724" s="284"/>
      <c r="D724" s="284"/>
      <c r="E724" s="285"/>
      <c r="F724" s="285"/>
      <c r="G724" s="290"/>
      <c r="H724" s="288"/>
      <c r="I724" s="285"/>
      <c r="J724" s="276"/>
      <c r="K724" s="276"/>
      <c r="L724" s="276"/>
      <c r="M724" s="276"/>
      <c r="N724" s="276"/>
      <c r="O724" s="276"/>
      <c r="P724" s="276"/>
      <c r="Q724" s="276"/>
      <c r="R724" s="276"/>
      <c r="S724" s="276"/>
      <c r="T724" s="276"/>
      <c r="U724" s="276"/>
      <c r="V724" s="276"/>
      <c r="W724" s="276"/>
      <c r="X724" s="276"/>
    </row>
    <row r="725" ht="15.75" customHeight="1">
      <c r="A725" s="283"/>
      <c r="B725" s="284"/>
      <c r="C725" s="284"/>
      <c r="D725" s="284"/>
      <c r="E725" s="285"/>
      <c r="F725" s="285"/>
      <c r="G725" s="290"/>
      <c r="H725" s="288"/>
      <c r="I725" s="285"/>
      <c r="J725" s="276"/>
      <c r="K725" s="276"/>
      <c r="L725" s="276"/>
      <c r="M725" s="276"/>
      <c r="N725" s="276"/>
      <c r="O725" s="276"/>
      <c r="P725" s="276"/>
      <c r="Q725" s="276"/>
      <c r="R725" s="276"/>
      <c r="S725" s="276"/>
      <c r="T725" s="276"/>
      <c r="U725" s="276"/>
      <c r="V725" s="276"/>
      <c r="W725" s="276"/>
      <c r="X725" s="276"/>
    </row>
    <row r="726" ht="15.75" customHeight="1">
      <c r="A726" s="283"/>
      <c r="B726" s="284"/>
      <c r="C726" s="284"/>
      <c r="D726" s="284"/>
      <c r="E726" s="285"/>
      <c r="F726" s="285"/>
      <c r="G726" s="290"/>
      <c r="H726" s="288"/>
      <c r="I726" s="285"/>
      <c r="J726" s="276"/>
      <c r="K726" s="276"/>
      <c r="L726" s="276"/>
      <c r="M726" s="276"/>
      <c r="N726" s="276"/>
      <c r="O726" s="276"/>
      <c r="P726" s="276"/>
      <c r="Q726" s="276"/>
      <c r="R726" s="276"/>
      <c r="S726" s="276"/>
      <c r="T726" s="276"/>
      <c r="U726" s="276"/>
      <c r="V726" s="276"/>
      <c r="W726" s="276"/>
      <c r="X726" s="276"/>
    </row>
    <row r="727" ht="15.75" customHeight="1">
      <c r="A727" s="283"/>
      <c r="B727" s="284"/>
      <c r="C727" s="284"/>
      <c r="D727" s="284"/>
      <c r="E727" s="285"/>
      <c r="F727" s="285"/>
      <c r="G727" s="290"/>
      <c r="H727" s="288"/>
      <c r="I727" s="285"/>
      <c r="J727" s="276"/>
      <c r="K727" s="276"/>
      <c r="L727" s="276"/>
      <c r="M727" s="276"/>
      <c r="N727" s="276"/>
      <c r="O727" s="276"/>
      <c r="P727" s="276"/>
      <c r="Q727" s="276"/>
      <c r="R727" s="276"/>
      <c r="S727" s="276"/>
      <c r="T727" s="276"/>
      <c r="U727" s="276"/>
      <c r="V727" s="276"/>
      <c r="W727" s="276"/>
      <c r="X727" s="276"/>
    </row>
    <row r="728" ht="15.75" customHeight="1">
      <c r="A728" s="283"/>
      <c r="B728" s="284"/>
      <c r="C728" s="284"/>
      <c r="D728" s="284"/>
      <c r="E728" s="285"/>
      <c r="F728" s="285"/>
      <c r="G728" s="290"/>
      <c r="H728" s="288"/>
      <c r="I728" s="285"/>
      <c r="J728" s="276"/>
      <c r="K728" s="276"/>
      <c r="L728" s="276"/>
      <c r="M728" s="276"/>
      <c r="N728" s="276"/>
      <c r="O728" s="276"/>
      <c r="P728" s="276"/>
      <c r="Q728" s="276"/>
      <c r="R728" s="276"/>
      <c r="S728" s="276"/>
      <c r="T728" s="276"/>
      <c r="U728" s="276"/>
      <c r="V728" s="276"/>
      <c r="W728" s="276"/>
      <c r="X728" s="276"/>
    </row>
    <row r="729" ht="15.75" customHeight="1">
      <c r="A729" s="283"/>
      <c r="B729" s="284"/>
      <c r="C729" s="284"/>
      <c r="D729" s="284"/>
      <c r="E729" s="285"/>
      <c r="F729" s="285"/>
      <c r="G729" s="290"/>
      <c r="H729" s="288"/>
      <c r="I729" s="285"/>
      <c r="J729" s="276"/>
      <c r="K729" s="276"/>
      <c r="L729" s="276"/>
      <c r="M729" s="276"/>
      <c r="N729" s="276"/>
      <c r="O729" s="276"/>
      <c r="P729" s="276"/>
      <c r="Q729" s="276"/>
      <c r="R729" s="276"/>
      <c r="S729" s="276"/>
      <c r="T729" s="276"/>
      <c r="U729" s="276"/>
      <c r="V729" s="276"/>
      <c r="W729" s="276"/>
      <c r="X729" s="276"/>
    </row>
    <row r="730" ht="15.75" customHeight="1">
      <c r="A730" s="283"/>
      <c r="B730" s="284"/>
      <c r="C730" s="284"/>
      <c r="D730" s="284"/>
      <c r="E730" s="285"/>
      <c r="F730" s="285"/>
      <c r="G730" s="290"/>
      <c r="H730" s="288"/>
      <c r="I730" s="285"/>
      <c r="J730" s="276"/>
      <c r="K730" s="276"/>
      <c r="L730" s="276"/>
      <c r="M730" s="276"/>
      <c r="N730" s="276"/>
      <c r="O730" s="276"/>
      <c r="P730" s="276"/>
      <c r="Q730" s="276"/>
      <c r="R730" s="276"/>
      <c r="S730" s="276"/>
      <c r="T730" s="276"/>
      <c r="U730" s="276"/>
      <c r="V730" s="276"/>
      <c r="W730" s="276"/>
      <c r="X730" s="276"/>
    </row>
    <row r="731" ht="15.75" customHeight="1">
      <c r="A731" s="283"/>
      <c r="B731" s="284"/>
      <c r="C731" s="284"/>
      <c r="D731" s="284"/>
      <c r="E731" s="285"/>
      <c r="F731" s="285"/>
      <c r="G731" s="290"/>
      <c r="H731" s="288"/>
      <c r="I731" s="285"/>
      <c r="J731" s="276"/>
      <c r="K731" s="276"/>
      <c r="L731" s="276"/>
      <c r="M731" s="276"/>
      <c r="N731" s="276"/>
      <c r="O731" s="276"/>
      <c r="P731" s="276"/>
      <c r="Q731" s="276"/>
      <c r="R731" s="276"/>
      <c r="S731" s="276"/>
      <c r="T731" s="276"/>
      <c r="U731" s="276"/>
      <c r="V731" s="276"/>
      <c r="W731" s="276"/>
      <c r="X731" s="276"/>
    </row>
    <row r="732" ht="15.75" customHeight="1">
      <c r="A732" s="283"/>
      <c r="B732" s="284"/>
      <c r="C732" s="284"/>
      <c r="D732" s="284"/>
      <c r="E732" s="285"/>
      <c r="F732" s="285"/>
      <c r="G732" s="290"/>
      <c r="H732" s="288"/>
      <c r="I732" s="285"/>
      <c r="J732" s="276"/>
      <c r="K732" s="276"/>
      <c r="L732" s="276"/>
      <c r="M732" s="276"/>
      <c r="N732" s="276"/>
      <c r="O732" s="276"/>
      <c r="P732" s="276"/>
      <c r="Q732" s="276"/>
      <c r="R732" s="276"/>
      <c r="S732" s="276"/>
      <c r="T732" s="276"/>
      <c r="U732" s="276"/>
      <c r="V732" s="276"/>
      <c r="W732" s="276"/>
      <c r="X732" s="276"/>
    </row>
    <row r="733" ht="15.75" customHeight="1">
      <c r="A733" s="283"/>
      <c r="B733" s="284"/>
      <c r="C733" s="284"/>
      <c r="D733" s="284"/>
      <c r="E733" s="285"/>
      <c r="F733" s="285"/>
      <c r="G733" s="290"/>
      <c r="H733" s="288"/>
      <c r="I733" s="285"/>
      <c r="J733" s="276"/>
      <c r="K733" s="276"/>
      <c r="L733" s="276"/>
      <c r="M733" s="276"/>
      <c r="N733" s="276"/>
      <c r="O733" s="276"/>
      <c r="P733" s="276"/>
      <c r="Q733" s="276"/>
      <c r="R733" s="276"/>
      <c r="S733" s="276"/>
      <c r="T733" s="276"/>
      <c r="U733" s="276"/>
      <c r="V733" s="276"/>
      <c r="W733" s="276"/>
      <c r="X733" s="276"/>
    </row>
    <row r="734" ht="15.75" customHeight="1">
      <c r="A734" s="283"/>
      <c r="B734" s="284"/>
      <c r="C734" s="284"/>
      <c r="D734" s="284"/>
      <c r="E734" s="285"/>
      <c r="F734" s="285"/>
      <c r="G734" s="290"/>
      <c r="H734" s="288"/>
      <c r="I734" s="285"/>
      <c r="J734" s="276"/>
      <c r="K734" s="276"/>
      <c r="L734" s="276"/>
      <c r="M734" s="276"/>
      <c r="N734" s="276"/>
      <c r="O734" s="276"/>
      <c r="P734" s="276"/>
      <c r="Q734" s="276"/>
      <c r="R734" s="276"/>
      <c r="S734" s="276"/>
      <c r="T734" s="276"/>
      <c r="U734" s="276"/>
      <c r="V734" s="276"/>
      <c r="W734" s="276"/>
      <c r="X734" s="276"/>
    </row>
    <row r="735" ht="15.75" customHeight="1">
      <c r="A735" s="283"/>
      <c r="B735" s="284"/>
      <c r="C735" s="284"/>
      <c r="D735" s="284"/>
      <c r="E735" s="285"/>
      <c r="F735" s="285"/>
      <c r="G735" s="290"/>
      <c r="H735" s="288"/>
      <c r="I735" s="285"/>
      <c r="J735" s="276"/>
      <c r="K735" s="276"/>
      <c r="L735" s="276"/>
      <c r="M735" s="276"/>
      <c r="N735" s="276"/>
      <c r="O735" s="276"/>
      <c r="P735" s="276"/>
      <c r="Q735" s="276"/>
      <c r="R735" s="276"/>
      <c r="S735" s="276"/>
      <c r="T735" s="276"/>
      <c r="U735" s="276"/>
      <c r="V735" s="276"/>
      <c r="W735" s="276"/>
      <c r="X735" s="276"/>
    </row>
    <row r="736" ht="15.75" customHeight="1">
      <c r="A736" s="283"/>
      <c r="B736" s="284"/>
      <c r="C736" s="284"/>
      <c r="D736" s="284"/>
      <c r="E736" s="285"/>
      <c r="F736" s="285"/>
      <c r="G736" s="290"/>
      <c r="H736" s="288"/>
      <c r="I736" s="285"/>
      <c r="J736" s="276"/>
      <c r="K736" s="276"/>
      <c r="L736" s="276"/>
      <c r="M736" s="276"/>
      <c r="N736" s="276"/>
      <c r="O736" s="276"/>
      <c r="P736" s="276"/>
      <c r="Q736" s="276"/>
      <c r="R736" s="276"/>
      <c r="S736" s="276"/>
      <c r="T736" s="276"/>
      <c r="U736" s="276"/>
      <c r="V736" s="276"/>
      <c r="W736" s="276"/>
      <c r="X736" s="276"/>
    </row>
    <row r="737" ht="15.75" customHeight="1">
      <c r="A737" s="283"/>
      <c r="B737" s="284"/>
      <c r="C737" s="284"/>
      <c r="D737" s="284"/>
      <c r="E737" s="285"/>
      <c r="F737" s="285"/>
      <c r="G737" s="290"/>
      <c r="H737" s="288"/>
      <c r="I737" s="285"/>
      <c r="J737" s="276"/>
      <c r="K737" s="276"/>
      <c r="L737" s="276"/>
      <c r="M737" s="276"/>
      <c r="N737" s="276"/>
      <c r="O737" s="276"/>
      <c r="P737" s="276"/>
      <c r="Q737" s="276"/>
      <c r="R737" s="276"/>
      <c r="S737" s="276"/>
      <c r="T737" s="276"/>
      <c r="U737" s="276"/>
      <c r="V737" s="276"/>
      <c r="W737" s="276"/>
      <c r="X737" s="276"/>
    </row>
    <row r="738" ht="15.75" customHeight="1">
      <c r="A738" s="283"/>
      <c r="B738" s="284"/>
      <c r="C738" s="284"/>
      <c r="D738" s="284"/>
      <c r="E738" s="285"/>
      <c r="F738" s="285"/>
      <c r="G738" s="290"/>
      <c r="H738" s="288"/>
      <c r="I738" s="285"/>
      <c r="J738" s="276"/>
      <c r="K738" s="276"/>
      <c r="L738" s="276"/>
      <c r="M738" s="276"/>
      <c r="N738" s="276"/>
      <c r="O738" s="276"/>
      <c r="P738" s="276"/>
      <c r="Q738" s="276"/>
      <c r="R738" s="276"/>
      <c r="S738" s="276"/>
      <c r="T738" s="276"/>
      <c r="U738" s="276"/>
      <c r="V738" s="276"/>
      <c r="W738" s="276"/>
      <c r="X738" s="276"/>
    </row>
    <row r="739" ht="15.75" customHeight="1">
      <c r="A739" s="283"/>
      <c r="B739" s="284"/>
      <c r="C739" s="284"/>
      <c r="D739" s="284"/>
      <c r="E739" s="285"/>
      <c r="F739" s="285"/>
      <c r="G739" s="290"/>
      <c r="H739" s="288"/>
      <c r="I739" s="285"/>
      <c r="J739" s="276"/>
      <c r="K739" s="276"/>
      <c r="L739" s="276"/>
      <c r="M739" s="276"/>
      <c r="N739" s="276"/>
      <c r="O739" s="276"/>
      <c r="P739" s="276"/>
      <c r="Q739" s="276"/>
      <c r="R739" s="276"/>
      <c r="S739" s="276"/>
      <c r="T739" s="276"/>
      <c r="U739" s="276"/>
      <c r="V739" s="276"/>
      <c r="W739" s="276"/>
      <c r="X739" s="276"/>
    </row>
    <row r="740" ht="15.75" customHeight="1">
      <c r="A740" s="283"/>
      <c r="B740" s="284"/>
      <c r="C740" s="284"/>
      <c r="D740" s="284"/>
      <c r="E740" s="285"/>
      <c r="F740" s="285"/>
      <c r="G740" s="290"/>
      <c r="H740" s="288"/>
      <c r="I740" s="285"/>
      <c r="J740" s="276"/>
      <c r="K740" s="276"/>
      <c r="L740" s="276"/>
      <c r="M740" s="276"/>
      <c r="N740" s="276"/>
      <c r="O740" s="276"/>
      <c r="P740" s="276"/>
      <c r="Q740" s="276"/>
      <c r="R740" s="276"/>
      <c r="S740" s="276"/>
      <c r="T740" s="276"/>
      <c r="U740" s="276"/>
      <c r="V740" s="276"/>
      <c r="W740" s="276"/>
      <c r="X740" s="276"/>
    </row>
    <row r="741" ht="15.75" customHeight="1">
      <c r="A741" s="283"/>
      <c r="B741" s="284"/>
      <c r="C741" s="284"/>
      <c r="D741" s="284"/>
      <c r="E741" s="285"/>
      <c r="F741" s="285"/>
      <c r="G741" s="290"/>
      <c r="H741" s="288"/>
      <c r="I741" s="285"/>
      <c r="J741" s="276"/>
      <c r="K741" s="276"/>
      <c r="L741" s="276"/>
      <c r="M741" s="276"/>
      <c r="N741" s="276"/>
      <c r="O741" s="276"/>
      <c r="P741" s="276"/>
      <c r="Q741" s="276"/>
      <c r="R741" s="276"/>
      <c r="S741" s="276"/>
      <c r="T741" s="276"/>
      <c r="U741" s="276"/>
      <c r="V741" s="276"/>
      <c r="W741" s="276"/>
      <c r="X741" s="276"/>
    </row>
    <row r="742" ht="15.75" customHeight="1">
      <c r="A742" s="283"/>
      <c r="B742" s="284"/>
      <c r="C742" s="284"/>
      <c r="D742" s="284"/>
      <c r="E742" s="285"/>
      <c r="F742" s="285"/>
      <c r="G742" s="290"/>
      <c r="H742" s="288"/>
      <c r="I742" s="285"/>
      <c r="J742" s="276"/>
      <c r="K742" s="276"/>
      <c r="L742" s="276"/>
      <c r="M742" s="276"/>
      <c r="N742" s="276"/>
      <c r="O742" s="276"/>
      <c r="P742" s="276"/>
      <c r="Q742" s="276"/>
      <c r="R742" s="276"/>
      <c r="S742" s="276"/>
      <c r="T742" s="276"/>
      <c r="U742" s="276"/>
      <c r="V742" s="276"/>
      <c r="W742" s="276"/>
      <c r="X742" s="276"/>
    </row>
    <row r="743" ht="15.75" customHeight="1">
      <c r="A743" s="283"/>
      <c r="B743" s="284"/>
      <c r="C743" s="284"/>
      <c r="D743" s="284"/>
      <c r="E743" s="285"/>
      <c r="F743" s="285"/>
      <c r="G743" s="290"/>
      <c r="H743" s="288"/>
      <c r="I743" s="285"/>
      <c r="J743" s="276"/>
      <c r="K743" s="276"/>
      <c r="L743" s="276"/>
      <c r="M743" s="276"/>
      <c r="N743" s="276"/>
      <c r="O743" s="276"/>
      <c r="P743" s="276"/>
      <c r="Q743" s="276"/>
      <c r="R743" s="276"/>
      <c r="S743" s="276"/>
      <c r="T743" s="276"/>
      <c r="U743" s="276"/>
      <c r="V743" s="276"/>
      <c r="W743" s="276"/>
      <c r="X743" s="276"/>
    </row>
    <row r="744" ht="15.75" customHeight="1">
      <c r="A744" s="283"/>
      <c r="B744" s="284"/>
      <c r="C744" s="284"/>
      <c r="D744" s="284"/>
      <c r="E744" s="285"/>
      <c r="F744" s="285"/>
      <c r="G744" s="290"/>
      <c r="H744" s="288"/>
      <c r="I744" s="285"/>
      <c r="J744" s="276"/>
      <c r="K744" s="276"/>
      <c r="L744" s="276"/>
      <c r="M744" s="276"/>
      <c r="N744" s="276"/>
      <c r="O744" s="276"/>
      <c r="P744" s="276"/>
      <c r="Q744" s="276"/>
      <c r="R744" s="276"/>
      <c r="S744" s="276"/>
      <c r="T744" s="276"/>
      <c r="U744" s="276"/>
      <c r="V744" s="276"/>
      <c r="W744" s="276"/>
      <c r="X744" s="276"/>
    </row>
    <row r="745" ht="15.75" customHeight="1">
      <c r="A745" s="283"/>
      <c r="B745" s="284"/>
      <c r="C745" s="284"/>
      <c r="D745" s="284"/>
      <c r="E745" s="285"/>
      <c r="F745" s="285"/>
      <c r="G745" s="290"/>
      <c r="H745" s="288"/>
      <c r="I745" s="285"/>
      <c r="J745" s="276"/>
      <c r="K745" s="276"/>
      <c r="L745" s="276"/>
      <c r="M745" s="276"/>
      <c r="N745" s="276"/>
      <c r="O745" s="276"/>
      <c r="P745" s="276"/>
      <c r="Q745" s="276"/>
      <c r="R745" s="276"/>
      <c r="S745" s="276"/>
      <c r="T745" s="276"/>
      <c r="U745" s="276"/>
      <c r="V745" s="276"/>
      <c r="W745" s="276"/>
      <c r="X745" s="276"/>
    </row>
    <row r="746" ht="15.75" customHeight="1">
      <c r="A746" s="283"/>
      <c r="B746" s="284"/>
      <c r="C746" s="284"/>
      <c r="D746" s="284"/>
      <c r="E746" s="285"/>
      <c r="F746" s="285"/>
      <c r="G746" s="290"/>
      <c r="H746" s="288"/>
      <c r="I746" s="285"/>
      <c r="J746" s="276"/>
      <c r="K746" s="276"/>
      <c r="L746" s="276"/>
      <c r="M746" s="276"/>
      <c r="N746" s="276"/>
      <c r="O746" s="276"/>
      <c r="P746" s="276"/>
      <c r="Q746" s="276"/>
      <c r="R746" s="276"/>
      <c r="S746" s="276"/>
      <c r="T746" s="276"/>
      <c r="U746" s="276"/>
      <c r="V746" s="276"/>
      <c r="W746" s="276"/>
      <c r="X746" s="276"/>
    </row>
    <row r="747" ht="15.75" customHeight="1">
      <c r="A747" s="283"/>
      <c r="B747" s="284"/>
      <c r="C747" s="284"/>
      <c r="D747" s="284"/>
      <c r="E747" s="285"/>
      <c r="F747" s="285"/>
      <c r="G747" s="290"/>
      <c r="H747" s="288"/>
      <c r="I747" s="285"/>
      <c r="J747" s="276"/>
      <c r="K747" s="276"/>
      <c r="L747" s="276"/>
      <c r="M747" s="276"/>
      <c r="N747" s="276"/>
      <c r="O747" s="276"/>
      <c r="P747" s="276"/>
      <c r="Q747" s="276"/>
      <c r="R747" s="276"/>
      <c r="S747" s="276"/>
      <c r="T747" s="276"/>
      <c r="U747" s="276"/>
      <c r="V747" s="276"/>
      <c r="W747" s="276"/>
      <c r="X747" s="276"/>
    </row>
    <row r="748" ht="15.75" customHeight="1">
      <c r="A748" s="283"/>
      <c r="B748" s="284"/>
      <c r="C748" s="284"/>
      <c r="D748" s="284"/>
      <c r="E748" s="285"/>
      <c r="F748" s="285"/>
      <c r="G748" s="290"/>
      <c r="H748" s="288"/>
      <c r="I748" s="285"/>
      <c r="J748" s="276"/>
      <c r="K748" s="276"/>
      <c r="L748" s="276"/>
      <c r="M748" s="276"/>
      <c r="N748" s="276"/>
      <c r="O748" s="276"/>
      <c r="P748" s="276"/>
      <c r="Q748" s="276"/>
      <c r="R748" s="276"/>
      <c r="S748" s="276"/>
      <c r="T748" s="276"/>
      <c r="U748" s="276"/>
      <c r="V748" s="276"/>
      <c r="W748" s="276"/>
      <c r="X748" s="276"/>
    </row>
    <row r="749" ht="15.75" customHeight="1">
      <c r="A749" s="283"/>
      <c r="B749" s="284"/>
      <c r="C749" s="284"/>
      <c r="D749" s="284"/>
      <c r="E749" s="285"/>
      <c r="F749" s="285"/>
      <c r="G749" s="290"/>
      <c r="H749" s="288"/>
      <c r="I749" s="285"/>
      <c r="J749" s="276"/>
      <c r="K749" s="276"/>
      <c r="L749" s="276"/>
      <c r="M749" s="276"/>
      <c r="N749" s="276"/>
      <c r="O749" s="276"/>
      <c r="P749" s="276"/>
      <c r="Q749" s="276"/>
      <c r="R749" s="276"/>
      <c r="S749" s="276"/>
      <c r="T749" s="276"/>
      <c r="U749" s="276"/>
      <c r="V749" s="276"/>
      <c r="W749" s="276"/>
      <c r="X749" s="276"/>
    </row>
    <row r="750" ht="15.75" customHeight="1">
      <c r="A750" s="283"/>
      <c r="B750" s="284"/>
      <c r="C750" s="284"/>
      <c r="D750" s="284"/>
      <c r="E750" s="285"/>
      <c r="F750" s="285"/>
      <c r="G750" s="290"/>
      <c r="H750" s="288"/>
      <c r="I750" s="285"/>
      <c r="J750" s="276"/>
      <c r="K750" s="276"/>
      <c r="L750" s="276"/>
      <c r="M750" s="276"/>
      <c r="N750" s="276"/>
      <c r="O750" s="276"/>
      <c r="P750" s="276"/>
      <c r="Q750" s="276"/>
      <c r="R750" s="276"/>
      <c r="S750" s="276"/>
      <c r="T750" s="276"/>
      <c r="U750" s="276"/>
      <c r="V750" s="276"/>
      <c r="W750" s="276"/>
      <c r="X750" s="276"/>
    </row>
    <row r="751" ht="15.75" customHeight="1">
      <c r="A751" s="283"/>
      <c r="B751" s="284"/>
      <c r="C751" s="284"/>
      <c r="D751" s="284"/>
      <c r="E751" s="285"/>
      <c r="F751" s="285"/>
      <c r="G751" s="290"/>
      <c r="H751" s="288"/>
      <c r="I751" s="285"/>
      <c r="J751" s="276"/>
      <c r="K751" s="276"/>
      <c r="L751" s="276"/>
      <c r="M751" s="276"/>
      <c r="N751" s="276"/>
      <c r="O751" s="276"/>
      <c r="P751" s="276"/>
      <c r="Q751" s="276"/>
      <c r="R751" s="276"/>
      <c r="S751" s="276"/>
      <c r="T751" s="276"/>
      <c r="U751" s="276"/>
      <c r="V751" s="276"/>
      <c r="W751" s="276"/>
      <c r="X751" s="276"/>
    </row>
    <row r="752" ht="15.75" customHeight="1">
      <c r="A752" s="283"/>
      <c r="B752" s="284"/>
      <c r="C752" s="284"/>
      <c r="D752" s="284"/>
      <c r="E752" s="285"/>
      <c r="F752" s="285"/>
      <c r="G752" s="290"/>
      <c r="H752" s="288"/>
      <c r="I752" s="285"/>
      <c r="J752" s="276"/>
      <c r="K752" s="276"/>
      <c r="L752" s="276"/>
      <c r="M752" s="276"/>
      <c r="N752" s="276"/>
      <c r="O752" s="276"/>
      <c r="P752" s="276"/>
      <c r="Q752" s="276"/>
      <c r="R752" s="276"/>
      <c r="S752" s="276"/>
      <c r="T752" s="276"/>
      <c r="U752" s="276"/>
      <c r="V752" s="276"/>
      <c r="W752" s="276"/>
      <c r="X752" s="276"/>
    </row>
    <row r="753" ht="15.75" customHeight="1">
      <c r="A753" s="283"/>
      <c r="B753" s="284"/>
      <c r="C753" s="284"/>
      <c r="D753" s="284"/>
      <c r="E753" s="285"/>
      <c r="F753" s="285"/>
      <c r="G753" s="290"/>
      <c r="H753" s="288"/>
      <c r="I753" s="285"/>
      <c r="J753" s="276"/>
      <c r="K753" s="276"/>
      <c r="L753" s="276"/>
      <c r="M753" s="276"/>
      <c r="N753" s="276"/>
      <c r="O753" s="276"/>
      <c r="P753" s="276"/>
      <c r="Q753" s="276"/>
      <c r="R753" s="276"/>
      <c r="S753" s="276"/>
      <c r="T753" s="276"/>
      <c r="U753" s="276"/>
      <c r="V753" s="276"/>
      <c r="W753" s="276"/>
      <c r="X753" s="276"/>
    </row>
    <row r="754" ht="15.75" customHeight="1">
      <c r="A754" s="283"/>
      <c r="B754" s="284"/>
      <c r="C754" s="284"/>
      <c r="D754" s="284"/>
      <c r="E754" s="285"/>
      <c r="F754" s="285"/>
      <c r="G754" s="290"/>
      <c r="H754" s="288"/>
      <c r="I754" s="285"/>
      <c r="J754" s="276"/>
      <c r="K754" s="276"/>
      <c r="L754" s="276"/>
      <c r="M754" s="276"/>
      <c r="N754" s="276"/>
      <c r="O754" s="276"/>
      <c r="P754" s="276"/>
      <c r="Q754" s="276"/>
      <c r="R754" s="276"/>
      <c r="S754" s="276"/>
      <c r="T754" s="276"/>
      <c r="U754" s="276"/>
      <c r="V754" s="276"/>
      <c r="W754" s="276"/>
      <c r="X754" s="276"/>
    </row>
    <row r="755" ht="15.75" customHeight="1">
      <c r="A755" s="283"/>
      <c r="B755" s="284"/>
      <c r="C755" s="284"/>
      <c r="D755" s="284"/>
      <c r="E755" s="285"/>
      <c r="F755" s="285"/>
      <c r="G755" s="290"/>
      <c r="H755" s="288"/>
      <c r="I755" s="285"/>
      <c r="J755" s="276"/>
      <c r="K755" s="276"/>
      <c r="L755" s="276"/>
      <c r="M755" s="276"/>
      <c r="N755" s="276"/>
      <c r="O755" s="276"/>
      <c r="P755" s="276"/>
      <c r="Q755" s="276"/>
      <c r="R755" s="276"/>
      <c r="S755" s="276"/>
      <c r="T755" s="276"/>
      <c r="U755" s="276"/>
      <c r="V755" s="276"/>
      <c r="W755" s="276"/>
      <c r="X755" s="276"/>
    </row>
    <row r="756" ht="15.75" customHeight="1">
      <c r="A756" s="283"/>
      <c r="B756" s="284"/>
      <c r="C756" s="284"/>
      <c r="D756" s="284"/>
      <c r="E756" s="285"/>
      <c r="F756" s="285"/>
      <c r="G756" s="290"/>
      <c r="H756" s="288"/>
      <c r="I756" s="285"/>
      <c r="J756" s="276"/>
      <c r="K756" s="276"/>
      <c r="L756" s="276"/>
      <c r="M756" s="276"/>
      <c r="N756" s="276"/>
      <c r="O756" s="276"/>
      <c r="P756" s="276"/>
      <c r="Q756" s="276"/>
      <c r="R756" s="276"/>
      <c r="S756" s="276"/>
      <c r="T756" s="276"/>
      <c r="U756" s="276"/>
      <c r="V756" s="276"/>
      <c r="W756" s="276"/>
      <c r="X756" s="276"/>
    </row>
    <row r="757" ht="15.75" customHeight="1">
      <c r="A757" s="283"/>
      <c r="B757" s="284"/>
      <c r="C757" s="284"/>
      <c r="D757" s="284"/>
      <c r="E757" s="285"/>
      <c r="F757" s="285"/>
      <c r="G757" s="290"/>
      <c r="H757" s="288"/>
      <c r="I757" s="285"/>
      <c r="J757" s="276"/>
      <c r="K757" s="276"/>
      <c r="L757" s="276"/>
      <c r="M757" s="276"/>
      <c r="N757" s="276"/>
      <c r="O757" s="276"/>
      <c r="P757" s="276"/>
      <c r="Q757" s="276"/>
      <c r="R757" s="276"/>
      <c r="S757" s="276"/>
      <c r="T757" s="276"/>
      <c r="U757" s="276"/>
      <c r="V757" s="276"/>
      <c r="W757" s="276"/>
      <c r="X757" s="276"/>
    </row>
    <row r="758" ht="15.75" customHeight="1">
      <c r="A758" s="283"/>
      <c r="B758" s="284"/>
      <c r="C758" s="284"/>
      <c r="D758" s="284"/>
      <c r="E758" s="285"/>
      <c r="F758" s="285"/>
      <c r="G758" s="290"/>
      <c r="H758" s="288"/>
      <c r="I758" s="285"/>
      <c r="J758" s="276"/>
      <c r="K758" s="276"/>
      <c r="L758" s="276"/>
      <c r="M758" s="276"/>
      <c r="N758" s="276"/>
      <c r="O758" s="276"/>
      <c r="P758" s="276"/>
      <c r="Q758" s="276"/>
      <c r="R758" s="276"/>
      <c r="S758" s="276"/>
      <c r="T758" s="276"/>
      <c r="U758" s="276"/>
      <c r="V758" s="276"/>
      <c r="W758" s="276"/>
      <c r="X758" s="276"/>
    </row>
    <row r="759" ht="15.75" customHeight="1">
      <c r="A759" s="283"/>
      <c r="B759" s="284"/>
      <c r="C759" s="284"/>
      <c r="D759" s="284"/>
      <c r="E759" s="285"/>
      <c r="F759" s="285"/>
      <c r="G759" s="290"/>
      <c r="H759" s="288"/>
      <c r="I759" s="285"/>
      <c r="J759" s="276"/>
      <c r="K759" s="276"/>
      <c r="L759" s="276"/>
      <c r="M759" s="276"/>
      <c r="N759" s="276"/>
      <c r="O759" s="276"/>
      <c r="P759" s="276"/>
      <c r="Q759" s="276"/>
      <c r="R759" s="276"/>
      <c r="S759" s="276"/>
      <c r="T759" s="276"/>
      <c r="U759" s="276"/>
      <c r="V759" s="276"/>
      <c r="W759" s="276"/>
      <c r="X759" s="276"/>
    </row>
    <row r="760" ht="15.75" customHeight="1">
      <c r="A760" s="283"/>
      <c r="B760" s="284"/>
      <c r="C760" s="284"/>
      <c r="D760" s="284"/>
      <c r="E760" s="285"/>
      <c r="F760" s="285"/>
      <c r="G760" s="290"/>
      <c r="H760" s="288"/>
      <c r="I760" s="285"/>
      <c r="J760" s="276"/>
      <c r="K760" s="276"/>
      <c r="L760" s="276"/>
      <c r="M760" s="276"/>
      <c r="N760" s="276"/>
      <c r="O760" s="276"/>
      <c r="P760" s="276"/>
      <c r="Q760" s="276"/>
      <c r="R760" s="276"/>
      <c r="S760" s="276"/>
      <c r="T760" s="276"/>
      <c r="U760" s="276"/>
      <c r="V760" s="276"/>
      <c r="W760" s="276"/>
      <c r="X760" s="276"/>
    </row>
    <row r="761" ht="15.75" customHeight="1">
      <c r="A761" s="283"/>
      <c r="B761" s="284"/>
      <c r="C761" s="284"/>
      <c r="D761" s="284"/>
      <c r="E761" s="285"/>
      <c r="F761" s="285"/>
      <c r="G761" s="290"/>
      <c r="H761" s="288"/>
      <c r="I761" s="285"/>
      <c r="J761" s="276"/>
      <c r="K761" s="276"/>
      <c r="L761" s="276"/>
      <c r="M761" s="276"/>
      <c r="N761" s="276"/>
      <c r="O761" s="276"/>
      <c r="P761" s="276"/>
      <c r="Q761" s="276"/>
      <c r="R761" s="276"/>
      <c r="S761" s="276"/>
      <c r="T761" s="276"/>
      <c r="U761" s="276"/>
      <c r="V761" s="276"/>
      <c r="W761" s="276"/>
      <c r="X761" s="276"/>
    </row>
    <row r="762" ht="15.75" customHeight="1">
      <c r="A762" s="283"/>
      <c r="B762" s="284"/>
      <c r="C762" s="284"/>
      <c r="D762" s="284"/>
      <c r="E762" s="285"/>
      <c r="F762" s="285"/>
      <c r="G762" s="290"/>
      <c r="H762" s="288"/>
      <c r="I762" s="285"/>
      <c r="J762" s="276"/>
      <c r="K762" s="276"/>
      <c r="L762" s="276"/>
      <c r="M762" s="276"/>
      <c r="N762" s="276"/>
      <c r="O762" s="276"/>
      <c r="P762" s="276"/>
      <c r="Q762" s="276"/>
      <c r="R762" s="276"/>
      <c r="S762" s="276"/>
      <c r="T762" s="276"/>
      <c r="U762" s="276"/>
      <c r="V762" s="276"/>
      <c r="W762" s="276"/>
      <c r="X762" s="276"/>
    </row>
    <row r="763" ht="15.75" customHeight="1">
      <c r="A763" s="283"/>
      <c r="B763" s="284"/>
      <c r="C763" s="284"/>
      <c r="D763" s="284"/>
      <c r="E763" s="285"/>
      <c r="F763" s="285"/>
      <c r="G763" s="290"/>
      <c r="H763" s="288"/>
      <c r="I763" s="285"/>
      <c r="J763" s="276"/>
      <c r="K763" s="276"/>
      <c r="L763" s="276"/>
      <c r="M763" s="276"/>
      <c r="N763" s="276"/>
      <c r="O763" s="276"/>
      <c r="P763" s="276"/>
      <c r="Q763" s="276"/>
      <c r="R763" s="276"/>
      <c r="S763" s="276"/>
      <c r="T763" s="276"/>
      <c r="U763" s="276"/>
      <c r="V763" s="276"/>
      <c r="W763" s="276"/>
      <c r="X763" s="276"/>
    </row>
    <row r="764" ht="15.75" customHeight="1">
      <c r="A764" s="283"/>
      <c r="B764" s="284"/>
      <c r="C764" s="284"/>
      <c r="D764" s="284"/>
      <c r="E764" s="285"/>
      <c r="F764" s="285"/>
      <c r="G764" s="290"/>
      <c r="H764" s="288"/>
      <c r="I764" s="285"/>
      <c r="J764" s="276"/>
      <c r="K764" s="276"/>
      <c r="L764" s="276"/>
      <c r="M764" s="276"/>
      <c r="N764" s="276"/>
      <c r="O764" s="276"/>
      <c r="P764" s="276"/>
      <c r="Q764" s="276"/>
      <c r="R764" s="276"/>
      <c r="S764" s="276"/>
      <c r="T764" s="276"/>
      <c r="U764" s="276"/>
      <c r="V764" s="276"/>
      <c r="W764" s="276"/>
      <c r="X764" s="276"/>
    </row>
    <row r="765" ht="15.75" customHeight="1">
      <c r="A765" s="283"/>
      <c r="B765" s="284"/>
      <c r="C765" s="284"/>
      <c r="D765" s="284"/>
      <c r="E765" s="285"/>
      <c r="F765" s="285"/>
      <c r="G765" s="290"/>
      <c r="H765" s="288"/>
      <c r="I765" s="285"/>
      <c r="J765" s="276"/>
      <c r="K765" s="276"/>
      <c r="L765" s="276"/>
      <c r="M765" s="276"/>
      <c r="N765" s="276"/>
      <c r="O765" s="276"/>
      <c r="P765" s="276"/>
      <c r="Q765" s="276"/>
      <c r="R765" s="276"/>
      <c r="S765" s="276"/>
      <c r="T765" s="276"/>
      <c r="U765" s="276"/>
      <c r="V765" s="276"/>
      <c r="W765" s="276"/>
      <c r="X765" s="276"/>
    </row>
    <row r="766" ht="15.75" customHeight="1">
      <c r="A766" s="283"/>
      <c r="B766" s="284"/>
      <c r="C766" s="284"/>
      <c r="D766" s="284"/>
      <c r="E766" s="285"/>
      <c r="F766" s="285"/>
      <c r="G766" s="290"/>
      <c r="H766" s="288"/>
      <c r="I766" s="285"/>
      <c r="J766" s="276"/>
      <c r="K766" s="276"/>
      <c r="L766" s="276"/>
      <c r="M766" s="276"/>
      <c r="N766" s="276"/>
      <c r="O766" s="276"/>
      <c r="P766" s="276"/>
      <c r="Q766" s="276"/>
      <c r="R766" s="276"/>
      <c r="S766" s="276"/>
      <c r="T766" s="276"/>
      <c r="U766" s="276"/>
      <c r="V766" s="276"/>
      <c r="W766" s="276"/>
      <c r="X766" s="276"/>
    </row>
    <row r="767" ht="15.75" customHeight="1">
      <c r="A767" s="283"/>
      <c r="B767" s="284"/>
      <c r="C767" s="284"/>
      <c r="D767" s="284"/>
      <c r="E767" s="285"/>
      <c r="F767" s="285"/>
      <c r="G767" s="290"/>
      <c r="H767" s="288"/>
      <c r="I767" s="285"/>
      <c r="J767" s="276"/>
      <c r="K767" s="276"/>
      <c r="L767" s="276"/>
      <c r="M767" s="276"/>
      <c r="N767" s="276"/>
      <c r="O767" s="276"/>
      <c r="P767" s="276"/>
      <c r="Q767" s="276"/>
      <c r="R767" s="276"/>
      <c r="S767" s="276"/>
      <c r="T767" s="276"/>
      <c r="U767" s="276"/>
      <c r="V767" s="276"/>
      <c r="W767" s="276"/>
      <c r="X767" s="276"/>
    </row>
    <row r="768" ht="15.75" customHeight="1">
      <c r="A768" s="283"/>
      <c r="B768" s="284"/>
      <c r="C768" s="284"/>
      <c r="D768" s="284"/>
      <c r="E768" s="285"/>
      <c r="F768" s="285"/>
      <c r="G768" s="290"/>
      <c r="H768" s="288"/>
      <c r="I768" s="285"/>
      <c r="J768" s="276"/>
      <c r="K768" s="276"/>
      <c r="L768" s="276"/>
      <c r="M768" s="276"/>
      <c r="N768" s="276"/>
      <c r="O768" s="276"/>
      <c r="P768" s="276"/>
      <c r="Q768" s="276"/>
      <c r="R768" s="276"/>
      <c r="S768" s="276"/>
      <c r="T768" s="276"/>
      <c r="U768" s="276"/>
      <c r="V768" s="276"/>
      <c r="W768" s="276"/>
      <c r="X768" s="276"/>
    </row>
    <row r="769" ht="15.75" customHeight="1">
      <c r="A769" s="283"/>
      <c r="B769" s="284"/>
      <c r="C769" s="284"/>
      <c r="D769" s="284"/>
      <c r="E769" s="285"/>
      <c r="F769" s="285"/>
      <c r="G769" s="290"/>
      <c r="H769" s="288"/>
      <c r="I769" s="285"/>
      <c r="J769" s="276"/>
      <c r="K769" s="276"/>
      <c r="L769" s="276"/>
      <c r="M769" s="276"/>
      <c r="N769" s="276"/>
      <c r="O769" s="276"/>
      <c r="P769" s="276"/>
      <c r="Q769" s="276"/>
      <c r="R769" s="276"/>
      <c r="S769" s="276"/>
      <c r="T769" s="276"/>
      <c r="U769" s="276"/>
      <c r="V769" s="276"/>
      <c r="W769" s="276"/>
      <c r="X769" s="276"/>
    </row>
    <row r="770" ht="15.75" customHeight="1">
      <c r="A770" s="283"/>
      <c r="B770" s="284"/>
      <c r="C770" s="284"/>
      <c r="D770" s="284"/>
      <c r="E770" s="285"/>
      <c r="F770" s="285"/>
      <c r="G770" s="290"/>
      <c r="H770" s="288"/>
      <c r="I770" s="285"/>
      <c r="J770" s="276"/>
      <c r="K770" s="276"/>
      <c r="L770" s="276"/>
      <c r="M770" s="276"/>
      <c r="N770" s="276"/>
      <c r="O770" s="276"/>
      <c r="P770" s="276"/>
      <c r="Q770" s="276"/>
      <c r="R770" s="276"/>
      <c r="S770" s="276"/>
      <c r="T770" s="276"/>
      <c r="U770" s="276"/>
      <c r="V770" s="276"/>
      <c r="W770" s="276"/>
      <c r="X770" s="276"/>
    </row>
    <row r="771" ht="15.75" customHeight="1">
      <c r="A771" s="283"/>
      <c r="B771" s="284"/>
      <c r="C771" s="284"/>
      <c r="D771" s="284"/>
      <c r="E771" s="285"/>
      <c r="F771" s="285"/>
      <c r="G771" s="290"/>
      <c r="H771" s="288"/>
      <c r="I771" s="285"/>
      <c r="J771" s="276"/>
      <c r="K771" s="276"/>
      <c r="L771" s="276"/>
      <c r="M771" s="276"/>
      <c r="N771" s="276"/>
      <c r="O771" s="276"/>
      <c r="P771" s="276"/>
      <c r="Q771" s="276"/>
      <c r="R771" s="276"/>
      <c r="S771" s="276"/>
      <c r="T771" s="276"/>
      <c r="U771" s="276"/>
      <c r="V771" s="276"/>
      <c r="W771" s="276"/>
      <c r="X771" s="276"/>
    </row>
    <row r="772" ht="15.75" customHeight="1">
      <c r="A772" s="283"/>
      <c r="B772" s="284"/>
      <c r="C772" s="284"/>
      <c r="D772" s="284"/>
      <c r="E772" s="285"/>
      <c r="F772" s="285"/>
      <c r="G772" s="290"/>
      <c r="H772" s="288"/>
      <c r="I772" s="285"/>
      <c r="J772" s="276"/>
      <c r="K772" s="276"/>
      <c r="L772" s="276"/>
      <c r="M772" s="276"/>
      <c r="N772" s="276"/>
      <c r="O772" s="276"/>
      <c r="P772" s="276"/>
      <c r="Q772" s="276"/>
      <c r="R772" s="276"/>
      <c r="S772" s="276"/>
      <c r="T772" s="276"/>
      <c r="U772" s="276"/>
      <c r="V772" s="276"/>
      <c r="W772" s="276"/>
      <c r="X772" s="276"/>
    </row>
    <row r="773" ht="15.75" customHeight="1">
      <c r="A773" s="283"/>
      <c r="B773" s="284"/>
      <c r="C773" s="284"/>
      <c r="D773" s="284"/>
      <c r="E773" s="285"/>
      <c r="F773" s="285"/>
      <c r="G773" s="290"/>
      <c r="H773" s="288"/>
      <c r="I773" s="285"/>
      <c r="J773" s="276"/>
      <c r="K773" s="276"/>
      <c r="L773" s="276"/>
      <c r="M773" s="276"/>
      <c r="N773" s="276"/>
      <c r="O773" s="276"/>
      <c r="P773" s="276"/>
      <c r="Q773" s="276"/>
      <c r="R773" s="276"/>
      <c r="S773" s="276"/>
      <c r="T773" s="276"/>
      <c r="U773" s="276"/>
      <c r="V773" s="276"/>
      <c r="W773" s="276"/>
      <c r="X773" s="276"/>
    </row>
    <row r="774" ht="15.75" customHeight="1">
      <c r="A774" s="283"/>
      <c r="B774" s="284"/>
      <c r="C774" s="284"/>
      <c r="D774" s="284"/>
      <c r="E774" s="285"/>
      <c r="F774" s="285"/>
      <c r="G774" s="290"/>
      <c r="H774" s="288"/>
      <c r="I774" s="285"/>
      <c r="J774" s="276"/>
      <c r="K774" s="276"/>
      <c r="L774" s="276"/>
      <c r="M774" s="276"/>
      <c r="N774" s="276"/>
      <c r="O774" s="276"/>
      <c r="P774" s="276"/>
      <c r="Q774" s="276"/>
      <c r="R774" s="276"/>
      <c r="S774" s="276"/>
      <c r="T774" s="276"/>
      <c r="U774" s="276"/>
      <c r="V774" s="276"/>
      <c r="W774" s="276"/>
      <c r="X774" s="276"/>
    </row>
    <row r="775" ht="15.75" customHeight="1">
      <c r="A775" s="283"/>
      <c r="B775" s="284"/>
      <c r="C775" s="284"/>
      <c r="D775" s="284"/>
      <c r="E775" s="285"/>
      <c r="F775" s="285"/>
      <c r="G775" s="290"/>
      <c r="H775" s="288"/>
      <c r="I775" s="285"/>
      <c r="J775" s="276"/>
      <c r="K775" s="276"/>
      <c r="L775" s="276"/>
      <c r="M775" s="276"/>
      <c r="N775" s="276"/>
      <c r="O775" s="276"/>
      <c r="P775" s="276"/>
      <c r="Q775" s="276"/>
      <c r="R775" s="276"/>
      <c r="S775" s="276"/>
      <c r="T775" s="276"/>
      <c r="U775" s="276"/>
      <c r="V775" s="276"/>
      <c r="W775" s="276"/>
      <c r="X775" s="276"/>
    </row>
    <row r="776" ht="15.75" customHeight="1">
      <c r="A776" s="283"/>
      <c r="B776" s="284"/>
      <c r="C776" s="284"/>
      <c r="D776" s="284"/>
      <c r="E776" s="285"/>
      <c r="F776" s="285"/>
      <c r="G776" s="290"/>
      <c r="H776" s="288"/>
      <c r="I776" s="285"/>
      <c r="J776" s="276"/>
      <c r="K776" s="276"/>
      <c r="L776" s="276"/>
      <c r="M776" s="276"/>
      <c r="N776" s="276"/>
      <c r="O776" s="276"/>
      <c r="P776" s="276"/>
      <c r="Q776" s="276"/>
      <c r="R776" s="276"/>
      <c r="S776" s="276"/>
      <c r="T776" s="276"/>
      <c r="U776" s="276"/>
      <c r="V776" s="276"/>
      <c r="W776" s="276"/>
      <c r="X776" s="276"/>
    </row>
    <row r="777" ht="15.75" customHeight="1">
      <c r="A777" s="283"/>
      <c r="B777" s="284"/>
      <c r="C777" s="284"/>
      <c r="D777" s="284"/>
      <c r="E777" s="285"/>
      <c r="F777" s="285"/>
      <c r="G777" s="290"/>
      <c r="H777" s="288"/>
      <c r="I777" s="285"/>
      <c r="J777" s="276"/>
      <c r="K777" s="276"/>
      <c r="L777" s="276"/>
      <c r="M777" s="276"/>
      <c r="N777" s="276"/>
      <c r="O777" s="276"/>
      <c r="P777" s="276"/>
      <c r="Q777" s="276"/>
      <c r="R777" s="276"/>
      <c r="S777" s="276"/>
      <c r="T777" s="276"/>
      <c r="U777" s="276"/>
      <c r="V777" s="276"/>
      <c r="W777" s="276"/>
      <c r="X777" s="276"/>
    </row>
    <row r="778" ht="15.75" customHeight="1">
      <c r="A778" s="283"/>
      <c r="B778" s="284"/>
      <c r="C778" s="284"/>
      <c r="D778" s="284"/>
      <c r="E778" s="285"/>
      <c r="F778" s="285"/>
      <c r="G778" s="290"/>
      <c r="H778" s="288"/>
      <c r="I778" s="285"/>
      <c r="J778" s="276"/>
      <c r="K778" s="276"/>
      <c r="L778" s="276"/>
      <c r="M778" s="276"/>
      <c r="N778" s="276"/>
      <c r="O778" s="276"/>
      <c r="P778" s="276"/>
      <c r="Q778" s="276"/>
      <c r="R778" s="276"/>
      <c r="S778" s="276"/>
      <c r="T778" s="276"/>
      <c r="U778" s="276"/>
      <c r="V778" s="276"/>
      <c r="W778" s="276"/>
      <c r="X778" s="276"/>
    </row>
    <row r="779" ht="15.75" customHeight="1">
      <c r="A779" s="283"/>
      <c r="B779" s="284"/>
      <c r="C779" s="284"/>
      <c r="D779" s="284"/>
      <c r="E779" s="285"/>
      <c r="F779" s="285"/>
      <c r="G779" s="290"/>
      <c r="H779" s="288"/>
      <c r="I779" s="285"/>
      <c r="J779" s="276"/>
      <c r="K779" s="276"/>
      <c r="L779" s="276"/>
      <c r="M779" s="276"/>
      <c r="N779" s="276"/>
      <c r="O779" s="276"/>
      <c r="P779" s="276"/>
      <c r="Q779" s="276"/>
      <c r="R779" s="276"/>
      <c r="S779" s="276"/>
      <c r="T779" s="276"/>
      <c r="U779" s="276"/>
      <c r="V779" s="276"/>
      <c r="W779" s="276"/>
      <c r="X779" s="276"/>
    </row>
    <row r="780" ht="15.75" customHeight="1">
      <c r="A780" s="283"/>
      <c r="B780" s="284"/>
      <c r="C780" s="284"/>
      <c r="D780" s="284"/>
      <c r="E780" s="285"/>
      <c r="F780" s="285"/>
      <c r="G780" s="290"/>
      <c r="H780" s="288"/>
      <c r="I780" s="285"/>
      <c r="J780" s="276"/>
      <c r="K780" s="276"/>
      <c r="L780" s="276"/>
      <c r="M780" s="276"/>
      <c r="N780" s="276"/>
      <c r="O780" s="276"/>
      <c r="P780" s="276"/>
      <c r="Q780" s="276"/>
      <c r="R780" s="276"/>
      <c r="S780" s="276"/>
      <c r="T780" s="276"/>
      <c r="U780" s="276"/>
      <c r="V780" s="276"/>
      <c r="W780" s="276"/>
      <c r="X780" s="276"/>
    </row>
    <row r="781" ht="15.75" customHeight="1">
      <c r="A781" s="283"/>
      <c r="B781" s="284"/>
      <c r="C781" s="284"/>
      <c r="D781" s="284"/>
      <c r="E781" s="285"/>
      <c r="F781" s="285"/>
      <c r="G781" s="290"/>
      <c r="H781" s="288"/>
      <c r="I781" s="285"/>
      <c r="J781" s="276"/>
      <c r="K781" s="276"/>
      <c r="L781" s="276"/>
      <c r="M781" s="276"/>
      <c r="N781" s="276"/>
      <c r="O781" s="276"/>
      <c r="P781" s="276"/>
      <c r="Q781" s="276"/>
      <c r="R781" s="276"/>
      <c r="S781" s="276"/>
      <c r="T781" s="276"/>
      <c r="U781" s="276"/>
      <c r="V781" s="276"/>
      <c r="W781" s="276"/>
      <c r="X781" s="276"/>
    </row>
    <row r="782" ht="15.75" customHeight="1">
      <c r="A782" s="283"/>
      <c r="B782" s="284"/>
      <c r="C782" s="284"/>
      <c r="D782" s="284"/>
      <c r="E782" s="285"/>
      <c r="F782" s="285"/>
      <c r="G782" s="290"/>
      <c r="H782" s="288"/>
      <c r="I782" s="285"/>
      <c r="J782" s="276"/>
      <c r="K782" s="276"/>
      <c r="L782" s="276"/>
      <c r="M782" s="276"/>
      <c r="N782" s="276"/>
      <c r="O782" s="276"/>
      <c r="P782" s="276"/>
      <c r="Q782" s="276"/>
      <c r="R782" s="276"/>
      <c r="S782" s="276"/>
      <c r="T782" s="276"/>
      <c r="U782" s="276"/>
      <c r="V782" s="276"/>
      <c r="W782" s="276"/>
      <c r="X782" s="276"/>
    </row>
    <row r="783" ht="15.75" customHeight="1">
      <c r="A783" s="283"/>
      <c r="B783" s="284"/>
      <c r="C783" s="284"/>
      <c r="D783" s="284"/>
      <c r="E783" s="285"/>
      <c r="F783" s="285"/>
      <c r="G783" s="290"/>
      <c r="H783" s="288"/>
      <c r="I783" s="285"/>
      <c r="J783" s="276"/>
      <c r="K783" s="276"/>
      <c r="L783" s="276"/>
      <c r="M783" s="276"/>
      <c r="N783" s="276"/>
      <c r="O783" s="276"/>
      <c r="P783" s="276"/>
      <c r="Q783" s="276"/>
      <c r="R783" s="276"/>
      <c r="S783" s="276"/>
      <c r="T783" s="276"/>
      <c r="U783" s="276"/>
      <c r="V783" s="276"/>
      <c r="W783" s="276"/>
      <c r="X783" s="276"/>
    </row>
    <row r="784" ht="15.75" customHeight="1">
      <c r="A784" s="283"/>
      <c r="B784" s="284"/>
      <c r="C784" s="284"/>
      <c r="D784" s="284"/>
      <c r="E784" s="285"/>
      <c r="F784" s="285"/>
      <c r="G784" s="290"/>
      <c r="H784" s="288"/>
      <c r="I784" s="285"/>
      <c r="J784" s="276"/>
      <c r="K784" s="276"/>
      <c r="L784" s="276"/>
      <c r="M784" s="276"/>
      <c r="N784" s="276"/>
      <c r="O784" s="276"/>
      <c r="P784" s="276"/>
      <c r="Q784" s="276"/>
      <c r="R784" s="276"/>
      <c r="S784" s="276"/>
      <c r="T784" s="276"/>
      <c r="U784" s="276"/>
      <c r="V784" s="276"/>
      <c r="W784" s="276"/>
      <c r="X784" s="276"/>
    </row>
    <row r="785" ht="15.75" customHeight="1">
      <c r="A785" s="283"/>
      <c r="B785" s="284"/>
      <c r="C785" s="284"/>
      <c r="D785" s="284"/>
      <c r="E785" s="285"/>
      <c r="F785" s="285"/>
      <c r="G785" s="290"/>
      <c r="H785" s="288"/>
      <c r="I785" s="285"/>
      <c r="J785" s="276"/>
      <c r="K785" s="276"/>
      <c r="L785" s="276"/>
      <c r="M785" s="276"/>
      <c r="N785" s="276"/>
      <c r="O785" s="276"/>
      <c r="P785" s="276"/>
      <c r="Q785" s="276"/>
      <c r="R785" s="276"/>
      <c r="S785" s="276"/>
      <c r="T785" s="276"/>
      <c r="U785" s="276"/>
      <c r="V785" s="276"/>
      <c r="W785" s="276"/>
      <c r="X785" s="276"/>
    </row>
    <row r="786" ht="15.75" customHeight="1">
      <c r="A786" s="283"/>
      <c r="B786" s="284"/>
      <c r="C786" s="284"/>
      <c r="D786" s="284"/>
      <c r="E786" s="285"/>
      <c r="F786" s="285"/>
      <c r="G786" s="290"/>
      <c r="H786" s="288"/>
      <c r="I786" s="285"/>
      <c r="J786" s="276"/>
      <c r="K786" s="276"/>
      <c r="L786" s="276"/>
      <c r="M786" s="276"/>
      <c r="N786" s="276"/>
      <c r="O786" s="276"/>
      <c r="P786" s="276"/>
      <c r="Q786" s="276"/>
      <c r="R786" s="276"/>
      <c r="S786" s="276"/>
      <c r="T786" s="276"/>
      <c r="U786" s="276"/>
      <c r="V786" s="276"/>
      <c r="W786" s="276"/>
      <c r="X786" s="276"/>
    </row>
    <row r="787" ht="15.75" customHeight="1">
      <c r="A787" s="283"/>
      <c r="B787" s="284"/>
      <c r="C787" s="284"/>
      <c r="D787" s="284"/>
      <c r="E787" s="285"/>
      <c r="F787" s="285"/>
      <c r="G787" s="290"/>
      <c r="H787" s="288"/>
      <c r="I787" s="285"/>
      <c r="J787" s="276"/>
      <c r="K787" s="276"/>
      <c r="L787" s="276"/>
      <c r="M787" s="276"/>
      <c r="N787" s="276"/>
      <c r="O787" s="276"/>
      <c r="P787" s="276"/>
      <c r="Q787" s="276"/>
      <c r="R787" s="276"/>
      <c r="S787" s="276"/>
      <c r="T787" s="276"/>
      <c r="U787" s="276"/>
      <c r="V787" s="276"/>
      <c r="W787" s="276"/>
      <c r="X787" s="276"/>
    </row>
    <row r="788" ht="15.75" customHeight="1">
      <c r="A788" s="283"/>
      <c r="B788" s="284"/>
      <c r="C788" s="284"/>
      <c r="D788" s="284"/>
      <c r="E788" s="285"/>
      <c r="F788" s="285"/>
      <c r="G788" s="290"/>
      <c r="H788" s="288"/>
      <c r="I788" s="285"/>
      <c r="J788" s="276"/>
      <c r="K788" s="276"/>
      <c r="L788" s="276"/>
      <c r="M788" s="276"/>
      <c r="N788" s="276"/>
      <c r="O788" s="276"/>
      <c r="P788" s="276"/>
      <c r="Q788" s="276"/>
      <c r="R788" s="276"/>
      <c r="S788" s="276"/>
      <c r="T788" s="276"/>
      <c r="U788" s="276"/>
      <c r="V788" s="276"/>
      <c r="W788" s="276"/>
      <c r="X788" s="276"/>
    </row>
    <row r="789" ht="15.75" customHeight="1">
      <c r="A789" s="283"/>
      <c r="B789" s="284"/>
      <c r="C789" s="284"/>
      <c r="D789" s="284"/>
      <c r="E789" s="285"/>
      <c r="F789" s="285"/>
      <c r="G789" s="290"/>
      <c r="H789" s="288"/>
      <c r="I789" s="285"/>
      <c r="J789" s="276"/>
      <c r="K789" s="276"/>
      <c r="L789" s="276"/>
      <c r="M789" s="276"/>
      <c r="N789" s="276"/>
      <c r="O789" s="276"/>
      <c r="P789" s="276"/>
      <c r="Q789" s="276"/>
      <c r="R789" s="276"/>
      <c r="S789" s="276"/>
      <c r="T789" s="276"/>
      <c r="U789" s="276"/>
      <c r="V789" s="276"/>
      <c r="W789" s="276"/>
      <c r="X789" s="276"/>
    </row>
    <row r="790" ht="15.75" customHeight="1">
      <c r="A790" s="283"/>
      <c r="B790" s="284"/>
      <c r="C790" s="284"/>
      <c r="D790" s="284"/>
      <c r="E790" s="285"/>
      <c r="F790" s="285"/>
      <c r="G790" s="290"/>
      <c r="H790" s="288"/>
      <c r="I790" s="285"/>
      <c r="J790" s="276"/>
      <c r="K790" s="276"/>
      <c r="L790" s="276"/>
      <c r="M790" s="276"/>
      <c r="N790" s="276"/>
      <c r="O790" s="276"/>
      <c r="P790" s="276"/>
      <c r="Q790" s="276"/>
      <c r="R790" s="276"/>
      <c r="S790" s="276"/>
      <c r="T790" s="276"/>
      <c r="U790" s="276"/>
      <c r="V790" s="276"/>
      <c r="W790" s="276"/>
      <c r="X790" s="276"/>
    </row>
    <row r="791" ht="15.75" customHeight="1">
      <c r="A791" s="283"/>
      <c r="B791" s="284"/>
      <c r="C791" s="284"/>
      <c r="D791" s="284"/>
      <c r="E791" s="285"/>
      <c r="F791" s="285"/>
      <c r="G791" s="290"/>
      <c r="H791" s="288"/>
      <c r="I791" s="285"/>
      <c r="J791" s="276"/>
      <c r="K791" s="276"/>
      <c r="L791" s="276"/>
      <c r="M791" s="276"/>
      <c r="N791" s="276"/>
      <c r="O791" s="276"/>
      <c r="P791" s="276"/>
      <c r="Q791" s="276"/>
      <c r="R791" s="276"/>
      <c r="S791" s="276"/>
      <c r="T791" s="276"/>
      <c r="U791" s="276"/>
      <c r="V791" s="276"/>
      <c r="W791" s="276"/>
      <c r="X791" s="276"/>
    </row>
    <row r="792" ht="15.75" customHeight="1">
      <c r="A792" s="283"/>
      <c r="B792" s="284"/>
      <c r="C792" s="284"/>
      <c r="D792" s="284"/>
      <c r="E792" s="285"/>
      <c r="F792" s="285"/>
      <c r="G792" s="290"/>
      <c r="H792" s="288"/>
      <c r="I792" s="285"/>
      <c r="J792" s="276"/>
      <c r="K792" s="276"/>
      <c r="L792" s="276"/>
      <c r="M792" s="276"/>
      <c r="N792" s="276"/>
      <c r="O792" s="276"/>
      <c r="P792" s="276"/>
      <c r="Q792" s="276"/>
      <c r="R792" s="276"/>
      <c r="S792" s="276"/>
      <c r="T792" s="276"/>
      <c r="U792" s="276"/>
      <c r="V792" s="276"/>
      <c r="W792" s="276"/>
      <c r="X792" s="276"/>
    </row>
    <row r="793" ht="15.75" customHeight="1">
      <c r="A793" s="283"/>
      <c r="B793" s="284"/>
      <c r="C793" s="284"/>
      <c r="D793" s="284"/>
      <c r="E793" s="285"/>
      <c r="F793" s="285"/>
      <c r="G793" s="290"/>
      <c r="H793" s="288"/>
      <c r="I793" s="285"/>
      <c r="J793" s="276"/>
      <c r="K793" s="276"/>
      <c r="L793" s="276"/>
      <c r="M793" s="276"/>
      <c r="N793" s="276"/>
      <c r="O793" s="276"/>
      <c r="P793" s="276"/>
      <c r="Q793" s="276"/>
      <c r="R793" s="276"/>
      <c r="S793" s="276"/>
      <c r="T793" s="276"/>
      <c r="U793" s="276"/>
      <c r="V793" s="276"/>
      <c r="W793" s="276"/>
      <c r="X793" s="276"/>
    </row>
    <row r="794" ht="15.75" customHeight="1">
      <c r="A794" s="283"/>
      <c r="B794" s="284"/>
      <c r="C794" s="284"/>
      <c r="D794" s="284"/>
      <c r="E794" s="285"/>
      <c r="F794" s="285"/>
      <c r="G794" s="290"/>
      <c r="H794" s="288"/>
      <c r="I794" s="285"/>
      <c r="J794" s="276"/>
      <c r="K794" s="276"/>
      <c r="L794" s="276"/>
      <c r="M794" s="276"/>
      <c r="N794" s="276"/>
      <c r="O794" s="276"/>
      <c r="P794" s="276"/>
      <c r="Q794" s="276"/>
      <c r="R794" s="276"/>
      <c r="S794" s="276"/>
      <c r="T794" s="276"/>
      <c r="U794" s="276"/>
      <c r="V794" s="276"/>
      <c r="W794" s="276"/>
      <c r="X794" s="276"/>
    </row>
    <row r="795" ht="15.75" customHeight="1">
      <c r="A795" s="283"/>
      <c r="B795" s="284"/>
      <c r="C795" s="284"/>
      <c r="D795" s="284"/>
      <c r="E795" s="285"/>
      <c r="F795" s="285"/>
      <c r="G795" s="290"/>
      <c r="H795" s="288"/>
      <c r="I795" s="285"/>
      <c r="J795" s="276"/>
      <c r="K795" s="276"/>
      <c r="L795" s="276"/>
      <c r="M795" s="276"/>
      <c r="N795" s="276"/>
      <c r="O795" s="276"/>
      <c r="P795" s="276"/>
      <c r="Q795" s="276"/>
      <c r="R795" s="276"/>
      <c r="S795" s="276"/>
      <c r="T795" s="276"/>
      <c r="U795" s="276"/>
      <c r="V795" s="276"/>
      <c r="W795" s="276"/>
      <c r="X795" s="276"/>
    </row>
    <row r="796" ht="15.75" customHeight="1">
      <c r="A796" s="283"/>
      <c r="B796" s="284"/>
      <c r="C796" s="284"/>
      <c r="D796" s="284"/>
      <c r="E796" s="285"/>
      <c r="F796" s="285"/>
      <c r="G796" s="290"/>
      <c r="H796" s="288"/>
      <c r="I796" s="285"/>
      <c r="J796" s="276"/>
      <c r="K796" s="276"/>
      <c r="L796" s="276"/>
      <c r="M796" s="276"/>
      <c r="N796" s="276"/>
      <c r="O796" s="276"/>
      <c r="P796" s="276"/>
      <c r="Q796" s="276"/>
      <c r="R796" s="276"/>
      <c r="S796" s="276"/>
      <c r="T796" s="276"/>
      <c r="U796" s="276"/>
      <c r="V796" s="276"/>
      <c r="W796" s="276"/>
      <c r="X796" s="276"/>
    </row>
    <row r="797" ht="15.75" customHeight="1">
      <c r="A797" s="283"/>
      <c r="B797" s="284"/>
      <c r="C797" s="284"/>
      <c r="D797" s="284"/>
      <c r="E797" s="285"/>
      <c r="F797" s="285"/>
      <c r="G797" s="290"/>
      <c r="H797" s="288"/>
      <c r="I797" s="285"/>
      <c r="J797" s="276"/>
      <c r="K797" s="276"/>
      <c r="L797" s="276"/>
      <c r="M797" s="276"/>
      <c r="N797" s="276"/>
      <c r="O797" s="276"/>
      <c r="P797" s="276"/>
      <c r="Q797" s="276"/>
      <c r="R797" s="276"/>
      <c r="S797" s="276"/>
      <c r="T797" s="276"/>
      <c r="U797" s="276"/>
      <c r="V797" s="276"/>
      <c r="W797" s="276"/>
      <c r="X797" s="276"/>
    </row>
    <row r="798" ht="15.75" customHeight="1">
      <c r="A798" s="283"/>
      <c r="B798" s="284"/>
      <c r="C798" s="284"/>
      <c r="D798" s="284"/>
      <c r="E798" s="285"/>
      <c r="F798" s="285"/>
      <c r="G798" s="290"/>
      <c r="H798" s="288"/>
      <c r="I798" s="285"/>
      <c r="J798" s="276"/>
      <c r="K798" s="276"/>
      <c r="L798" s="276"/>
      <c r="M798" s="276"/>
      <c r="N798" s="276"/>
      <c r="O798" s="276"/>
      <c r="P798" s="276"/>
      <c r="Q798" s="276"/>
      <c r="R798" s="276"/>
      <c r="S798" s="276"/>
      <c r="T798" s="276"/>
      <c r="U798" s="276"/>
      <c r="V798" s="276"/>
      <c r="W798" s="276"/>
      <c r="X798" s="276"/>
    </row>
    <row r="799" ht="15.75" customHeight="1">
      <c r="A799" s="283"/>
      <c r="B799" s="284"/>
      <c r="C799" s="284"/>
      <c r="D799" s="284"/>
      <c r="E799" s="285"/>
      <c r="F799" s="285"/>
      <c r="G799" s="290"/>
      <c r="H799" s="288"/>
      <c r="I799" s="285"/>
      <c r="J799" s="276"/>
      <c r="K799" s="276"/>
      <c r="L799" s="276"/>
      <c r="M799" s="276"/>
      <c r="N799" s="276"/>
      <c r="O799" s="276"/>
      <c r="P799" s="276"/>
      <c r="Q799" s="276"/>
      <c r="R799" s="276"/>
      <c r="S799" s="276"/>
      <c r="T799" s="276"/>
      <c r="U799" s="276"/>
      <c r="V799" s="276"/>
      <c r="W799" s="276"/>
      <c r="X799" s="276"/>
    </row>
    <row r="800" ht="15.75" customHeight="1">
      <c r="A800" s="283"/>
      <c r="B800" s="284"/>
      <c r="C800" s="284"/>
      <c r="D800" s="284"/>
      <c r="E800" s="285"/>
      <c r="F800" s="285"/>
      <c r="G800" s="290"/>
      <c r="H800" s="288"/>
      <c r="I800" s="285"/>
      <c r="J800" s="276"/>
      <c r="K800" s="276"/>
      <c r="L800" s="276"/>
      <c r="M800" s="276"/>
      <c r="N800" s="276"/>
      <c r="O800" s="276"/>
      <c r="P800" s="276"/>
      <c r="Q800" s="276"/>
      <c r="R800" s="276"/>
      <c r="S800" s="276"/>
      <c r="T800" s="276"/>
      <c r="U800" s="276"/>
      <c r="V800" s="276"/>
      <c r="W800" s="276"/>
      <c r="X800" s="276"/>
    </row>
    <row r="801" ht="15.75" customHeight="1">
      <c r="A801" s="283"/>
      <c r="B801" s="284"/>
      <c r="C801" s="284"/>
      <c r="D801" s="284"/>
      <c r="E801" s="285"/>
      <c r="F801" s="285"/>
      <c r="G801" s="290"/>
      <c r="H801" s="288"/>
      <c r="I801" s="285"/>
      <c r="J801" s="276"/>
      <c r="K801" s="276"/>
      <c r="L801" s="276"/>
      <c r="M801" s="276"/>
      <c r="N801" s="276"/>
      <c r="O801" s="276"/>
      <c r="P801" s="276"/>
      <c r="Q801" s="276"/>
      <c r="R801" s="276"/>
      <c r="S801" s="276"/>
      <c r="T801" s="276"/>
      <c r="U801" s="276"/>
      <c r="V801" s="276"/>
      <c r="W801" s="276"/>
      <c r="X801" s="276"/>
    </row>
    <row r="802" ht="15.75" customHeight="1">
      <c r="A802" s="283"/>
      <c r="B802" s="284"/>
      <c r="C802" s="284"/>
      <c r="D802" s="284"/>
      <c r="E802" s="285"/>
      <c r="F802" s="285"/>
      <c r="G802" s="290"/>
      <c r="H802" s="288"/>
      <c r="I802" s="285"/>
      <c r="J802" s="276"/>
      <c r="K802" s="276"/>
      <c r="L802" s="276"/>
      <c r="M802" s="276"/>
      <c r="N802" s="276"/>
      <c r="O802" s="276"/>
      <c r="P802" s="276"/>
      <c r="Q802" s="276"/>
      <c r="R802" s="276"/>
      <c r="S802" s="276"/>
      <c r="T802" s="276"/>
      <c r="U802" s="276"/>
      <c r="V802" s="276"/>
      <c r="W802" s="276"/>
      <c r="X802" s="276"/>
    </row>
    <row r="803" ht="15.75" customHeight="1">
      <c r="A803" s="283"/>
      <c r="B803" s="284"/>
      <c r="C803" s="284"/>
      <c r="D803" s="284"/>
      <c r="E803" s="285"/>
      <c r="F803" s="285"/>
      <c r="G803" s="290"/>
      <c r="H803" s="288"/>
      <c r="I803" s="285"/>
      <c r="J803" s="276"/>
      <c r="K803" s="276"/>
      <c r="L803" s="276"/>
      <c r="M803" s="276"/>
      <c r="N803" s="276"/>
      <c r="O803" s="276"/>
      <c r="P803" s="276"/>
      <c r="Q803" s="276"/>
      <c r="R803" s="276"/>
      <c r="S803" s="276"/>
      <c r="T803" s="276"/>
      <c r="U803" s="276"/>
      <c r="V803" s="276"/>
      <c r="W803" s="276"/>
      <c r="X803" s="276"/>
    </row>
    <row r="804" ht="15.75" customHeight="1">
      <c r="A804" s="283"/>
      <c r="B804" s="284"/>
      <c r="C804" s="284"/>
      <c r="D804" s="284"/>
      <c r="E804" s="285"/>
      <c r="F804" s="285"/>
      <c r="G804" s="290"/>
      <c r="H804" s="288"/>
      <c r="I804" s="285"/>
      <c r="J804" s="276"/>
      <c r="K804" s="276"/>
      <c r="L804" s="276"/>
      <c r="M804" s="276"/>
      <c r="N804" s="276"/>
      <c r="O804" s="276"/>
      <c r="P804" s="276"/>
      <c r="Q804" s="276"/>
      <c r="R804" s="276"/>
      <c r="S804" s="276"/>
      <c r="T804" s="276"/>
      <c r="U804" s="276"/>
      <c r="V804" s="276"/>
      <c r="W804" s="276"/>
      <c r="X804" s="276"/>
    </row>
    <row r="805" ht="15.75" customHeight="1">
      <c r="A805" s="283"/>
      <c r="B805" s="284"/>
      <c r="C805" s="284"/>
      <c r="D805" s="284"/>
      <c r="E805" s="285"/>
      <c r="F805" s="285"/>
      <c r="G805" s="290"/>
      <c r="H805" s="288"/>
      <c r="I805" s="285"/>
      <c r="J805" s="276"/>
      <c r="K805" s="276"/>
      <c r="L805" s="276"/>
      <c r="M805" s="276"/>
      <c r="N805" s="276"/>
      <c r="O805" s="276"/>
      <c r="P805" s="276"/>
      <c r="Q805" s="276"/>
      <c r="R805" s="276"/>
      <c r="S805" s="276"/>
      <c r="T805" s="276"/>
      <c r="U805" s="276"/>
      <c r="V805" s="276"/>
      <c r="W805" s="276"/>
      <c r="X805" s="276"/>
    </row>
    <row r="806" ht="15.75" customHeight="1">
      <c r="A806" s="283"/>
      <c r="B806" s="284"/>
      <c r="C806" s="284"/>
      <c r="D806" s="284"/>
      <c r="E806" s="285"/>
      <c r="F806" s="285"/>
      <c r="G806" s="290"/>
      <c r="H806" s="288"/>
      <c r="I806" s="285"/>
      <c r="J806" s="276"/>
      <c r="K806" s="276"/>
      <c r="L806" s="276"/>
      <c r="M806" s="276"/>
      <c r="N806" s="276"/>
      <c r="O806" s="276"/>
      <c r="P806" s="276"/>
      <c r="Q806" s="276"/>
      <c r="R806" s="276"/>
      <c r="S806" s="276"/>
      <c r="T806" s="276"/>
      <c r="U806" s="276"/>
      <c r="V806" s="276"/>
      <c r="W806" s="276"/>
      <c r="X806" s="276"/>
    </row>
    <row r="807" ht="15.75" customHeight="1">
      <c r="A807" s="283"/>
      <c r="B807" s="284"/>
      <c r="C807" s="284"/>
      <c r="D807" s="284"/>
      <c r="E807" s="285"/>
      <c r="F807" s="285"/>
      <c r="G807" s="290"/>
      <c r="H807" s="288"/>
      <c r="I807" s="285"/>
      <c r="J807" s="276"/>
      <c r="K807" s="276"/>
      <c r="L807" s="276"/>
      <c r="M807" s="276"/>
      <c r="N807" s="276"/>
      <c r="O807" s="276"/>
      <c r="P807" s="276"/>
      <c r="Q807" s="276"/>
      <c r="R807" s="276"/>
      <c r="S807" s="276"/>
      <c r="T807" s="276"/>
      <c r="U807" s="276"/>
      <c r="V807" s="276"/>
      <c r="W807" s="276"/>
      <c r="X807" s="276"/>
    </row>
    <row r="808" ht="15.75" customHeight="1">
      <c r="A808" s="283"/>
      <c r="B808" s="284"/>
      <c r="C808" s="284"/>
      <c r="D808" s="284"/>
      <c r="E808" s="285"/>
      <c r="F808" s="285"/>
      <c r="G808" s="290"/>
      <c r="H808" s="288"/>
      <c r="I808" s="285"/>
      <c r="J808" s="276"/>
      <c r="K808" s="276"/>
      <c r="L808" s="276"/>
      <c r="M808" s="276"/>
      <c r="N808" s="276"/>
      <c r="O808" s="276"/>
      <c r="P808" s="276"/>
      <c r="Q808" s="276"/>
      <c r="R808" s="276"/>
      <c r="S808" s="276"/>
      <c r="T808" s="276"/>
      <c r="U808" s="276"/>
      <c r="V808" s="276"/>
      <c r="W808" s="276"/>
      <c r="X808" s="276"/>
    </row>
    <row r="809" ht="15.75" customHeight="1">
      <c r="A809" s="283"/>
      <c r="B809" s="284"/>
      <c r="C809" s="284"/>
      <c r="D809" s="284"/>
      <c r="E809" s="285"/>
      <c r="F809" s="285"/>
      <c r="G809" s="290"/>
      <c r="H809" s="288"/>
      <c r="I809" s="285"/>
      <c r="J809" s="276"/>
      <c r="K809" s="276"/>
      <c r="L809" s="276"/>
      <c r="M809" s="276"/>
      <c r="N809" s="276"/>
      <c r="O809" s="276"/>
      <c r="P809" s="276"/>
      <c r="Q809" s="276"/>
      <c r="R809" s="276"/>
      <c r="S809" s="276"/>
      <c r="T809" s="276"/>
      <c r="U809" s="276"/>
      <c r="V809" s="276"/>
      <c r="W809" s="276"/>
      <c r="X809" s="276"/>
    </row>
    <row r="810" ht="15.75" customHeight="1">
      <c r="A810" s="283"/>
      <c r="B810" s="284"/>
      <c r="C810" s="284"/>
      <c r="D810" s="284"/>
      <c r="E810" s="285"/>
      <c r="F810" s="285"/>
      <c r="G810" s="290"/>
      <c r="H810" s="288"/>
      <c r="I810" s="285"/>
      <c r="J810" s="276"/>
      <c r="K810" s="276"/>
      <c r="L810" s="276"/>
      <c r="M810" s="276"/>
      <c r="N810" s="276"/>
      <c r="O810" s="276"/>
      <c r="P810" s="276"/>
      <c r="Q810" s="276"/>
      <c r="R810" s="276"/>
      <c r="S810" s="276"/>
      <c r="T810" s="276"/>
      <c r="U810" s="276"/>
      <c r="V810" s="276"/>
      <c r="W810" s="276"/>
      <c r="X810" s="276"/>
    </row>
    <row r="811" ht="15.75" customHeight="1">
      <c r="A811" s="283"/>
      <c r="B811" s="284"/>
      <c r="C811" s="284"/>
      <c r="D811" s="284"/>
      <c r="E811" s="285"/>
      <c r="F811" s="285"/>
      <c r="G811" s="290"/>
      <c r="H811" s="288"/>
      <c r="I811" s="285"/>
      <c r="J811" s="276"/>
      <c r="K811" s="276"/>
      <c r="L811" s="276"/>
      <c r="M811" s="276"/>
      <c r="N811" s="276"/>
      <c r="O811" s="276"/>
      <c r="P811" s="276"/>
      <c r="Q811" s="276"/>
      <c r="R811" s="276"/>
      <c r="S811" s="276"/>
      <c r="T811" s="276"/>
      <c r="U811" s="276"/>
      <c r="V811" s="276"/>
      <c r="W811" s="276"/>
      <c r="X811" s="276"/>
    </row>
    <row r="812" ht="15.75" customHeight="1">
      <c r="A812" s="283"/>
      <c r="B812" s="284"/>
      <c r="C812" s="284"/>
      <c r="D812" s="284"/>
      <c r="E812" s="285"/>
      <c r="F812" s="285"/>
      <c r="G812" s="290"/>
      <c r="H812" s="288"/>
      <c r="I812" s="285"/>
      <c r="J812" s="276"/>
      <c r="K812" s="276"/>
      <c r="L812" s="276"/>
      <c r="M812" s="276"/>
      <c r="N812" s="276"/>
      <c r="O812" s="276"/>
      <c r="P812" s="276"/>
      <c r="Q812" s="276"/>
      <c r="R812" s="276"/>
      <c r="S812" s="276"/>
      <c r="T812" s="276"/>
      <c r="U812" s="276"/>
      <c r="V812" s="276"/>
      <c r="W812" s="276"/>
      <c r="X812" s="276"/>
    </row>
    <row r="813" ht="15.75" customHeight="1">
      <c r="A813" s="283"/>
      <c r="B813" s="284"/>
      <c r="C813" s="284"/>
      <c r="D813" s="284"/>
      <c r="E813" s="285"/>
      <c r="F813" s="285"/>
      <c r="G813" s="290"/>
      <c r="H813" s="288"/>
      <c r="I813" s="285"/>
      <c r="J813" s="276"/>
      <c r="K813" s="276"/>
      <c r="L813" s="276"/>
      <c r="M813" s="276"/>
      <c r="N813" s="276"/>
      <c r="O813" s="276"/>
      <c r="P813" s="276"/>
      <c r="Q813" s="276"/>
      <c r="R813" s="276"/>
      <c r="S813" s="276"/>
      <c r="T813" s="276"/>
      <c r="U813" s="276"/>
      <c r="V813" s="276"/>
      <c r="W813" s="276"/>
      <c r="X813" s="276"/>
    </row>
    <row r="814" ht="15.75" customHeight="1">
      <c r="A814" s="283"/>
      <c r="B814" s="284"/>
      <c r="C814" s="284"/>
      <c r="D814" s="284"/>
      <c r="E814" s="285"/>
      <c r="F814" s="285"/>
      <c r="G814" s="290"/>
      <c r="H814" s="288"/>
      <c r="I814" s="285"/>
      <c r="J814" s="276"/>
      <c r="K814" s="276"/>
      <c r="L814" s="276"/>
      <c r="M814" s="276"/>
      <c r="N814" s="276"/>
      <c r="O814" s="276"/>
      <c r="P814" s="276"/>
      <c r="Q814" s="276"/>
      <c r="R814" s="276"/>
      <c r="S814" s="276"/>
      <c r="T814" s="276"/>
      <c r="U814" s="276"/>
      <c r="V814" s="276"/>
      <c r="W814" s="276"/>
      <c r="X814" s="276"/>
    </row>
    <row r="815" ht="15.75" customHeight="1">
      <c r="A815" s="283"/>
      <c r="B815" s="284"/>
      <c r="C815" s="284"/>
      <c r="D815" s="284"/>
      <c r="E815" s="285"/>
      <c r="F815" s="285"/>
      <c r="G815" s="290"/>
      <c r="H815" s="288"/>
      <c r="I815" s="285"/>
      <c r="J815" s="276"/>
      <c r="K815" s="276"/>
      <c r="L815" s="276"/>
      <c r="M815" s="276"/>
      <c r="N815" s="276"/>
      <c r="O815" s="276"/>
      <c r="P815" s="276"/>
      <c r="Q815" s="276"/>
      <c r="R815" s="276"/>
      <c r="S815" s="276"/>
      <c r="T815" s="276"/>
      <c r="U815" s="276"/>
      <c r="V815" s="276"/>
      <c r="W815" s="276"/>
      <c r="X815" s="276"/>
    </row>
    <row r="816" ht="15.75" customHeight="1">
      <c r="A816" s="283"/>
      <c r="B816" s="284"/>
      <c r="C816" s="284"/>
      <c r="D816" s="284"/>
      <c r="E816" s="285"/>
      <c r="F816" s="285"/>
      <c r="G816" s="290"/>
      <c r="H816" s="288"/>
      <c r="I816" s="285"/>
      <c r="J816" s="276"/>
      <c r="K816" s="276"/>
      <c r="L816" s="276"/>
      <c r="M816" s="276"/>
      <c r="N816" s="276"/>
      <c r="O816" s="276"/>
      <c r="P816" s="276"/>
      <c r="Q816" s="276"/>
      <c r="R816" s="276"/>
      <c r="S816" s="276"/>
      <c r="T816" s="276"/>
      <c r="U816" s="276"/>
      <c r="V816" s="276"/>
      <c r="W816" s="276"/>
      <c r="X816" s="276"/>
    </row>
    <row r="817" ht="15.75" customHeight="1">
      <c r="A817" s="283"/>
      <c r="B817" s="284"/>
      <c r="C817" s="284"/>
      <c r="D817" s="284"/>
      <c r="E817" s="285"/>
      <c r="F817" s="285"/>
      <c r="G817" s="290"/>
      <c r="H817" s="288"/>
      <c r="I817" s="285"/>
      <c r="J817" s="276"/>
      <c r="K817" s="276"/>
      <c r="L817" s="276"/>
      <c r="M817" s="276"/>
      <c r="N817" s="276"/>
      <c r="O817" s="276"/>
      <c r="P817" s="276"/>
      <c r="Q817" s="276"/>
      <c r="R817" s="276"/>
      <c r="S817" s="276"/>
      <c r="T817" s="276"/>
      <c r="U817" s="276"/>
      <c r="V817" s="276"/>
      <c r="W817" s="276"/>
      <c r="X817" s="276"/>
    </row>
    <row r="818" ht="15.75" customHeight="1">
      <c r="A818" s="283"/>
      <c r="B818" s="284"/>
      <c r="C818" s="284"/>
      <c r="D818" s="284"/>
      <c r="E818" s="285"/>
      <c r="F818" s="285"/>
      <c r="G818" s="290"/>
      <c r="H818" s="288"/>
      <c r="I818" s="285"/>
      <c r="J818" s="276"/>
      <c r="K818" s="276"/>
      <c r="L818" s="276"/>
      <c r="M818" s="276"/>
      <c r="N818" s="276"/>
      <c r="O818" s="276"/>
      <c r="P818" s="276"/>
      <c r="Q818" s="276"/>
      <c r="R818" s="276"/>
      <c r="S818" s="276"/>
      <c r="T818" s="276"/>
      <c r="U818" s="276"/>
      <c r="V818" s="276"/>
      <c r="W818" s="276"/>
      <c r="X818" s="276"/>
    </row>
    <row r="819" ht="15.75" customHeight="1">
      <c r="A819" s="283"/>
      <c r="B819" s="284"/>
      <c r="C819" s="284"/>
      <c r="D819" s="284"/>
      <c r="E819" s="285"/>
      <c r="F819" s="285"/>
      <c r="G819" s="290"/>
      <c r="H819" s="288"/>
      <c r="I819" s="285"/>
      <c r="J819" s="276"/>
      <c r="K819" s="276"/>
      <c r="L819" s="276"/>
      <c r="M819" s="276"/>
      <c r="N819" s="276"/>
      <c r="O819" s="276"/>
      <c r="P819" s="276"/>
      <c r="Q819" s="276"/>
      <c r="R819" s="276"/>
      <c r="S819" s="276"/>
      <c r="T819" s="276"/>
      <c r="U819" s="276"/>
      <c r="V819" s="276"/>
      <c r="W819" s="276"/>
      <c r="X819" s="276"/>
    </row>
    <row r="820" ht="15.75" customHeight="1">
      <c r="A820" s="283"/>
      <c r="B820" s="284"/>
      <c r="C820" s="284"/>
      <c r="D820" s="284"/>
      <c r="E820" s="285"/>
      <c r="F820" s="285"/>
      <c r="G820" s="290"/>
      <c r="H820" s="288"/>
      <c r="I820" s="285"/>
      <c r="J820" s="276"/>
      <c r="K820" s="276"/>
      <c r="L820" s="276"/>
      <c r="M820" s="276"/>
      <c r="N820" s="276"/>
      <c r="O820" s="276"/>
      <c r="P820" s="276"/>
      <c r="Q820" s="276"/>
      <c r="R820" s="276"/>
      <c r="S820" s="276"/>
      <c r="T820" s="276"/>
      <c r="U820" s="276"/>
      <c r="V820" s="276"/>
      <c r="W820" s="276"/>
      <c r="X820" s="276"/>
    </row>
    <row r="821" ht="15.75" customHeight="1">
      <c r="A821" s="283"/>
      <c r="B821" s="284"/>
      <c r="C821" s="284"/>
      <c r="D821" s="284"/>
      <c r="E821" s="285"/>
      <c r="F821" s="285"/>
      <c r="G821" s="290"/>
      <c r="H821" s="288"/>
      <c r="I821" s="285"/>
      <c r="J821" s="276"/>
      <c r="K821" s="276"/>
      <c r="L821" s="276"/>
      <c r="M821" s="276"/>
      <c r="N821" s="276"/>
      <c r="O821" s="276"/>
      <c r="P821" s="276"/>
      <c r="Q821" s="276"/>
      <c r="R821" s="276"/>
      <c r="S821" s="276"/>
      <c r="T821" s="276"/>
      <c r="U821" s="276"/>
      <c r="V821" s="276"/>
      <c r="W821" s="276"/>
      <c r="X821" s="276"/>
    </row>
    <row r="822" ht="15.75" customHeight="1">
      <c r="A822" s="283"/>
      <c r="B822" s="284"/>
      <c r="C822" s="284"/>
      <c r="D822" s="284"/>
      <c r="E822" s="285"/>
      <c r="F822" s="285"/>
      <c r="G822" s="290"/>
      <c r="H822" s="288"/>
      <c r="I822" s="285"/>
      <c r="J822" s="276"/>
      <c r="K822" s="276"/>
      <c r="L822" s="276"/>
      <c r="M822" s="276"/>
      <c r="N822" s="276"/>
      <c r="O822" s="276"/>
      <c r="P822" s="276"/>
      <c r="Q822" s="276"/>
      <c r="R822" s="276"/>
      <c r="S822" s="276"/>
      <c r="T822" s="276"/>
      <c r="U822" s="276"/>
      <c r="V822" s="276"/>
      <c r="W822" s="276"/>
      <c r="X822" s="276"/>
    </row>
    <row r="823" ht="15.75" customHeight="1">
      <c r="A823" s="283"/>
      <c r="B823" s="284"/>
      <c r="C823" s="284"/>
      <c r="D823" s="284"/>
      <c r="E823" s="285"/>
      <c r="F823" s="285"/>
      <c r="G823" s="290"/>
      <c r="H823" s="288"/>
      <c r="I823" s="285"/>
      <c r="J823" s="276"/>
      <c r="K823" s="276"/>
      <c r="L823" s="276"/>
      <c r="M823" s="276"/>
      <c r="N823" s="276"/>
      <c r="O823" s="276"/>
      <c r="P823" s="276"/>
      <c r="Q823" s="276"/>
      <c r="R823" s="276"/>
      <c r="S823" s="276"/>
      <c r="T823" s="276"/>
      <c r="U823" s="276"/>
      <c r="V823" s="276"/>
      <c r="W823" s="276"/>
      <c r="X823" s="276"/>
    </row>
    <row r="824" ht="15.75" customHeight="1">
      <c r="A824" s="283"/>
      <c r="B824" s="284"/>
      <c r="C824" s="284"/>
      <c r="D824" s="284"/>
      <c r="E824" s="285"/>
      <c r="F824" s="285"/>
      <c r="G824" s="290"/>
      <c r="H824" s="288"/>
      <c r="I824" s="285"/>
      <c r="J824" s="276"/>
      <c r="K824" s="276"/>
      <c r="L824" s="276"/>
      <c r="M824" s="276"/>
      <c r="N824" s="276"/>
      <c r="O824" s="276"/>
      <c r="P824" s="276"/>
      <c r="Q824" s="276"/>
      <c r="R824" s="276"/>
      <c r="S824" s="276"/>
      <c r="T824" s="276"/>
      <c r="U824" s="276"/>
      <c r="V824" s="276"/>
      <c r="W824" s="276"/>
      <c r="X824" s="276"/>
    </row>
    <row r="825" ht="15.75" customHeight="1">
      <c r="A825" s="283"/>
      <c r="B825" s="284"/>
      <c r="C825" s="284"/>
      <c r="D825" s="284"/>
      <c r="E825" s="285"/>
      <c r="F825" s="285"/>
      <c r="G825" s="290"/>
      <c r="H825" s="288"/>
      <c r="I825" s="285"/>
      <c r="J825" s="276"/>
      <c r="K825" s="276"/>
      <c r="L825" s="276"/>
      <c r="M825" s="276"/>
      <c r="N825" s="276"/>
      <c r="O825" s="276"/>
      <c r="P825" s="276"/>
      <c r="Q825" s="276"/>
      <c r="R825" s="276"/>
      <c r="S825" s="276"/>
      <c r="T825" s="276"/>
      <c r="U825" s="276"/>
      <c r="V825" s="276"/>
      <c r="W825" s="276"/>
      <c r="X825" s="276"/>
    </row>
    <row r="826" ht="15.75" customHeight="1">
      <c r="A826" s="283"/>
      <c r="B826" s="284"/>
      <c r="C826" s="284"/>
      <c r="D826" s="284"/>
      <c r="E826" s="285"/>
      <c r="F826" s="285"/>
      <c r="G826" s="290"/>
      <c r="H826" s="288"/>
      <c r="I826" s="285"/>
      <c r="J826" s="276"/>
      <c r="K826" s="276"/>
      <c r="L826" s="276"/>
      <c r="M826" s="276"/>
      <c r="N826" s="276"/>
      <c r="O826" s="276"/>
      <c r="P826" s="276"/>
      <c r="Q826" s="276"/>
      <c r="R826" s="276"/>
      <c r="S826" s="276"/>
      <c r="T826" s="276"/>
      <c r="U826" s="276"/>
      <c r="V826" s="276"/>
      <c r="W826" s="276"/>
      <c r="X826" s="276"/>
    </row>
    <row r="827" ht="15.75" customHeight="1">
      <c r="A827" s="283"/>
      <c r="B827" s="284"/>
      <c r="C827" s="284"/>
      <c r="D827" s="284"/>
      <c r="E827" s="285"/>
      <c r="F827" s="285"/>
      <c r="G827" s="290"/>
      <c r="H827" s="288"/>
      <c r="I827" s="285"/>
      <c r="J827" s="276"/>
      <c r="K827" s="276"/>
      <c r="L827" s="276"/>
      <c r="M827" s="276"/>
      <c r="N827" s="276"/>
      <c r="O827" s="276"/>
      <c r="P827" s="276"/>
      <c r="Q827" s="276"/>
      <c r="R827" s="276"/>
      <c r="S827" s="276"/>
      <c r="T827" s="276"/>
      <c r="U827" s="276"/>
      <c r="V827" s="276"/>
      <c r="W827" s="276"/>
      <c r="X827" s="276"/>
    </row>
    <row r="828" ht="15.75" customHeight="1">
      <c r="A828" s="283"/>
      <c r="B828" s="284"/>
      <c r="C828" s="284"/>
      <c r="D828" s="284"/>
      <c r="E828" s="285"/>
      <c r="F828" s="285"/>
      <c r="G828" s="290"/>
      <c r="H828" s="288"/>
      <c r="I828" s="285"/>
      <c r="J828" s="276"/>
      <c r="K828" s="276"/>
      <c r="L828" s="276"/>
      <c r="M828" s="276"/>
      <c r="N828" s="276"/>
      <c r="O828" s="276"/>
      <c r="P828" s="276"/>
      <c r="Q828" s="276"/>
      <c r="R828" s="276"/>
      <c r="S828" s="276"/>
      <c r="T828" s="276"/>
      <c r="U828" s="276"/>
      <c r="V828" s="276"/>
      <c r="W828" s="276"/>
      <c r="X828" s="276"/>
    </row>
    <row r="829" ht="15.75" customHeight="1">
      <c r="A829" s="283"/>
      <c r="B829" s="284"/>
      <c r="C829" s="284"/>
      <c r="D829" s="284"/>
      <c r="E829" s="285"/>
      <c r="F829" s="285"/>
      <c r="G829" s="290"/>
      <c r="H829" s="288"/>
      <c r="I829" s="285"/>
      <c r="J829" s="276"/>
      <c r="K829" s="276"/>
      <c r="L829" s="276"/>
      <c r="M829" s="276"/>
      <c r="N829" s="276"/>
      <c r="O829" s="276"/>
      <c r="P829" s="276"/>
      <c r="Q829" s="276"/>
      <c r="R829" s="276"/>
      <c r="S829" s="276"/>
      <c r="T829" s="276"/>
      <c r="U829" s="276"/>
      <c r="V829" s="276"/>
      <c r="W829" s="276"/>
      <c r="X829" s="276"/>
    </row>
    <row r="830" ht="15.75" customHeight="1">
      <c r="A830" s="283"/>
      <c r="B830" s="284"/>
      <c r="C830" s="284"/>
      <c r="D830" s="284"/>
      <c r="E830" s="285"/>
      <c r="F830" s="285"/>
      <c r="G830" s="290"/>
      <c r="H830" s="288"/>
      <c r="I830" s="285"/>
      <c r="J830" s="276"/>
      <c r="K830" s="276"/>
      <c r="L830" s="276"/>
      <c r="M830" s="276"/>
      <c r="N830" s="276"/>
      <c r="O830" s="276"/>
      <c r="P830" s="276"/>
      <c r="Q830" s="276"/>
      <c r="R830" s="276"/>
      <c r="S830" s="276"/>
      <c r="T830" s="276"/>
      <c r="U830" s="276"/>
      <c r="V830" s="276"/>
      <c r="W830" s="276"/>
      <c r="X830" s="276"/>
    </row>
    <row r="831" ht="15.75" customHeight="1">
      <c r="A831" s="283"/>
      <c r="B831" s="284"/>
      <c r="C831" s="284"/>
      <c r="D831" s="284"/>
      <c r="E831" s="285"/>
      <c r="F831" s="285"/>
      <c r="G831" s="290"/>
      <c r="H831" s="288"/>
      <c r="I831" s="285"/>
      <c r="J831" s="276"/>
      <c r="K831" s="276"/>
      <c r="L831" s="276"/>
      <c r="M831" s="276"/>
      <c r="N831" s="276"/>
      <c r="O831" s="276"/>
      <c r="P831" s="276"/>
      <c r="Q831" s="276"/>
      <c r="R831" s="276"/>
      <c r="S831" s="276"/>
      <c r="T831" s="276"/>
      <c r="U831" s="276"/>
      <c r="V831" s="276"/>
      <c r="W831" s="276"/>
      <c r="X831" s="276"/>
    </row>
    <row r="832" ht="15.75" customHeight="1">
      <c r="A832" s="283"/>
      <c r="B832" s="284"/>
      <c r="C832" s="284"/>
      <c r="D832" s="284"/>
      <c r="E832" s="285"/>
      <c r="F832" s="285"/>
      <c r="G832" s="290"/>
      <c r="H832" s="288"/>
      <c r="I832" s="285"/>
      <c r="J832" s="276"/>
      <c r="K832" s="276"/>
      <c r="L832" s="276"/>
      <c r="M832" s="276"/>
      <c r="N832" s="276"/>
      <c r="O832" s="276"/>
      <c r="P832" s="276"/>
      <c r="Q832" s="276"/>
      <c r="R832" s="276"/>
      <c r="S832" s="276"/>
      <c r="T832" s="276"/>
      <c r="U832" s="276"/>
      <c r="V832" s="276"/>
      <c r="W832" s="276"/>
      <c r="X832" s="276"/>
    </row>
    <row r="833" ht="15.75" customHeight="1">
      <c r="A833" s="283"/>
      <c r="B833" s="284"/>
      <c r="C833" s="284"/>
      <c r="D833" s="284"/>
      <c r="E833" s="285"/>
      <c r="F833" s="285"/>
      <c r="G833" s="290"/>
      <c r="H833" s="288"/>
      <c r="I833" s="285"/>
      <c r="J833" s="276"/>
      <c r="K833" s="276"/>
      <c r="L833" s="276"/>
      <c r="M833" s="276"/>
      <c r="N833" s="276"/>
      <c r="O833" s="276"/>
      <c r="P833" s="276"/>
      <c r="Q833" s="276"/>
      <c r="R833" s="276"/>
      <c r="S833" s="276"/>
      <c r="T833" s="276"/>
      <c r="U833" s="276"/>
      <c r="V833" s="276"/>
      <c r="W833" s="276"/>
      <c r="X833" s="276"/>
    </row>
    <row r="834" ht="15.75" customHeight="1">
      <c r="A834" s="283"/>
      <c r="B834" s="284"/>
      <c r="C834" s="284"/>
      <c r="D834" s="284"/>
      <c r="E834" s="285"/>
      <c r="F834" s="285"/>
      <c r="G834" s="290"/>
      <c r="H834" s="288"/>
      <c r="I834" s="285"/>
      <c r="J834" s="276"/>
      <c r="K834" s="276"/>
      <c r="L834" s="276"/>
      <c r="M834" s="276"/>
      <c r="N834" s="276"/>
      <c r="O834" s="276"/>
      <c r="P834" s="276"/>
      <c r="Q834" s="276"/>
      <c r="R834" s="276"/>
      <c r="S834" s="276"/>
      <c r="T834" s="276"/>
      <c r="U834" s="276"/>
      <c r="V834" s="276"/>
      <c r="W834" s="276"/>
      <c r="X834" s="276"/>
    </row>
    <row r="835" ht="15.75" customHeight="1">
      <c r="A835" s="283"/>
      <c r="B835" s="284"/>
      <c r="C835" s="284"/>
      <c r="D835" s="284"/>
      <c r="E835" s="285"/>
      <c r="F835" s="285"/>
      <c r="G835" s="290"/>
      <c r="H835" s="288"/>
      <c r="I835" s="285"/>
      <c r="J835" s="276"/>
      <c r="K835" s="276"/>
      <c r="L835" s="276"/>
      <c r="M835" s="276"/>
      <c r="N835" s="276"/>
      <c r="O835" s="276"/>
      <c r="P835" s="276"/>
      <c r="Q835" s="276"/>
      <c r="R835" s="276"/>
      <c r="S835" s="276"/>
      <c r="T835" s="276"/>
      <c r="U835" s="276"/>
      <c r="V835" s="276"/>
      <c r="W835" s="276"/>
      <c r="X835" s="276"/>
    </row>
    <row r="836" ht="15.75" customHeight="1">
      <c r="A836" s="283"/>
      <c r="B836" s="284"/>
      <c r="C836" s="284"/>
      <c r="D836" s="284"/>
      <c r="E836" s="285"/>
      <c r="F836" s="285"/>
      <c r="G836" s="290"/>
      <c r="H836" s="288"/>
      <c r="I836" s="285"/>
      <c r="J836" s="276"/>
      <c r="K836" s="276"/>
      <c r="L836" s="276"/>
      <c r="M836" s="276"/>
      <c r="N836" s="276"/>
      <c r="O836" s="276"/>
      <c r="P836" s="276"/>
      <c r="Q836" s="276"/>
      <c r="R836" s="276"/>
      <c r="S836" s="276"/>
      <c r="T836" s="276"/>
      <c r="U836" s="276"/>
      <c r="V836" s="276"/>
      <c r="W836" s="276"/>
      <c r="X836" s="276"/>
    </row>
    <row r="837" ht="15.75" customHeight="1">
      <c r="A837" s="283"/>
      <c r="B837" s="284"/>
      <c r="C837" s="284"/>
      <c r="D837" s="284"/>
      <c r="E837" s="285"/>
      <c r="F837" s="285"/>
      <c r="G837" s="290"/>
      <c r="H837" s="288"/>
      <c r="I837" s="285"/>
      <c r="J837" s="276"/>
      <c r="K837" s="276"/>
      <c r="L837" s="276"/>
      <c r="M837" s="276"/>
      <c r="N837" s="276"/>
      <c r="O837" s="276"/>
      <c r="P837" s="276"/>
      <c r="Q837" s="276"/>
      <c r="R837" s="276"/>
      <c r="S837" s="276"/>
      <c r="T837" s="276"/>
      <c r="U837" s="276"/>
      <c r="V837" s="276"/>
      <c r="W837" s="276"/>
      <c r="X837" s="276"/>
    </row>
    <row r="838" ht="15.75" customHeight="1">
      <c r="A838" s="283"/>
      <c r="B838" s="284"/>
      <c r="C838" s="284"/>
      <c r="D838" s="284"/>
      <c r="E838" s="285"/>
      <c r="F838" s="285"/>
      <c r="G838" s="290"/>
      <c r="H838" s="288"/>
      <c r="I838" s="285"/>
      <c r="J838" s="276"/>
      <c r="K838" s="276"/>
      <c r="L838" s="276"/>
      <c r="M838" s="276"/>
      <c r="N838" s="276"/>
      <c r="O838" s="276"/>
      <c r="P838" s="276"/>
      <c r="Q838" s="276"/>
      <c r="R838" s="276"/>
      <c r="S838" s="276"/>
      <c r="T838" s="276"/>
      <c r="U838" s="276"/>
      <c r="V838" s="276"/>
      <c r="W838" s="276"/>
      <c r="X838" s="276"/>
    </row>
    <row r="839" ht="15.75" customHeight="1">
      <c r="A839" s="283"/>
      <c r="B839" s="284"/>
      <c r="C839" s="284"/>
      <c r="D839" s="284"/>
      <c r="E839" s="285"/>
      <c r="F839" s="285"/>
      <c r="G839" s="290"/>
      <c r="H839" s="288"/>
      <c r="I839" s="285"/>
      <c r="J839" s="276"/>
      <c r="K839" s="276"/>
      <c r="L839" s="276"/>
      <c r="M839" s="276"/>
      <c r="N839" s="276"/>
      <c r="O839" s="276"/>
      <c r="P839" s="276"/>
      <c r="Q839" s="276"/>
      <c r="R839" s="276"/>
      <c r="S839" s="276"/>
      <c r="T839" s="276"/>
      <c r="U839" s="276"/>
      <c r="V839" s="276"/>
      <c r="W839" s="276"/>
      <c r="X839" s="276"/>
    </row>
    <row r="840" ht="15.75" customHeight="1">
      <c r="A840" s="283"/>
      <c r="B840" s="284"/>
      <c r="C840" s="284"/>
      <c r="D840" s="284"/>
      <c r="E840" s="285"/>
      <c r="F840" s="35"/>
      <c r="G840" s="290"/>
      <c r="H840" s="360"/>
      <c r="I840" s="285"/>
      <c r="J840" s="276"/>
      <c r="K840" s="276"/>
      <c r="L840" s="276"/>
      <c r="M840" s="276"/>
      <c r="N840" s="276"/>
      <c r="O840" s="276"/>
      <c r="P840" s="276"/>
      <c r="Q840" s="276"/>
      <c r="R840" s="276"/>
      <c r="S840" s="276"/>
      <c r="T840" s="276"/>
      <c r="U840" s="276"/>
      <c r="V840" s="276"/>
      <c r="W840" s="276"/>
      <c r="X840" s="276"/>
    </row>
    <row r="841" ht="15.75" customHeight="1">
      <c r="A841" s="283"/>
      <c r="B841" s="284"/>
      <c r="C841" s="284"/>
      <c r="D841" s="284"/>
      <c r="E841" s="285"/>
      <c r="F841" s="285"/>
      <c r="G841" s="290"/>
      <c r="H841" s="288"/>
      <c r="I841" s="285"/>
      <c r="J841" s="276"/>
      <c r="K841" s="276"/>
      <c r="L841" s="276"/>
      <c r="M841" s="276"/>
      <c r="N841" s="276"/>
      <c r="O841" s="276"/>
      <c r="P841" s="276"/>
      <c r="Q841" s="276"/>
      <c r="R841" s="276"/>
      <c r="S841" s="276"/>
      <c r="T841" s="276"/>
      <c r="U841" s="276"/>
      <c r="V841" s="276"/>
      <c r="W841" s="276"/>
      <c r="X841" s="276"/>
    </row>
    <row r="842" ht="15.75" customHeight="1">
      <c r="A842" s="283"/>
      <c r="B842" s="284"/>
      <c r="C842" s="284"/>
      <c r="D842" s="284"/>
      <c r="E842" s="285"/>
      <c r="F842" s="285"/>
      <c r="G842" s="290"/>
      <c r="H842" s="288"/>
      <c r="I842" s="285"/>
      <c r="J842" s="276"/>
      <c r="K842" s="276"/>
      <c r="L842" s="276"/>
      <c r="M842" s="276"/>
      <c r="N842" s="276"/>
      <c r="O842" s="276"/>
      <c r="P842" s="276"/>
      <c r="Q842" s="276"/>
      <c r="R842" s="276"/>
      <c r="S842" s="276"/>
      <c r="T842" s="276"/>
      <c r="U842" s="276"/>
      <c r="V842" s="276"/>
      <c r="W842" s="276"/>
      <c r="X842" s="276"/>
    </row>
    <row r="843" ht="15.75" customHeight="1">
      <c r="A843" s="283"/>
      <c r="B843" s="284"/>
      <c r="C843" s="284"/>
      <c r="D843" s="284"/>
      <c r="E843" s="285"/>
      <c r="F843" s="285"/>
      <c r="G843" s="290"/>
      <c r="H843" s="288"/>
      <c r="I843" s="285"/>
      <c r="J843" s="276"/>
      <c r="K843" s="276"/>
      <c r="L843" s="276"/>
      <c r="M843" s="276"/>
      <c r="N843" s="276"/>
      <c r="O843" s="276"/>
      <c r="P843" s="276"/>
      <c r="Q843" s="276"/>
      <c r="R843" s="276"/>
      <c r="S843" s="276"/>
      <c r="T843" s="276"/>
      <c r="U843" s="276"/>
      <c r="V843" s="276"/>
      <c r="W843" s="276"/>
      <c r="X843" s="276"/>
    </row>
    <row r="844" ht="15.75" customHeight="1">
      <c r="A844" s="283"/>
      <c r="B844" s="284"/>
      <c r="C844" s="284"/>
      <c r="D844" s="284"/>
      <c r="E844" s="285"/>
      <c r="F844" s="285"/>
      <c r="G844" s="290"/>
      <c r="H844" s="288"/>
      <c r="I844" s="285"/>
      <c r="J844" s="276"/>
      <c r="K844" s="276"/>
      <c r="L844" s="276"/>
      <c r="M844" s="276"/>
      <c r="N844" s="276"/>
      <c r="O844" s="276"/>
      <c r="P844" s="276"/>
      <c r="Q844" s="276"/>
      <c r="R844" s="276"/>
      <c r="S844" s="276"/>
      <c r="T844" s="276"/>
      <c r="U844" s="276"/>
      <c r="V844" s="276"/>
      <c r="W844" s="276"/>
      <c r="X844" s="276"/>
    </row>
    <row r="845" ht="15.75" customHeight="1">
      <c r="A845" s="283"/>
      <c r="B845" s="284"/>
      <c r="C845" s="284"/>
      <c r="D845" s="284"/>
      <c r="E845" s="285"/>
      <c r="F845" s="285"/>
      <c r="G845" s="290"/>
      <c r="H845" s="288"/>
      <c r="I845" s="285"/>
      <c r="J845" s="276"/>
      <c r="K845" s="276"/>
      <c r="L845" s="276"/>
      <c r="M845" s="276"/>
      <c r="N845" s="276"/>
      <c r="O845" s="276"/>
      <c r="P845" s="276"/>
      <c r="Q845" s="276"/>
      <c r="R845" s="276"/>
      <c r="S845" s="276"/>
      <c r="T845" s="276"/>
      <c r="U845" s="276"/>
      <c r="V845" s="276"/>
      <c r="W845" s="276"/>
      <c r="X845" s="276"/>
    </row>
    <row r="846" ht="15.75" customHeight="1">
      <c r="A846" s="283"/>
      <c r="B846" s="284"/>
      <c r="C846" s="284"/>
      <c r="D846" s="284"/>
      <c r="E846" s="285"/>
      <c r="F846" s="285"/>
      <c r="G846" s="290"/>
      <c r="H846" s="288"/>
      <c r="I846" s="285"/>
      <c r="J846" s="276"/>
      <c r="K846" s="276"/>
      <c r="L846" s="276"/>
      <c r="M846" s="276"/>
      <c r="N846" s="276"/>
      <c r="O846" s="276"/>
      <c r="P846" s="276"/>
      <c r="Q846" s="276"/>
      <c r="R846" s="276"/>
      <c r="S846" s="276"/>
      <c r="T846" s="276"/>
      <c r="U846" s="276"/>
      <c r="V846" s="276"/>
      <c r="W846" s="276"/>
      <c r="X846" s="276"/>
    </row>
    <row r="847" ht="15.75" customHeight="1">
      <c r="A847" s="283"/>
      <c r="B847" s="284"/>
      <c r="C847" s="284"/>
      <c r="D847" s="284"/>
      <c r="E847" s="285"/>
      <c r="F847" s="285"/>
      <c r="G847" s="290"/>
      <c r="H847" s="288"/>
      <c r="I847" s="285"/>
      <c r="J847" s="276"/>
      <c r="K847" s="276"/>
      <c r="L847" s="276"/>
      <c r="M847" s="276"/>
      <c r="N847" s="276"/>
      <c r="O847" s="276"/>
      <c r="P847" s="276"/>
      <c r="Q847" s="276"/>
      <c r="R847" s="276"/>
      <c r="S847" s="276"/>
      <c r="T847" s="276"/>
      <c r="U847" s="276"/>
      <c r="V847" s="276"/>
      <c r="W847" s="276"/>
      <c r="X847" s="276"/>
    </row>
    <row r="848" ht="15.75" customHeight="1">
      <c r="A848" s="283"/>
      <c r="B848" s="284"/>
      <c r="C848" s="284"/>
      <c r="D848" s="284"/>
      <c r="E848" s="285"/>
      <c r="F848" s="285"/>
      <c r="G848" s="290"/>
      <c r="H848" s="288"/>
      <c r="I848" s="285"/>
      <c r="J848" s="276"/>
      <c r="K848" s="276"/>
      <c r="L848" s="276"/>
      <c r="M848" s="276"/>
      <c r="N848" s="276"/>
      <c r="O848" s="276"/>
      <c r="P848" s="276"/>
      <c r="Q848" s="276"/>
      <c r="R848" s="276"/>
      <c r="S848" s="276"/>
      <c r="T848" s="276"/>
      <c r="U848" s="276"/>
      <c r="V848" s="276"/>
      <c r="W848" s="276"/>
      <c r="X848" s="276"/>
    </row>
    <row r="849" ht="15.75" customHeight="1">
      <c r="A849" s="283"/>
      <c r="B849" s="284"/>
      <c r="C849" s="284"/>
      <c r="D849" s="284"/>
      <c r="E849" s="285"/>
      <c r="F849" s="285"/>
      <c r="G849" s="290"/>
      <c r="H849" s="288"/>
      <c r="I849" s="285"/>
      <c r="J849" s="276"/>
      <c r="K849" s="276"/>
      <c r="L849" s="276"/>
      <c r="M849" s="276"/>
      <c r="N849" s="276"/>
      <c r="O849" s="276"/>
      <c r="P849" s="276"/>
      <c r="Q849" s="276"/>
      <c r="R849" s="276"/>
      <c r="S849" s="276"/>
      <c r="T849" s="276"/>
      <c r="U849" s="276"/>
      <c r="V849" s="276"/>
      <c r="W849" s="276"/>
      <c r="X849" s="276"/>
    </row>
    <row r="850" ht="15.75" customHeight="1">
      <c r="A850" s="283"/>
      <c r="B850" s="284"/>
      <c r="C850" s="284"/>
      <c r="D850" s="284"/>
      <c r="E850" s="285"/>
      <c r="F850" s="285"/>
      <c r="G850" s="290"/>
      <c r="H850" s="288"/>
      <c r="I850" s="285"/>
      <c r="J850" s="276"/>
      <c r="K850" s="276"/>
      <c r="L850" s="276"/>
      <c r="M850" s="276"/>
      <c r="N850" s="276"/>
      <c r="O850" s="276"/>
      <c r="P850" s="276"/>
      <c r="Q850" s="276"/>
      <c r="R850" s="276"/>
      <c r="S850" s="276"/>
      <c r="T850" s="276"/>
      <c r="U850" s="276"/>
      <c r="V850" s="276"/>
      <c r="W850" s="276"/>
      <c r="X850" s="276"/>
    </row>
    <row r="851" ht="15.75" customHeight="1">
      <c r="A851" s="283"/>
      <c r="B851" s="284"/>
      <c r="C851" s="284"/>
      <c r="D851" s="284"/>
      <c r="E851" s="285"/>
      <c r="F851" s="285"/>
      <c r="G851" s="290"/>
      <c r="H851" s="288"/>
      <c r="I851" s="285"/>
      <c r="J851" s="276"/>
      <c r="K851" s="276"/>
      <c r="L851" s="276"/>
      <c r="M851" s="276"/>
      <c r="N851" s="276"/>
      <c r="O851" s="276"/>
      <c r="P851" s="276"/>
      <c r="Q851" s="276"/>
      <c r="R851" s="276"/>
      <c r="S851" s="276"/>
      <c r="T851" s="276"/>
      <c r="U851" s="276"/>
      <c r="V851" s="276"/>
      <c r="W851" s="276"/>
      <c r="X851" s="276"/>
    </row>
    <row r="852" ht="15.75" customHeight="1">
      <c r="A852" s="283"/>
      <c r="B852" s="284"/>
      <c r="C852" s="284"/>
      <c r="D852" s="284"/>
      <c r="E852" s="285"/>
      <c r="F852" s="285"/>
      <c r="G852" s="290"/>
      <c r="H852" s="360"/>
      <c r="I852" s="285"/>
      <c r="J852" s="276"/>
      <c r="K852" s="276"/>
      <c r="L852" s="276"/>
      <c r="M852" s="276"/>
      <c r="N852" s="276"/>
      <c r="O852" s="276"/>
      <c r="P852" s="276"/>
      <c r="Q852" s="276"/>
      <c r="R852" s="276"/>
      <c r="S852" s="276"/>
      <c r="T852" s="276"/>
      <c r="U852" s="276"/>
      <c r="V852" s="276"/>
      <c r="W852" s="276"/>
      <c r="X852" s="276"/>
    </row>
    <row r="853" ht="15.75" customHeight="1">
      <c r="A853" s="283"/>
      <c r="B853" s="284"/>
      <c r="C853" s="284"/>
      <c r="D853" s="284"/>
      <c r="E853" s="285"/>
      <c r="F853" s="285"/>
      <c r="G853" s="290"/>
      <c r="H853" s="360"/>
      <c r="I853" s="285"/>
      <c r="J853" s="276"/>
      <c r="K853" s="276"/>
      <c r="L853" s="276"/>
      <c r="M853" s="276"/>
      <c r="N853" s="276"/>
      <c r="O853" s="276"/>
      <c r="P853" s="276"/>
      <c r="Q853" s="276"/>
      <c r="R853" s="276"/>
      <c r="S853" s="276"/>
      <c r="T853" s="276"/>
      <c r="U853" s="276"/>
      <c r="V853" s="276"/>
      <c r="W853" s="276"/>
      <c r="X853" s="276"/>
    </row>
    <row r="854" ht="15.75" customHeight="1">
      <c r="A854" s="283"/>
      <c r="B854" s="284"/>
      <c r="C854" s="284"/>
      <c r="D854" s="284"/>
      <c r="E854" s="285"/>
      <c r="F854" s="35"/>
      <c r="G854" s="290"/>
      <c r="H854" s="360"/>
      <c r="I854" s="285"/>
      <c r="J854" s="276"/>
      <c r="K854" s="276"/>
      <c r="L854" s="276"/>
      <c r="M854" s="276"/>
      <c r="N854" s="276"/>
      <c r="O854" s="276"/>
      <c r="P854" s="276"/>
      <c r="Q854" s="276"/>
      <c r="R854" s="276"/>
      <c r="S854" s="276"/>
      <c r="T854" s="276"/>
      <c r="U854" s="276"/>
      <c r="V854" s="276"/>
      <c r="W854" s="276"/>
      <c r="X854" s="276"/>
    </row>
    <row r="855" ht="15.75" customHeight="1">
      <c r="A855" s="283"/>
      <c r="B855" s="284"/>
      <c r="C855" s="284"/>
      <c r="D855" s="284"/>
      <c r="E855" s="285"/>
      <c r="F855" s="35"/>
      <c r="G855" s="290"/>
      <c r="H855" s="360"/>
      <c r="I855" s="285"/>
      <c r="J855" s="276"/>
      <c r="K855" s="276"/>
      <c r="L855" s="276"/>
      <c r="M855" s="276"/>
      <c r="N855" s="276"/>
      <c r="O855" s="276"/>
      <c r="P855" s="276"/>
      <c r="Q855" s="276"/>
      <c r="R855" s="276"/>
      <c r="S855" s="276"/>
      <c r="T855" s="276"/>
      <c r="U855" s="276"/>
      <c r="V855" s="276"/>
      <c r="W855" s="276"/>
      <c r="X855" s="276"/>
    </row>
    <row r="856" ht="15.75" customHeight="1">
      <c r="A856" s="283"/>
      <c r="B856" s="284"/>
      <c r="C856" s="284"/>
      <c r="D856" s="284"/>
      <c r="E856" s="285"/>
      <c r="F856" s="35"/>
      <c r="G856" s="290"/>
      <c r="H856" s="360"/>
      <c r="I856" s="285"/>
      <c r="J856" s="276"/>
      <c r="K856" s="276"/>
      <c r="L856" s="276"/>
      <c r="M856" s="276"/>
      <c r="N856" s="276"/>
      <c r="O856" s="276"/>
      <c r="P856" s="276"/>
      <c r="Q856" s="276"/>
      <c r="R856" s="276"/>
      <c r="S856" s="276"/>
      <c r="T856" s="276"/>
      <c r="U856" s="276"/>
      <c r="V856" s="276"/>
      <c r="W856" s="276"/>
      <c r="X856" s="276"/>
    </row>
    <row r="857" ht="15.75" customHeight="1">
      <c r="A857" s="297"/>
      <c r="B857" s="284"/>
      <c r="C857" s="284"/>
      <c r="D857" s="284"/>
      <c r="E857" s="285"/>
      <c r="F857" s="35"/>
      <c r="G857" s="290"/>
      <c r="H857" s="360"/>
      <c r="I857" s="285"/>
      <c r="J857" s="276"/>
      <c r="K857" s="276"/>
      <c r="L857" s="276"/>
      <c r="M857" s="276"/>
      <c r="N857" s="276"/>
      <c r="O857" s="276"/>
      <c r="P857" s="276"/>
      <c r="Q857" s="276"/>
      <c r="R857" s="276"/>
      <c r="S857" s="276"/>
      <c r="T857" s="276"/>
      <c r="U857" s="276"/>
      <c r="V857" s="276"/>
      <c r="W857" s="276"/>
      <c r="X857" s="276"/>
    </row>
    <row r="858" ht="15.75" customHeight="1">
      <c r="A858" s="297"/>
      <c r="B858" s="284"/>
      <c r="C858" s="284"/>
      <c r="D858" s="284"/>
      <c r="E858" s="285"/>
      <c r="F858" s="35"/>
      <c r="G858" s="290"/>
      <c r="H858" s="360"/>
      <c r="I858" s="285"/>
      <c r="J858" s="276"/>
      <c r="K858" s="276"/>
      <c r="L858" s="276"/>
      <c r="M858" s="276"/>
      <c r="N858" s="276"/>
      <c r="O858" s="276"/>
      <c r="P858" s="276"/>
      <c r="Q858" s="276"/>
      <c r="R858" s="276"/>
      <c r="S858" s="276"/>
      <c r="T858" s="276"/>
      <c r="U858" s="276"/>
      <c r="V858" s="276"/>
      <c r="W858" s="276"/>
      <c r="X858" s="276"/>
    </row>
    <row r="859" ht="15.75" customHeight="1">
      <c r="A859" s="297"/>
      <c r="B859" s="284"/>
      <c r="C859" s="284"/>
      <c r="D859" s="284"/>
      <c r="E859" s="285"/>
      <c r="F859" s="35"/>
      <c r="G859" s="290"/>
      <c r="H859" s="360"/>
      <c r="I859" s="285"/>
      <c r="J859" s="276"/>
      <c r="K859" s="276"/>
      <c r="L859" s="276"/>
      <c r="M859" s="276"/>
      <c r="N859" s="276"/>
      <c r="O859" s="276"/>
      <c r="P859" s="276"/>
      <c r="Q859" s="276"/>
      <c r="R859" s="276"/>
      <c r="S859" s="276"/>
      <c r="T859" s="276"/>
      <c r="U859" s="276"/>
      <c r="V859" s="276"/>
      <c r="W859" s="276"/>
      <c r="X859" s="276"/>
    </row>
    <row r="860" ht="15.75" customHeight="1">
      <c r="A860" s="297"/>
      <c r="B860" s="284"/>
      <c r="C860" s="284"/>
      <c r="D860" s="284"/>
      <c r="E860" s="285"/>
      <c r="F860" s="35"/>
      <c r="G860" s="290"/>
      <c r="H860" s="360"/>
      <c r="I860" s="285"/>
      <c r="J860" s="276"/>
      <c r="K860" s="276"/>
      <c r="L860" s="276"/>
      <c r="M860" s="276"/>
      <c r="N860" s="276"/>
      <c r="O860" s="276"/>
      <c r="P860" s="276"/>
      <c r="Q860" s="276"/>
      <c r="R860" s="276"/>
      <c r="S860" s="276"/>
      <c r="T860" s="276"/>
      <c r="U860" s="276"/>
      <c r="V860" s="276"/>
      <c r="W860" s="276"/>
      <c r="X860" s="276"/>
    </row>
    <row r="861" ht="15.75" customHeight="1">
      <c r="A861" s="297"/>
      <c r="B861" s="284"/>
      <c r="C861" s="284"/>
      <c r="D861" s="284"/>
      <c r="E861" s="285"/>
      <c r="F861" s="35"/>
      <c r="G861" s="290"/>
      <c r="H861" s="360"/>
      <c r="I861" s="285"/>
      <c r="J861" s="276"/>
      <c r="K861" s="276"/>
      <c r="L861" s="276"/>
      <c r="M861" s="276"/>
      <c r="N861" s="276"/>
      <c r="O861" s="276"/>
      <c r="P861" s="276"/>
      <c r="Q861" s="276"/>
      <c r="R861" s="276"/>
      <c r="S861" s="276"/>
      <c r="T861" s="276"/>
      <c r="U861" s="276"/>
      <c r="V861" s="276"/>
      <c r="W861" s="276"/>
      <c r="X861" s="276"/>
    </row>
    <row r="862" ht="15.75" customHeight="1">
      <c r="A862" s="297"/>
      <c r="B862" s="284"/>
      <c r="C862" s="284"/>
      <c r="D862" s="284"/>
      <c r="E862" s="285"/>
      <c r="F862" s="35"/>
      <c r="G862" s="290"/>
      <c r="H862" s="360"/>
      <c r="I862" s="285"/>
      <c r="J862" s="276"/>
      <c r="K862" s="276"/>
      <c r="L862" s="276"/>
      <c r="M862" s="276"/>
      <c r="N862" s="276"/>
      <c r="O862" s="276"/>
      <c r="P862" s="276"/>
      <c r="Q862" s="276"/>
      <c r="R862" s="276"/>
      <c r="S862" s="276"/>
      <c r="T862" s="276"/>
      <c r="U862" s="276"/>
      <c r="V862" s="276"/>
      <c r="W862" s="276"/>
      <c r="X862" s="276"/>
    </row>
    <row r="863" ht="15.75" customHeight="1">
      <c r="A863" s="297"/>
      <c r="B863" s="284"/>
      <c r="C863" s="284"/>
      <c r="D863" s="284"/>
      <c r="E863" s="285"/>
      <c r="F863" s="35"/>
      <c r="G863" s="290"/>
      <c r="H863" s="360"/>
      <c r="I863" s="285"/>
      <c r="J863" s="276"/>
      <c r="K863" s="276"/>
      <c r="L863" s="276"/>
      <c r="M863" s="276"/>
      <c r="N863" s="276"/>
      <c r="O863" s="276"/>
      <c r="P863" s="276"/>
      <c r="Q863" s="276"/>
      <c r="R863" s="276"/>
      <c r="S863" s="276"/>
      <c r="T863" s="276"/>
      <c r="U863" s="276"/>
      <c r="V863" s="276"/>
      <c r="W863" s="276"/>
      <c r="X863" s="276"/>
    </row>
    <row r="864" ht="15.75" customHeight="1">
      <c r="A864" s="297"/>
      <c r="B864" s="284"/>
      <c r="C864" s="284"/>
      <c r="D864" s="284"/>
      <c r="E864" s="285"/>
      <c r="F864" s="35"/>
      <c r="G864" s="290"/>
      <c r="H864" s="360"/>
      <c r="I864" s="285"/>
      <c r="J864" s="276"/>
      <c r="K864" s="276"/>
      <c r="L864" s="276"/>
      <c r="M864" s="276"/>
      <c r="N864" s="276"/>
      <c r="O864" s="276"/>
      <c r="P864" s="276"/>
      <c r="Q864" s="276"/>
      <c r="R864" s="276"/>
      <c r="S864" s="276"/>
      <c r="T864" s="276"/>
      <c r="U864" s="276"/>
      <c r="V864" s="276"/>
      <c r="W864" s="276"/>
      <c r="X864" s="276"/>
    </row>
    <row r="865" ht="15.75" customHeight="1">
      <c r="A865" s="297"/>
      <c r="B865" s="284"/>
      <c r="C865" s="284"/>
      <c r="D865" s="284"/>
      <c r="E865" s="285"/>
      <c r="F865" s="35"/>
      <c r="G865" s="290"/>
      <c r="H865" s="360"/>
      <c r="I865" s="285"/>
      <c r="J865" s="276"/>
      <c r="K865" s="276"/>
      <c r="L865" s="276"/>
      <c r="M865" s="276"/>
      <c r="N865" s="276"/>
      <c r="O865" s="276"/>
      <c r="P865" s="276"/>
      <c r="Q865" s="276"/>
      <c r="R865" s="276"/>
      <c r="S865" s="276"/>
      <c r="T865" s="276"/>
      <c r="U865" s="276"/>
      <c r="V865" s="276"/>
      <c r="W865" s="276"/>
      <c r="X865" s="276"/>
    </row>
    <row r="866" ht="15.75" customHeight="1">
      <c r="A866" s="297"/>
      <c r="B866" s="284"/>
      <c r="C866" s="284"/>
      <c r="D866" s="284"/>
      <c r="E866" s="285"/>
      <c r="F866" s="35"/>
      <c r="G866" s="290"/>
      <c r="H866" s="360"/>
      <c r="I866" s="285"/>
      <c r="J866" s="276"/>
      <c r="K866" s="276"/>
      <c r="L866" s="276"/>
      <c r="M866" s="276"/>
      <c r="N866" s="276"/>
      <c r="O866" s="276"/>
      <c r="P866" s="276"/>
      <c r="Q866" s="276"/>
      <c r="R866" s="276"/>
      <c r="S866" s="276"/>
      <c r="T866" s="276"/>
      <c r="U866" s="276"/>
      <c r="V866" s="276"/>
      <c r="W866" s="276"/>
      <c r="X866" s="276"/>
    </row>
    <row r="867" ht="15.75" customHeight="1">
      <c r="A867" s="297"/>
      <c r="B867" s="284"/>
      <c r="C867" s="284"/>
      <c r="D867" s="284"/>
      <c r="E867" s="285"/>
      <c r="F867" s="35"/>
      <c r="G867" s="290"/>
      <c r="H867" s="360"/>
      <c r="I867" s="285"/>
      <c r="J867" s="276"/>
      <c r="K867" s="276"/>
      <c r="L867" s="276"/>
      <c r="M867" s="276"/>
      <c r="N867" s="276"/>
      <c r="O867" s="276"/>
      <c r="P867" s="276"/>
      <c r="Q867" s="276"/>
      <c r="R867" s="276"/>
      <c r="S867" s="276"/>
      <c r="T867" s="276"/>
      <c r="U867" s="276"/>
      <c r="V867" s="276"/>
      <c r="W867" s="276"/>
      <c r="X867" s="276"/>
    </row>
    <row r="868" ht="15.75" customHeight="1">
      <c r="A868" s="297"/>
      <c r="B868" s="284"/>
      <c r="C868" s="284"/>
      <c r="D868" s="284"/>
      <c r="E868" s="285"/>
      <c r="F868" s="286"/>
      <c r="G868" s="287"/>
      <c r="H868" s="288"/>
      <c r="I868" s="285"/>
      <c r="J868" s="276"/>
      <c r="K868" s="276"/>
      <c r="L868" s="276"/>
      <c r="M868" s="276"/>
      <c r="N868" s="276"/>
      <c r="O868" s="276"/>
      <c r="P868" s="276"/>
      <c r="Q868" s="276"/>
      <c r="R868" s="276"/>
      <c r="S868" s="276"/>
      <c r="T868" s="276"/>
      <c r="U868" s="276"/>
      <c r="V868" s="276"/>
      <c r="W868" s="276"/>
      <c r="X868" s="276"/>
    </row>
    <row r="869" ht="15.75" customHeight="1">
      <c r="A869" s="297"/>
      <c r="B869" s="284"/>
      <c r="C869" s="284"/>
      <c r="D869" s="284"/>
      <c r="E869" s="312"/>
      <c r="F869" s="312"/>
      <c r="G869" s="319"/>
      <c r="H869" s="288"/>
      <c r="I869" s="285"/>
      <c r="J869" s="276"/>
      <c r="K869" s="276"/>
      <c r="L869" s="276"/>
      <c r="M869" s="276"/>
      <c r="N869" s="276"/>
      <c r="O869" s="276"/>
      <c r="P869" s="276"/>
      <c r="Q869" s="276"/>
      <c r="R869" s="276"/>
      <c r="S869" s="276"/>
      <c r="T869" s="276"/>
      <c r="U869" s="276"/>
      <c r="V869" s="276"/>
      <c r="W869" s="276"/>
      <c r="X869" s="276"/>
    </row>
    <row r="870" ht="15.75" customHeight="1">
      <c r="A870" s="297"/>
      <c r="B870" s="284"/>
      <c r="C870" s="284"/>
      <c r="D870" s="284"/>
      <c r="E870" s="312"/>
      <c r="F870" s="312"/>
      <c r="G870" s="319"/>
      <c r="H870" s="288"/>
      <c r="I870" s="285"/>
      <c r="J870" s="276"/>
      <c r="K870" s="276"/>
      <c r="L870" s="276"/>
      <c r="M870" s="276"/>
      <c r="N870" s="276"/>
      <c r="O870" s="276"/>
      <c r="P870" s="276"/>
      <c r="Q870" s="276"/>
      <c r="R870" s="276"/>
      <c r="S870" s="276"/>
      <c r="T870" s="276"/>
      <c r="U870" s="276"/>
      <c r="V870" s="276"/>
      <c r="W870" s="276"/>
      <c r="X870" s="276"/>
    </row>
    <row r="871" ht="15.75" customHeight="1">
      <c r="A871" s="297"/>
      <c r="B871" s="284"/>
      <c r="C871" s="284"/>
      <c r="D871" s="284"/>
      <c r="E871" s="285"/>
      <c r="F871" s="285"/>
      <c r="G871" s="290"/>
      <c r="H871" s="288"/>
      <c r="I871" s="285"/>
      <c r="J871" s="276"/>
      <c r="K871" s="276"/>
      <c r="L871" s="276"/>
      <c r="M871" s="276"/>
      <c r="N871" s="276"/>
      <c r="O871" s="276"/>
      <c r="P871" s="276"/>
      <c r="Q871" s="276"/>
      <c r="R871" s="276"/>
      <c r="S871" s="276"/>
      <c r="T871" s="276"/>
      <c r="U871" s="276"/>
      <c r="V871" s="276"/>
      <c r="W871" s="276"/>
      <c r="X871" s="276"/>
    </row>
    <row r="872" ht="15.75" customHeight="1">
      <c r="A872" s="297"/>
      <c r="B872" s="284"/>
      <c r="C872" s="284"/>
      <c r="D872" s="284"/>
      <c r="E872" s="285"/>
      <c r="F872" s="286"/>
      <c r="G872" s="287"/>
      <c r="H872" s="288"/>
      <c r="I872" s="285"/>
      <c r="J872" s="276"/>
      <c r="K872" s="276"/>
      <c r="L872" s="276"/>
      <c r="M872" s="276"/>
      <c r="N872" s="276"/>
      <c r="O872" s="276"/>
      <c r="P872" s="276"/>
      <c r="Q872" s="276"/>
      <c r="R872" s="276"/>
      <c r="S872" s="276"/>
      <c r="T872" s="276"/>
      <c r="U872" s="276"/>
      <c r="V872" s="276"/>
      <c r="W872" s="276"/>
      <c r="X872" s="276"/>
    </row>
    <row r="873" ht="15.75" customHeight="1">
      <c r="A873" s="297"/>
      <c r="B873" s="284"/>
      <c r="C873" s="284"/>
      <c r="D873" s="284"/>
      <c r="E873" s="285"/>
      <c r="F873" s="286"/>
      <c r="G873" s="287"/>
      <c r="H873" s="288"/>
      <c r="I873" s="285"/>
      <c r="J873" s="276"/>
      <c r="K873" s="276"/>
      <c r="L873" s="276"/>
      <c r="M873" s="276"/>
      <c r="N873" s="276"/>
      <c r="O873" s="276"/>
      <c r="P873" s="276"/>
      <c r="Q873" s="276"/>
      <c r="R873" s="276"/>
      <c r="S873" s="276"/>
      <c r="T873" s="276"/>
      <c r="U873" s="276"/>
      <c r="V873" s="276"/>
      <c r="W873" s="276"/>
      <c r="X873" s="276"/>
    </row>
    <row r="874" ht="15.75" customHeight="1">
      <c r="A874" s="297"/>
      <c r="B874" s="284"/>
      <c r="C874" s="284"/>
      <c r="D874" s="284"/>
      <c r="E874" s="285"/>
      <c r="F874" s="286"/>
      <c r="G874" s="287"/>
      <c r="H874" s="288"/>
      <c r="I874" s="285"/>
      <c r="J874" s="276"/>
      <c r="K874" s="276"/>
      <c r="L874" s="276"/>
      <c r="M874" s="276"/>
      <c r="N874" s="276"/>
      <c r="O874" s="276"/>
      <c r="P874" s="276"/>
      <c r="Q874" s="276"/>
      <c r="R874" s="276"/>
      <c r="S874" s="276"/>
      <c r="T874" s="276"/>
      <c r="U874" s="276"/>
      <c r="V874" s="276"/>
      <c r="W874" s="276"/>
      <c r="X874" s="276"/>
    </row>
    <row r="875" ht="15.75" customHeight="1">
      <c r="A875" s="297"/>
      <c r="B875" s="284"/>
      <c r="C875" s="284"/>
      <c r="D875" s="284"/>
      <c r="E875" s="285"/>
      <c r="F875" s="286"/>
      <c r="G875" s="287"/>
      <c r="H875" s="288"/>
      <c r="I875" s="285"/>
      <c r="J875" s="276"/>
      <c r="K875" s="276"/>
      <c r="L875" s="276"/>
      <c r="M875" s="276"/>
      <c r="N875" s="276"/>
      <c r="O875" s="276"/>
      <c r="P875" s="276"/>
      <c r="Q875" s="276"/>
      <c r="R875" s="276"/>
      <c r="S875" s="276"/>
      <c r="T875" s="276"/>
      <c r="U875" s="276"/>
      <c r="V875" s="276"/>
      <c r="W875" s="276"/>
      <c r="X875" s="276"/>
    </row>
    <row r="876" ht="15.75" customHeight="1">
      <c r="A876" s="297"/>
      <c r="B876" s="284"/>
      <c r="C876" s="284"/>
      <c r="D876" s="284"/>
      <c r="E876" s="285"/>
      <c r="F876" s="286"/>
      <c r="G876" s="287"/>
      <c r="H876" s="288"/>
      <c r="I876" s="285"/>
      <c r="J876" s="276"/>
      <c r="K876" s="276"/>
      <c r="L876" s="276"/>
      <c r="M876" s="276"/>
      <c r="N876" s="276"/>
      <c r="O876" s="276"/>
      <c r="P876" s="276"/>
      <c r="Q876" s="276"/>
      <c r="R876" s="276"/>
      <c r="S876" s="276"/>
      <c r="T876" s="276"/>
      <c r="U876" s="276"/>
      <c r="V876" s="276"/>
      <c r="W876" s="276"/>
      <c r="X876" s="276"/>
    </row>
    <row r="877" ht="15.75" customHeight="1">
      <c r="A877" s="297"/>
      <c r="B877" s="284"/>
      <c r="C877" s="284"/>
      <c r="D877" s="284"/>
      <c r="E877" s="285"/>
      <c r="F877" s="286"/>
      <c r="G877" s="287"/>
      <c r="H877" s="288"/>
      <c r="I877" s="285"/>
      <c r="J877" s="276"/>
      <c r="K877" s="276"/>
      <c r="L877" s="276"/>
      <c r="M877" s="276"/>
      <c r="N877" s="276"/>
      <c r="O877" s="276"/>
      <c r="P877" s="276"/>
      <c r="Q877" s="276"/>
      <c r="R877" s="276"/>
      <c r="S877" s="276"/>
      <c r="T877" s="276"/>
      <c r="U877" s="276"/>
      <c r="V877" s="276"/>
      <c r="W877" s="276"/>
      <c r="X877" s="276"/>
    </row>
    <row r="878" ht="15.75" customHeight="1">
      <c r="A878" s="297"/>
      <c r="B878" s="284"/>
      <c r="C878" s="284"/>
      <c r="D878" s="284"/>
      <c r="E878" s="285"/>
      <c r="F878" s="286"/>
      <c r="G878" s="287"/>
      <c r="H878" s="288"/>
      <c r="I878" s="285"/>
      <c r="J878" s="276"/>
      <c r="K878" s="276"/>
      <c r="L878" s="276"/>
      <c r="M878" s="276"/>
      <c r="N878" s="276"/>
      <c r="O878" s="276"/>
      <c r="P878" s="276"/>
      <c r="Q878" s="276"/>
      <c r="R878" s="276"/>
      <c r="S878" s="276"/>
      <c r="T878" s="276"/>
      <c r="U878" s="276"/>
      <c r="V878" s="276"/>
      <c r="W878" s="276"/>
      <c r="X878" s="276"/>
    </row>
    <row r="879" ht="15.75" customHeight="1">
      <c r="A879" s="297"/>
      <c r="B879" s="284"/>
      <c r="C879" s="284"/>
      <c r="D879" s="284"/>
      <c r="E879" s="285"/>
      <c r="F879" s="286"/>
      <c r="G879" s="287"/>
      <c r="H879" s="288"/>
      <c r="I879" s="285"/>
      <c r="J879" s="276"/>
      <c r="K879" s="276"/>
      <c r="L879" s="276"/>
      <c r="M879" s="276"/>
      <c r="N879" s="276"/>
      <c r="O879" s="276"/>
      <c r="P879" s="276"/>
      <c r="Q879" s="276"/>
      <c r="R879" s="276"/>
      <c r="S879" s="276"/>
      <c r="T879" s="276"/>
      <c r="U879" s="276"/>
      <c r="V879" s="276"/>
      <c r="W879" s="276"/>
      <c r="X879" s="276"/>
    </row>
    <row r="880" ht="15.75" customHeight="1">
      <c r="A880" s="297"/>
      <c r="B880" s="284"/>
      <c r="C880" s="284"/>
      <c r="D880" s="284"/>
      <c r="E880" s="285"/>
      <c r="F880" s="286"/>
      <c r="G880" s="287"/>
      <c r="H880" s="288"/>
      <c r="I880" s="285"/>
      <c r="J880" s="276"/>
      <c r="K880" s="276"/>
      <c r="L880" s="276"/>
      <c r="M880" s="276"/>
      <c r="N880" s="276"/>
      <c r="O880" s="276"/>
      <c r="P880" s="276"/>
      <c r="Q880" s="276"/>
      <c r="R880" s="276"/>
      <c r="S880" s="276"/>
      <c r="T880" s="276"/>
      <c r="U880" s="276"/>
      <c r="V880" s="276"/>
      <c r="W880" s="276"/>
      <c r="X880" s="276"/>
    </row>
    <row r="881" ht="15.75" customHeight="1">
      <c r="A881" s="297"/>
      <c r="B881" s="284"/>
      <c r="C881" s="284"/>
      <c r="D881" s="284"/>
      <c r="E881" s="285"/>
      <c r="F881" s="286"/>
      <c r="G881" s="287"/>
      <c r="H881" s="288"/>
      <c r="I881" s="285"/>
      <c r="J881" s="276"/>
      <c r="K881" s="276"/>
      <c r="L881" s="276"/>
      <c r="M881" s="276"/>
      <c r="N881" s="276"/>
      <c r="O881" s="276"/>
      <c r="P881" s="276"/>
      <c r="Q881" s="276"/>
      <c r="R881" s="276"/>
      <c r="S881" s="276"/>
      <c r="T881" s="276"/>
      <c r="U881" s="276"/>
      <c r="V881" s="276"/>
      <c r="W881" s="276"/>
      <c r="X881" s="276"/>
    </row>
    <row r="882" ht="15.75" customHeight="1">
      <c r="A882" s="297"/>
      <c r="B882" s="284"/>
      <c r="C882" s="284"/>
      <c r="D882" s="284"/>
      <c r="E882" s="285"/>
      <c r="F882" s="285"/>
      <c r="G882" s="290"/>
      <c r="H882" s="288"/>
      <c r="I882" s="285"/>
      <c r="J882" s="276"/>
      <c r="K882" s="276"/>
      <c r="L882" s="276"/>
      <c r="M882" s="276"/>
      <c r="N882" s="276"/>
      <c r="O882" s="276"/>
      <c r="P882" s="276"/>
      <c r="Q882" s="276"/>
      <c r="R882" s="276"/>
      <c r="S882" s="276"/>
      <c r="T882" s="276"/>
      <c r="U882" s="276"/>
      <c r="V882" s="276"/>
      <c r="W882" s="276"/>
      <c r="X882" s="276"/>
    </row>
    <row r="883" ht="15.75" customHeight="1">
      <c r="A883" s="297"/>
      <c r="B883" s="284"/>
      <c r="C883" s="284"/>
      <c r="D883" s="284"/>
      <c r="E883" s="285"/>
      <c r="F883" s="285"/>
      <c r="G883" s="290"/>
      <c r="H883" s="288"/>
      <c r="I883" s="285"/>
      <c r="J883" s="276"/>
      <c r="K883" s="276"/>
      <c r="L883" s="276"/>
      <c r="M883" s="276"/>
      <c r="N883" s="276"/>
      <c r="O883" s="276"/>
      <c r="P883" s="276"/>
      <c r="Q883" s="276"/>
      <c r="R883" s="276"/>
      <c r="S883" s="276"/>
      <c r="T883" s="276"/>
      <c r="U883" s="276"/>
      <c r="V883" s="276"/>
      <c r="W883" s="276"/>
      <c r="X883" s="276"/>
    </row>
    <row r="884" ht="15.75" customHeight="1">
      <c r="A884" s="297"/>
      <c r="B884" s="284"/>
      <c r="C884" s="284"/>
      <c r="D884" s="284"/>
      <c r="E884" s="285"/>
      <c r="F884" s="285"/>
      <c r="G884" s="290"/>
      <c r="H884" s="288"/>
      <c r="I884" s="285"/>
      <c r="J884" s="276"/>
      <c r="K884" s="276"/>
      <c r="L884" s="276"/>
      <c r="M884" s="276"/>
      <c r="N884" s="276"/>
      <c r="O884" s="276"/>
      <c r="P884" s="276"/>
      <c r="Q884" s="276"/>
      <c r="R884" s="276"/>
      <c r="S884" s="276"/>
      <c r="T884" s="276"/>
      <c r="U884" s="276"/>
      <c r="V884" s="276"/>
      <c r="W884" s="276"/>
      <c r="X884" s="276"/>
    </row>
    <row r="885" ht="15.75" customHeight="1">
      <c r="A885" s="297"/>
      <c r="B885" s="284"/>
      <c r="C885" s="284"/>
      <c r="D885" s="284"/>
      <c r="E885" s="312"/>
      <c r="F885" s="312"/>
      <c r="G885" s="319"/>
      <c r="H885" s="288"/>
      <c r="I885" s="285"/>
      <c r="J885" s="276"/>
      <c r="K885" s="276"/>
      <c r="L885" s="276"/>
      <c r="M885" s="276"/>
      <c r="N885" s="276"/>
      <c r="O885" s="276"/>
      <c r="P885" s="276"/>
      <c r="Q885" s="276"/>
      <c r="R885" s="276"/>
      <c r="S885" s="276"/>
      <c r="T885" s="276"/>
      <c r="U885" s="276"/>
      <c r="V885" s="276"/>
      <c r="W885" s="276"/>
      <c r="X885" s="276"/>
    </row>
    <row r="886" ht="15.75" customHeight="1">
      <c r="A886" s="297"/>
      <c r="B886" s="284"/>
      <c r="C886" s="284"/>
      <c r="D886" s="284"/>
      <c r="E886" s="312"/>
      <c r="F886" s="312"/>
      <c r="G886" s="319"/>
      <c r="H886" s="288"/>
      <c r="I886" s="285"/>
      <c r="J886" s="276"/>
      <c r="K886" s="276"/>
      <c r="L886" s="276"/>
      <c r="M886" s="276"/>
      <c r="N886" s="276"/>
      <c r="O886" s="276"/>
      <c r="P886" s="276"/>
      <c r="Q886" s="276"/>
      <c r="R886" s="276"/>
      <c r="S886" s="276"/>
      <c r="T886" s="276"/>
      <c r="U886" s="276"/>
      <c r="V886" s="276"/>
      <c r="W886" s="276"/>
      <c r="X886" s="276"/>
    </row>
    <row r="887" ht="15.75" customHeight="1">
      <c r="A887" s="297"/>
      <c r="B887" s="284"/>
      <c r="C887" s="284"/>
      <c r="D887" s="284"/>
      <c r="E887" s="285"/>
      <c r="F887" s="35"/>
      <c r="G887" s="290"/>
      <c r="H887" s="360"/>
      <c r="I887" s="285"/>
      <c r="J887" s="276"/>
      <c r="K887" s="276"/>
      <c r="L887" s="276"/>
      <c r="M887" s="276"/>
      <c r="N887" s="276"/>
      <c r="O887" s="276"/>
      <c r="P887" s="276"/>
      <c r="Q887" s="276"/>
      <c r="R887" s="276"/>
      <c r="S887" s="276"/>
      <c r="T887" s="276"/>
      <c r="U887" s="276"/>
      <c r="V887" s="276"/>
      <c r="W887" s="276"/>
      <c r="X887" s="276"/>
    </row>
    <row r="888" ht="15.75" customHeight="1">
      <c r="A888" s="297"/>
      <c r="B888" s="284"/>
      <c r="C888" s="284"/>
      <c r="D888" s="284"/>
      <c r="E888" s="285"/>
      <c r="F888" s="35"/>
      <c r="G888" s="290"/>
      <c r="H888" s="360"/>
      <c r="I888" s="285"/>
      <c r="J888" s="276"/>
      <c r="K888" s="276"/>
      <c r="L888" s="276"/>
      <c r="M888" s="276"/>
      <c r="N888" s="276"/>
      <c r="O888" s="276"/>
      <c r="P888" s="276"/>
      <c r="Q888" s="276"/>
      <c r="R888" s="276"/>
      <c r="S888" s="276"/>
      <c r="T888" s="276"/>
      <c r="U888" s="276"/>
      <c r="V888" s="276"/>
      <c r="W888" s="276"/>
      <c r="X888" s="276"/>
    </row>
    <row r="889" ht="15.75" customHeight="1">
      <c r="A889" s="297"/>
      <c r="B889" s="284"/>
      <c r="C889" s="284"/>
      <c r="D889" s="284"/>
      <c r="E889" s="285"/>
      <c r="F889" s="35"/>
      <c r="G889" s="290"/>
      <c r="H889" s="360"/>
      <c r="I889" s="285"/>
      <c r="J889" s="276"/>
      <c r="K889" s="276"/>
      <c r="L889" s="276"/>
      <c r="M889" s="276"/>
      <c r="N889" s="276"/>
      <c r="O889" s="276"/>
      <c r="P889" s="276"/>
      <c r="Q889" s="276"/>
      <c r="R889" s="276"/>
      <c r="S889" s="276"/>
      <c r="T889" s="276"/>
      <c r="U889" s="276"/>
      <c r="V889" s="276"/>
      <c r="W889" s="276"/>
      <c r="X889" s="276"/>
    </row>
    <row r="890" ht="15.75" customHeight="1">
      <c r="A890" s="297"/>
      <c r="B890" s="284"/>
      <c r="C890" s="284"/>
      <c r="D890" s="284"/>
      <c r="E890" s="285"/>
      <c r="F890" s="35"/>
      <c r="G890" s="290"/>
      <c r="H890" s="360"/>
      <c r="I890" s="285"/>
      <c r="J890" s="276"/>
      <c r="K890" s="276"/>
      <c r="L890" s="276"/>
      <c r="M890" s="276"/>
      <c r="N890" s="276"/>
      <c r="O890" s="276"/>
      <c r="P890" s="276"/>
      <c r="Q890" s="276"/>
      <c r="R890" s="276"/>
      <c r="S890" s="276"/>
      <c r="T890" s="276"/>
      <c r="U890" s="276"/>
      <c r="V890" s="276"/>
      <c r="W890" s="276"/>
      <c r="X890" s="276"/>
    </row>
    <row r="891" ht="15.75" customHeight="1">
      <c r="A891" s="297"/>
      <c r="B891" s="284"/>
      <c r="C891" s="284"/>
      <c r="D891" s="284"/>
      <c r="E891" s="285"/>
      <c r="F891" s="35"/>
      <c r="G891" s="290"/>
      <c r="H891" s="360"/>
      <c r="I891" s="285"/>
      <c r="J891" s="276"/>
      <c r="K891" s="276"/>
      <c r="L891" s="276"/>
      <c r="M891" s="276"/>
      <c r="N891" s="276"/>
      <c r="O891" s="276"/>
      <c r="P891" s="276"/>
      <c r="Q891" s="276"/>
      <c r="R891" s="276"/>
      <c r="S891" s="276"/>
      <c r="T891" s="276"/>
      <c r="U891" s="276"/>
      <c r="V891" s="276"/>
      <c r="W891" s="276"/>
      <c r="X891" s="276"/>
    </row>
    <row r="892" ht="15.75" customHeight="1">
      <c r="A892" s="297"/>
      <c r="B892" s="284"/>
      <c r="C892" s="284"/>
      <c r="D892" s="284"/>
      <c r="E892" s="285"/>
      <c r="F892" s="286"/>
      <c r="G892" s="287"/>
      <c r="H892" s="288"/>
      <c r="I892" s="285"/>
      <c r="J892" s="276"/>
      <c r="K892" s="276"/>
      <c r="L892" s="276"/>
      <c r="M892" s="276"/>
      <c r="N892" s="276"/>
      <c r="O892" s="276"/>
      <c r="P892" s="276"/>
      <c r="Q892" s="276"/>
      <c r="R892" s="276"/>
      <c r="S892" s="276"/>
      <c r="T892" s="276"/>
      <c r="U892" s="276"/>
      <c r="V892" s="276"/>
      <c r="W892" s="276"/>
      <c r="X892" s="276"/>
    </row>
    <row r="893" ht="15.75" customHeight="1">
      <c r="A893" s="297"/>
      <c r="B893" s="284"/>
      <c r="C893" s="284"/>
      <c r="D893" s="284"/>
      <c r="E893" s="285"/>
      <c r="F893" s="286"/>
      <c r="G893" s="287"/>
      <c r="H893" s="288"/>
      <c r="I893" s="285"/>
      <c r="J893" s="276"/>
      <c r="K893" s="276"/>
      <c r="L893" s="276"/>
      <c r="M893" s="276"/>
      <c r="N893" s="276"/>
      <c r="O893" s="276"/>
      <c r="P893" s="276"/>
      <c r="Q893" s="276"/>
      <c r="R893" s="276"/>
      <c r="S893" s="276"/>
      <c r="T893" s="276"/>
      <c r="U893" s="276"/>
      <c r="V893" s="276"/>
      <c r="W893" s="276"/>
      <c r="X893" s="276"/>
    </row>
    <row r="894" ht="15.75" customHeight="1">
      <c r="A894" s="297"/>
      <c r="B894" s="284"/>
      <c r="C894" s="284"/>
      <c r="D894" s="284"/>
      <c r="E894" s="285"/>
      <c r="F894" s="286"/>
      <c r="G894" s="287"/>
      <c r="H894" s="288"/>
      <c r="I894" s="285"/>
      <c r="J894" s="276"/>
      <c r="K894" s="276"/>
      <c r="L894" s="276"/>
      <c r="M894" s="276"/>
      <c r="N894" s="276"/>
      <c r="O894" s="276"/>
      <c r="P894" s="276"/>
      <c r="Q894" s="276"/>
      <c r="R894" s="276"/>
      <c r="S894" s="276"/>
      <c r="T894" s="276"/>
      <c r="U894" s="276"/>
      <c r="V894" s="276"/>
      <c r="W894" s="276"/>
      <c r="X894" s="276"/>
    </row>
    <row r="895" ht="15.75" customHeight="1">
      <c r="A895" s="283"/>
      <c r="B895" s="284"/>
      <c r="C895" s="284"/>
      <c r="D895" s="284"/>
      <c r="E895" s="285"/>
      <c r="F895" s="286"/>
      <c r="G895" s="287"/>
      <c r="H895" s="288"/>
      <c r="I895" s="285"/>
      <c r="J895" s="276"/>
      <c r="K895" s="276"/>
      <c r="L895" s="276"/>
      <c r="M895" s="276"/>
      <c r="N895" s="276"/>
      <c r="O895" s="276"/>
      <c r="P895" s="276"/>
      <c r="Q895" s="276"/>
      <c r="R895" s="276"/>
      <c r="S895" s="276"/>
      <c r="T895" s="276"/>
      <c r="U895" s="276"/>
      <c r="V895" s="276"/>
      <c r="W895" s="276"/>
      <c r="X895" s="276"/>
    </row>
    <row r="896" ht="15.75" customHeight="1">
      <c r="A896" s="283"/>
      <c r="B896" s="284"/>
      <c r="C896" s="284"/>
      <c r="D896" s="284"/>
      <c r="E896" s="285"/>
      <c r="F896" s="286"/>
      <c r="G896" s="287"/>
      <c r="H896" s="288"/>
      <c r="I896" s="285"/>
      <c r="J896" s="276"/>
      <c r="K896" s="276"/>
      <c r="L896" s="276"/>
      <c r="M896" s="276"/>
      <c r="N896" s="276"/>
      <c r="O896" s="276"/>
      <c r="P896" s="276"/>
      <c r="Q896" s="276"/>
      <c r="R896" s="276"/>
      <c r="S896" s="276"/>
      <c r="T896" s="276"/>
      <c r="U896" s="276"/>
      <c r="V896" s="276"/>
      <c r="W896" s="276"/>
      <c r="X896" s="276"/>
    </row>
    <row r="897" ht="15.75" customHeight="1">
      <c r="A897" s="283"/>
      <c r="B897" s="284"/>
      <c r="C897" s="284"/>
      <c r="D897" s="284"/>
      <c r="E897" s="312"/>
      <c r="F897" s="312"/>
      <c r="G897" s="319"/>
      <c r="H897" s="288"/>
      <c r="I897" s="285"/>
      <c r="J897" s="276"/>
      <c r="K897" s="276"/>
      <c r="L897" s="276"/>
      <c r="M897" s="276"/>
      <c r="N897" s="276"/>
      <c r="O897" s="276"/>
      <c r="P897" s="276"/>
      <c r="Q897" s="276"/>
      <c r="R897" s="276"/>
      <c r="S897" s="276"/>
      <c r="T897" s="276"/>
      <c r="U897" s="276"/>
      <c r="V897" s="276"/>
      <c r="W897" s="276"/>
      <c r="X897" s="276"/>
    </row>
    <row r="898" ht="15.75" customHeight="1">
      <c r="A898" s="283"/>
      <c r="B898" s="284"/>
      <c r="C898" s="284"/>
      <c r="D898" s="284"/>
      <c r="E898" s="285"/>
      <c r="F898" s="285"/>
      <c r="G898" s="290"/>
      <c r="H898" s="288"/>
      <c r="I898" s="285"/>
      <c r="J898" s="276"/>
      <c r="K898" s="276"/>
      <c r="L898" s="276"/>
      <c r="M898" s="276"/>
      <c r="N898" s="276"/>
      <c r="O898" s="276"/>
      <c r="P898" s="276"/>
      <c r="Q898" s="276"/>
      <c r="R898" s="276"/>
      <c r="S898" s="276"/>
      <c r="T898" s="276"/>
      <c r="U898" s="276"/>
      <c r="V898" s="276"/>
      <c r="W898" s="276"/>
      <c r="X898" s="276"/>
    </row>
    <row r="899" ht="15.75" customHeight="1">
      <c r="A899" s="283"/>
      <c r="B899" s="284"/>
      <c r="C899" s="284"/>
      <c r="D899" s="284"/>
      <c r="E899" s="285"/>
      <c r="F899" s="285"/>
      <c r="G899" s="290"/>
      <c r="H899" s="288"/>
      <c r="I899" s="285"/>
      <c r="J899" s="276"/>
      <c r="K899" s="276"/>
      <c r="L899" s="276"/>
      <c r="M899" s="276"/>
      <c r="N899" s="276"/>
      <c r="O899" s="276"/>
      <c r="P899" s="276"/>
      <c r="Q899" s="276"/>
      <c r="R899" s="276"/>
      <c r="S899" s="276"/>
      <c r="T899" s="276"/>
      <c r="U899" s="276"/>
      <c r="V899" s="276"/>
      <c r="W899" s="276"/>
      <c r="X899" s="276"/>
    </row>
    <row r="900" ht="15.75" customHeight="1">
      <c r="A900" s="283"/>
      <c r="B900" s="284"/>
      <c r="C900" s="284"/>
      <c r="D900" s="284"/>
      <c r="E900" s="285"/>
      <c r="F900" s="286"/>
      <c r="G900" s="287"/>
      <c r="H900" s="288"/>
      <c r="I900" s="285"/>
      <c r="J900" s="276"/>
      <c r="K900" s="276"/>
      <c r="L900" s="276"/>
      <c r="M900" s="276"/>
      <c r="N900" s="276"/>
      <c r="O900" s="276"/>
      <c r="P900" s="276"/>
      <c r="Q900" s="276"/>
      <c r="R900" s="276"/>
      <c r="S900" s="276"/>
      <c r="T900" s="276"/>
      <c r="U900" s="276"/>
      <c r="V900" s="276"/>
      <c r="W900" s="276"/>
      <c r="X900" s="276"/>
    </row>
    <row r="901" ht="15.75" customHeight="1">
      <c r="A901" s="283"/>
      <c r="B901" s="284"/>
      <c r="C901" s="284"/>
      <c r="D901" s="284"/>
      <c r="E901" s="285"/>
      <c r="F901" s="286"/>
      <c r="G901" s="287"/>
      <c r="H901" s="288"/>
      <c r="I901" s="285"/>
      <c r="J901" s="276"/>
      <c r="K901" s="276"/>
      <c r="L901" s="276"/>
      <c r="M901" s="276"/>
      <c r="N901" s="276"/>
      <c r="O901" s="276"/>
      <c r="P901" s="276"/>
      <c r="Q901" s="276"/>
      <c r="R901" s="276"/>
      <c r="S901" s="276"/>
      <c r="T901" s="276"/>
      <c r="U901" s="276"/>
      <c r="V901" s="276"/>
      <c r="W901" s="276"/>
      <c r="X901" s="276"/>
    </row>
    <row r="902" ht="15.75" customHeight="1">
      <c r="A902" s="283"/>
      <c r="B902" s="284"/>
      <c r="C902" s="284"/>
      <c r="D902" s="284"/>
      <c r="E902" s="285"/>
      <c r="F902" s="286"/>
      <c r="G902" s="287"/>
      <c r="H902" s="288"/>
      <c r="I902" s="285"/>
      <c r="J902" s="276"/>
      <c r="K902" s="276"/>
      <c r="L902" s="276"/>
      <c r="M902" s="276"/>
      <c r="N902" s="276"/>
      <c r="O902" s="276"/>
      <c r="P902" s="276"/>
      <c r="Q902" s="276"/>
      <c r="R902" s="276"/>
      <c r="S902" s="276"/>
      <c r="T902" s="276"/>
      <c r="U902" s="276"/>
      <c r="V902" s="276"/>
      <c r="W902" s="276"/>
      <c r="X902" s="276"/>
    </row>
    <row r="903" ht="15.75" customHeight="1">
      <c r="A903" s="289"/>
      <c r="B903" s="284"/>
      <c r="C903" s="284"/>
      <c r="D903" s="284"/>
      <c r="E903" s="285"/>
      <c r="F903" s="285"/>
      <c r="G903" s="290"/>
      <c r="H903" s="288"/>
      <c r="I903" s="285"/>
      <c r="J903" s="276"/>
      <c r="K903" s="276"/>
      <c r="L903" s="276"/>
      <c r="M903" s="276"/>
      <c r="N903" s="276"/>
      <c r="O903" s="276"/>
      <c r="P903" s="276"/>
      <c r="Q903" s="276"/>
      <c r="R903" s="276"/>
      <c r="S903" s="276"/>
      <c r="T903" s="276"/>
      <c r="U903" s="276"/>
      <c r="V903" s="276"/>
      <c r="W903" s="276"/>
      <c r="X903" s="276"/>
    </row>
    <row r="904" ht="15.75" customHeight="1">
      <c r="A904" s="289"/>
      <c r="B904" s="284"/>
      <c r="C904" s="284"/>
      <c r="D904" s="284"/>
      <c r="E904" s="285"/>
      <c r="F904" s="285"/>
      <c r="G904" s="290"/>
      <c r="H904" s="288"/>
      <c r="I904" s="285"/>
      <c r="J904" s="276"/>
      <c r="K904" s="276"/>
      <c r="L904" s="276"/>
      <c r="M904" s="276"/>
      <c r="N904" s="276"/>
      <c r="O904" s="276"/>
      <c r="P904" s="276"/>
      <c r="Q904" s="276"/>
      <c r="R904" s="276"/>
      <c r="S904" s="276"/>
      <c r="T904" s="276"/>
      <c r="U904" s="276"/>
      <c r="V904" s="276"/>
      <c r="W904" s="276"/>
      <c r="X904" s="276"/>
    </row>
    <row r="905" ht="15.75" customHeight="1">
      <c r="A905" s="289"/>
      <c r="B905" s="284"/>
      <c r="C905" s="284"/>
      <c r="D905" s="284"/>
      <c r="E905" s="285"/>
      <c r="F905" s="285"/>
      <c r="G905" s="290"/>
      <c r="H905" s="288"/>
      <c r="I905" s="285"/>
      <c r="J905" s="276"/>
      <c r="K905" s="276"/>
      <c r="L905" s="276"/>
      <c r="M905" s="276"/>
      <c r="N905" s="276"/>
      <c r="O905" s="276"/>
      <c r="P905" s="276"/>
      <c r="Q905" s="276"/>
      <c r="R905" s="276"/>
      <c r="S905" s="276"/>
      <c r="T905" s="276"/>
      <c r="U905" s="276"/>
      <c r="V905" s="276"/>
      <c r="W905" s="276"/>
      <c r="X905" s="276"/>
    </row>
    <row r="906" ht="15.75" customHeight="1">
      <c r="A906" s="289"/>
      <c r="B906" s="284"/>
      <c r="C906" s="284"/>
      <c r="D906" s="284"/>
      <c r="E906" s="285"/>
      <c r="F906" s="285"/>
      <c r="G906" s="290"/>
      <c r="H906" s="288"/>
      <c r="I906" s="285"/>
      <c r="J906" s="276"/>
      <c r="K906" s="276"/>
      <c r="L906" s="276"/>
      <c r="M906" s="276"/>
      <c r="N906" s="276"/>
      <c r="O906" s="276"/>
      <c r="P906" s="276"/>
      <c r="Q906" s="276"/>
      <c r="R906" s="276"/>
      <c r="S906" s="276"/>
      <c r="T906" s="276"/>
      <c r="U906" s="276"/>
      <c r="V906" s="276"/>
      <c r="W906" s="276"/>
      <c r="X906" s="276"/>
    </row>
    <row r="907" ht="15.75" customHeight="1">
      <c r="A907" s="289"/>
      <c r="B907" s="284"/>
      <c r="C907" s="284"/>
      <c r="D907" s="284"/>
      <c r="E907" s="285"/>
      <c r="F907" s="285"/>
      <c r="G907" s="290"/>
      <c r="H907" s="288"/>
      <c r="I907" s="285"/>
      <c r="J907" s="276"/>
      <c r="K907" s="276"/>
      <c r="L907" s="276"/>
      <c r="M907" s="276"/>
      <c r="N907" s="276"/>
      <c r="O907" s="276"/>
      <c r="P907" s="276"/>
      <c r="Q907" s="276"/>
      <c r="R907" s="276"/>
      <c r="S907" s="276"/>
      <c r="T907" s="276"/>
      <c r="U907" s="276"/>
      <c r="V907" s="276"/>
      <c r="W907" s="276"/>
      <c r="X907" s="276"/>
    </row>
    <row r="908" ht="15.75" customHeight="1">
      <c r="A908" s="289"/>
      <c r="B908" s="284"/>
      <c r="C908" s="284"/>
      <c r="D908" s="284"/>
      <c r="E908" s="285"/>
      <c r="F908" s="285"/>
      <c r="G908" s="290"/>
      <c r="H908" s="288"/>
      <c r="I908" s="285"/>
      <c r="J908" s="276"/>
      <c r="K908" s="276"/>
      <c r="L908" s="276"/>
      <c r="M908" s="276"/>
      <c r="N908" s="276"/>
      <c r="O908" s="276"/>
      <c r="P908" s="276"/>
      <c r="Q908" s="276"/>
      <c r="R908" s="276"/>
      <c r="S908" s="276"/>
      <c r="T908" s="276"/>
      <c r="U908" s="276"/>
      <c r="V908" s="276"/>
      <c r="W908" s="276"/>
      <c r="X908" s="276"/>
    </row>
    <row r="909" ht="15.75" customHeight="1">
      <c r="A909" s="289"/>
      <c r="B909" s="284"/>
      <c r="C909" s="284"/>
      <c r="D909" s="284"/>
      <c r="E909" s="285"/>
      <c r="F909" s="285"/>
      <c r="G909" s="290"/>
      <c r="H909" s="288"/>
      <c r="I909" s="285"/>
      <c r="J909" s="276"/>
      <c r="K909" s="276"/>
      <c r="L909" s="276"/>
      <c r="M909" s="276"/>
      <c r="N909" s="276"/>
      <c r="O909" s="276"/>
      <c r="P909" s="276"/>
      <c r="Q909" s="276"/>
      <c r="R909" s="276"/>
      <c r="S909" s="276"/>
      <c r="T909" s="276"/>
      <c r="U909" s="276"/>
      <c r="V909" s="276"/>
      <c r="W909" s="276"/>
      <c r="X909" s="276"/>
    </row>
    <row r="910" ht="15.75" customHeight="1">
      <c r="A910" s="289"/>
      <c r="B910" s="284"/>
      <c r="C910" s="284"/>
      <c r="D910" s="284"/>
      <c r="E910" s="285"/>
      <c r="F910" s="285"/>
      <c r="G910" s="290"/>
      <c r="H910" s="288"/>
      <c r="I910" s="285"/>
      <c r="J910" s="276"/>
      <c r="K910" s="276"/>
      <c r="L910" s="276"/>
      <c r="M910" s="276"/>
      <c r="N910" s="276"/>
      <c r="O910" s="276"/>
      <c r="P910" s="276"/>
      <c r="Q910" s="276"/>
      <c r="R910" s="276"/>
      <c r="S910" s="276"/>
      <c r="T910" s="276"/>
      <c r="U910" s="276"/>
      <c r="V910" s="276"/>
      <c r="W910" s="276"/>
      <c r="X910" s="276"/>
    </row>
    <row r="911" ht="15.75" customHeight="1">
      <c r="A911" s="289"/>
      <c r="B911" s="284"/>
      <c r="C911" s="284"/>
      <c r="D911" s="284"/>
      <c r="E911" s="285"/>
      <c r="F911" s="285"/>
      <c r="G911" s="290"/>
      <c r="H911" s="288"/>
      <c r="I911" s="285"/>
      <c r="J911" s="276"/>
      <c r="K911" s="276"/>
      <c r="L911" s="276"/>
      <c r="M911" s="276"/>
      <c r="N911" s="276"/>
      <c r="O911" s="276"/>
      <c r="P911" s="276"/>
      <c r="Q911" s="276"/>
      <c r="R911" s="276"/>
      <c r="S911" s="276"/>
      <c r="T911" s="276"/>
      <c r="U911" s="276"/>
      <c r="V911" s="276"/>
      <c r="W911" s="276"/>
      <c r="X911" s="276"/>
    </row>
    <row r="912" ht="15.75" customHeight="1">
      <c r="A912" s="289"/>
      <c r="B912" s="284"/>
      <c r="C912" s="284"/>
      <c r="D912" s="284"/>
      <c r="E912" s="285"/>
      <c r="F912" s="285"/>
      <c r="G912" s="290"/>
      <c r="H912" s="288"/>
      <c r="I912" s="285"/>
      <c r="J912" s="276"/>
      <c r="K912" s="276"/>
      <c r="L912" s="276"/>
      <c r="M912" s="276"/>
      <c r="N912" s="276"/>
      <c r="O912" s="276"/>
      <c r="P912" s="276"/>
      <c r="Q912" s="276"/>
      <c r="R912" s="276"/>
      <c r="S912" s="276"/>
      <c r="T912" s="276"/>
      <c r="U912" s="276"/>
      <c r="V912" s="276"/>
      <c r="W912" s="276"/>
      <c r="X912" s="276"/>
    </row>
    <row r="913" ht="15.75" customHeight="1">
      <c r="A913" s="289"/>
      <c r="B913" s="284"/>
      <c r="C913" s="284"/>
      <c r="D913" s="284"/>
      <c r="E913" s="285"/>
      <c r="F913" s="35"/>
      <c r="G913" s="290"/>
      <c r="H913" s="288"/>
      <c r="I913" s="285"/>
      <c r="J913" s="276"/>
      <c r="K913" s="276"/>
      <c r="L913" s="276"/>
      <c r="M913" s="276"/>
      <c r="N913" s="276"/>
      <c r="O913" s="276"/>
      <c r="P913" s="276"/>
      <c r="Q913" s="276"/>
      <c r="R913" s="276"/>
      <c r="S913" s="276"/>
      <c r="T913" s="276"/>
      <c r="U913" s="276"/>
      <c r="V913" s="276"/>
      <c r="W913" s="276"/>
      <c r="X913" s="276"/>
    </row>
    <row r="914" ht="15.75" customHeight="1">
      <c r="A914" s="289"/>
      <c r="B914" s="284"/>
      <c r="C914" s="284"/>
      <c r="D914" s="284"/>
      <c r="E914" s="285"/>
      <c r="F914" s="35"/>
      <c r="G914" s="290"/>
      <c r="H914" s="288"/>
      <c r="I914" s="285"/>
      <c r="J914" s="276"/>
      <c r="K914" s="276"/>
      <c r="L914" s="276"/>
      <c r="M914" s="276"/>
      <c r="N914" s="276"/>
      <c r="O914" s="276"/>
      <c r="P914" s="276"/>
      <c r="Q914" s="276"/>
      <c r="R914" s="276"/>
      <c r="S914" s="276"/>
      <c r="T914" s="276"/>
      <c r="U914" s="276"/>
      <c r="V914" s="276"/>
      <c r="W914" s="276"/>
      <c r="X914" s="276"/>
    </row>
    <row r="915" ht="15.75" customHeight="1">
      <c r="A915" s="289"/>
      <c r="B915" s="284"/>
      <c r="C915" s="284"/>
      <c r="D915" s="284"/>
      <c r="E915" s="285"/>
      <c r="F915" s="35"/>
      <c r="G915" s="290"/>
      <c r="H915" s="288"/>
      <c r="I915" s="285"/>
      <c r="J915" s="276"/>
      <c r="K915" s="276"/>
      <c r="L915" s="276"/>
      <c r="M915" s="276"/>
      <c r="N915" s="276"/>
      <c r="O915" s="276"/>
      <c r="P915" s="276"/>
      <c r="Q915" s="276"/>
      <c r="R915" s="276"/>
      <c r="S915" s="276"/>
      <c r="T915" s="276"/>
      <c r="U915" s="276"/>
      <c r="V915" s="276"/>
      <c r="W915" s="276"/>
      <c r="X915" s="276"/>
    </row>
    <row r="916" ht="15.75" customHeight="1">
      <c r="A916" s="297"/>
      <c r="B916" s="284"/>
      <c r="C916" s="284"/>
      <c r="D916" s="284"/>
      <c r="E916" s="285"/>
      <c r="F916" s="35"/>
      <c r="G916" s="290"/>
      <c r="H916" s="288"/>
      <c r="I916" s="285"/>
      <c r="J916" s="276"/>
      <c r="K916" s="276"/>
      <c r="L916" s="276"/>
      <c r="M916" s="276"/>
      <c r="N916" s="276"/>
      <c r="O916" s="276"/>
      <c r="P916" s="276"/>
      <c r="Q916" s="276"/>
      <c r="R916" s="276"/>
      <c r="S916" s="276"/>
      <c r="T916" s="276"/>
      <c r="U916" s="276"/>
      <c r="V916" s="276"/>
      <c r="W916" s="276"/>
      <c r="X916" s="276"/>
    </row>
    <row r="917" ht="15.75" customHeight="1">
      <c r="A917" s="297"/>
      <c r="B917" s="284"/>
      <c r="C917" s="284"/>
      <c r="D917" s="284"/>
      <c r="E917" s="285"/>
      <c r="F917" s="35"/>
      <c r="G917" s="290"/>
      <c r="H917" s="288"/>
      <c r="I917" s="285"/>
      <c r="J917" s="276"/>
      <c r="K917" s="276"/>
      <c r="L917" s="276"/>
      <c r="M917" s="276"/>
      <c r="N917" s="276"/>
      <c r="O917" s="276"/>
      <c r="P917" s="276"/>
      <c r="Q917" s="276"/>
      <c r="R917" s="276"/>
      <c r="S917" s="276"/>
      <c r="T917" s="276"/>
      <c r="U917" s="276"/>
      <c r="V917" s="276"/>
      <c r="W917" s="276"/>
      <c r="X917" s="276"/>
    </row>
    <row r="918" ht="15.75" customHeight="1">
      <c r="A918" s="297"/>
      <c r="B918" s="284"/>
      <c r="C918" s="284"/>
      <c r="D918" s="284"/>
      <c r="E918" s="285"/>
      <c r="F918" s="35"/>
      <c r="G918" s="290"/>
      <c r="H918" s="288"/>
      <c r="I918" s="285"/>
      <c r="J918" s="276"/>
      <c r="K918" s="276"/>
      <c r="L918" s="276"/>
      <c r="M918" s="276"/>
      <c r="N918" s="276"/>
      <c r="O918" s="276"/>
      <c r="P918" s="276"/>
      <c r="Q918" s="276"/>
      <c r="R918" s="276"/>
      <c r="S918" s="276"/>
      <c r="T918" s="276"/>
      <c r="U918" s="276"/>
      <c r="V918" s="276"/>
      <c r="W918" s="276"/>
      <c r="X918" s="276"/>
    </row>
    <row r="919" ht="15.75" customHeight="1">
      <c r="A919" s="297"/>
      <c r="B919" s="284"/>
      <c r="C919" s="284"/>
      <c r="D919" s="284"/>
      <c r="E919" s="285"/>
      <c r="F919" s="35"/>
      <c r="G919" s="290"/>
      <c r="H919" s="288"/>
      <c r="I919" s="285"/>
      <c r="J919" s="276"/>
      <c r="K919" s="276"/>
      <c r="L919" s="276"/>
      <c r="M919" s="276"/>
      <c r="N919" s="276"/>
      <c r="O919" s="276"/>
      <c r="P919" s="276"/>
      <c r="Q919" s="276"/>
      <c r="R919" s="276"/>
      <c r="S919" s="276"/>
      <c r="T919" s="276"/>
      <c r="U919" s="276"/>
      <c r="V919" s="276"/>
      <c r="W919" s="276"/>
      <c r="X919" s="276"/>
    </row>
    <row r="920" ht="15.75" customHeight="1">
      <c r="A920" s="297"/>
      <c r="B920" s="284"/>
      <c r="C920" s="284"/>
      <c r="D920" s="284"/>
      <c r="E920" s="285"/>
      <c r="F920" s="35"/>
      <c r="G920" s="290"/>
      <c r="H920" s="288"/>
      <c r="I920" s="285"/>
      <c r="J920" s="276"/>
      <c r="K920" s="276"/>
      <c r="L920" s="276"/>
      <c r="M920" s="276"/>
      <c r="N920" s="276"/>
      <c r="O920" s="276"/>
      <c r="P920" s="276"/>
      <c r="Q920" s="276"/>
      <c r="R920" s="276"/>
      <c r="S920" s="276"/>
      <c r="T920" s="276"/>
      <c r="U920" s="276"/>
      <c r="V920" s="276"/>
      <c r="W920" s="276"/>
      <c r="X920" s="276"/>
    </row>
    <row r="921" ht="15.75" customHeight="1">
      <c r="A921" s="297"/>
      <c r="B921" s="284"/>
      <c r="C921" s="284"/>
      <c r="D921" s="284"/>
      <c r="E921" s="285"/>
      <c r="F921" s="35"/>
      <c r="G921" s="290"/>
      <c r="H921" s="288"/>
      <c r="I921" s="285"/>
      <c r="J921" s="276"/>
      <c r="K921" s="276"/>
      <c r="L921" s="276"/>
      <c r="M921" s="276"/>
      <c r="N921" s="276"/>
      <c r="O921" s="276"/>
      <c r="P921" s="276"/>
      <c r="Q921" s="276"/>
      <c r="R921" s="276"/>
      <c r="S921" s="276"/>
      <c r="T921" s="276"/>
      <c r="U921" s="276"/>
      <c r="V921" s="276"/>
      <c r="W921" s="276"/>
      <c r="X921" s="276"/>
    </row>
    <row r="922" ht="15.75" customHeight="1">
      <c r="A922" s="297"/>
      <c r="B922" s="284"/>
      <c r="C922" s="284"/>
      <c r="D922" s="284"/>
      <c r="E922" s="285"/>
      <c r="F922" s="35"/>
      <c r="G922" s="290"/>
      <c r="H922" s="360"/>
      <c r="I922" s="285"/>
      <c r="J922" s="276"/>
      <c r="K922" s="276"/>
      <c r="L922" s="276"/>
      <c r="M922" s="276"/>
      <c r="N922" s="276"/>
      <c r="O922" s="276"/>
      <c r="P922" s="276"/>
      <c r="Q922" s="276"/>
      <c r="R922" s="276"/>
      <c r="S922" s="276"/>
      <c r="T922" s="276"/>
      <c r="U922" s="276"/>
      <c r="V922" s="276"/>
      <c r="W922" s="276"/>
      <c r="X922" s="276"/>
    </row>
    <row r="923" ht="15.75" customHeight="1">
      <c r="A923" s="297"/>
      <c r="B923" s="284"/>
      <c r="C923" s="284"/>
      <c r="D923" s="284"/>
      <c r="E923" s="285"/>
      <c r="F923" s="35"/>
      <c r="G923" s="290"/>
      <c r="H923" s="360"/>
      <c r="I923" s="285"/>
      <c r="J923" s="276"/>
      <c r="K923" s="276"/>
      <c r="L923" s="276"/>
      <c r="M923" s="276"/>
      <c r="N923" s="276"/>
      <c r="O923" s="276"/>
      <c r="P923" s="276"/>
      <c r="Q923" s="276"/>
      <c r="R923" s="276"/>
      <c r="S923" s="276"/>
      <c r="T923" s="276"/>
      <c r="U923" s="276"/>
      <c r="V923" s="276"/>
      <c r="W923" s="276"/>
      <c r="X923" s="276"/>
    </row>
    <row r="924" ht="15.75" customHeight="1">
      <c r="A924" s="297"/>
      <c r="B924" s="284"/>
      <c r="C924" s="284"/>
      <c r="D924" s="284"/>
      <c r="E924" s="285"/>
      <c r="F924" s="286"/>
      <c r="G924" s="287"/>
      <c r="H924" s="288"/>
      <c r="I924" s="285"/>
      <c r="J924" s="276"/>
      <c r="K924" s="276"/>
      <c r="L924" s="276"/>
      <c r="M924" s="276"/>
      <c r="N924" s="276"/>
      <c r="O924" s="276"/>
      <c r="P924" s="276"/>
      <c r="Q924" s="276"/>
      <c r="R924" s="276"/>
      <c r="S924" s="276"/>
      <c r="T924" s="276"/>
      <c r="U924" s="276"/>
      <c r="V924" s="276"/>
      <c r="W924" s="276"/>
      <c r="X924" s="276"/>
    </row>
    <row r="925" ht="15.75" customHeight="1">
      <c r="A925" s="297"/>
      <c r="B925" s="284"/>
      <c r="C925" s="284"/>
      <c r="D925" s="284"/>
      <c r="E925" s="285"/>
      <c r="F925" s="286"/>
      <c r="G925" s="287"/>
      <c r="H925" s="288"/>
      <c r="I925" s="285"/>
      <c r="J925" s="276"/>
      <c r="K925" s="276"/>
      <c r="L925" s="276"/>
      <c r="M925" s="276"/>
      <c r="N925" s="276"/>
      <c r="O925" s="276"/>
      <c r="P925" s="276"/>
      <c r="Q925" s="276"/>
      <c r="R925" s="276"/>
      <c r="S925" s="276"/>
      <c r="T925" s="276"/>
      <c r="U925" s="276"/>
      <c r="V925" s="276"/>
      <c r="W925" s="276"/>
      <c r="X925" s="276"/>
    </row>
    <row r="926" ht="15.75" customHeight="1">
      <c r="A926" s="297"/>
      <c r="B926" s="284"/>
      <c r="C926" s="284"/>
      <c r="D926" s="284"/>
      <c r="E926" s="285"/>
      <c r="F926" s="286"/>
      <c r="G926" s="287"/>
      <c r="H926" s="288"/>
      <c r="I926" s="285"/>
      <c r="J926" s="276"/>
      <c r="K926" s="276"/>
      <c r="L926" s="276"/>
      <c r="M926" s="276"/>
      <c r="N926" s="276"/>
      <c r="O926" s="276"/>
      <c r="P926" s="276"/>
      <c r="Q926" s="276"/>
      <c r="R926" s="276"/>
      <c r="S926" s="276"/>
      <c r="T926" s="276"/>
      <c r="U926" s="276"/>
      <c r="V926" s="276"/>
      <c r="W926" s="276"/>
      <c r="X926" s="276"/>
    </row>
    <row r="927" ht="15.75" customHeight="1">
      <c r="A927" s="297"/>
      <c r="B927" s="284"/>
      <c r="C927" s="284"/>
      <c r="D927" s="284"/>
      <c r="E927" s="285"/>
      <c r="F927" s="35"/>
      <c r="G927" s="290"/>
      <c r="H927" s="360"/>
      <c r="I927" s="285"/>
      <c r="J927" s="276"/>
      <c r="K927" s="276"/>
      <c r="L927" s="276"/>
      <c r="M927" s="276"/>
      <c r="N927" s="276"/>
      <c r="O927" s="276"/>
      <c r="P927" s="276"/>
      <c r="Q927" s="276"/>
      <c r="R927" s="276"/>
      <c r="S927" s="276"/>
      <c r="T927" s="276"/>
      <c r="U927" s="276"/>
      <c r="V927" s="276"/>
      <c r="W927" s="276"/>
      <c r="X927" s="276"/>
    </row>
    <row r="928" ht="15.75" customHeight="1">
      <c r="A928" s="297"/>
      <c r="B928" s="284"/>
      <c r="C928" s="284"/>
      <c r="D928" s="284"/>
      <c r="E928" s="285"/>
      <c r="F928" s="35"/>
      <c r="G928" s="290"/>
      <c r="H928" s="360"/>
      <c r="I928" s="285"/>
      <c r="J928" s="276"/>
      <c r="K928" s="276"/>
      <c r="L928" s="276"/>
      <c r="M928" s="276"/>
      <c r="N928" s="276"/>
      <c r="O928" s="276"/>
      <c r="P928" s="276"/>
      <c r="Q928" s="276"/>
      <c r="R928" s="276"/>
      <c r="S928" s="276"/>
      <c r="T928" s="276"/>
      <c r="U928" s="276"/>
      <c r="V928" s="276"/>
      <c r="W928" s="276"/>
      <c r="X928" s="276"/>
    </row>
    <row r="929" ht="15.75" customHeight="1">
      <c r="A929" s="297"/>
      <c r="B929" s="284"/>
      <c r="C929" s="284"/>
      <c r="D929" s="284"/>
      <c r="E929" s="285"/>
      <c r="F929" s="286"/>
      <c r="G929" s="287"/>
      <c r="H929" s="288"/>
      <c r="I929" s="285"/>
      <c r="J929" s="276"/>
      <c r="K929" s="276"/>
      <c r="L929" s="276"/>
      <c r="M929" s="276"/>
      <c r="N929" s="276"/>
      <c r="O929" s="276"/>
      <c r="P929" s="276"/>
      <c r="Q929" s="276"/>
      <c r="R929" s="276"/>
      <c r="S929" s="276"/>
      <c r="T929" s="276"/>
      <c r="U929" s="276"/>
      <c r="V929" s="276"/>
      <c r="W929" s="276"/>
      <c r="X929" s="276"/>
    </row>
    <row r="930" ht="15.75" customHeight="1">
      <c r="A930" s="297"/>
      <c r="B930" s="284"/>
      <c r="C930" s="284"/>
      <c r="D930" s="284"/>
      <c r="E930" s="285"/>
      <c r="F930" s="35"/>
      <c r="G930" s="290"/>
      <c r="H930" s="360"/>
      <c r="I930" s="285"/>
      <c r="J930" s="276"/>
      <c r="K930" s="276"/>
      <c r="L930" s="276"/>
      <c r="M930" s="276"/>
      <c r="N930" s="276"/>
      <c r="O930" s="276"/>
      <c r="P930" s="276"/>
      <c r="Q930" s="276"/>
      <c r="R930" s="276"/>
      <c r="S930" s="276"/>
      <c r="T930" s="276"/>
      <c r="U930" s="276"/>
      <c r="V930" s="276"/>
      <c r="W930" s="276"/>
      <c r="X930" s="276"/>
    </row>
    <row r="931" ht="15.75" customHeight="1">
      <c r="A931" s="297"/>
      <c r="B931" s="284"/>
      <c r="C931" s="284"/>
      <c r="D931" s="284"/>
      <c r="E931" s="285"/>
      <c r="F931" s="35"/>
      <c r="G931" s="290"/>
      <c r="H931" s="360"/>
      <c r="I931" s="285"/>
      <c r="J931" s="276"/>
      <c r="K931" s="276"/>
      <c r="L931" s="276"/>
      <c r="M931" s="276"/>
      <c r="N931" s="276"/>
      <c r="O931" s="276"/>
      <c r="P931" s="276"/>
      <c r="Q931" s="276"/>
      <c r="R931" s="276"/>
      <c r="S931" s="276"/>
      <c r="T931" s="276"/>
      <c r="U931" s="276"/>
      <c r="V931" s="276"/>
      <c r="W931" s="276"/>
      <c r="X931" s="276"/>
    </row>
    <row r="932" ht="15.75" customHeight="1">
      <c r="A932" s="297"/>
      <c r="B932" s="284"/>
      <c r="C932" s="284"/>
      <c r="D932" s="284"/>
      <c r="E932" s="285"/>
      <c r="F932" s="35"/>
      <c r="G932" s="290"/>
      <c r="H932" s="360"/>
      <c r="I932" s="285"/>
      <c r="J932" s="276"/>
      <c r="K932" s="276"/>
      <c r="L932" s="276"/>
      <c r="M932" s="276"/>
      <c r="N932" s="276"/>
      <c r="O932" s="276"/>
      <c r="P932" s="276"/>
      <c r="Q932" s="276"/>
      <c r="R932" s="276"/>
      <c r="S932" s="276"/>
      <c r="T932" s="276"/>
      <c r="U932" s="276"/>
      <c r="V932" s="276"/>
      <c r="W932" s="276"/>
      <c r="X932" s="276"/>
    </row>
    <row r="933" ht="15.75" customHeight="1">
      <c r="A933" s="297"/>
      <c r="B933" s="284"/>
      <c r="C933" s="284"/>
      <c r="D933" s="284"/>
      <c r="E933" s="285"/>
      <c r="F933" s="286"/>
      <c r="G933" s="287"/>
      <c r="H933" s="288"/>
      <c r="I933" s="285"/>
      <c r="J933" s="276"/>
      <c r="K933" s="276"/>
      <c r="L933" s="276"/>
      <c r="M933" s="276"/>
      <c r="N933" s="276"/>
      <c r="O933" s="276"/>
      <c r="P933" s="276"/>
      <c r="Q933" s="276"/>
      <c r="R933" s="276"/>
      <c r="S933" s="276"/>
      <c r="T933" s="276"/>
      <c r="U933" s="276"/>
      <c r="V933" s="276"/>
      <c r="W933" s="276"/>
      <c r="X933" s="276"/>
    </row>
    <row r="934" ht="15.75" customHeight="1">
      <c r="A934" s="297"/>
      <c r="B934" s="284"/>
      <c r="C934" s="284"/>
      <c r="D934" s="284"/>
      <c r="E934" s="285"/>
      <c r="F934" s="35"/>
      <c r="G934" s="290"/>
      <c r="H934" s="360"/>
      <c r="I934" s="285"/>
      <c r="J934" s="276"/>
      <c r="K934" s="276"/>
      <c r="L934" s="276"/>
      <c r="M934" s="276"/>
      <c r="N934" s="276"/>
      <c r="O934" s="276"/>
      <c r="P934" s="276"/>
      <c r="Q934" s="276"/>
      <c r="R934" s="276"/>
      <c r="S934" s="276"/>
      <c r="T934" s="276"/>
      <c r="U934" s="276"/>
      <c r="V934" s="276"/>
      <c r="W934" s="276"/>
      <c r="X934" s="276"/>
    </row>
    <row r="935" ht="15.75" customHeight="1">
      <c r="A935" s="283"/>
      <c r="B935" s="284"/>
      <c r="C935" s="284"/>
      <c r="D935" s="284"/>
      <c r="E935" s="285"/>
      <c r="F935" s="286"/>
      <c r="G935" s="287"/>
      <c r="H935" s="288"/>
      <c r="I935" s="285"/>
      <c r="J935" s="276"/>
      <c r="K935" s="276"/>
      <c r="L935" s="276"/>
      <c r="M935" s="276"/>
      <c r="N935" s="276"/>
      <c r="O935" s="276"/>
      <c r="P935" s="276"/>
      <c r="Q935" s="276"/>
      <c r="R935" s="276"/>
      <c r="S935" s="276"/>
      <c r="T935" s="276"/>
      <c r="U935" s="276"/>
      <c r="V935" s="276"/>
      <c r="W935" s="276"/>
      <c r="X935" s="276"/>
    </row>
    <row r="936" ht="15.75" customHeight="1">
      <c r="A936" s="283"/>
      <c r="B936" s="284"/>
      <c r="C936" s="284"/>
      <c r="D936" s="284"/>
      <c r="E936" s="285"/>
      <c r="F936" s="286"/>
      <c r="G936" s="287"/>
      <c r="H936" s="288"/>
      <c r="I936" s="285"/>
      <c r="J936" s="276"/>
      <c r="K936" s="276"/>
      <c r="L936" s="276"/>
      <c r="M936" s="276"/>
      <c r="N936" s="276"/>
      <c r="O936" s="276"/>
      <c r="P936" s="276"/>
      <c r="Q936" s="276"/>
      <c r="R936" s="276"/>
      <c r="S936" s="276"/>
      <c r="T936" s="276"/>
      <c r="U936" s="276"/>
      <c r="V936" s="276"/>
      <c r="W936" s="276"/>
      <c r="X936" s="276"/>
    </row>
    <row r="937" ht="15.75" customHeight="1">
      <c r="A937" s="283"/>
      <c r="B937" s="284"/>
      <c r="C937" s="284"/>
      <c r="D937" s="284"/>
      <c r="E937" s="285"/>
      <c r="F937" s="285"/>
      <c r="G937" s="290"/>
      <c r="H937" s="288"/>
      <c r="I937" s="285"/>
      <c r="J937" s="276"/>
      <c r="K937" s="276"/>
      <c r="L937" s="276"/>
      <c r="M937" s="276"/>
      <c r="N937" s="276"/>
      <c r="O937" s="276"/>
      <c r="P937" s="276"/>
      <c r="Q937" s="276"/>
      <c r="R937" s="276"/>
      <c r="S937" s="276"/>
      <c r="T937" s="276"/>
      <c r="U937" s="276"/>
      <c r="V937" s="276"/>
      <c r="W937" s="276"/>
      <c r="X937" s="276"/>
    </row>
    <row r="938" ht="15.75" customHeight="1">
      <c r="A938" s="289"/>
      <c r="B938" s="284"/>
      <c r="C938" s="284"/>
      <c r="D938" s="284"/>
      <c r="E938" s="312"/>
      <c r="F938" s="312"/>
      <c r="G938" s="319"/>
      <c r="H938" s="288"/>
      <c r="I938" s="285"/>
      <c r="J938" s="276"/>
      <c r="K938" s="276"/>
      <c r="L938" s="276"/>
      <c r="M938" s="276"/>
      <c r="N938" s="276"/>
      <c r="O938" s="276"/>
      <c r="P938" s="276"/>
      <c r="Q938" s="276"/>
      <c r="R938" s="276"/>
      <c r="S938" s="276"/>
      <c r="T938" s="276"/>
      <c r="U938" s="276"/>
      <c r="V938" s="276"/>
      <c r="W938" s="276"/>
      <c r="X938" s="276"/>
    </row>
    <row r="939" ht="15.75" customHeight="1">
      <c r="A939" s="289"/>
      <c r="B939" s="284"/>
      <c r="C939" s="284"/>
      <c r="D939" s="284"/>
      <c r="E939" s="285"/>
      <c r="F939" s="285"/>
      <c r="G939" s="290"/>
      <c r="H939" s="288"/>
      <c r="I939" s="285"/>
      <c r="J939" s="276"/>
      <c r="K939" s="276"/>
      <c r="L939" s="276"/>
      <c r="M939" s="276"/>
      <c r="N939" s="276"/>
      <c r="O939" s="276"/>
      <c r="P939" s="276"/>
      <c r="Q939" s="276"/>
      <c r="R939" s="276"/>
      <c r="S939" s="276"/>
      <c r="T939" s="276"/>
      <c r="U939" s="276"/>
      <c r="V939" s="276"/>
      <c r="W939" s="276"/>
      <c r="X939" s="276"/>
    </row>
    <row r="940" ht="15.75" customHeight="1">
      <c r="A940" s="289"/>
      <c r="B940" s="284"/>
      <c r="C940" s="284"/>
      <c r="D940" s="284"/>
      <c r="E940" s="285"/>
      <c r="F940" s="285"/>
      <c r="G940" s="290"/>
      <c r="H940" s="288"/>
      <c r="I940" s="285"/>
      <c r="J940" s="276"/>
      <c r="K940" s="276"/>
      <c r="L940" s="276"/>
      <c r="M940" s="276"/>
      <c r="N940" s="276"/>
      <c r="O940" s="276"/>
      <c r="P940" s="276"/>
      <c r="Q940" s="276"/>
      <c r="R940" s="276"/>
      <c r="S940" s="276"/>
      <c r="T940" s="276"/>
      <c r="U940" s="276"/>
      <c r="V940" s="276"/>
      <c r="W940" s="276"/>
      <c r="X940" s="276"/>
    </row>
    <row r="941" ht="15.75" customHeight="1">
      <c r="A941" s="289"/>
      <c r="B941" s="284"/>
      <c r="C941" s="284"/>
      <c r="D941" s="284"/>
      <c r="E941" s="285"/>
      <c r="F941" s="285"/>
      <c r="G941" s="290"/>
      <c r="H941" s="288"/>
      <c r="I941" s="285"/>
      <c r="J941" s="276"/>
      <c r="K941" s="276"/>
      <c r="L941" s="276"/>
      <c r="M941" s="276"/>
      <c r="N941" s="276"/>
      <c r="O941" s="276"/>
      <c r="P941" s="276"/>
      <c r="Q941" s="276"/>
      <c r="R941" s="276"/>
      <c r="S941" s="276"/>
      <c r="T941" s="276"/>
      <c r="U941" s="276"/>
      <c r="V941" s="276"/>
      <c r="W941" s="276"/>
      <c r="X941" s="276"/>
    </row>
    <row r="942" ht="15.75" customHeight="1">
      <c r="A942" s="289"/>
      <c r="B942" s="284"/>
      <c r="C942" s="284"/>
      <c r="D942" s="284"/>
      <c r="E942" s="312"/>
      <c r="F942" s="312"/>
      <c r="G942" s="319"/>
      <c r="H942" s="288"/>
      <c r="I942" s="285"/>
      <c r="J942" s="276"/>
      <c r="K942" s="276"/>
      <c r="L942" s="276"/>
      <c r="M942" s="276"/>
      <c r="N942" s="276"/>
      <c r="O942" s="276"/>
      <c r="P942" s="276"/>
      <c r="Q942" s="276"/>
      <c r="R942" s="276"/>
      <c r="S942" s="276"/>
      <c r="T942" s="276"/>
      <c r="U942" s="276"/>
      <c r="V942" s="276"/>
      <c r="W942" s="276"/>
      <c r="X942" s="276"/>
    </row>
    <row r="943" ht="15.75" customHeight="1">
      <c r="A943" s="289"/>
      <c r="B943" s="284"/>
      <c r="C943" s="284"/>
      <c r="D943" s="284"/>
      <c r="E943" s="285"/>
      <c r="F943" s="285"/>
      <c r="G943" s="290"/>
      <c r="H943" s="288"/>
      <c r="I943" s="285"/>
      <c r="J943" s="276"/>
      <c r="K943" s="276"/>
      <c r="L943" s="276"/>
      <c r="M943" s="276"/>
      <c r="N943" s="276"/>
      <c r="O943" s="276"/>
      <c r="P943" s="276"/>
      <c r="Q943" s="276"/>
      <c r="R943" s="276"/>
      <c r="S943" s="276"/>
      <c r="T943" s="276"/>
      <c r="U943" s="276"/>
      <c r="V943" s="276"/>
      <c r="W943" s="276"/>
      <c r="X943" s="276"/>
    </row>
    <row r="944" ht="15.75" customHeight="1">
      <c r="A944" s="283"/>
      <c r="B944" s="284"/>
      <c r="C944" s="284"/>
      <c r="D944" s="284"/>
      <c r="E944" s="285"/>
      <c r="F944" s="286"/>
      <c r="G944" s="288"/>
      <c r="H944" s="288"/>
      <c r="I944" s="285"/>
      <c r="J944" s="276"/>
      <c r="K944" s="276"/>
      <c r="L944" s="276"/>
      <c r="M944" s="276"/>
      <c r="N944" s="276"/>
      <c r="O944" s="276"/>
      <c r="P944" s="276"/>
      <c r="Q944" s="276"/>
      <c r="R944" s="276"/>
      <c r="S944" s="276"/>
      <c r="T944" s="276"/>
      <c r="U944" s="276"/>
      <c r="V944" s="276"/>
      <c r="W944" s="276"/>
      <c r="X944" s="276"/>
    </row>
    <row r="945" ht="15.75" customHeight="1">
      <c r="A945" s="289"/>
      <c r="B945" s="284"/>
      <c r="C945" s="284"/>
      <c r="D945" s="284"/>
      <c r="E945" s="285"/>
      <c r="F945" s="35"/>
      <c r="G945" s="290"/>
      <c r="H945" s="288"/>
      <c r="I945" s="285"/>
      <c r="J945" s="276"/>
      <c r="K945" s="276"/>
      <c r="L945" s="276"/>
      <c r="M945" s="276"/>
      <c r="N945" s="276"/>
      <c r="O945" s="276"/>
      <c r="P945" s="276"/>
      <c r="Q945" s="276"/>
      <c r="R945" s="276"/>
      <c r="S945" s="276"/>
      <c r="T945" s="276"/>
      <c r="U945" s="276"/>
      <c r="V945" s="276"/>
      <c r="W945" s="276"/>
      <c r="X945" s="276"/>
    </row>
    <row r="946" ht="15.75" customHeight="1">
      <c r="A946" s="289"/>
      <c r="B946" s="284"/>
      <c r="C946" s="284"/>
      <c r="D946" s="284"/>
      <c r="E946" s="285"/>
      <c r="F946" s="285"/>
      <c r="G946" s="290"/>
      <c r="H946" s="288"/>
      <c r="I946" s="285"/>
      <c r="J946" s="276"/>
      <c r="K946" s="276"/>
      <c r="L946" s="276"/>
      <c r="M946" s="276"/>
      <c r="N946" s="276"/>
      <c r="O946" s="276"/>
      <c r="P946" s="276"/>
      <c r="Q946" s="276"/>
      <c r="R946" s="276"/>
      <c r="S946" s="276"/>
      <c r="T946" s="276"/>
      <c r="U946" s="276"/>
      <c r="V946" s="276"/>
      <c r="W946" s="276"/>
      <c r="X946" s="276"/>
    </row>
    <row r="947" ht="15.75" customHeight="1">
      <c r="A947" s="289"/>
      <c r="B947" s="284"/>
      <c r="C947" s="284"/>
      <c r="D947" s="284"/>
      <c r="E947" s="285"/>
      <c r="F947" s="35"/>
      <c r="G947" s="290"/>
      <c r="H947" s="288"/>
      <c r="I947" s="285"/>
      <c r="J947" s="276"/>
      <c r="K947" s="276"/>
      <c r="L947" s="276"/>
      <c r="M947" s="276"/>
      <c r="N947" s="276"/>
      <c r="O947" s="276"/>
      <c r="P947" s="276"/>
      <c r="Q947" s="276"/>
      <c r="R947" s="276"/>
      <c r="S947" s="276"/>
      <c r="T947" s="276"/>
      <c r="U947" s="276"/>
      <c r="V947" s="276"/>
      <c r="W947" s="276"/>
      <c r="X947" s="276"/>
    </row>
    <row r="948" ht="15.75" customHeight="1">
      <c r="A948" s="289"/>
      <c r="B948" s="284"/>
      <c r="C948" s="284"/>
      <c r="D948" s="284"/>
      <c r="E948" s="285"/>
      <c r="F948" s="285"/>
      <c r="G948" s="290"/>
      <c r="H948" s="288"/>
      <c r="I948" s="285"/>
      <c r="J948" s="276"/>
      <c r="K948" s="276"/>
      <c r="L948" s="276"/>
      <c r="M948" s="276"/>
      <c r="N948" s="276"/>
      <c r="O948" s="276"/>
      <c r="P948" s="276"/>
      <c r="Q948" s="276"/>
      <c r="R948" s="276"/>
      <c r="S948" s="276"/>
      <c r="T948" s="276"/>
      <c r="U948" s="276"/>
      <c r="V948" s="276"/>
      <c r="W948" s="276"/>
      <c r="X948" s="276"/>
    </row>
    <row r="949" ht="15.75" customHeight="1">
      <c r="A949" s="297"/>
      <c r="B949" s="284"/>
      <c r="C949" s="284"/>
      <c r="D949" s="284"/>
      <c r="E949" s="285"/>
      <c r="F949" s="35"/>
      <c r="G949" s="290"/>
      <c r="H949" s="288"/>
      <c r="I949" s="285"/>
      <c r="J949" s="276"/>
      <c r="K949" s="276"/>
      <c r="L949" s="276"/>
      <c r="M949" s="276"/>
      <c r="N949" s="276"/>
      <c r="O949" s="276"/>
      <c r="P949" s="276"/>
      <c r="Q949" s="276"/>
      <c r="R949" s="276"/>
      <c r="S949" s="276"/>
      <c r="T949" s="276"/>
      <c r="U949" s="276"/>
      <c r="V949" s="276"/>
      <c r="W949" s="276"/>
      <c r="X949" s="276"/>
    </row>
    <row r="950" ht="15.75" customHeight="1">
      <c r="A950" s="297"/>
      <c r="B950" s="284"/>
      <c r="C950" s="284"/>
      <c r="D950" s="284"/>
      <c r="E950" s="285"/>
      <c r="F950" s="35"/>
      <c r="G950" s="290"/>
      <c r="H950" s="360"/>
      <c r="I950" s="285"/>
      <c r="J950" s="276"/>
      <c r="K950" s="276"/>
      <c r="L950" s="276"/>
      <c r="M950" s="276"/>
      <c r="N950" s="276"/>
      <c r="O950" s="276"/>
      <c r="P950" s="276"/>
      <c r="Q950" s="276"/>
      <c r="R950" s="276"/>
      <c r="S950" s="276"/>
      <c r="T950" s="276"/>
      <c r="U950" s="276"/>
      <c r="V950" s="276"/>
      <c r="W950" s="276"/>
      <c r="X950" s="276"/>
    </row>
    <row r="951" ht="15.75" customHeight="1">
      <c r="A951" s="297"/>
      <c r="B951" s="284"/>
      <c r="C951" s="284"/>
      <c r="D951" s="284"/>
      <c r="E951" s="285"/>
      <c r="F951" s="35"/>
      <c r="G951" s="290"/>
      <c r="H951" s="288"/>
      <c r="I951" s="285"/>
      <c r="J951" s="276"/>
      <c r="K951" s="276"/>
      <c r="L951" s="276"/>
      <c r="M951" s="276"/>
      <c r="N951" s="276"/>
      <c r="O951" s="276"/>
      <c r="P951" s="276"/>
      <c r="Q951" s="276"/>
      <c r="R951" s="276"/>
      <c r="S951" s="276"/>
      <c r="T951" s="276"/>
      <c r="U951" s="276"/>
      <c r="V951" s="276"/>
      <c r="W951" s="276"/>
      <c r="X951" s="276"/>
    </row>
    <row r="952" ht="15.75" customHeight="1">
      <c r="A952" s="297"/>
      <c r="B952" s="284"/>
      <c r="C952" s="284"/>
      <c r="D952" s="284"/>
      <c r="E952" s="285"/>
      <c r="F952" s="35"/>
      <c r="G952" s="290"/>
      <c r="H952" s="360"/>
      <c r="I952" s="285"/>
      <c r="J952" s="276"/>
      <c r="K952" s="276"/>
      <c r="L952" s="276"/>
      <c r="M952" s="276"/>
      <c r="N952" s="276"/>
      <c r="O952" s="276"/>
      <c r="P952" s="276"/>
      <c r="Q952" s="276"/>
      <c r="R952" s="276"/>
      <c r="S952" s="276"/>
      <c r="T952" s="276"/>
      <c r="U952" s="276"/>
      <c r="V952" s="276"/>
      <c r="W952" s="276"/>
      <c r="X952" s="276"/>
    </row>
    <row r="953" ht="15.75" customHeight="1">
      <c r="A953" s="297"/>
      <c r="B953" s="284"/>
      <c r="C953" s="284"/>
      <c r="D953" s="284"/>
      <c r="E953" s="285"/>
      <c r="F953" s="35"/>
      <c r="G953" s="290"/>
      <c r="H953" s="360"/>
      <c r="I953" s="285"/>
      <c r="J953" s="276"/>
      <c r="K953" s="276"/>
      <c r="L953" s="276"/>
      <c r="M953" s="276"/>
      <c r="N953" s="276"/>
      <c r="O953" s="276"/>
      <c r="P953" s="276"/>
      <c r="Q953" s="276"/>
      <c r="R953" s="276"/>
      <c r="S953" s="276"/>
      <c r="T953" s="276"/>
      <c r="U953" s="276"/>
      <c r="V953" s="276"/>
      <c r="W953" s="276"/>
      <c r="X953" s="276"/>
    </row>
    <row r="954" ht="15.75" customHeight="1">
      <c r="A954" s="297"/>
      <c r="B954" s="284"/>
      <c r="C954" s="284"/>
      <c r="D954" s="284"/>
      <c r="E954" s="285"/>
      <c r="F954" s="35"/>
      <c r="G954" s="290"/>
      <c r="H954" s="360"/>
      <c r="I954" s="285"/>
      <c r="J954" s="276"/>
      <c r="K954" s="276"/>
      <c r="L954" s="276"/>
      <c r="M954" s="276"/>
      <c r="N954" s="276"/>
      <c r="O954" s="276"/>
      <c r="P954" s="276"/>
      <c r="Q954" s="276"/>
      <c r="R954" s="276"/>
      <c r="S954" s="276"/>
      <c r="T954" s="276"/>
      <c r="U954" s="276"/>
      <c r="V954" s="276"/>
      <c r="W954" s="276"/>
      <c r="X954" s="276"/>
    </row>
    <row r="955" ht="15.75" customHeight="1">
      <c r="A955" s="297"/>
      <c r="B955" s="284"/>
      <c r="C955" s="284"/>
      <c r="D955" s="284"/>
      <c r="E955" s="285"/>
      <c r="F955" s="286"/>
      <c r="G955" s="287"/>
      <c r="H955" s="288"/>
      <c r="I955" s="285"/>
      <c r="J955" s="276"/>
      <c r="K955" s="276"/>
      <c r="L955" s="276"/>
      <c r="M955" s="276"/>
      <c r="N955" s="276"/>
      <c r="O955" s="276"/>
      <c r="P955" s="276"/>
      <c r="Q955" s="276"/>
      <c r="R955" s="276"/>
      <c r="S955" s="276"/>
      <c r="T955" s="276"/>
      <c r="U955" s="276"/>
      <c r="V955" s="276"/>
      <c r="W955" s="276"/>
      <c r="X955" s="276"/>
    </row>
    <row r="956" ht="15.75" customHeight="1">
      <c r="A956" s="297"/>
      <c r="B956" s="284"/>
      <c r="C956" s="284"/>
      <c r="D956" s="284"/>
      <c r="E956" s="285"/>
      <c r="F956" s="35"/>
      <c r="G956" s="290"/>
      <c r="H956" s="360"/>
      <c r="I956" s="285"/>
      <c r="J956" s="276"/>
      <c r="K956" s="276"/>
      <c r="L956" s="276"/>
      <c r="M956" s="276"/>
      <c r="N956" s="276"/>
      <c r="O956" s="276"/>
      <c r="P956" s="276"/>
      <c r="Q956" s="276"/>
      <c r="R956" s="276"/>
      <c r="S956" s="276"/>
      <c r="T956" s="276"/>
      <c r="U956" s="276"/>
      <c r="V956" s="276"/>
      <c r="W956" s="276"/>
      <c r="X956" s="276"/>
    </row>
    <row r="957" ht="15.75" customHeight="1">
      <c r="A957" s="297"/>
      <c r="B957" s="284"/>
      <c r="C957" s="284"/>
      <c r="D957" s="284"/>
      <c r="E957" s="285"/>
      <c r="F957" s="35"/>
      <c r="G957" s="290"/>
      <c r="H957" s="360"/>
      <c r="I957" s="285"/>
      <c r="J957" s="276"/>
      <c r="K957" s="276"/>
      <c r="L957" s="276"/>
      <c r="M957" s="276"/>
      <c r="N957" s="276"/>
      <c r="O957" s="276"/>
      <c r="P957" s="276"/>
      <c r="Q957" s="276"/>
      <c r="R957" s="276"/>
      <c r="S957" s="276"/>
      <c r="T957" s="276"/>
      <c r="U957" s="276"/>
      <c r="V957" s="276"/>
      <c r="W957" s="276"/>
      <c r="X957" s="276"/>
    </row>
    <row r="958" ht="15.75" customHeight="1">
      <c r="A958" s="283"/>
      <c r="B958" s="284"/>
      <c r="C958" s="284"/>
      <c r="D958" s="284"/>
      <c r="E958" s="285"/>
      <c r="F958" s="286"/>
      <c r="G958" s="287"/>
      <c r="H958" s="288"/>
      <c r="I958" s="285"/>
      <c r="J958" s="276"/>
      <c r="K958" s="276"/>
      <c r="L958" s="276"/>
      <c r="M958" s="276"/>
      <c r="N958" s="276"/>
      <c r="O958" s="276"/>
      <c r="P958" s="276"/>
      <c r="Q958" s="276"/>
      <c r="R958" s="276"/>
      <c r="S958" s="276"/>
      <c r="T958" s="276"/>
      <c r="U958" s="276"/>
      <c r="V958" s="276"/>
      <c r="W958" s="276"/>
      <c r="X958" s="276"/>
    </row>
    <row r="959" ht="15.75" customHeight="1">
      <c r="A959" s="283"/>
      <c r="B959" s="284"/>
      <c r="C959" s="284"/>
      <c r="D959" s="284"/>
      <c r="E959" s="285"/>
      <c r="F959" s="286"/>
      <c r="G959" s="287"/>
      <c r="H959" s="288"/>
      <c r="I959" s="285"/>
      <c r="J959" s="276"/>
      <c r="K959" s="276"/>
      <c r="L959" s="276"/>
      <c r="M959" s="276"/>
      <c r="N959" s="276"/>
      <c r="O959" s="276"/>
      <c r="P959" s="276"/>
      <c r="Q959" s="276"/>
      <c r="R959" s="276"/>
      <c r="S959" s="276"/>
      <c r="T959" s="276"/>
      <c r="U959" s="276"/>
      <c r="V959" s="276"/>
      <c r="W959" s="276"/>
      <c r="X959" s="276"/>
    </row>
    <row r="960" ht="15.75" customHeight="1">
      <c r="A960" s="283"/>
      <c r="B960" s="284"/>
      <c r="C960" s="284"/>
      <c r="D960" s="284"/>
      <c r="E960" s="312"/>
      <c r="F960" s="312"/>
      <c r="G960" s="319"/>
      <c r="H960" s="288"/>
      <c r="I960" s="285"/>
      <c r="J960" s="276"/>
      <c r="K960" s="276"/>
      <c r="L960" s="276"/>
      <c r="M960" s="276"/>
      <c r="N960" s="276"/>
      <c r="O960" s="276"/>
      <c r="P960" s="276"/>
      <c r="Q960" s="276"/>
      <c r="R960" s="276"/>
      <c r="S960" s="276"/>
      <c r="T960" s="276"/>
      <c r="U960" s="276"/>
      <c r="V960" s="276"/>
      <c r="W960" s="276"/>
      <c r="X960" s="276"/>
    </row>
    <row r="961" ht="15.75" customHeight="1">
      <c r="A961" s="283"/>
      <c r="B961" s="284"/>
      <c r="C961" s="284"/>
      <c r="D961" s="284"/>
      <c r="E961" s="285"/>
      <c r="F961" s="285"/>
      <c r="G961" s="290"/>
      <c r="H961" s="288"/>
      <c r="I961" s="285"/>
      <c r="J961" s="276"/>
      <c r="K961" s="276"/>
      <c r="L961" s="276"/>
      <c r="M961" s="276"/>
      <c r="N961" s="276"/>
      <c r="O961" s="276"/>
      <c r="P961" s="276"/>
      <c r="Q961" s="276"/>
      <c r="R961" s="276"/>
      <c r="S961" s="276"/>
      <c r="T961" s="276"/>
      <c r="U961" s="276"/>
      <c r="V961" s="276"/>
      <c r="W961" s="276"/>
      <c r="X961" s="276"/>
    </row>
    <row r="962" ht="15.75" customHeight="1">
      <c r="A962" s="283"/>
      <c r="B962" s="284"/>
      <c r="C962" s="284"/>
      <c r="D962" s="284"/>
      <c r="E962" s="285"/>
      <c r="F962" s="286"/>
      <c r="G962" s="287"/>
      <c r="H962" s="288"/>
      <c r="I962" s="285"/>
      <c r="J962" s="276"/>
      <c r="K962" s="276"/>
      <c r="L962" s="276"/>
      <c r="M962" s="276"/>
      <c r="N962" s="276"/>
      <c r="O962" s="276"/>
      <c r="P962" s="276"/>
      <c r="Q962" s="276"/>
      <c r="R962" s="276"/>
      <c r="S962" s="276"/>
      <c r="T962" s="276"/>
      <c r="U962" s="276"/>
      <c r="V962" s="276"/>
      <c r="W962" s="276"/>
      <c r="X962" s="276"/>
    </row>
    <row r="963" ht="15.75" customHeight="1">
      <c r="A963" s="283"/>
      <c r="B963" s="284"/>
      <c r="C963" s="284"/>
      <c r="D963" s="284"/>
      <c r="E963" s="285"/>
      <c r="F963" s="285"/>
      <c r="G963" s="290"/>
      <c r="H963" s="288"/>
      <c r="I963" s="285"/>
      <c r="J963" s="276"/>
      <c r="K963" s="276"/>
      <c r="L963" s="276"/>
      <c r="M963" s="276"/>
      <c r="N963" s="276"/>
      <c r="O963" s="276"/>
      <c r="P963" s="276"/>
      <c r="Q963" s="276"/>
      <c r="R963" s="276"/>
      <c r="S963" s="276"/>
      <c r="T963" s="276"/>
      <c r="U963" s="276"/>
      <c r="V963" s="276"/>
      <c r="W963" s="276"/>
      <c r="X963" s="276"/>
    </row>
    <row r="964" ht="15.75" customHeight="1">
      <c r="A964" s="283"/>
      <c r="B964" s="284"/>
      <c r="C964" s="284"/>
      <c r="D964" s="284"/>
      <c r="E964" s="285"/>
      <c r="F964" s="286"/>
      <c r="G964" s="287"/>
      <c r="H964" s="288"/>
      <c r="I964" s="285"/>
      <c r="J964" s="276"/>
      <c r="K964" s="276"/>
      <c r="L964" s="276"/>
      <c r="M964" s="276"/>
      <c r="N964" s="276"/>
      <c r="O964" s="276"/>
      <c r="P964" s="276"/>
      <c r="Q964" s="276"/>
      <c r="R964" s="276"/>
      <c r="S964" s="276"/>
      <c r="T964" s="276"/>
      <c r="U964" s="276"/>
      <c r="V964" s="276"/>
      <c r="W964" s="276"/>
      <c r="X964" s="276"/>
    </row>
    <row r="965" ht="15.75" customHeight="1">
      <c r="A965" s="283"/>
      <c r="B965" s="284"/>
      <c r="C965" s="284"/>
      <c r="D965" s="284"/>
      <c r="E965" s="285"/>
      <c r="F965" s="286"/>
      <c r="G965" s="287"/>
      <c r="H965" s="288"/>
      <c r="I965" s="285"/>
      <c r="J965" s="276"/>
      <c r="K965" s="276"/>
      <c r="L965" s="276"/>
      <c r="M965" s="276"/>
      <c r="N965" s="276"/>
      <c r="O965" s="276"/>
      <c r="P965" s="276"/>
      <c r="Q965" s="276"/>
      <c r="R965" s="276"/>
      <c r="S965" s="276"/>
      <c r="T965" s="276"/>
      <c r="U965" s="276"/>
      <c r="V965" s="276"/>
      <c r="W965" s="276"/>
      <c r="X965" s="276"/>
    </row>
    <row r="966" ht="15.75" customHeight="1">
      <c r="A966" s="283"/>
      <c r="B966" s="284"/>
      <c r="C966" s="284"/>
      <c r="D966" s="284"/>
      <c r="E966" s="285"/>
      <c r="F966" s="286"/>
      <c r="G966" s="287"/>
      <c r="H966" s="288"/>
      <c r="I966" s="285"/>
      <c r="J966" s="276"/>
      <c r="K966" s="276"/>
      <c r="L966" s="276"/>
      <c r="M966" s="276"/>
      <c r="N966" s="276"/>
      <c r="O966" s="276"/>
      <c r="P966" s="276"/>
      <c r="Q966" s="276"/>
      <c r="R966" s="276"/>
      <c r="S966" s="276"/>
      <c r="T966" s="276"/>
      <c r="U966" s="276"/>
      <c r="V966" s="276"/>
      <c r="W966" s="276"/>
      <c r="X966" s="276"/>
    </row>
    <row r="967" ht="15.75" customHeight="1">
      <c r="A967" s="283"/>
      <c r="B967" s="284"/>
      <c r="C967" s="284"/>
      <c r="D967" s="284"/>
      <c r="E967" s="285"/>
      <c r="F967" s="35"/>
      <c r="G967" s="290"/>
      <c r="H967" s="360"/>
      <c r="I967" s="285"/>
      <c r="J967" s="276"/>
      <c r="K967" s="276"/>
      <c r="L967" s="276"/>
      <c r="M967" s="276"/>
      <c r="N967" s="276"/>
      <c r="O967" s="276"/>
      <c r="P967" s="276"/>
      <c r="Q967" s="276"/>
      <c r="R967" s="276"/>
      <c r="S967" s="276"/>
      <c r="T967" s="276"/>
      <c r="U967" s="276"/>
      <c r="V967" s="276"/>
      <c r="W967" s="276"/>
      <c r="X967" s="276"/>
    </row>
    <row r="968" ht="15.75" customHeight="1">
      <c r="A968" s="297"/>
      <c r="B968" s="284"/>
      <c r="C968" s="284"/>
      <c r="D968" s="284"/>
      <c r="E968" s="285"/>
      <c r="F968" s="35"/>
      <c r="G968" s="290"/>
      <c r="H968" s="360"/>
      <c r="I968" s="285"/>
      <c r="J968" s="276"/>
      <c r="K968" s="276"/>
      <c r="L968" s="276"/>
      <c r="M968" s="276"/>
      <c r="N968" s="276"/>
      <c r="O968" s="276"/>
      <c r="P968" s="276"/>
      <c r="Q968" s="276"/>
      <c r="R968" s="276"/>
      <c r="S968" s="276"/>
      <c r="T968" s="276"/>
      <c r="U968" s="276"/>
      <c r="V968" s="276"/>
      <c r="W968" s="276"/>
      <c r="X968" s="276"/>
    </row>
    <row r="969" ht="15.75" customHeight="1">
      <c r="A969" s="297"/>
      <c r="B969" s="284"/>
      <c r="C969" s="284"/>
      <c r="D969" s="284"/>
      <c r="E969" s="285"/>
      <c r="F969" s="35"/>
      <c r="G969" s="290"/>
      <c r="H969" s="360"/>
      <c r="I969" s="285"/>
      <c r="J969" s="276"/>
      <c r="K969" s="276"/>
      <c r="L969" s="276"/>
      <c r="M969" s="276"/>
      <c r="N969" s="276"/>
      <c r="O969" s="276"/>
      <c r="P969" s="276"/>
      <c r="Q969" s="276"/>
      <c r="R969" s="276"/>
      <c r="S969" s="276"/>
      <c r="T969" s="276"/>
      <c r="U969" s="276"/>
      <c r="V969" s="276"/>
      <c r="W969" s="276"/>
      <c r="X969" s="276"/>
    </row>
    <row r="970" ht="15.75" customHeight="1">
      <c r="A970" s="297"/>
      <c r="B970" s="284"/>
      <c r="C970" s="284"/>
      <c r="D970" s="284"/>
      <c r="E970" s="312"/>
      <c r="F970" s="312"/>
      <c r="G970" s="319"/>
      <c r="H970" s="288"/>
      <c r="I970" s="285"/>
      <c r="J970" s="276"/>
      <c r="K970" s="276"/>
      <c r="L970" s="276"/>
      <c r="M970" s="276"/>
      <c r="N970" s="276"/>
      <c r="O970" s="276"/>
      <c r="P970" s="276"/>
      <c r="Q970" s="276"/>
      <c r="R970" s="276"/>
      <c r="S970" s="276"/>
      <c r="T970" s="276"/>
      <c r="U970" s="276"/>
      <c r="V970" s="276"/>
      <c r="W970" s="276"/>
      <c r="X970" s="276"/>
    </row>
    <row r="971" ht="15.75" customHeight="1">
      <c r="A971" s="297"/>
      <c r="B971" s="284"/>
      <c r="C971" s="284"/>
      <c r="D971" s="284"/>
      <c r="E971" s="285"/>
      <c r="F971" s="286"/>
      <c r="G971" s="287"/>
      <c r="H971" s="288"/>
      <c r="I971" s="285"/>
      <c r="J971" s="276"/>
      <c r="K971" s="276"/>
      <c r="L971" s="276"/>
      <c r="M971" s="276"/>
      <c r="N971" s="276"/>
      <c r="O971" s="276"/>
      <c r="P971" s="276"/>
      <c r="Q971" s="276"/>
      <c r="R971" s="276"/>
      <c r="S971" s="276"/>
      <c r="T971" s="276"/>
      <c r="U971" s="276"/>
      <c r="V971" s="276"/>
      <c r="W971" s="276"/>
      <c r="X971" s="276"/>
    </row>
    <row r="972" ht="15.75" customHeight="1">
      <c r="A972" s="297"/>
      <c r="B972" s="284"/>
      <c r="C972" s="284"/>
      <c r="D972" s="284"/>
      <c r="E972" s="285"/>
      <c r="F972" s="35"/>
      <c r="G972" s="290"/>
      <c r="H972" s="360"/>
      <c r="I972" s="285"/>
      <c r="J972" s="276"/>
      <c r="K972" s="276"/>
      <c r="L972" s="276"/>
      <c r="M972" s="276"/>
      <c r="N972" s="276"/>
      <c r="O972" s="276"/>
      <c r="P972" s="276"/>
      <c r="Q972" s="276"/>
      <c r="R972" s="276"/>
      <c r="S972" s="276"/>
      <c r="T972" s="276"/>
      <c r="U972" s="276"/>
      <c r="V972" s="276"/>
      <c r="W972" s="276"/>
      <c r="X972" s="276"/>
    </row>
    <row r="973" ht="15.75" customHeight="1">
      <c r="A973" s="297"/>
      <c r="B973" s="284"/>
      <c r="C973" s="284"/>
      <c r="D973" s="284"/>
      <c r="E973" s="285"/>
      <c r="F973" s="286"/>
      <c r="G973" s="287"/>
      <c r="H973" s="288"/>
      <c r="I973" s="285"/>
      <c r="J973" s="276"/>
      <c r="K973" s="276"/>
      <c r="L973" s="276"/>
      <c r="M973" s="276"/>
      <c r="N973" s="276"/>
      <c r="O973" s="276"/>
      <c r="P973" s="276"/>
      <c r="Q973" s="276"/>
      <c r="R973" s="276"/>
      <c r="S973" s="276"/>
      <c r="T973" s="276"/>
      <c r="U973" s="276"/>
      <c r="V973" s="276"/>
      <c r="W973" s="276"/>
      <c r="X973" s="276"/>
    </row>
    <row r="974" ht="15.75" customHeight="1">
      <c r="A974" s="297"/>
      <c r="B974" s="284"/>
      <c r="C974" s="284"/>
      <c r="D974" s="284"/>
      <c r="E974" s="285"/>
      <c r="F974" s="35"/>
      <c r="G974" s="290"/>
      <c r="H974" s="360"/>
      <c r="I974" s="285"/>
      <c r="J974" s="276"/>
      <c r="K974" s="276"/>
      <c r="L974" s="276"/>
      <c r="M974" s="276"/>
      <c r="N974" s="276"/>
      <c r="O974" s="276"/>
      <c r="P974" s="276"/>
      <c r="Q974" s="276"/>
      <c r="R974" s="276"/>
      <c r="S974" s="276"/>
      <c r="T974" s="276"/>
      <c r="U974" s="276"/>
      <c r="V974" s="276"/>
      <c r="W974" s="276"/>
      <c r="X974" s="276"/>
    </row>
    <row r="975" ht="15.75" customHeight="1">
      <c r="A975" s="297"/>
      <c r="B975" s="284"/>
      <c r="C975" s="284"/>
      <c r="D975" s="284"/>
      <c r="E975" s="285"/>
      <c r="F975" s="35"/>
      <c r="G975" s="290"/>
      <c r="H975" s="360"/>
      <c r="I975" s="285"/>
      <c r="J975" s="276"/>
      <c r="K975" s="276"/>
      <c r="L975" s="276"/>
      <c r="M975" s="276"/>
      <c r="N975" s="276"/>
      <c r="O975" s="276"/>
      <c r="P975" s="276"/>
      <c r="Q975" s="276"/>
      <c r="R975" s="276"/>
      <c r="S975" s="276"/>
      <c r="T975" s="276"/>
      <c r="U975" s="276"/>
      <c r="V975" s="276"/>
      <c r="W975" s="276"/>
      <c r="X975" s="276"/>
    </row>
    <row r="976" ht="15.75" customHeight="1">
      <c r="A976" s="297"/>
      <c r="B976" s="284"/>
      <c r="C976" s="284"/>
      <c r="D976" s="284"/>
      <c r="E976" s="285"/>
      <c r="F976" s="35"/>
      <c r="G976" s="290"/>
      <c r="H976" s="360"/>
      <c r="I976" s="285"/>
      <c r="J976" s="276"/>
      <c r="K976" s="276"/>
      <c r="L976" s="276"/>
      <c r="M976" s="276"/>
      <c r="N976" s="276"/>
      <c r="O976" s="276"/>
      <c r="P976" s="276"/>
      <c r="Q976" s="276"/>
      <c r="R976" s="276"/>
      <c r="S976" s="276"/>
      <c r="T976" s="276"/>
      <c r="U976" s="276"/>
      <c r="V976" s="276"/>
      <c r="W976" s="276"/>
      <c r="X976" s="276"/>
    </row>
    <row r="977" ht="15.75" customHeight="1">
      <c r="A977" s="297"/>
      <c r="B977" s="284"/>
      <c r="C977" s="284"/>
      <c r="D977" s="284"/>
      <c r="E977" s="285"/>
      <c r="F977" s="35"/>
      <c r="G977" s="290"/>
      <c r="H977" s="360"/>
      <c r="I977" s="285"/>
      <c r="J977" s="276"/>
      <c r="K977" s="276"/>
      <c r="L977" s="276"/>
      <c r="M977" s="276"/>
      <c r="N977" s="276"/>
      <c r="O977" s="276"/>
      <c r="P977" s="276"/>
      <c r="Q977" s="276"/>
      <c r="R977" s="276"/>
      <c r="S977" s="276"/>
      <c r="T977" s="276"/>
      <c r="U977" s="276"/>
      <c r="V977" s="276"/>
      <c r="W977" s="276"/>
      <c r="X977" s="276"/>
    </row>
    <row r="978" ht="15.75" customHeight="1">
      <c r="A978" s="283"/>
      <c r="B978" s="284"/>
      <c r="C978" s="284"/>
      <c r="D978" s="284"/>
      <c r="E978" s="285"/>
      <c r="F978" s="286"/>
      <c r="G978" s="287"/>
      <c r="H978" s="288"/>
      <c r="I978" s="285"/>
      <c r="J978" s="276"/>
      <c r="K978" s="276"/>
      <c r="L978" s="276"/>
      <c r="M978" s="276"/>
      <c r="N978" s="276"/>
      <c r="O978" s="276"/>
      <c r="P978" s="276"/>
      <c r="Q978" s="276"/>
      <c r="R978" s="276"/>
      <c r="S978" s="276"/>
      <c r="T978" s="276"/>
      <c r="U978" s="276"/>
      <c r="V978" s="276"/>
      <c r="W978" s="276"/>
      <c r="X978" s="276"/>
    </row>
    <row r="979" ht="15.75" customHeight="1">
      <c r="A979" s="283"/>
      <c r="B979" s="284"/>
      <c r="C979" s="284"/>
      <c r="D979" s="284"/>
      <c r="E979" s="285"/>
      <c r="F979" s="286"/>
      <c r="G979" s="287"/>
      <c r="H979" s="288"/>
      <c r="I979" s="285"/>
      <c r="J979" s="276"/>
      <c r="K979" s="276"/>
      <c r="L979" s="276"/>
      <c r="M979" s="276"/>
      <c r="N979" s="276"/>
      <c r="O979" s="276"/>
      <c r="P979" s="276"/>
      <c r="Q979" s="276"/>
      <c r="R979" s="276"/>
      <c r="S979" s="276"/>
      <c r="T979" s="276"/>
      <c r="U979" s="276"/>
      <c r="V979" s="276"/>
      <c r="W979" s="276"/>
      <c r="X979" s="276"/>
    </row>
    <row r="980" ht="15.75" customHeight="1">
      <c r="A980" s="283"/>
      <c r="B980" s="284"/>
      <c r="C980" s="284"/>
      <c r="D980" s="284"/>
      <c r="E980" s="285"/>
      <c r="F980" s="286"/>
      <c r="G980" s="287"/>
      <c r="H980" s="288"/>
      <c r="I980" s="285"/>
      <c r="J980" s="276"/>
      <c r="K980" s="276"/>
      <c r="L980" s="276"/>
      <c r="M980" s="276"/>
      <c r="N980" s="276"/>
      <c r="O980" s="276"/>
      <c r="P980" s="276"/>
      <c r="Q980" s="276"/>
      <c r="R980" s="276"/>
      <c r="S980" s="276"/>
      <c r="T980" s="276"/>
      <c r="U980" s="276"/>
      <c r="V980" s="276"/>
      <c r="W980" s="276"/>
      <c r="X980" s="276"/>
    </row>
    <row r="981" ht="15.75" customHeight="1">
      <c r="A981" s="283"/>
      <c r="B981" s="284"/>
      <c r="C981" s="284"/>
      <c r="D981" s="284"/>
      <c r="E981" s="285"/>
      <c r="F981" s="286"/>
      <c r="G981" s="287"/>
      <c r="H981" s="288"/>
      <c r="I981" s="285"/>
      <c r="J981" s="276"/>
      <c r="K981" s="276"/>
      <c r="L981" s="276"/>
      <c r="M981" s="276"/>
      <c r="N981" s="276"/>
      <c r="O981" s="276"/>
      <c r="P981" s="276"/>
      <c r="Q981" s="276"/>
      <c r="R981" s="276"/>
      <c r="S981" s="276"/>
      <c r="T981" s="276"/>
      <c r="U981" s="276"/>
      <c r="V981" s="276"/>
      <c r="W981" s="276"/>
      <c r="X981" s="276"/>
    </row>
    <row r="982" ht="15.75" customHeight="1">
      <c r="A982" s="283"/>
      <c r="B982" s="284"/>
      <c r="C982" s="284"/>
      <c r="D982" s="284"/>
      <c r="E982" s="285"/>
      <c r="F982" s="286"/>
      <c r="G982" s="287"/>
      <c r="H982" s="288"/>
      <c r="I982" s="285"/>
      <c r="J982" s="276"/>
      <c r="K982" s="276"/>
      <c r="L982" s="276"/>
      <c r="M982" s="276"/>
      <c r="N982" s="276"/>
      <c r="O982" s="276"/>
      <c r="P982" s="276"/>
      <c r="Q982" s="276"/>
      <c r="R982" s="276"/>
      <c r="S982" s="276"/>
      <c r="T982" s="276"/>
      <c r="U982" s="276"/>
      <c r="V982" s="276"/>
      <c r="W982" s="276"/>
      <c r="X982" s="276"/>
    </row>
    <row r="983" ht="15.75" customHeight="1">
      <c r="A983" s="283"/>
      <c r="B983" s="284"/>
      <c r="C983" s="284"/>
      <c r="D983" s="284"/>
      <c r="E983" s="285"/>
      <c r="F983" s="286"/>
      <c r="G983" s="287"/>
      <c r="H983" s="288"/>
      <c r="I983" s="285"/>
      <c r="J983" s="276"/>
      <c r="K983" s="276"/>
      <c r="L983" s="276"/>
      <c r="M983" s="276"/>
      <c r="N983" s="276"/>
      <c r="O983" s="276"/>
      <c r="P983" s="276"/>
      <c r="Q983" s="276"/>
      <c r="R983" s="276"/>
      <c r="S983" s="276"/>
      <c r="T983" s="276"/>
      <c r="U983" s="276"/>
      <c r="V983" s="276"/>
      <c r="W983" s="276"/>
      <c r="X983" s="276"/>
    </row>
    <row r="984" ht="15.75" customHeight="1">
      <c r="A984" s="283"/>
      <c r="B984" s="284"/>
      <c r="C984" s="284"/>
      <c r="D984" s="284"/>
      <c r="E984" s="285"/>
      <c r="F984" s="286"/>
      <c r="G984" s="287"/>
      <c r="H984" s="288"/>
      <c r="I984" s="285"/>
      <c r="J984" s="276"/>
      <c r="K984" s="276"/>
      <c r="L984" s="276"/>
      <c r="M984" s="276"/>
      <c r="N984" s="276"/>
      <c r="O984" s="276"/>
      <c r="P984" s="276"/>
      <c r="Q984" s="276"/>
      <c r="R984" s="276"/>
      <c r="S984" s="276"/>
      <c r="T984" s="276"/>
      <c r="U984" s="276"/>
      <c r="V984" s="276"/>
      <c r="W984" s="276"/>
      <c r="X984" s="276"/>
    </row>
    <row r="985" ht="15.75" customHeight="1">
      <c r="A985" s="283"/>
      <c r="B985" s="284"/>
      <c r="C985" s="284"/>
      <c r="D985" s="284"/>
      <c r="E985" s="285"/>
      <c r="F985" s="286"/>
      <c r="G985" s="287"/>
      <c r="H985" s="288"/>
      <c r="I985" s="285"/>
      <c r="J985" s="276"/>
      <c r="K985" s="276"/>
      <c r="L985" s="276"/>
      <c r="M985" s="276"/>
      <c r="N985" s="276"/>
      <c r="O985" s="276"/>
      <c r="P985" s="276"/>
      <c r="Q985" s="276"/>
      <c r="R985" s="276"/>
      <c r="S985" s="276"/>
      <c r="T985" s="276"/>
      <c r="U985" s="276"/>
      <c r="V985" s="276"/>
      <c r="W985" s="276"/>
      <c r="X985" s="276"/>
    </row>
    <row r="986" ht="15.75" customHeight="1">
      <c r="A986" s="283"/>
      <c r="B986" s="284"/>
      <c r="C986" s="284"/>
      <c r="D986" s="284"/>
      <c r="E986" s="285"/>
      <c r="F986" s="286"/>
      <c r="G986" s="287"/>
      <c r="H986" s="288"/>
      <c r="I986" s="285"/>
      <c r="J986" s="276"/>
      <c r="K986" s="276"/>
      <c r="L986" s="276"/>
      <c r="M986" s="276"/>
      <c r="N986" s="276"/>
      <c r="O986" s="276"/>
      <c r="P986" s="276"/>
      <c r="Q986" s="276"/>
      <c r="R986" s="276"/>
      <c r="S986" s="276"/>
      <c r="T986" s="276"/>
      <c r="U986" s="276"/>
      <c r="V986" s="276"/>
      <c r="W986" s="276"/>
      <c r="X986" s="276"/>
    </row>
    <row r="987" ht="15.75" customHeight="1">
      <c r="A987" s="283"/>
      <c r="B987" s="284"/>
      <c r="C987" s="284"/>
      <c r="D987" s="284"/>
      <c r="E987" s="285"/>
      <c r="F987" s="286"/>
      <c r="G987" s="287"/>
      <c r="H987" s="288"/>
      <c r="I987" s="285"/>
      <c r="J987" s="276"/>
      <c r="K987" s="276"/>
      <c r="L987" s="276"/>
      <c r="M987" s="276"/>
      <c r="N987" s="276"/>
      <c r="O987" s="276"/>
      <c r="P987" s="276"/>
      <c r="Q987" s="276"/>
      <c r="R987" s="276"/>
      <c r="S987" s="276"/>
      <c r="T987" s="276"/>
      <c r="U987" s="276"/>
      <c r="V987" s="276"/>
      <c r="W987" s="276"/>
      <c r="X987" s="276"/>
    </row>
    <row r="988" ht="15.75" customHeight="1">
      <c r="A988" s="283"/>
      <c r="B988" s="284"/>
      <c r="C988" s="284"/>
      <c r="D988" s="284"/>
      <c r="E988" s="285"/>
      <c r="F988" s="286"/>
      <c r="G988" s="287"/>
      <c r="H988" s="288"/>
      <c r="I988" s="285"/>
      <c r="J988" s="276"/>
      <c r="K988" s="276"/>
      <c r="L988" s="276"/>
      <c r="M988" s="276"/>
      <c r="N988" s="276"/>
      <c r="O988" s="276"/>
      <c r="P988" s="276"/>
      <c r="Q988" s="276"/>
      <c r="R988" s="276"/>
      <c r="S988" s="276"/>
      <c r="T988" s="276"/>
      <c r="U988" s="276"/>
      <c r="V988" s="276"/>
      <c r="W988" s="276"/>
      <c r="X988" s="276"/>
    </row>
    <row r="989" ht="15.75" customHeight="1">
      <c r="A989" s="283"/>
      <c r="B989" s="284"/>
      <c r="C989" s="284"/>
      <c r="D989" s="284"/>
      <c r="E989" s="285"/>
      <c r="F989" s="286"/>
      <c r="G989" s="287"/>
      <c r="H989" s="288"/>
      <c r="I989" s="285"/>
      <c r="J989" s="276"/>
      <c r="K989" s="276"/>
      <c r="L989" s="276"/>
      <c r="M989" s="276"/>
      <c r="N989" s="276"/>
      <c r="O989" s="276"/>
      <c r="P989" s="276"/>
      <c r="Q989" s="276"/>
      <c r="R989" s="276"/>
      <c r="S989" s="276"/>
      <c r="T989" s="276"/>
      <c r="U989" s="276"/>
      <c r="V989" s="276"/>
      <c r="W989" s="276"/>
      <c r="X989" s="276"/>
    </row>
    <row r="990" ht="15.75" customHeight="1">
      <c r="A990" s="283"/>
      <c r="B990" s="284"/>
      <c r="C990" s="284"/>
      <c r="D990" s="284"/>
      <c r="E990" s="285"/>
      <c r="F990" s="286"/>
      <c r="G990" s="287"/>
      <c r="H990" s="288"/>
      <c r="I990" s="285"/>
      <c r="J990" s="276"/>
      <c r="K990" s="276"/>
      <c r="L990" s="276"/>
      <c r="M990" s="276"/>
      <c r="N990" s="276"/>
      <c r="O990" s="276"/>
      <c r="P990" s="276"/>
      <c r="Q990" s="276"/>
      <c r="R990" s="276"/>
      <c r="S990" s="276"/>
      <c r="T990" s="276"/>
      <c r="U990" s="276"/>
      <c r="V990" s="276"/>
      <c r="W990" s="276"/>
      <c r="X990" s="276"/>
    </row>
    <row r="991" ht="15.75" customHeight="1">
      <c r="A991" s="283"/>
      <c r="B991" s="284"/>
      <c r="C991" s="284"/>
      <c r="D991" s="284"/>
      <c r="E991" s="285"/>
      <c r="F991" s="286"/>
      <c r="G991" s="287"/>
      <c r="H991" s="288"/>
      <c r="I991" s="285"/>
      <c r="J991" s="276"/>
      <c r="K991" s="276"/>
      <c r="L991" s="276"/>
      <c r="M991" s="276"/>
      <c r="N991" s="276"/>
      <c r="O991" s="276"/>
      <c r="P991" s="276"/>
      <c r="Q991" s="276"/>
      <c r="R991" s="276"/>
      <c r="S991" s="276"/>
      <c r="T991" s="276"/>
      <c r="U991" s="276"/>
      <c r="V991" s="276"/>
      <c r="W991" s="276"/>
      <c r="X991" s="276"/>
    </row>
    <row r="992" ht="15.75" customHeight="1">
      <c r="A992" s="283"/>
      <c r="B992" s="284"/>
      <c r="C992" s="284"/>
      <c r="D992" s="284"/>
      <c r="E992" s="285"/>
      <c r="F992" s="286"/>
      <c r="G992" s="287"/>
      <c r="H992" s="288"/>
      <c r="I992" s="285"/>
      <c r="J992" s="276"/>
      <c r="K992" s="276"/>
      <c r="L992" s="276"/>
      <c r="M992" s="276"/>
      <c r="N992" s="276"/>
      <c r="O992" s="276"/>
      <c r="P992" s="276"/>
      <c r="Q992" s="276"/>
      <c r="R992" s="276"/>
      <c r="S992" s="276"/>
      <c r="T992" s="276"/>
      <c r="U992" s="276"/>
      <c r="V992" s="276"/>
      <c r="W992" s="276"/>
      <c r="X992" s="276"/>
    </row>
    <row r="993" ht="15.75" customHeight="1">
      <c r="A993" s="283"/>
      <c r="B993" s="284"/>
      <c r="C993" s="284"/>
      <c r="D993" s="284"/>
      <c r="E993" s="285"/>
      <c r="F993" s="285"/>
      <c r="G993" s="290"/>
      <c r="H993" s="288"/>
      <c r="I993" s="285"/>
      <c r="J993" s="276"/>
      <c r="K993" s="276"/>
      <c r="L993" s="276"/>
      <c r="M993" s="276"/>
      <c r="N993" s="276"/>
      <c r="O993" s="276"/>
      <c r="P993" s="276"/>
      <c r="Q993" s="276"/>
      <c r="R993" s="276"/>
      <c r="S993" s="276"/>
      <c r="T993" s="276"/>
      <c r="U993" s="276"/>
      <c r="V993" s="276"/>
      <c r="W993" s="276"/>
      <c r="X993" s="276"/>
    </row>
    <row r="994" ht="15.75" customHeight="1">
      <c r="A994" s="283"/>
      <c r="B994" s="284"/>
      <c r="C994" s="284"/>
      <c r="D994" s="284"/>
      <c r="E994" s="285"/>
      <c r="F994" s="285"/>
      <c r="G994" s="290"/>
      <c r="H994" s="288"/>
      <c r="I994" s="285"/>
      <c r="J994" s="276"/>
      <c r="K994" s="276"/>
      <c r="L994" s="276"/>
      <c r="M994" s="276"/>
      <c r="N994" s="276"/>
      <c r="O994" s="276"/>
      <c r="P994" s="276"/>
      <c r="Q994" s="276"/>
      <c r="R994" s="276"/>
      <c r="S994" s="276"/>
      <c r="T994" s="276"/>
      <c r="U994" s="276"/>
      <c r="V994" s="276"/>
      <c r="W994" s="276"/>
      <c r="X994" s="276"/>
    </row>
    <row r="995" ht="15.75" customHeight="1">
      <c r="A995" s="283"/>
      <c r="B995" s="284"/>
      <c r="C995" s="284"/>
      <c r="D995" s="284"/>
      <c r="E995" s="285"/>
      <c r="F995" s="286"/>
      <c r="G995" s="287"/>
      <c r="H995" s="288"/>
      <c r="I995" s="285"/>
      <c r="J995" s="276"/>
      <c r="K995" s="276"/>
      <c r="L995" s="276"/>
      <c r="M995" s="276"/>
      <c r="N995" s="276"/>
      <c r="O995" s="276"/>
      <c r="P995" s="276"/>
      <c r="Q995" s="276"/>
      <c r="R995" s="276"/>
      <c r="S995" s="276"/>
      <c r="T995" s="276"/>
      <c r="U995" s="276"/>
      <c r="V995" s="276"/>
      <c r="W995" s="276"/>
      <c r="X995" s="276"/>
    </row>
    <row r="996" ht="15.75" customHeight="1">
      <c r="A996" s="283"/>
      <c r="B996" s="284"/>
      <c r="C996" s="284"/>
      <c r="D996" s="284"/>
      <c r="E996" s="285"/>
      <c r="F996" s="286"/>
      <c r="G996" s="287"/>
      <c r="H996" s="288"/>
      <c r="I996" s="285"/>
      <c r="J996" s="276"/>
      <c r="K996" s="276"/>
      <c r="L996" s="276"/>
      <c r="M996" s="276"/>
      <c r="N996" s="276"/>
      <c r="O996" s="276"/>
      <c r="P996" s="276"/>
      <c r="Q996" s="276"/>
      <c r="R996" s="276"/>
      <c r="S996" s="276"/>
      <c r="T996" s="276"/>
      <c r="U996" s="276"/>
      <c r="V996" s="276"/>
      <c r="W996" s="276"/>
      <c r="X996" s="276"/>
    </row>
    <row r="997" ht="15.75" customHeight="1">
      <c r="A997" s="283"/>
      <c r="B997" s="284"/>
      <c r="C997" s="284"/>
      <c r="D997" s="284"/>
      <c r="E997" s="285"/>
      <c r="F997" s="286"/>
      <c r="G997" s="287"/>
      <c r="H997" s="288"/>
      <c r="I997" s="285"/>
      <c r="J997" s="276"/>
      <c r="K997" s="276"/>
      <c r="L997" s="276"/>
      <c r="M997" s="276"/>
      <c r="N997" s="276"/>
      <c r="O997" s="276"/>
      <c r="P997" s="276"/>
      <c r="Q997" s="276"/>
      <c r="R997" s="276"/>
      <c r="S997" s="276"/>
      <c r="T997" s="276"/>
      <c r="U997" s="276"/>
      <c r="V997" s="276"/>
      <c r="W997" s="276"/>
      <c r="X997" s="276"/>
    </row>
    <row r="998" ht="15.75" customHeight="1">
      <c r="A998" s="283"/>
      <c r="B998" s="284"/>
      <c r="C998" s="284"/>
      <c r="D998" s="284"/>
      <c r="E998" s="285"/>
      <c r="F998" s="285"/>
      <c r="G998" s="290"/>
      <c r="H998" s="288"/>
      <c r="I998" s="285"/>
      <c r="J998" s="276"/>
      <c r="K998" s="276"/>
      <c r="L998" s="276"/>
      <c r="M998" s="276"/>
      <c r="N998" s="276"/>
      <c r="O998" s="276"/>
      <c r="P998" s="276"/>
      <c r="Q998" s="276"/>
      <c r="R998" s="276"/>
      <c r="S998" s="276"/>
      <c r="T998" s="276"/>
      <c r="U998" s="276"/>
      <c r="V998" s="276"/>
      <c r="W998" s="276"/>
      <c r="X998" s="276"/>
    </row>
    <row r="999" ht="15.75" customHeight="1">
      <c r="A999" s="283"/>
      <c r="B999" s="284"/>
      <c r="C999" s="284"/>
      <c r="D999" s="284"/>
      <c r="E999" s="285"/>
      <c r="F999" s="285"/>
      <c r="G999" s="290"/>
      <c r="H999" s="288"/>
      <c r="I999" s="285"/>
      <c r="J999" s="276"/>
      <c r="K999" s="276"/>
      <c r="L999" s="276"/>
      <c r="M999" s="276"/>
      <c r="N999" s="276"/>
      <c r="O999" s="276"/>
      <c r="P999" s="276"/>
      <c r="Q999" s="276"/>
      <c r="R999" s="276"/>
      <c r="S999" s="276"/>
      <c r="T999" s="276"/>
      <c r="U999" s="276"/>
      <c r="V999" s="276"/>
      <c r="W999" s="276"/>
      <c r="X999" s="276"/>
    </row>
    <row r="1000" ht="15.75" customHeight="1">
      <c r="A1000" s="283"/>
      <c r="B1000" s="284"/>
      <c r="C1000" s="284"/>
      <c r="D1000" s="284"/>
      <c r="E1000" s="285"/>
      <c r="F1000" s="285"/>
      <c r="G1000" s="290"/>
      <c r="H1000" s="288"/>
      <c r="I1000" s="285"/>
      <c r="J1000" s="276"/>
      <c r="K1000" s="276"/>
      <c r="L1000" s="276"/>
      <c r="M1000" s="276"/>
      <c r="N1000" s="276"/>
      <c r="O1000" s="276"/>
      <c r="P1000" s="276"/>
      <c r="Q1000" s="276"/>
      <c r="R1000" s="276"/>
      <c r="S1000" s="276"/>
      <c r="T1000" s="276"/>
      <c r="U1000" s="276"/>
      <c r="V1000" s="276"/>
      <c r="W1000" s="276"/>
      <c r="X1000" s="276"/>
    </row>
    <row r="1001" ht="15.75" customHeight="1">
      <c r="A1001" s="289"/>
      <c r="B1001" s="284"/>
      <c r="C1001" s="284"/>
      <c r="D1001" s="284"/>
      <c r="E1001" s="312"/>
      <c r="F1001" s="312"/>
      <c r="G1001" s="319"/>
      <c r="H1001" s="288"/>
      <c r="I1001" s="285"/>
      <c r="J1001" s="276"/>
      <c r="K1001" s="276"/>
      <c r="L1001" s="276"/>
      <c r="M1001" s="276"/>
      <c r="N1001" s="276"/>
      <c r="O1001" s="276"/>
      <c r="P1001" s="276"/>
      <c r="Q1001" s="276"/>
      <c r="R1001" s="276"/>
      <c r="S1001" s="276"/>
      <c r="T1001" s="276"/>
      <c r="U1001" s="276"/>
      <c r="V1001" s="276"/>
      <c r="W1001" s="276"/>
      <c r="X1001" s="276"/>
    </row>
    <row r="1002" ht="15.75" customHeight="1">
      <c r="A1002" s="289"/>
      <c r="B1002" s="284"/>
      <c r="C1002" s="284"/>
      <c r="D1002" s="284"/>
      <c r="E1002" s="312"/>
      <c r="F1002" s="312"/>
      <c r="G1002" s="319"/>
      <c r="H1002" s="288"/>
      <c r="I1002" s="285"/>
      <c r="J1002" s="276"/>
      <c r="K1002" s="276"/>
      <c r="L1002" s="276"/>
      <c r="M1002" s="276"/>
      <c r="N1002" s="276"/>
      <c r="O1002" s="276"/>
      <c r="P1002" s="276"/>
      <c r="Q1002" s="276"/>
      <c r="R1002" s="276"/>
      <c r="S1002" s="276"/>
      <c r="T1002" s="276"/>
      <c r="U1002" s="276"/>
      <c r="V1002" s="276"/>
      <c r="W1002" s="276"/>
      <c r="X1002" s="276"/>
    </row>
    <row r="1003" ht="15.75" customHeight="1">
      <c r="A1003" s="289"/>
      <c r="B1003" s="284"/>
      <c r="C1003" s="284"/>
      <c r="D1003" s="284"/>
      <c r="E1003" s="285"/>
      <c r="F1003" s="285"/>
      <c r="G1003" s="290"/>
      <c r="H1003" s="288"/>
      <c r="I1003" s="285"/>
      <c r="J1003" s="276"/>
      <c r="K1003" s="276"/>
      <c r="L1003" s="276"/>
      <c r="M1003" s="276"/>
      <c r="N1003" s="276"/>
      <c r="O1003" s="276"/>
      <c r="P1003" s="276"/>
      <c r="Q1003" s="276"/>
      <c r="R1003" s="276"/>
      <c r="S1003" s="276"/>
      <c r="T1003" s="276"/>
      <c r="U1003" s="276"/>
      <c r="V1003" s="276"/>
      <c r="W1003" s="276"/>
      <c r="X1003" s="276"/>
    </row>
    <row r="1004" ht="15.75" customHeight="1">
      <c r="A1004" s="289"/>
      <c r="B1004" s="284"/>
      <c r="C1004" s="284"/>
      <c r="D1004" s="284"/>
      <c r="E1004" s="285"/>
      <c r="F1004" s="285"/>
      <c r="G1004" s="290"/>
      <c r="H1004" s="288"/>
      <c r="I1004" s="285"/>
      <c r="J1004" s="276"/>
      <c r="K1004" s="276"/>
      <c r="L1004" s="276"/>
      <c r="M1004" s="276"/>
      <c r="N1004" s="276"/>
      <c r="O1004" s="276"/>
      <c r="P1004" s="276"/>
      <c r="Q1004" s="276"/>
      <c r="R1004" s="276"/>
      <c r="S1004" s="276"/>
      <c r="T1004" s="276"/>
      <c r="U1004" s="276"/>
      <c r="V1004" s="276"/>
      <c r="W1004" s="276"/>
      <c r="X1004" s="276"/>
    </row>
    <row r="1005" ht="15.75" customHeight="1">
      <c r="A1005" s="289"/>
      <c r="B1005" s="284"/>
      <c r="C1005" s="284"/>
      <c r="D1005" s="284"/>
      <c r="E1005" s="285"/>
      <c r="F1005" s="285"/>
      <c r="G1005" s="290"/>
      <c r="H1005" s="288"/>
      <c r="I1005" s="285"/>
      <c r="J1005" s="276"/>
      <c r="K1005" s="276"/>
      <c r="L1005" s="276"/>
      <c r="M1005" s="276"/>
      <c r="N1005" s="276"/>
      <c r="O1005" s="276"/>
      <c r="P1005" s="276"/>
      <c r="Q1005" s="276"/>
      <c r="R1005" s="276"/>
      <c r="S1005" s="276"/>
      <c r="T1005" s="276"/>
      <c r="U1005" s="276"/>
      <c r="V1005" s="276"/>
      <c r="W1005" s="276"/>
      <c r="X1005" s="276"/>
    </row>
    <row r="1006" ht="15.75" customHeight="1">
      <c r="A1006" s="289"/>
      <c r="B1006" s="284"/>
      <c r="C1006" s="284"/>
      <c r="D1006" s="284"/>
      <c r="E1006" s="312"/>
      <c r="F1006" s="312"/>
      <c r="G1006" s="319"/>
      <c r="H1006" s="288"/>
      <c r="I1006" s="285"/>
      <c r="J1006" s="276"/>
      <c r="K1006" s="276"/>
      <c r="L1006" s="276"/>
      <c r="M1006" s="276"/>
      <c r="N1006" s="276"/>
      <c r="O1006" s="276"/>
      <c r="P1006" s="276"/>
      <c r="Q1006" s="276"/>
      <c r="R1006" s="276"/>
      <c r="S1006" s="276"/>
      <c r="T1006" s="276"/>
      <c r="U1006" s="276"/>
      <c r="V1006" s="276"/>
      <c r="W1006" s="276"/>
      <c r="X1006" s="276"/>
    </row>
    <row r="1007" ht="15.75" customHeight="1">
      <c r="A1007" s="407"/>
      <c r="B1007" s="284"/>
      <c r="C1007" s="284"/>
      <c r="D1007" s="284"/>
      <c r="E1007" s="312"/>
      <c r="F1007" s="312"/>
      <c r="G1007" s="319"/>
      <c r="H1007" s="288"/>
      <c r="I1007" s="285"/>
      <c r="J1007" s="276"/>
      <c r="K1007" s="276"/>
      <c r="L1007" s="276"/>
      <c r="M1007" s="276"/>
      <c r="N1007" s="276"/>
      <c r="O1007" s="276"/>
      <c r="P1007" s="276"/>
      <c r="Q1007" s="276"/>
      <c r="R1007" s="276"/>
      <c r="S1007" s="276"/>
      <c r="T1007" s="276"/>
      <c r="U1007" s="276"/>
      <c r="V1007" s="276"/>
      <c r="W1007" s="276"/>
      <c r="X1007" s="276"/>
    </row>
    <row r="1008" ht="15.75" customHeight="1">
      <c r="A1008" s="407"/>
      <c r="B1008" s="284"/>
      <c r="C1008" s="284"/>
      <c r="D1008" s="284"/>
      <c r="E1008" s="285"/>
      <c r="F1008" s="35"/>
      <c r="G1008" s="290"/>
      <c r="H1008" s="360"/>
      <c r="I1008" s="285"/>
      <c r="J1008" s="276"/>
      <c r="K1008" s="276"/>
      <c r="L1008" s="276"/>
      <c r="M1008" s="276"/>
      <c r="N1008" s="276"/>
      <c r="O1008" s="276"/>
      <c r="P1008" s="276"/>
      <c r="Q1008" s="276"/>
      <c r="R1008" s="276"/>
      <c r="S1008" s="276"/>
      <c r="T1008" s="276"/>
      <c r="U1008" s="276"/>
      <c r="V1008" s="276"/>
      <c r="W1008" s="276"/>
      <c r="X1008" s="276"/>
    </row>
    <row r="1009" ht="15.75" customHeight="1">
      <c r="A1009" s="407"/>
      <c r="B1009" s="284"/>
      <c r="C1009" s="284"/>
      <c r="D1009" s="284"/>
      <c r="E1009" s="312"/>
      <c r="F1009" s="312"/>
      <c r="G1009" s="319"/>
      <c r="H1009" s="288"/>
      <c r="I1009" s="285"/>
      <c r="J1009" s="276"/>
      <c r="K1009" s="276"/>
      <c r="L1009" s="276"/>
      <c r="M1009" s="276"/>
      <c r="N1009" s="276"/>
      <c r="O1009" s="276"/>
      <c r="P1009" s="276"/>
      <c r="Q1009" s="276"/>
      <c r="R1009" s="276"/>
      <c r="S1009" s="276"/>
      <c r="T1009" s="276"/>
      <c r="U1009" s="276"/>
      <c r="V1009" s="276"/>
      <c r="W1009" s="276"/>
      <c r="X1009" s="276"/>
    </row>
    <row r="1010" ht="15.75" customHeight="1">
      <c r="A1010" s="407"/>
      <c r="B1010" s="284"/>
      <c r="C1010" s="284"/>
      <c r="D1010" s="284"/>
      <c r="E1010" s="285"/>
      <c r="F1010" s="285"/>
      <c r="G1010" s="290"/>
      <c r="H1010" s="288"/>
      <c r="I1010" s="285"/>
      <c r="J1010" s="276"/>
      <c r="K1010" s="276"/>
      <c r="L1010" s="276"/>
      <c r="M1010" s="276"/>
      <c r="N1010" s="276"/>
      <c r="O1010" s="276"/>
      <c r="P1010" s="276"/>
      <c r="Q1010" s="276"/>
      <c r="R1010" s="276"/>
      <c r="S1010" s="276"/>
      <c r="T1010" s="276"/>
      <c r="U1010" s="276"/>
      <c r="V1010" s="276"/>
      <c r="W1010" s="276"/>
      <c r="X1010" s="276"/>
    </row>
    <row r="1011" ht="15.75" customHeight="1">
      <c r="A1011" s="407"/>
      <c r="B1011" s="284"/>
      <c r="C1011" s="284"/>
      <c r="D1011" s="284"/>
      <c r="E1011" s="312"/>
      <c r="F1011" s="312"/>
      <c r="G1011" s="319"/>
      <c r="H1011" s="288"/>
      <c r="I1011" s="285"/>
      <c r="J1011" s="276"/>
      <c r="K1011" s="276"/>
      <c r="L1011" s="276"/>
      <c r="M1011" s="276"/>
      <c r="N1011" s="276"/>
      <c r="O1011" s="276"/>
      <c r="P1011" s="276"/>
      <c r="Q1011" s="276"/>
      <c r="R1011" s="276"/>
      <c r="S1011" s="276"/>
      <c r="T1011" s="276"/>
      <c r="U1011" s="276"/>
      <c r="V1011" s="276"/>
      <c r="W1011" s="276"/>
      <c r="X1011" s="276"/>
    </row>
    <row r="1012" ht="15.75" customHeight="1">
      <c r="A1012" s="407"/>
      <c r="B1012" s="284"/>
      <c r="C1012" s="284"/>
      <c r="D1012" s="284"/>
      <c r="E1012" s="312"/>
      <c r="F1012" s="312"/>
      <c r="G1012" s="319"/>
      <c r="H1012" s="288"/>
      <c r="I1012" s="285"/>
      <c r="J1012" s="276"/>
      <c r="K1012" s="276"/>
      <c r="L1012" s="276"/>
      <c r="M1012" s="276"/>
      <c r="N1012" s="276"/>
      <c r="O1012" s="276"/>
      <c r="P1012" s="276"/>
      <c r="Q1012" s="276"/>
      <c r="R1012" s="276"/>
      <c r="S1012" s="276"/>
      <c r="T1012" s="276"/>
      <c r="U1012" s="276"/>
      <c r="V1012" s="276"/>
      <c r="W1012" s="276"/>
      <c r="X1012" s="276"/>
    </row>
    <row r="1013" ht="15.75" customHeight="1">
      <c r="A1013" s="407"/>
      <c r="B1013" s="284"/>
      <c r="C1013" s="284"/>
      <c r="D1013" s="284"/>
      <c r="E1013" s="285"/>
      <c r="F1013" s="35"/>
      <c r="G1013" s="290"/>
      <c r="H1013" s="360"/>
      <c r="I1013" s="285"/>
      <c r="J1013" s="276"/>
      <c r="K1013" s="276"/>
      <c r="L1013" s="276"/>
      <c r="M1013" s="276"/>
      <c r="N1013" s="276"/>
      <c r="O1013" s="276"/>
      <c r="P1013" s="276"/>
      <c r="Q1013" s="276"/>
      <c r="R1013" s="276"/>
      <c r="S1013" s="276"/>
      <c r="T1013" s="276"/>
      <c r="U1013" s="276"/>
      <c r="V1013" s="276"/>
      <c r="W1013" s="276"/>
      <c r="X1013" s="276"/>
    </row>
    <row r="1014" ht="15.75" customHeight="1">
      <c r="A1014" s="407"/>
      <c r="B1014" s="284"/>
      <c r="C1014" s="284"/>
      <c r="D1014" s="284"/>
      <c r="E1014" s="285"/>
      <c r="F1014" s="35"/>
      <c r="G1014" s="290"/>
      <c r="H1014" s="360"/>
      <c r="I1014" s="285"/>
      <c r="J1014" s="276"/>
      <c r="K1014" s="276"/>
      <c r="L1014" s="276"/>
      <c r="M1014" s="276"/>
      <c r="N1014" s="276"/>
      <c r="O1014" s="276"/>
      <c r="P1014" s="276"/>
      <c r="Q1014" s="276"/>
      <c r="R1014" s="276"/>
      <c r="S1014" s="276"/>
      <c r="T1014" s="276"/>
      <c r="U1014" s="276"/>
      <c r="V1014" s="276"/>
      <c r="W1014" s="276"/>
      <c r="X1014" s="276"/>
    </row>
    <row r="1015" ht="15.75" customHeight="1">
      <c r="A1015" s="283"/>
      <c r="B1015" s="284"/>
      <c r="C1015" s="284"/>
      <c r="D1015" s="284"/>
      <c r="E1015" s="285"/>
      <c r="F1015" s="285"/>
      <c r="G1015" s="290"/>
      <c r="H1015" s="288"/>
      <c r="I1015" s="285"/>
      <c r="J1015" s="276"/>
      <c r="K1015" s="276"/>
      <c r="L1015" s="276"/>
      <c r="M1015" s="276"/>
      <c r="N1015" s="276"/>
      <c r="O1015" s="276"/>
      <c r="P1015" s="276"/>
      <c r="Q1015" s="276"/>
      <c r="R1015" s="276"/>
      <c r="S1015" s="276"/>
      <c r="T1015" s="276"/>
      <c r="U1015" s="276"/>
      <c r="V1015" s="276"/>
      <c r="W1015" s="276"/>
      <c r="X1015" s="276"/>
    </row>
    <row r="1016" ht="15.75" customHeight="1">
      <c r="A1016" s="283"/>
      <c r="B1016" s="284"/>
      <c r="C1016" s="284"/>
      <c r="D1016" s="284"/>
      <c r="E1016" s="285"/>
      <c r="F1016" s="285"/>
      <c r="G1016" s="290"/>
      <c r="H1016" s="288"/>
      <c r="I1016" s="285"/>
      <c r="J1016" s="276"/>
      <c r="K1016" s="276"/>
      <c r="L1016" s="276"/>
      <c r="M1016" s="276"/>
      <c r="N1016" s="276"/>
      <c r="O1016" s="276"/>
      <c r="P1016" s="276"/>
      <c r="Q1016" s="276"/>
      <c r="R1016" s="276"/>
      <c r="S1016" s="276"/>
      <c r="T1016" s="276"/>
      <c r="U1016" s="276"/>
      <c r="V1016" s="276"/>
      <c r="W1016" s="276"/>
      <c r="X1016" s="276"/>
    </row>
    <row r="1017" ht="15.75" customHeight="1">
      <c r="A1017" s="283"/>
      <c r="B1017" s="284"/>
      <c r="C1017" s="284"/>
      <c r="D1017" s="284"/>
      <c r="E1017" s="285"/>
      <c r="F1017" s="285"/>
      <c r="G1017" s="290"/>
      <c r="H1017" s="288"/>
      <c r="I1017" s="285"/>
      <c r="J1017" s="276"/>
      <c r="K1017" s="276"/>
      <c r="L1017" s="276"/>
      <c r="M1017" s="276"/>
      <c r="N1017" s="276"/>
      <c r="O1017" s="276"/>
      <c r="P1017" s="276"/>
      <c r="Q1017" s="276"/>
      <c r="R1017" s="276"/>
      <c r="S1017" s="276"/>
      <c r="T1017" s="276"/>
      <c r="U1017" s="276"/>
      <c r="V1017" s="276"/>
      <c r="W1017" s="276"/>
      <c r="X1017" s="276"/>
    </row>
    <row r="1018" ht="15.75" customHeight="1">
      <c r="A1018" s="283"/>
      <c r="B1018" s="284"/>
      <c r="C1018" s="284"/>
      <c r="D1018" s="284"/>
      <c r="E1018" s="285"/>
      <c r="F1018" s="285"/>
      <c r="G1018" s="290"/>
      <c r="H1018" s="288"/>
      <c r="I1018" s="285"/>
      <c r="J1018" s="276"/>
      <c r="K1018" s="276"/>
      <c r="L1018" s="276"/>
      <c r="M1018" s="276"/>
      <c r="N1018" s="276"/>
      <c r="O1018" s="276"/>
      <c r="P1018" s="276"/>
      <c r="Q1018" s="276"/>
      <c r="R1018" s="276"/>
      <c r="S1018" s="276"/>
      <c r="T1018" s="276"/>
      <c r="U1018" s="276"/>
      <c r="V1018" s="276"/>
      <c r="W1018" s="276"/>
      <c r="X1018" s="276"/>
    </row>
    <row r="1019" ht="15.75" customHeight="1">
      <c r="A1019" s="283"/>
      <c r="B1019" s="284"/>
      <c r="C1019" s="284"/>
      <c r="D1019" s="284"/>
      <c r="E1019" s="285"/>
      <c r="F1019" s="285"/>
      <c r="G1019" s="290"/>
      <c r="H1019" s="288"/>
      <c r="I1019" s="285"/>
      <c r="J1019" s="276"/>
      <c r="K1019" s="276"/>
      <c r="L1019" s="276"/>
      <c r="M1019" s="276"/>
      <c r="N1019" s="276"/>
      <c r="O1019" s="276"/>
      <c r="P1019" s="276"/>
      <c r="Q1019" s="276"/>
      <c r="R1019" s="276"/>
      <c r="S1019" s="276"/>
      <c r="T1019" s="276"/>
      <c r="U1019" s="276"/>
      <c r="V1019" s="276"/>
      <c r="W1019" s="276"/>
      <c r="X1019" s="276"/>
    </row>
    <row r="1020" ht="15.75" customHeight="1">
      <c r="A1020" s="283"/>
      <c r="B1020" s="284"/>
      <c r="C1020" s="284"/>
      <c r="D1020" s="284"/>
      <c r="E1020" s="285"/>
      <c r="F1020" s="285"/>
      <c r="G1020" s="290"/>
      <c r="H1020" s="288"/>
      <c r="I1020" s="285"/>
      <c r="J1020" s="276"/>
      <c r="K1020" s="276"/>
      <c r="L1020" s="276"/>
      <c r="M1020" s="276"/>
      <c r="N1020" s="276"/>
      <c r="O1020" s="276"/>
      <c r="P1020" s="276"/>
      <c r="Q1020" s="276"/>
      <c r="R1020" s="276"/>
      <c r="S1020" s="276"/>
      <c r="T1020" s="276"/>
      <c r="U1020" s="276"/>
      <c r="V1020" s="276"/>
      <c r="W1020" s="276"/>
      <c r="X1020" s="276"/>
    </row>
    <row r="1021" ht="15.75" customHeight="1">
      <c r="A1021" s="283"/>
      <c r="B1021" s="284"/>
      <c r="C1021" s="284"/>
      <c r="D1021" s="284"/>
      <c r="E1021" s="285"/>
      <c r="F1021" s="286"/>
      <c r="G1021" s="287"/>
      <c r="H1021" s="288"/>
      <c r="I1021" s="285"/>
      <c r="J1021" s="276"/>
      <c r="K1021" s="276"/>
      <c r="L1021" s="276"/>
      <c r="M1021" s="276"/>
      <c r="N1021" s="276"/>
      <c r="O1021" s="276"/>
      <c r="P1021" s="276"/>
      <c r="Q1021" s="276"/>
      <c r="R1021" s="276"/>
      <c r="S1021" s="276"/>
      <c r="T1021" s="276"/>
      <c r="U1021" s="276"/>
      <c r="V1021" s="276"/>
      <c r="W1021" s="276"/>
      <c r="X1021" s="276"/>
    </row>
    <row r="1022" ht="15.75" customHeight="1">
      <c r="A1022" s="289"/>
      <c r="B1022" s="284"/>
      <c r="C1022" s="284"/>
      <c r="D1022" s="284"/>
      <c r="E1022" s="285"/>
      <c r="F1022" s="286"/>
      <c r="G1022" s="287"/>
      <c r="H1022" s="288"/>
      <c r="I1022" s="285"/>
      <c r="J1022" s="276"/>
      <c r="K1022" s="276"/>
      <c r="L1022" s="276"/>
      <c r="M1022" s="276"/>
      <c r="N1022" s="276"/>
      <c r="O1022" s="276"/>
      <c r="P1022" s="276"/>
      <c r="Q1022" s="276"/>
      <c r="R1022" s="276"/>
      <c r="S1022" s="276"/>
      <c r="T1022" s="276"/>
      <c r="U1022" s="276"/>
      <c r="V1022" s="276"/>
      <c r="W1022" s="276"/>
      <c r="X1022" s="276"/>
    </row>
    <row r="1023" ht="15.75" customHeight="1">
      <c r="A1023" s="289"/>
      <c r="B1023" s="284"/>
      <c r="C1023" s="284"/>
      <c r="D1023" s="284"/>
      <c r="E1023" s="285"/>
      <c r="F1023" s="285"/>
      <c r="G1023" s="290"/>
      <c r="H1023" s="288"/>
      <c r="I1023" s="285"/>
      <c r="J1023" s="276"/>
      <c r="K1023" s="276"/>
      <c r="L1023" s="276"/>
      <c r="M1023" s="276"/>
      <c r="N1023" s="276"/>
      <c r="O1023" s="276"/>
      <c r="P1023" s="276"/>
      <c r="Q1023" s="276"/>
      <c r="R1023" s="276"/>
      <c r="S1023" s="276"/>
      <c r="T1023" s="276"/>
      <c r="U1023" s="276"/>
      <c r="V1023" s="276"/>
      <c r="W1023" s="276"/>
      <c r="X1023" s="276"/>
    </row>
    <row r="1024" ht="15.75" customHeight="1">
      <c r="A1024" s="289"/>
      <c r="B1024" s="284"/>
      <c r="C1024" s="284"/>
      <c r="D1024" s="284"/>
      <c r="E1024" s="285"/>
      <c r="F1024" s="286"/>
      <c r="G1024" s="287"/>
      <c r="H1024" s="288"/>
      <c r="I1024" s="285"/>
      <c r="J1024" s="276"/>
      <c r="K1024" s="276"/>
      <c r="L1024" s="276"/>
      <c r="M1024" s="276"/>
      <c r="N1024" s="276"/>
      <c r="O1024" s="276"/>
      <c r="P1024" s="276"/>
      <c r="Q1024" s="276"/>
      <c r="R1024" s="276"/>
      <c r="S1024" s="276"/>
      <c r="T1024" s="276"/>
      <c r="U1024" s="276"/>
      <c r="V1024" s="276"/>
      <c r="W1024" s="276"/>
      <c r="X1024" s="276"/>
    </row>
    <row r="1025" ht="15.75" customHeight="1">
      <c r="A1025" s="289"/>
      <c r="B1025" s="284"/>
      <c r="C1025" s="284"/>
      <c r="D1025" s="284"/>
      <c r="E1025" s="285"/>
      <c r="F1025" s="286"/>
      <c r="G1025" s="287"/>
      <c r="H1025" s="288"/>
      <c r="I1025" s="285"/>
      <c r="J1025" s="276"/>
      <c r="K1025" s="276"/>
      <c r="L1025" s="276"/>
      <c r="M1025" s="276"/>
      <c r="N1025" s="276"/>
      <c r="O1025" s="276"/>
      <c r="P1025" s="276"/>
      <c r="Q1025" s="276"/>
      <c r="R1025" s="276"/>
      <c r="S1025" s="276"/>
      <c r="T1025" s="276"/>
      <c r="U1025" s="276"/>
      <c r="V1025" s="276"/>
      <c r="W1025" s="276"/>
      <c r="X1025" s="276"/>
    </row>
    <row r="1026" ht="15.75" customHeight="1">
      <c r="A1026" s="289"/>
      <c r="B1026" s="284"/>
      <c r="C1026" s="284"/>
      <c r="D1026" s="284"/>
      <c r="E1026" s="285"/>
      <c r="F1026" s="286"/>
      <c r="G1026" s="287"/>
      <c r="H1026" s="288"/>
      <c r="I1026" s="285"/>
      <c r="J1026" s="276"/>
      <c r="K1026" s="276"/>
      <c r="L1026" s="276"/>
      <c r="M1026" s="276"/>
      <c r="N1026" s="276"/>
      <c r="O1026" s="276"/>
      <c r="P1026" s="276"/>
      <c r="Q1026" s="276"/>
      <c r="R1026" s="276"/>
      <c r="S1026" s="276"/>
      <c r="T1026" s="276"/>
      <c r="U1026" s="276"/>
      <c r="V1026" s="276"/>
      <c r="W1026" s="276"/>
      <c r="X1026" s="276"/>
    </row>
    <row r="1027" ht="15.75" customHeight="1">
      <c r="A1027" s="289"/>
      <c r="B1027" s="284"/>
      <c r="C1027" s="284"/>
      <c r="D1027" s="284"/>
      <c r="E1027" s="285"/>
      <c r="F1027" s="286"/>
      <c r="G1027" s="287"/>
      <c r="H1027" s="288"/>
      <c r="I1027" s="285"/>
      <c r="J1027" s="276"/>
      <c r="K1027" s="276"/>
      <c r="L1027" s="276"/>
      <c r="M1027" s="276"/>
      <c r="N1027" s="276"/>
      <c r="O1027" s="276"/>
      <c r="P1027" s="276"/>
      <c r="Q1027" s="276"/>
      <c r="R1027" s="276"/>
      <c r="S1027" s="276"/>
      <c r="T1027" s="276"/>
      <c r="U1027" s="276"/>
      <c r="V1027" s="276"/>
      <c r="W1027" s="276"/>
      <c r="X1027" s="276"/>
    </row>
    <row r="1028" ht="15.75" customHeight="1">
      <c r="A1028" s="283"/>
      <c r="B1028" s="284"/>
      <c r="C1028" s="284"/>
      <c r="D1028" s="284"/>
      <c r="E1028" s="285"/>
      <c r="F1028" s="286"/>
      <c r="G1028" s="287"/>
      <c r="H1028" s="288"/>
      <c r="I1028" s="285"/>
      <c r="J1028" s="276"/>
      <c r="K1028" s="276"/>
      <c r="L1028" s="276"/>
      <c r="M1028" s="276"/>
      <c r="N1028" s="276"/>
      <c r="O1028" s="276"/>
      <c r="P1028" s="276"/>
      <c r="Q1028" s="276"/>
      <c r="R1028" s="276"/>
      <c r="S1028" s="276"/>
      <c r="T1028" s="276"/>
      <c r="U1028" s="276"/>
      <c r="V1028" s="276"/>
      <c r="W1028" s="276"/>
      <c r="X1028" s="276"/>
    </row>
    <row r="1029" ht="15.75" customHeight="1">
      <c r="A1029" s="283"/>
      <c r="B1029" s="284"/>
      <c r="C1029" s="284"/>
      <c r="D1029" s="284"/>
      <c r="E1029" s="285"/>
      <c r="F1029" s="286"/>
      <c r="G1029" s="287"/>
      <c r="H1029" s="288"/>
      <c r="I1029" s="285"/>
      <c r="J1029" s="276"/>
      <c r="K1029" s="276"/>
      <c r="L1029" s="276"/>
      <c r="M1029" s="276"/>
      <c r="N1029" s="276"/>
      <c r="O1029" s="276"/>
      <c r="P1029" s="276"/>
      <c r="Q1029" s="276"/>
      <c r="R1029" s="276"/>
      <c r="S1029" s="276"/>
      <c r="T1029" s="276"/>
      <c r="U1029" s="276"/>
      <c r="V1029" s="276"/>
      <c r="W1029" s="276"/>
      <c r="X1029" s="276"/>
    </row>
    <row r="1030" ht="15.75" customHeight="1">
      <c r="A1030" s="283"/>
      <c r="B1030" s="284"/>
      <c r="C1030" s="284"/>
      <c r="D1030" s="284"/>
      <c r="E1030" s="285"/>
      <c r="F1030" s="286"/>
      <c r="G1030" s="287"/>
      <c r="H1030" s="288"/>
      <c r="I1030" s="285"/>
      <c r="J1030" s="276"/>
      <c r="K1030" s="276"/>
      <c r="L1030" s="276"/>
      <c r="M1030" s="276"/>
      <c r="N1030" s="276"/>
      <c r="O1030" s="276"/>
      <c r="P1030" s="276"/>
      <c r="Q1030" s="276"/>
      <c r="R1030" s="276"/>
      <c r="S1030" s="276"/>
      <c r="T1030" s="276"/>
      <c r="U1030" s="276"/>
      <c r="V1030" s="276"/>
      <c r="W1030" s="276"/>
      <c r="X1030" s="276"/>
    </row>
    <row r="1031" ht="15.75" customHeight="1">
      <c r="A1031" s="407"/>
      <c r="B1031" s="284"/>
      <c r="C1031" s="284"/>
      <c r="D1031" s="284"/>
      <c r="E1031" s="312"/>
      <c r="F1031" s="312"/>
      <c r="G1031" s="319"/>
      <c r="H1031" s="288"/>
      <c r="I1031" s="285"/>
      <c r="J1031" s="276"/>
      <c r="K1031" s="276"/>
      <c r="L1031" s="276"/>
      <c r="M1031" s="276"/>
      <c r="N1031" s="276"/>
      <c r="O1031" s="276"/>
      <c r="P1031" s="276"/>
      <c r="Q1031" s="276"/>
      <c r="R1031" s="276"/>
      <c r="S1031" s="276"/>
      <c r="T1031" s="276"/>
      <c r="U1031" s="276"/>
      <c r="V1031" s="276"/>
      <c r="W1031" s="276"/>
      <c r="X1031" s="276"/>
    </row>
    <row r="1032" ht="15.75" customHeight="1">
      <c r="A1032" s="407"/>
      <c r="B1032" s="284"/>
      <c r="C1032" s="284"/>
      <c r="D1032" s="284"/>
      <c r="E1032" s="285"/>
      <c r="F1032" s="285"/>
      <c r="G1032" s="290"/>
      <c r="H1032" s="288"/>
      <c r="I1032" s="285"/>
      <c r="J1032" s="276"/>
      <c r="K1032" s="276"/>
      <c r="L1032" s="276"/>
      <c r="M1032" s="276"/>
      <c r="N1032" s="276"/>
      <c r="O1032" s="276"/>
      <c r="P1032" s="276"/>
      <c r="Q1032" s="276"/>
      <c r="R1032" s="276"/>
      <c r="S1032" s="276"/>
      <c r="T1032" s="276"/>
      <c r="U1032" s="276"/>
      <c r="V1032" s="276"/>
      <c r="W1032" s="276"/>
      <c r="X1032" s="276"/>
    </row>
    <row r="1033" ht="15.75" customHeight="1">
      <c r="A1033" s="407"/>
      <c r="B1033" s="284"/>
      <c r="C1033" s="284"/>
      <c r="D1033" s="284"/>
      <c r="E1033" s="285"/>
      <c r="F1033" s="285"/>
      <c r="G1033" s="290"/>
      <c r="H1033" s="288"/>
      <c r="I1033" s="285"/>
      <c r="J1033" s="276"/>
      <c r="K1033" s="276"/>
      <c r="L1033" s="276"/>
      <c r="M1033" s="276"/>
      <c r="N1033" s="276"/>
      <c r="O1033" s="276"/>
      <c r="P1033" s="276"/>
      <c r="Q1033" s="276"/>
      <c r="R1033" s="276"/>
      <c r="S1033" s="276"/>
      <c r="T1033" s="276"/>
      <c r="U1033" s="276"/>
      <c r="V1033" s="276"/>
      <c r="W1033" s="276"/>
      <c r="X1033" s="276"/>
    </row>
    <row r="1034" ht="15.75" customHeight="1">
      <c r="A1034" s="407"/>
      <c r="B1034" s="284"/>
      <c r="C1034" s="284"/>
      <c r="D1034" s="284"/>
      <c r="E1034" s="285"/>
      <c r="F1034" s="285"/>
      <c r="G1034" s="290"/>
      <c r="H1034" s="288"/>
      <c r="I1034" s="285"/>
      <c r="J1034" s="276"/>
      <c r="K1034" s="276"/>
      <c r="L1034" s="276"/>
      <c r="M1034" s="276"/>
      <c r="N1034" s="276"/>
      <c r="O1034" s="276"/>
      <c r="P1034" s="276"/>
      <c r="Q1034" s="276"/>
      <c r="R1034" s="276"/>
      <c r="S1034" s="276"/>
      <c r="T1034" s="276"/>
      <c r="U1034" s="276"/>
      <c r="V1034" s="276"/>
      <c r="W1034" s="276"/>
      <c r="X1034" s="276"/>
    </row>
    <row r="1035" ht="15.75" customHeight="1">
      <c r="A1035" s="407"/>
      <c r="B1035" s="284"/>
      <c r="C1035" s="284"/>
      <c r="D1035" s="284"/>
      <c r="E1035" s="285"/>
      <c r="F1035" s="285"/>
      <c r="G1035" s="290"/>
      <c r="H1035" s="288"/>
      <c r="I1035" s="285"/>
      <c r="J1035" s="276"/>
      <c r="K1035" s="276"/>
      <c r="L1035" s="276"/>
      <c r="M1035" s="276"/>
      <c r="N1035" s="276"/>
      <c r="O1035" s="276"/>
      <c r="P1035" s="276"/>
      <c r="Q1035" s="276"/>
      <c r="R1035" s="276"/>
      <c r="S1035" s="276"/>
      <c r="T1035" s="276"/>
      <c r="U1035" s="276"/>
      <c r="V1035" s="276"/>
      <c r="W1035" s="276"/>
      <c r="X1035" s="276"/>
    </row>
    <row r="1036" ht="15.75" customHeight="1">
      <c r="A1036" s="407"/>
      <c r="B1036" s="284"/>
      <c r="C1036" s="284"/>
      <c r="D1036" s="284"/>
      <c r="E1036" s="312"/>
      <c r="F1036" s="312"/>
      <c r="G1036" s="319"/>
      <c r="H1036" s="288"/>
      <c r="I1036" s="285"/>
      <c r="J1036" s="276"/>
      <c r="K1036" s="276"/>
      <c r="L1036" s="276"/>
      <c r="M1036" s="276"/>
      <c r="N1036" s="276"/>
      <c r="O1036" s="276"/>
      <c r="P1036" s="276"/>
      <c r="Q1036" s="276"/>
      <c r="R1036" s="276"/>
      <c r="S1036" s="276"/>
      <c r="T1036" s="276"/>
      <c r="U1036" s="276"/>
      <c r="V1036" s="276"/>
      <c r="W1036" s="276"/>
      <c r="X1036" s="276"/>
    </row>
    <row r="1037" ht="15.75" customHeight="1">
      <c r="A1037" s="407"/>
      <c r="B1037" s="284"/>
      <c r="C1037" s="284"/>
      <c r="D1037" s="284"/>
      <c r="E1037" s="285"/>
      <c r="F1037" s="285"/>
      <c r="G1037" s="290"/>
      <c r="H1037" s="288"/>
      <c r="I1037" s="285"/>
      <c r="J1037" s="276"/>
      <c r="K1037" s="276"/>
      <c r="L1037" s="276"/>
      <c r="M1037" s="276"/>
      <c r="N1037" s="276"/>
      <c r="O1037" s="276"/>
      <c r="P1037" s="276"/>
      <c r="Q1037" s="276"/>
      <c r="R1037" s="276"/>
      <c r="S1037" s="276"/>
      <c r="T1037" s="276"/>
      <c r="U1037" s="276"/>
      <c r="V1037" s="276"/>
      <c r="W1037" s="276"/>
      <c r="X1037" s="276"/>
    </row>
    <row r="1038" ht="15.75" customHeight="1">
      <c r="A1038" s="407"/>
      <c r="B1038" s="284"/>
      <c r="C1038" s="284"/>
      <c r="D1038" s="284"/>
      <c r="E1038" s="285"/>
      <c r="F1038" s="285"/>
      <c r="G1038" s="290"/>
      <c r="H1038" s="288"/>
      <c r="I1038" s="285"/>
      <c r="J1038" s="276"/>
      <c r="K1038" s="276"/>
      <c r="L1038" s="276"/>
      <c r="M1038" s="276"/>
      <c r="N1038" s="276"/>
      <c r="O1038" s="276"/>
      <c r="P1038" s="276"/>
      <c r="Q1038" s="276"/>
      <c r="R1038" s="276"/>
      <c r="S1038" s="276"/>
      <c r="T1038" s="276"/>
      <c r="U1038" s="276"/>
      <c r="V1038" s="276"/>
      <c r="W1038" s="276"/>
      <c r="X1038" s="276"/>
    </row>
    <row r="1039" ht="15.75" customHeight="1">
      <c r="A1039" s="407"/>
      <c r="B1039" s="284"/>
      <c r="C1039" s="284"/>
      <c r="D1039" s="284"/>
      <c r="E1039" s="285"/>
      <c r="F1039" s="35"/>
      <c r="G1039" s="290"/>
      <c r="H1039" s="288"/>
      <c r="I1039" s="285"/>
      <c r="J1039" s="276"/>
      <c r="K1039" s="276"/>
      <c r="L1039" s="276"/>
      <c r="M1039" s="276"/>
      <c r="N1039" s="276"/>
      <c r="O1039" s="276"/>
      <c r="P1039" s="276"/>
      <c r="Q1039" s="276"/>
      <c r="R1039" s="276"/>
      <c r="S1039" s="276"/>
      <c r="T1039" s="276"/>
      <c r="U1039" s="276"/>
      <c r="V1039" s="276"/>
      <c r="W1039" s="276"/>
      <c r="X1039" s="276"/>
    </row>
    <row r="1040" ht="15.75" customHeight="1">
      <c r="A1040" s="407"/>
      <c r="B1040" s="284"/>
      <c r="C1040" s="284"/>
      <c r="D1040" s="284"/>
      <c r="E1040" s="285"/>
      <c r="F1040" s="35"/>
      <c r="G1040" s="290"/>
      <c r="H1040" s="288"/>
      <c r="I1040" s="285"/>
      <c r="J1040" s="276"/>
      <c r="K1040" s="276"/>
      <c r="L1040" s="276"/>
      <c r="M1040" s="276"/>
      <c r="N1040" s="276"/>
      <c r="O1040" s="276"/>
      <c r="P1040" s="276"/>
      <c r="Q1040" s="276"/>
      <c r="R1040" s="276"/>
      <c r="S1040" s="276"/>
      <c r="T1040" s="276"/>
      <c r="U1040" s="276"/>
      <c r="V1040" s="276"/>
      <c r="W1040" s="276"/>
      <c r="X1040" s="276"/>
    </row>
    <row r="1041" ht="15.75" customHeight="1">
      <c r="A1041" s="297"/>
      <c r="B1041" s="284"/>
      <c r="C1041" s="284"/>
      <c r="D1041" s="284"/>
      <c r="E1041" s="285"/>
      <c r="F1041" s="285"/>
      <c r="G1041" s="290"/>
      <c r="H1041" s="288"/>
      <c r="I1041" s="285"/>
      <c r="J1041" s="276"/>
      <c r="K1041" s="276"/>
      <c r="L1041" s="276"/>
      <c r="M1041" s="276"/>
      <c r="N1041" s="276"/>
      <c r="O1041" s="276"/>
      <c r="P1041" s="276"/>
      <c r="Q1041" s="276"/>
      <c r="R1041" s="276"/>
      <c r="S1041" s="276"/>
      <c r="T1041" s="276"/>
      <c r="U1041" s="276"/>
      <c r="V1041" s="276"/>
      <c r="W1041" s="276"/>
      <c r="X1041" s="276"/>
    </row>
    <row r="1042" ht="15.75" customHeight="1">
      <c r="A1042" s="297"/>
      <c r="B1042" s="284"/>
      <c r="C1042" s="284"/>
      <c r="D1042" s="284"/>
      <c r="E1042" s="285"/>
      <c r="F1042" s="285"/>
      <c r="G1042" s="290"/>
      <c r="H1042" s="288"/>
      <c r="I1042" s="285"/>
      <c r="J1042" s="276"/>
      <c r="K1042" s="276"/>
      <c r="L1042" s="276"/>
      <c r="M1042" s="276"/>
      <c r="N1042" s="276"/>
      <c r="O1042" s="276"/>
      <c r="P1042" s="276"/>
      <c r="Q1042" s="276"/>
      <c r="R1042" s="276"/>
      <c r="S1042" s="276"/>
      <c r="T1042" s="276"/>
      <c r="U1042" s="276"/>
      <c r="V1042" s="276"/>
      <c r="W1042" s="276"/>
      <c r="X1042" s="276"/>
    </row>
    <row r="1043" ht="15.75" customHeight="1">
      <c r="A1043" s="297"/>
      <c r="B1043" s="284"/>
      <c r="C1043" s="284"/>
      <c r="D1043" s="284"/>
      <c r="E1043" s="285"/>
      <c r="F1043" s="35"/>
      <c r="G1043" s="290"/>
      <c r="H1043" s="360"/>
      <c r="I1043" s="285"/>
      <c r="J1043" s="276"/>
      <c r="K1043" s="276"/>
      <c r="L1043" s="276"/>
      <c r="M1043" s="276"/>
      <c r="N1043" s="276"/>
      <c r="O1043" s="276"/>
      <c r="P1043" s="276"/>
      <c r="Q1043" s="276"/>
      <c r="R1043" s="276"/>
      <c r="S1043" s="276"/>
      <c r="T1043" s="276"/>
      <c r="U1043" s="276"/>
      <c r="V1043" s="276"/>
      <c r="W1043" s="276"/>
      <c r="X1043" s="276"/>
    </row>
    <row r="1044" ht="15.75" customHeight="1">
      <c r="A1044" s="297"/>
      <c r="B1044" s="284"/>
      <c r="C1044" s="284"/>
      <c r="D1044" s="284"/>
      <c r="E1044" s="285"/>
      <c r="F1044" s="285"/>
      <c r="G1044" s="290"/>
      <c r="H1044" s="288"/>
      <c r="I1044" s="285"/>
      <c r="J1044" s="276"/>
      <c r="K1044" s="276"/>
      <c r="L1044" s="276"/>
      <c r="M1044" s="276"/>
      <c r="N1044" s="276"/>
      <c r="O1044" s="276"/>
      <c r="P1044" s="276"/>
      <c r="Q1044" s="276"/>
      <c r="R1044" s="276"/>
      <c r="S1044" s="276"/>
      <c r="T1044" s="276"/>
      <c r="U1044" s="276"/>
      <c r="V1044" s="276"/>
      <c r="W1044" s="276"/>
      <c r="X1044" s="276"/>
    </row>
    <row r="1045" ht="15.75" customHeight="1">
      <c r="A1045" s="297"/>
      <c r="B1045" s="284"/>
      <c r="C1045" s="284"/>
      <c r="D1045" s="284"/>
      <c r="E1045" s="285"/>
      <c r="F1045" s="285"/>
      <c r="G1045" s="290"/>
      <c r="H1045" s="288"/>
      <c r="I1045" s="285"/>
      <c r="J1045" s="276"/>
      <c r="K1045" s="276"/>
      <c r="L1045" s="276"/>
      <c r="M1045" s="276"/>
      <c r="N1045" s="276"/>
      <c r="O1045" s="276"/>
      <c r="P1045" s="276"/>
      <c r="Q1045" s="276"/>
      <c r="R1045" s="276"/>
      <c r="S1045" s="276"/>
      <c r="T1045" s="276"/>
      <c r="U1045" s="276"/>
      <c r="V1045" s="276"/>
      <c r="W1045" s="276"/>
      <c r="X1045" s="276"/>
    </row>
    <row r="1046" ht="15.75" customHeight="1">
      <c r="A1046" s="297"/>
      <c r="B1046" s="284"/>
      <c r="C1046" s="284"/>
      <c r="D1046" s="284"/>
      <c r="E1046" s="285"/>
      <c r="F1046" s="35"/>
      <c r="G1046" s="290"/>
      <c r="H1046" s="288"/>
      <c r="I1046" s="285"/>
      <c r="J1046" s="276"/>
      <c r="K1046" s="276"/>
      <c r="L1046" s="276"/>
      <c r="M1046" s="276"/>
      <c r="N1046" s="276"/>
      <c r="O1046" s="276"/>
      <c r="P1046" s="276"/>
      <c r="Q1046" s="276"/>
      <c r="R1046" s="276"/>
      <c r="S1046" s="276"/>
      <c r="T1046" s="276"/>
      <c r="U1046" s="276"/>
      <c r="V1046" s="276"/>
      <c r="W1046" s="276"/>
      <c r="X1046" s="276"/>
    </row>
    <row r="1047" ht="15.75" customHeight="1">
      <c r="A1047" s="297"/>
      <c r="B1047" s="284"/>
      <c r="C1047" s="284"/>
      <c r="D1047" s="284"/>
      <c r="E1047" s="285"/>
      <c r="F1047" s="35"/>
      <c r="G1047" s="290"/>
      <c r="H1047" s="360"/>
      <c r="I1047" s="285"/>
      <c r="J1047" s="276"/>
      <c r="K1047" s="276"/>
      <c r="L1047" s="276"/>
      <c r="M1047" s="276"/>
      <c r="N1047" s="276"/>
      <c r="O1047" s="276"/>
      <c r="P1047" s="276"/>
      <c r="Q1047" s="276"/>
      <c r="R1047" s="276"/>
      <c r="S1047" s="276"/>
      <c r="T1047" s="276"/>
      <c r="U1047" s="276"/>
      <c r="V1047" s="276"/>
      <c r="W1047" s="276"/>
      <c r="X1047" s="276"/>
    </row>
    <row r="1048" ht="15.75" customHeight="1">
      <c r="A1048" s="297"/>
      <c r="B1048" s="284"/>
      <c r="C1048" s="284"/>
      <c r="D1048" s="284"/>
      <c r="E1048" s="285"/>
      <c r="F1048" s="35"/>
      <c r="G1048" s="290"/>
      <c r="H1048" s="288"/>
      <c r="I1048" s="285"/>
      <c r="J1048" s="276"/>
      <c r="K1048" s="276"/>
      <c r="L1048" s="276"/>
      <c r="M1048" s="276"/>
      <c r="N1048" s="276"/>
      <c r="O1048" s="276"/>
      <c r="P1048" s="276"/>
      <c r="Q1048" s="276"/>
      <c r="R1048" s="276"/>
      <c r="S1048" s="276"/>
      <c r="T1048" s="276"/>
      <c r="U1048" s="276"/>
      <c r="V1048" s="276"/>
      <c r="W1048" s="276"/>
      <c r="X1048" s="276"/>
    </row>
    <row r="1049" ht="15.75" customHeight="1">
      <c r="A1049" s="297"/>
      <c r="B1049" s="284"/>
      <c r="C1049" s="284"/>
      <c r="D1049" s="284"/>
      <c r="E1049" s="285"/>
      <c r="F1049" s="35"/>
      <c r="G1049" s="290"/>
      <c r="H1049" s="360"/>
      <c r="I1049" s="285"/>
      <c r="J1049" s="276"/>
      <c r="K1049" s="276"/>
      <c r="L1049" s="276"/>
      <c r="M1049" s="276"/>
      <c r="N1049" s="276"/>
      <c r="O1049" s="276"/>
      <c r="P1049" s="276"/>
      <c r="Q1049" s="276"/>
      <c r="R1049" s="276"/>
      <c r="S1049" s="276"/>
      <c r="T1049" s="276"/>
      <c r="U1049" s="276"/>
      <c r="V1049" s="276"/>
      <c r="W1049" s="276"/>
      <c r="X1049" s="276"/>
    </row>
    <row r="1050" ht="15.75" customHeight="1">
      <c r="A1050" s="289"/>
      <c r="B1050" s="284"/>
      <c r="C1050" s="284"/>
      <c r="D1050" s="284"/>
      <c r="E1050" s="285"/>
      <c r="F1050" s="35"/>
      <c r="G1050" s="290"/>
      <c r="H1050" s="288"/>
      <c r="I1050" s="285"/>
      <c r="J1050" s="276"/>
      <c r="K1050" s="276"/>
      <c r="L1050" s="276"/>
      <c r="M1050" s="276"/>
      <c r="N1050" s="276"/>
      <c r="O1050" s="276"/>
      <c r="P1050" s="276"/>
      <c r="Q1050" s="276"/>
      <c r="R1050" s="276"/>
      <c r="S1050" s="276"/>
      <c r="T1050" s="276"/>
      <c r="U1050" s="276"/>
      <c r="V1050" s="276"/>
      <c r="W1050" s="276"/>
      <c r="X1050" s="276"/>
    </row>
    <row r="1051" ht="15.75" customHeight="1">
      <c r="A1051" s="289"/>
      <c r="B1051" s="284"/>
      <c r="C1051" s="284"/>
      <c r="D1051" s="284"/>
      <c r="E1051" s="285"/>
      <c r="F1051" s="35"/>
      <c r="G1051" s="290"/>
      <c r="H1051" s="288"/>
      <c r="I1051" s="285"/>
      <c r="J1051" s="276"/>
      <c r="K1051" s="276"/>
      <c r="L1051" s="276"/>
      <c r="M1051" s="276"/>
      <c r="N1051" s="276"/>
      <c r="O1051" s="276"/>
      <c r="P1051" s="276"/>
      <c r="Q1051" s="276"/>
      <c r="R1051" s="276"/>
      <c r="S1051" s="276"/>
      <c r="T1051" s="276"/>
      <c r="U1051" s="276"/>
      <c r="V1051" s="276"/>
      <c r="W1051" s="276"/>
      <c r="X1051" s="276"/>
    </row>
    <row r="1052" ht="15.75" customHeight="1">
      <c r="A1052" s="289"/>
      <c r="B1052" s="284"/>
      <c r="C1052" s="284"/>
      <c r="D1052" s="284"/>
      <c r="E1052" s="285"/>
      <c r="F1052" s="35"/>
      <c r="G1052" s="290"/>
      <c r="H1052" s="288"/>
      <c r="I1052" s="285"/>
      <c r="J1052" s="276"/>
      <c r="K1052" s="276"/>
      <c r="L1052" s="276"/>
      <c r="M1052" s="276"/>
      <c r="N1052" s="276"/>
      <c r="O1052" s="276"/>
      <c r="P1052" s="276"/>
      <c r="Q1052" s="276"/>
      <c r="R1052" s="276"/>
      <c r="S1052" s="276"/>
      <c r="T1052" s="276"/>
      <c r="U1052" s="276"/>
      <c r="V1052" s="276"/>
      <c r="W1052" s="276"/>
      <c r="X1052" s="276"/>
    </row>
    <row r="1053" ht="15.75" customHeight="1">
      <c r="A1053" s="289"/>
      <c r="B1053" s="284"/>
      <c r="C1053" s="284"/>
      <c r="D1053" s="284"/>
      <c r="E1053" s="285"/>
      <c r="F1053" s="35"/>
      <c r="G1053" s="290"/>
      <c r="H1053" s="360"/>
      <c r="I1053" s="285"/>
      <c r="J1053" s="276"/>
      <c r="K1053" s="276"/>
      <c r="L1053" s="276"/>
      <c r="M1053" s="276"/>
      <c r="N1053" s="276"/>
      <c r="O1053" s="276"/>
      <c r="P1053" s="276"/>
      <c r="Q1053" s="276"/>
      <c r="R1053" s="276"/>
      <c r="S1053" s="276"/>
      <c r="T1053" s="276"/>
      <c r="U1053" s="276"/>
      <c r="V1053" s="276"/>
      <c r="W1053" s="276"/>
      <c r="X1053" s="276"/>
    </row>
    <row r="1054" ht="15.75" customHeight="1">
      <c r="A1054" s="289"/>
      <c r="B1054" s="284"/>
      <c r="C1054" s="284"/>
      <c r="D1054" s="284"/>
      <c r="E1054" s="285"/>
      <c r="F1054" s="285"/>
      <c r="G1054" s="290"/>
      <c r="H1054" s="400"/>
      <c r="I1054" s="285"/>
      <c r="J1054" s="276"/>
      <c r="K1054" s="276"/>
      <c r="L1054" s="276"/>
      <c r="M1054" s="276"/>
      <c r="N1054" s="276"/>
      <c r="O1054" s="276"/>
      <c r="P1054" s="276"/>
      <c r="Q1054" s="276"/>
      <c r="R1054" s="276"/>
      <c r="S1054" s="276"/>
      <c r="T1054" s="276"/>
      <c r="U1054" s="276"/>
      <c r="V1054" s="276"/>
      <c r="W1054" s="276"/>
      <c r="X1054" s="276"/>
    </row>
    <row r="1055" ht="15.75" customHeight="1">
      <c r="A1055" s="297"/>
      <c r="B1055" s="284"/>
      <c r="C1055" s="284"/>
      <c r="D1055" s="284"/>
      <c r="E1055" s="285"/>
      <c r="F1055" s="35"/>
      <c r="G1055" s="290"/>
      <c r="H1055" s="360"/>
      <c r="I1055" s="285"/>
      <c r="J1055" s="276"/>
      <c r="K1055" s="276"/>
      <c r="L1055" s="276"/>
      <c r="M1055" s="276"/>
      <c r="N1055" s="276"/>
      <c r="O1055" s="276"/>
      <c r="P1055" s="276"/>
      <c r="Q1055" s="276"/>
      <c r="R1055" s="276"/>
      <c r="S1055" s="276"/>
      <c r="T1055" s="276"/>
      <c r="U1055" s="276"/>
      <c r="V1055" s="276"/>
      <c r="W1055" s="276"/>
      <c r="X1055" s="276"/>
    </row>
    <row r="1056" ht="15.75" customHeight="1">
      <c r="A1056" s="297"/>
      <c r="B1056" s="284"/>
      <c r="C1056" s="284"/>
      <c r="D1056" s="284"/>
      <c r="E1056" s="285"/>
      <c r="F1056" s="35"/>
      <c r="G1056" s="290"/>
      <c r="H1056" s="360"/>
      <c r="I1056" s="285"/>
      <c r="J1056" s="276"/>
      <c r="K1056" s="276"/>
      <c r="L1056" s="276"/>
      <c r="M1056" s="276"/>
      <c r="N1056" s="276"/>
      <c r="O1056" s="276"/>
      <c r="P1056" s="276"/>
      <c r="Q1056" s="276"/>
      <c r="R1056" s="276"/>
      <c r="S1056" s="276"/>
      <c r="T1056" s="276"/>
      <c r="U1056" s="276"/>
      <c r="V1056" s="276"/>
      <c r="W1056" s="276"/>
      <c r="X1056" s="276"/>
    </row>
    <row r="1057" ht="15.75" customHeight="1">
      <c r="A1057" s="297"/>
      <c r="B1057" s="284"/>
      <c r="C1057" s="284"/>
      <c r="D1057" s="284"/>
      <c r="E1057" s="285"/>
      <c r="F1057" s="35"/>
      <c r="G1057" s="290"/>
      <c r="H1057" s="360"/>
      <c r="I1057" s="285"/>
      <c r="J1057" s="276"/>
      <c r="K1057" s="276"/>
      <c r="L1057" s="276"/>
      <c r="M1057" s="276"/>
      <c r="N1057" s="276"/>
      <c r="O1057" s="276"/>
      <c r="P1057" s="276"/>
      <c r="Q1057" s="276"/>
      <c r="R1057" s="276"/>
      <c r="S1057" s="276"/>
      <c r="T1057" s="276"/>
      <c r="U1057" s="276"/>
      <c r="V1057" s="276"/>
      <c r="W1057" s="276"/>
      <c r="X1057" s="276"/>
    </row>
    <row r="1058" ht="15.75" customHeight="1">
      <c r="A1058" s="297"/>
      <c r="B1058" s="284"/>
      <c r="C1058" s="284"/>
      <c r="D1058" s="284"/>
      <c r="E1058" s="285"/>
      <c r="F1058" s="35"/>
      <c r="G1058" s="290"/>
      <c r="H1058" s="360"/>
      <c r="I1058" s="285"/>
      <c r="J1058" s="276"/>
      <c r="K1058" s="276"/>
      <c r="L1058" s="276"/>
      <c r="M1058" s="276"/>
      <c r="N1058" s="276"/>
      <c r="O1058" s="276"/>
      <c r="P1058" s="276"/>
      <c r="Q1058" s="276"/>
      <c r="R1058" s="276"/>
      <c r="S1058" s="276"/>
      <c r="T1058" s="276"/>
      <c r="U1058" s="276"/>
      <c r="V1058" s="276"/>
      <c r="W1058" s="276"/>
      <c r="X1058" s="276"/>
    </row>
    <row r="1059" ht="15.75" customHeight="1">
      <c r="A1059" s="297"/>
      <c r="B1059" s="284"/>
      <c r="C1059" s="284"/>
      <c r="D1059" s="284"/>
      <c r="E1059" s="285"/>
      <c r="F1059" s="35"/>
      <c r="G1059" s="290"/>
      <c r="H1059" s="360"/>
      <c r="I1059" s="285"/>
      <c r="J1059" s="276"/>
      <c r="K1059" s="276"/>
      <c r="L1059" s="276"/>
      <c r="M1059" s="276"/>
      <c r="N1059" s="276"/>
      <c r="O1059" s="276"/>
      <c r="P1059" s="276"/>
      <c r="Q1059" s="276"/>
      <c r="R1059" s="276"/>
      <c r="S1059" s="276"/>
      <c r="T1059" s="276"/>
      <c r="U1059" s="276"/>
      <c r="V1059" s="276"/>
      <c r="W1059" s="276"/>
      <c r="X1059" s="276"/>
    </row>
    <row r="1060" ht="15.75" customHeight="1">
      <c r="A1060" s="297"/>
      <c r="B1060" s="284"/>
      <c r="C1060" s="284"/>
      <c r="D1060" s="284"/>
      <c r="E1060" s="285"/>
      <c r="F1060" s="35"/>
      <c r="G1060" s="290"/>
      <c r="H1060" s="360"/>
      <c r="I1060" s="285"/>
      <c r="J1060" s="276"/>
      <c r="K1060" s="276"/>
      <c r="L1060" s="276"/>
      <c r="M1060" s="276"/>
      <c r="N1060" s="276"/>
      <c r="O1060" s="276"/>
      <c r="P1060" s="276"/>
      <c r="Q1060" s="276"/>
      <c r="R1060" s="276"/>
      <c r="S1060" s="276"/>
      <c r="T1060" s="276"/>
      <c r="U1060" s="276"/>
      <c r="V1060" s="276"/>
      <c r="W1060" s="276"/>
      <c r="X1060" s="276"/>
    </row>
    <row r="1061" ht="15.75" customHeight="1">
      <c r="A1061" s="283"/>
      <c r="B1061" s="284"/>
      <c r="C1061" s="284"/>
      <c r="D1061" s="284"/>
      <c r="E1061" s="285"/>
      <c r="F1061" s="286"/>
      <c r="G1061" s="287"/>
      <c r="H1061" s="288"/>
      <c r="I1061" s="285"/>
      <c r="J1061" s="276"/>
      <c r="K1061" s="276"/>
      <c r="L1061" s="276"/>
      <c r="M1061" s="276"/>
      <c r="N1061" s="276"/>
      <c r="O1061" s="276"/>
      <c r="P1061" s="276"/>
      <c r="Q1061" s="276"/>
      <c r="R1061" s="276"/>
      <c r="S1061" s="276"/>
      <c r="T1061" s="276"/>
      <c r="U1061" s="276"/>
      <c r="V1061" s="276"/>
      <c r="W1061" s="276"/>
      <c r="X1061" s="276"/>
    </row>
    <row r="1062" ht="15.75" customHeight="1">
      <c r="A1062" s="283"/>
      <c r="B1062" s="284"/>
      <c r="C1062" s="284"/>
      <c r="D1062" s="284"/>
      <c r="E1062" s="285"/>
      <c r="F1062" s="286"/>
      <c r="G1062" s="287"/>
      <c r="H1062" s="288"/>
      <c r="I1062" s="285"/>
      <c r="J1062" s="276"/>
      <c r="K1062" s="276"/>
      <c r="L1062" s="276"/>
      <c r="M1062" s="276"/>
      <c r="N1062" s="276"/>
      <c r="O1062" s="276"/>
      <c r="P1062" s="276"/>
      <c r="Q1062" s="276"/>
      <c r="R1062" s="276"/>
      <c r="S1062" s="276"/>
      <c r="T1062" s="276"/>
      <c r="U1062" s="276"/>
      <c r="V1062" s="276"/>
      <c r="W1062" s="276"/>
      <c r="X1062" s="276"/>
    </row>
    <row r="1063" ht="15.75" customHeight="1">
      <c r="A1063" s="283"/>
      <c r="B1063" s="284"/>
      <c r="C1063" s="284"/>
      <c r="D1063" s="284"/>
      <c r="E1063" s="285"/>
      <c r="F1063" s="286"/>
      <c r="G1063" s="287"/>
      <c r="H1063" s="288"/>
      <c r="I1063" s="285"/>
      <c r="J1063" s="276"/>
      <c r="K1063" s="276"/>
      <c r="L1063" s="276"/>
      <c r="M1063" s="276"/>
      <c r="N1063" s="276"/>
      <c r="O1063" s="276"/>
      <c r="P1063" s="276"/>
      <c r="Q1063" s="276"/>
      <c r="R1063" s="276"/>
      <c r="S1063" s="276"/>
      <c r="T1063" s="276"/>
      <c r="U1063" s="276"/>
      <c r="V1063" s="276"/>
      <c r="W1063" s="276"/>
      <c r="X1063" s="276"/>
    </row>
    <row r="1064" ht="15.75" customHeight="1">
      <c r="A1064" s="283"/>
      <c r="B1064" s="284"/>
      <c r="C1064" s="284"/>
      <c r="D1064" s="284"/>
      <c r="E1064" s="285"/>
      <c r="F1064" s="286"/>
      <c r="G1064" s="287"/>
      <c r="H1064" s="288"/>
      <c r="I1064" s="285"/>
      <c r="J1064" s="276"/>
      <c r="K1064" s="276"/>
      <c r="L1064" s="276"/>
      <c r="M1064" s="276"/>
      <c r="N1064" s="276"/>
      <c r="O1064" s="276"/>
      <c r="P1064" s="276"/>
      <c r="Q1064" s="276"/>
      <c r="R1064" s="276"/>
      <c r="S1064" s="276"/>
      <c r="T1064" s="276"/>
      <c r="U1064" s="276"/>
      <c r="V1064" s="276"/>
      <c r="W1064" s="276"/>
      <c r="X1064" s="276"/>
    </row>
    <row r="1065" ht="15.75" customHeight="1">
      <c r="A1065" s="283"/>
      <c r="B1065" s="284"/>
      <c r="C1065" s="284"/>
      <c r="D1065" s="284"/>
      <c r="E1065" s="285"/>
      <c r="F1065" s="286"/>
      <c r="G1065" s="287"/>
      <c r="H1065" s="288"/>
      <c r="I1065" s="285"/>
      <c r="J1065" s="276"/>
      <c r="K1065" s="276"/>
      <c r="L1065" s="276"/>
      <c r="M1065" s="276"/>
      <c r="N1065" s="276"/>
      <c r="O1065" s="276"/>
      <c r="P1065" s="276"/>
      <c r="Q1065" s="276"/>
      <c r="R1065" s="276"/>
      <c r="S1065" s="276"/>
      <c r="T1065" s="276"/>
      <c r="U1065" s="276"/>
      <c r="V1065" s="276"/>
      <c r="W1065" s="276"/>
      <c r="X1065" s="276"/>
    </row>
    <row r="1066" ht="15.75" customHeight="1">
      <c r="A1066" s="283"/>
      <c r="B1066" s="284"/>
      <c r="C1066" s="284"/>
      <c r="D1066" s="284"/>
      <c r="E1066" s="285"/>
      <c r="F1066" s="286"/>
      <c r="G1066" s="287"/>
      <c r="H1066" s="288"/>
      <c r="I1066" s="285"/>
      <c r="J1066" s="276"/>
      <c r="K1066" s="276"/>
      <c r="L1066" s="276"/>
      <c r="M1066" s="276"/>
      <c r="N1066" s="276"/>
      <c r="O1066" s="276"/>
      <c r="P1066" s="276"/>
      <c r="Q1066" s="276"/>
      <c r="R1066" s="276"/>
      <c r="S1066" s="276"/>
      <c r="T1066" s="276"/>
      <c r="U1066" s="276"/>
      <c r="V1066" s="276"/>
      <c r="W1066" s="276"/>
      <c r="X1066" s="276"/>
    </row>
    <row r="1067" ht="15.75" customHeight="1">
      <c r="A1067" s="283"/>
      <c r="B1067" s="284"/>
      <c r="C1067" s="284"/>
      <c r="D1067" s="284"/>
      <c r="E1067" s="285"/>
      <c r="F1067" s="285"/>
      <c r="G1067" s="290"/>
      <c r="H1067" s="288"/>
      <c r="I1067" s="285"/>
      <c r="J1067" s="276"/>
      <c r="K1067" s="276"/>
      <c r="L1067" s="276"/>
      <c r="M1067" s="276"/>
      <c r="N1067" s="276"/>
      <c r="O1067" s="276"/>
      <c r="P1067" s="276"/>
      <c r="Q1067" s="276"/>
      <c r="R1067" s="276"/>
      <c r="S1067" s="276"/>
      <c r="T1067" s="276"/>
      <c r="U1067" s="276"/>
      <c r="V1067" s="276"/>
      <c r="W1067" s="276"/>
      <c r="X1067" s="276"/>
    </row>
    <row r="1068" ht="15.75" customHeight="1">
      <c r="A1068" s="283"/>
      <c r="B1068" s="284"/>
      <c r="C1068" s="284"/>
      <c r="D1068" s="284"/>
      <c r="E1068" s="312"/>
      <c r="F1068" s="312"/>
      <c r="G1068" s="319"/>
      <c r="H1068" s="288"/>
      <c r="I1068" s="285"/>
      <c r="J1068" s="276"/>
      <c r="K1068" s="276"/>
      <c r="L1068" s="276"/>
      <c r="M1068" s="276"/>
      <c r="N1068" s="276"/>
      <c r="O1068" s="276"/>
      <c r="P1068" s="276"/>
      <c r="Q1068" s="276"/>
      <c r="R1068" s="276"/>
      <c r="S1068" s="276"/>
      <c r="T1068" s="276"/>
      <c r="U1068" s="276"/>
      <c r="V1068" s="276"/>
      <c r="W1068" s="276"/>
      <c r="X1068" s="276"/>
    </row>
    <row r="1069" ht="15.75" customHeight="1">
      <c r="A1069" s="283"/>
      <c r="B1069" s="284"/>
      <c r="C1069" s="284"/>
      <c r="D1069" s="284"/>
      <c r="E1069" s="285"/>
      <c r="F1069" s="285"/>
      <c r="G1069" s="290"/>
      <c r="H1069" s="288"/>
      <c r="I1069" s="285"/>
      <c r="J1069" s="276"/>
      <c r="K1069" s="276"/>
      <c r="L1069" s="276"/>
      <c r="M1069" s="276"/>
      <c r="N1069" s="276"/>
      <c r="O1069" s="276"/>
      <c r="P1069" s="276"/>
      <c r="Q1069" s="276"/>
      <c r="R1069" s="276"/>
      <c r="S1069" s="276"/>
      <c r="T1069" s="276"/>
      <c r="U1069" s="276"/>
      <c r="V1069" s="276"/>
      <c r="W1069" s="276"/>
      <c r="X1069" s="276"/>
    </row>
    <row r="1070" ht="15.75" customHeight="1">
      <c r="A1070" s="283"/>
      <c r="B1070" s="284"/>
      <c r="C1070" s="284"/>
      <c r="D1070" s="284"/>
      <c r="E1070" s="285"/>
      <c r="F1070" s="285"/>
      <c r="G1070" s="290"/>
      <c r="H1070" s="288"/>
      <c r="I1070" s="285"/>
      <c r="J1070" s="276"/>
      <c r="K1070" s="276"/>
      <c r="L1070" s="276"/>
      <c r="M1070" s="276"/>
      <c r="N1070" s="276"/>
      <c r="O1070" s="276"/>
      <c r="P1070" s="276"/>
      <c r="Q1070" s="276"/>
      <c r="R1070" s="276"/>
      <c r="S1070" s="276"/>
      <c r="T1070" s="276"/>
      <c r="U1070" s="276"/>
      <c r="V1070" s="276"/>
      <c r="W1070" s="276"/>
      <c r="X1070" s="276"/>
    </row>
    <row r="1071" ht="15.75" customHeight="1">
      <c r="A1071" s="283"/>
      <c r="B1071" s="284"/>
      <c r="C1071" s="284"/>
      <c r="D1071" s="284"/>
      <c r="E1071" s="285"/>
      <c r="F1071" s="35"/>
      <c r="G1071" s="290"/>
      <c r="H1071" s="360"/>
      <c r="I1071" s="285"/>
      <c r="J1071" s="276"/>
      <c r="K1071" s="276"/>
      <c r="L1071" s="276"/>
      <c r="M1071" s="276"/>
      <c r="N1071" s="276"/>
      <c r="O1071" s="276"/>
      <c r="P1071" s="276"/>
      <c r="Q1071" s="276"/>
      <c r="R1071" s="276"/>
      <c r="S1071" s="276"/>
      <c r="T1071" s="276"/>
      <c r="U1071" s="276"/>
      <c r="V1071" s="276"/>
      <c r="W1071" s="276"/>
      <c r="X1071" s="276"/>
    </row>
    <row r="1072" ht="15.75" customHeight="1">
      <c r="A1072" s="283"/>
      <c r="B1072" s="284"/>
      <c r="C1072" s="284"/>
      <c r="D1072" s="284"/>
      <c r="E1072" s="285"/>
      <c r="F1072" s="35"/>
      <c r="G1072" s="290"/>
      <c r="H1072" s="360"/>
      <c r="I1072" s="285"/>
      <c r="J1072" s="276"/>
      <c r="K1072" s="276"/>
      <c r="L1072" s="276"/>
      <c r="M1072" s="276"/>
      <c r="N1072" s="276"/>
      <c r="O1072" s="276"/>
      <c r="P1072" s="276"/>
      <c r="Q1072" s="276"/>
      <c r="R1072" s="276"/>
      <c r="S1072" s="276"/>
      <c r="T1072" s="276"/>
      <c r="U1072" s="276"/>
      <c r="V1072" s="276"/>
      <c r="W1072" s="276"/>
      <c r="X1072" s="276"/>
    </row>
    <row r="1073" ht="15.75" customHeight="1">
      <c r="A1073" s="289"/>
      <c r="B1073" s="284"/>
      <c r="C1073" s="284"/>
      <c r="D1073" s="284"/>
      <c r="E1073" s="285"/>
      <c r="F1073" s="285"/>
      <c r="G1073" s="290"/>
      <c r="H1073" s="288"/>
      <c r="I1073" s="285"/>
      <c r="J1073" s="276"/>
      <c r="K1073" s="276"/>
      <c r="L1073" s="276"/>
      <c r="M1073" s="276"/>
      <c r="N1073" s="276"/>
      <c r="O1073" s="276"/>
      <c r="P1073" s="276"/>
      <c r="Q1073" s="276"/>
      <c r="R1073" s="276"/>
      <c r="S1073" s="276"/>
      <c r="T1073" s="276"/>
      <c r="U1073" s="276"/>
      <c r="V1073" s="276"/>
      <c r="W1073" s="276"/>
      <c r="X1073" s="276"/>
    </row>
    <row r="1074" ht="15.75" customHeight="1">
      <c r="A1074" s="283"/>
      <c r="B1074" s="284"/>
      <c r="C1074" s="284"/>
      <c r="D1074" s="284"/>
      <c r="E1074" s="285"/>
      <c r="F1074" s="286"/>
      <c r="G1074" s="287"/>
      <c r="H1074" s="288"/>
      <c r="I1074" s="285"/>
      <c r="J1074" s="276"/>
      <c r="K1074" s="276"/>
      <c r="L1074" s="276"/>
      <c r="M1074" s="276"/>
      <c r="N1074" s="276"/>
      <c r="O1074" s="276"/>
      <c r="P1074" s="276"/>
      <c r="Q1074" s="276"/>
      <c r="R1074" s="276"/>
      <c r="S1074" s="276"/>
      <c r="T1074" s="276"/>
      <c r="U1074" s="276"/>
      <c r="V1074" s="276"/>
      <c r="W1074" s="276"/>
      <c r="X1074" s="276"/>
    </row>
    <row r="1075" ht="15.75" customHeight="1">
      <c r="A1075" s="289"/>
      <c r="B1075" s="284"/>
      <c r="C1075" s="284"/>
      <c r="D1075" s="284"/>
      <c r="E1075" s="285"/>
      <c r="F1075" s="286"/>
      <c r="G1075" s="287"/>
      <c r="H1075" s="288"/>
      <c r="I1075" s="285"/>
      <c r="J1075" s="276"/>
      <c r="K1075" s="276"/>
      <c r="L1075" s="276"/>
      <c r="M1075" s="276"/>
      <c r="N1075" s="276"/>
      <c r="O1075" s="276"/>
      <c r="P1075" s="276"/>
      <c r="Q1075" s="276"/>
      <c r="R1075" s="276"/>
      <c r="S1075" s="276"/>
      <c r="T1075" s="276"/>
      <c r="U1075" s="276"/>
      <c r="V1075" s="276"/>
      <c r="W1075" s="276"/>
      <c r="X1075" s="276"/>
    </row>
    <row r="1076" ht="15.75" customHeight="1">
      <c r="A1076" s="283"/>
      <c r="B1076" s="284"/>
      <c r="C1076" s="284"/>
      <c r="D1076" s="284"/>
      <c r="E1076" s="285"/>
      <c r="F1076" s="35"/>
      <c r="G1076" s="290"/>
      <c r="H1076" s="360"/>
      <c r="I1076" s="285"/>
      <c r="J1076" s="276"/>
      <c r="K1076" s="276"/>
      <c r="L1076" s="276"/>
      <c r="M1076" s="276"/>
      <c r="N1076" s="276"/>
      <c r="O1076" s="276"/>
      <c r="P1076" s="276"/>
      <c r="Q1076" s="276"/>
      <c r="R1076" s="276"/>
      <c r="S1076" s="276"/>
      <c r="T1076" s="276"/>
      <c r="U1076" s="276"/>
      <c r="V1076" s="276"/>
      <c r="W1076" s="276"/>
      <c r="X1076" s="276"/>
    </row>
    <row r="1077" ht="15.75" customHeight="1">
      <c r="A1077" s="283"/>
      <c r="B1077" s="284"/>
      <c r="C1077" s="284"/>
      <c r="D1077" s="284"/>
      <c r="E1077" s="285"/>
      <c r="F1077" s="35"/>
      <c r="G1077" s="290"/>
      <c r="H1077" s="360"/>
      <c r="I1077" s="285"/>
      <c r="J1077" s="276"/>
      <c r="K1077" s="276"/>
      <c r="L1077" s="276"/>
      <c r="M1077" s="276"/>
      <c r="N1077" s="276"/>
      <c r="O1077" s="276"/>
      <c r="P1077" s="276"/>
      <c r="Q1077" s="276"/>
      <c r="R1077" s="276"/>
      <c r="S1077" s="276"/>
      <c r="T1077" s="276"/>
      <c r="U1077" s="276"/>
      <c r="V1077" s="276"/>
      <c r="W1077" s="276"/>
      <c r="X1077" s="276"/>
    </row>
    <row r="1078" ht="15.75" customHeight="1">
      <c r="A1078" s="297"/>
      <c r="B1078" s="284"/>
      <c r="C1078" s="284"/>
      <c r="D1078" s="284"/>
      <c r="E1078" s="285"/>
      <c r="F1078" s="35"/>
      <c r="G1078" s="290"/>
      <c r="H1078" s="360"/>
      <c r="I1078" s="285"/>
      <c r="J1078" s="276"/>
      <c r="K1078" s="276"/>
      <c r="L1078" s="276"/>
      <c r="M1078" s="276"/>
      <c r="N1078" s="276"/>
      <c r="O1078" s="276"/>
      <c r="P1078" s="276"/>
      <c r="Q1078" s="276"/>
      <c r="R1078" s="276"/>
      <c r="S1078" s="276"/>
      <c r="T1078" s="276"/>
      <c r="U1078" s="276"/>
      <c r="V1078" s="276"/>
      <c r="W1078" s="276"/>
      <c r="X1078" s="276"/>
    </row>
    <row r="1079" ht="15.75" customHeight="1">
      <c r="A1079" s="297"/>
      <c r="B1079" s="284"/>
      <c r="C1079" s="284"/>
      <c r="D1079" s="284"/>
      <c r="E1079" s="285"/>
      <c r="F1079" s="35"/>
      <c r="G1079" s="290"/>
      <c r="H1079" s="360"/>
      <c r="I1079" s="285"/>
      <c r="J1079" s="276"/>
      <c r="K1079" s="276"/>
      <c r="L1079" s="276"/>
      <c r="M1079" s="276"/>
      <c r="N1079" s="276"/>
      <c r="O1079" s="276"/>
      <c r="P1079" s="276"/>
      <c r="Q1079" s="276"/>
      <c r="R1079" s="276"/>
      <c r="S1079" s="276"/>
      <c r="T1079" s="276"/>
      <c r="U1079" s="276"/>
      <c r="V1079" s="276"/>
      <c r="W1079" s="276"/>
      <c r="X1079" s="276"/>
    </row>
    <row r="1080" ht="15.75" customHeight="1">
      <c r="A1080" s="297"/>
      <c r="B1080" s="284"/>
      <c r="C1080" s="284"/>
      <c r="D1080" s="284"/>
      <c r="E1080" s="285"/>
      <c r="F1080" s="35"/>
      <c r="G1080" s="290"/>
      <c r="H1080" s="503"/>
      <c r="I1080" s="285"/>
      <c r="J1080" s="276"/>
      <c r="K1080" s="276"/>
      <c r="L1080" s="276"/>
      <c r="M1080" s="276"/>
      <c r="N1080" s="276"/>
      <c r="O1080" s="276"/>
      <c r="P1080" s="276"/>
      <c r="Q1080" s="276"/>
      <c r="R1080" s="276"/>
      <c r="S1080" s="276"/>
      <c r="T1080" s="276"/>
      <c r="U1080" s="276"/>
      <c r="V1080" s="276"/>
      <c r="W1080" s="276"/>
      <c r="X1080" s="276"/>
    </row>
    <row r="1081" ht="15.75" customHeight="1">
      <c r="A1081" s="297"/>
      <c r="B1081" s="284"/>
      <c r="C1081" s="284"/>
      <c r="D1081" s="284"/>
      <c r="E1081" s="285"/>
      <c r="F1081" s="35"/>
      <c r="G1081" s="290"/>
      <c r="H1081" s="360"/>
      <c r="I1081" s="285"/>
      <c r="J1081" s="276"/>
      <c r="K1081" s="276"/>
      <c r="L1081" s="276"/>
      <c r="M1081" s="276"/>
      <c r="N1081" s="276"/>
      <c r="O1081" s="276"/>
      <c r="P1081" s="276"/>
      <c r="Q1081" s="276"/>
      <c r="R1081" s="276"/>
      <c r="S1081" s="276"/>
      <c r="T1081" s="276"/>
      <c r="U1081" s="276"/>
      <c r="V1081" s="276"/>
      <c r="W1081" s="276"/>
      <c r="X1081" s="276"/>
    </row>
    <row r="1082" ht="15.75" customHeight="1">
      <c r="A1082" s="297"/>
      <c r="B1082" s="284"/>
      <c r="C1082" s="284"/>
      <c r="D1082" s="284"/>
      <c r="E1082" s="285"/>
      <c r="F1082" s="35"/>
      <c r="G1082" s="290"/>
      <c r="H1082" s="360"/>
      <c r="I1082" s="285"/>
      <c r="J1082" s="276"/>
      <c r="K1082" s="276"/>
      <c r="L1082" s="276"/>
      <c r="M1082" s="276"/>
      <c r="N1082" s="276"/>
      <c r="O1082" s="276"/>
      <c r="P1082" s="276"/>
      <c r="Q1082" s="276"/>
      <c r="R1082" s="276"/>
      <c r="S1082" s="276"/>
      <c r="T1082" s="276"/>
      <c r="U1082" s="276"/>
      <c r="V1082" s="276"/>
      <c r="W1082" s="276"/>
      <c r="X1082" s="276"/>
    </row>
    <row r="1083" ht="15.75" customHeight="1">
      <c r="A1083" s="297"/>
      <c r="B1083" s="284"/>
      <c r="C1083" s="284"/>
      <c r="D1083" s="284"/>
      <c r="E1083" s="285"/>
      <c r="F1083" s="35"/>
      <c r="G1083" s="290"/>
      <c r="H1083" s="360"/>
      <c r="I1083" s="285"/>
      <c r="J1083" s="276"/>
      <c r="K1083" s="276"/>
      <c r="L1083" s="276"/>
      <c r="M1083" s="276"/>
      <c r="N1083" s="276"/>
      <c r="O1083" s="276"/>
      <c r="P1083" s="276"/>
      <c r="Q1083" s="276"/>
      <c r="R1083" s="276"/>
      <c r="S1083" s="276"/>
      <c r="T1083" s="276"/>
      <c r="U1083" s="276"/>
      <c r="V1083" s="276"/>
      <c r="W1083" s="276"/>
      <c r="X1083" s="276"/>
    </row>
    <row r="1084" ht="15.75" customHeight="1">
      <c r="A1084" s="297"/>
      <c r="B1084" s="284"/>
      <c r="C1084" s="284"/>
      <c r="D1084" s="284"/>
      <c r="E1084" s="285"/>
      <c r="F1084" s="35"/>
      <c r="G1084" s="290"/>
      <c r="H1084" s="504"/>
      <c r="I1084" s="285"/>
      <c r="J1084" s="276"/>
      <c r="K1084" s="276"/>
      <c r="L1084" s="276"/>
      <c r="M1084" s="276"/>
      <c r="N1084" s="276"/>
      <c r="O1084" s="276"/>
      <c r="P1084" s="276"/>
      <c r="Q1084" s="276"/>
      <c r="R1084" s="276"/>
      <c r="S1084" s="276"/>
      <c r="T1084" s="276"/>
      <c r="U1084" s="276"/>
      <c r="V1084" s="276"/>
      <c r="W1084" s="276"/>
      <c r="X1084" s="276"/>
    </row>
    <row r="1085" ht="15.75" customHeight="1">
      <c r="A1085" s="297"/>
      <c r="B1085" s="284"/>
      <c r="C1085" s="284"/>
      <c r="D1085" s="284"/>
      <c r="E1085" s="285"/>
      <c r="F1085" s="35"/>
      <c r="G1085" s="290"/>
      <c r="H1085" s="504"/>
      <c r="I1085" s="285"/>
      <c r="J1085" s="276"/>
      <c r="K1085" s="276"/>
      <c r="L1085" s="276"/>
      <c r="M1085" s="276"/>
      <c r="N1085" s="276"/>
      <c r="O1085" s="276"/>
      <c r="P1085" s="276"/>
      <c r="Q1085" s="276"/>
      <c r="R1085" s="276"/>
      <c r="S1085" s="276"/>
      <c r="T1085" s="276"/>
      <c r="U1085" s="276"/>
      <c r="V1085" s="276"/>
      <c r="W1085" s="276"/>
      <c r="X1085" s="276"/>
    </row>
    <row r="1086" ht="15.75" customHeight="1">
      <c r="A1086" s="297"/>
      <c r="B1086" s="284"/>
      <c r="C1086" s="284"/>
      <c r="D1086" s="284"/>
      <c r="E1086" s="285"/>
      <c r="F1086" s="35"/>
      <c r="G1086" s="290"/>
      <c r="H1086" s="360"/>
      <c r="I1086" s="285"/>
      <c r="J1086" s="276"/>
      <c r="K1086" s="276"/>
      <c r="L1086" s="276"/>
      <c r="M1086" s="276"/>
      <c r="N1086" s="276"/>
      <c r="O1086" s="276"/>
      <c r="P1086" s="276"/>
      <c r="Q1086" s="276"/>
      <c r="R1086" s="276"/>
      <c r="S1086" s="276"/>
      <c r="T1086" s="276"/>
      <c r="U1086" s="276"/>
      <c r="V1086" s="276"/>
      <c r="W1086" s="276"/>
      <c r="X1086" s="276"/>
    </row>
    <row r="1087" ht="15.75" customHeight="1">
      <c r="A1087" s="297"/>
      <c r="B1087" s="284"/>
      <c r="C1087" s="284"/>
      <c r="D1087" s="284"/>
      <c r="E1087" s="285"/>
      <c r="F1087" s="35"/>
      <c r="G1087" s="290"/>
      <c r="H1087" s="360"/>
      <c r="I1087" s="285"/>
      <c r="J1087" s="276"/>
      <c r="K1087" s="276"/>
      <c r="L1087" s="276"/>
      <c r="M1087" s="276"/>
      <c r="N1087" s="276"/>
      <c r="O1087" s="276"/>
      <c r="P1087" s="276"/>
      <c r="Q1087" s="276"/>
      <c r="R1087" s="276"/>
      <c r="S1087" s="276"/>
      <c r="T1087" s="276"/>
      <c r="U1087" s="276"/>
      <c r="V1087" s="276"/>
      <c r="W1087" s="276"/>
      <c r="X1087" s="276"/>
    </row>
    <row r="1088" ht="15.75" customHeight="1">
      <c r="A1088" s="297"/>
      <c r="B1088" s="284"/>
      <c r="C1088" s="284"/>
      <c r="D1088" s="284"/>
      <c r="E1088" s="285"/>
      <c r="F1088" s="35"/>
      <c r="G1088" s="290"/>
      <c r="H1088" s="360"/>
      <c r="I1088" s="285"/>
      <c r="J1088" s="276"/>
      <c r="K1088" s="276"/>
      <c r="L1088" s="276"/>
      <c r="M1088" s="276"/>
      <c r="N1088" s="276"/>
      <c r="O1088" s="276"/>
      <c r="P1088" s="276"/>
      <c r="Q1088" s="276"/>
      <c r="R1088" s="276"/>
      <c r="S1088" s="276"/>
      <c r="T1088" s="276"/>
      <c r="U1088" s="276"/>
      <c r="V1088" s="276"/>
      <c r="W1088" s="276"/>
      <c r="X1088" s="276"/>
    </row>
    <row r="1089" ht="15.75" customHeight="1">
      <c r="A1089" s="297"/>
      <c r="B1089" s="284"/>
      <c r="C1089" s="284"/>
      <c r="D1089" s="284"/>
      <c r="E1089" s="285"/>
      <c r="F1089" s="35"/>
      <c r="G1089" s="290"/>
      <c r="H1089" s="360"/>
      <c r="I1089" s="285"/>
      <c r="J1089" s="276"/>
      <c r="K1089" s="276"/>
      <c r="L1089" s="276"/>
      <c r="M1089" s="276"/>
      <c r="N1089" s="276"/>
      <c r="O1089" s="276"/>
      <c r="P1089" s="276"/>
      <c r="Q1089" s="276"/>
      <c r="R1089" s="276"/>
      <c r="S1089" s="276"/>
      <c r="T1089" s="276"/>
      <c r="U1089" s="276"/>
      <c r="V1089" s="276"/>
      <c r="W1089" s="276"/>
      <c r="X1089" s="276"/>
    </row>
    <row r="1090" ht="15.75" customHeight="1">
      <c r="A1090" s="283"/>
      <c r="B1090" s="284"/>
      <c r="C1090" s="284"/>
      <c r="D1090" s="284"/>
      <c r="E1090" s="285"/>
      <c r="F1090" s="285"/>
      <c r="G1090" s="290"/>
      <c r="H1090" s="505"/>
      <c r="I1090" s="285"/>
      <c r="J1090" s="276"/>
      <c r="K1090" s="276"/>
      <c r="L1090" s="276"/>
      <c r="M1090" s="276"/>
      <c r="N1090" s="276"/>
      <c r="O1090" s="276"/>
      <c r="P1090" s="276"/>
      <c r="Q1090" s="276"/>
      <c r="R1090" s="276"/>
      <c r="S1090" s="276"/>
      <c r="T1090" s="276"/>
      <c r="U1090" s="276"/>
      <c r="V1090" s="276"/>
      <c r="W1090" s="276"/>
      <c r="X1090" s="276"/>
    </row>
    <row r="1091" ht="15.75" customHeight="1">
      <c r="A1091" s="297"/>
      <c r="B1091" s="284"/>
      <c r="C1091" s="284"/>
      <c r="D1091" s="284"/>
      <c r="E1091" s="285"/>
      <c r="F1091" s="35"/>
      <c r="G1091" s="290"/>
      <c r="H1091" s="360"/>
      <c r="I1091" s="285"/>
      <c r="J1091" s="276"/>
      <c r="K1091" s="276"/>
      <c r="L1091" s="276"/>
      <c r="M1091" s="276"/>
      <c r="N1091" s="276"/>
      <c r="O1091" s="276"/>
      <c r="P1091" s="276"/>
      <c r="Q1091" s="276"/>
      <c r="R1091" s="276"/>
      <c r="S1091" s="276"/>
      <c r="T1091" s="276"/>
      <c r="U1091" s="276"/>
      <c r="V1091" s="276"/>
      <c r="W1091" s="276"/>
      <c r="X1091" s="276"/>
    </row>
    <row r="1092" ht="15.75" customHeight="1">
      <c r="A1092" s="297"/>
      <c r="B1092" s="284"/>
      <c r="C1092" s="284"/>
      <c r="D1092" s="284"/>
      <c r="E1092" s="285"/>
      <c r="F1092" s="35"/>
      <c r="G1092" s="290"/>
      <c r="H1092" s="360"/>
      <c r="I1092" s="285"/>
      <c r="J1092" s="276"/>
      <c r="K1092" s="276"/>
      <c r="L1092" s="276"/>
      <c r="M1092" s="276"/>
      <c r="N1092" s="276"/>
      <c r="O1092" s="276"/>
      <c r="P1092" s="276"/>
      <c r="Q1092" s="276"/>
      <c r="R1092" s="276"/>
      <c r="S1092" s="276"/>
      <c r="T1092" s="276"/>
      <c r="U1092" s="276"/>
      <c r="V1092" s="276"/>
      <c r="W1092" s="276"/>
      <c r="X1092" s="276"/>
    </row>
    <row r="1093" ht="15.75" customHeight="1">
      <c r="A1093" s="297"/>
      <c r="B1093" s="284"/>
      <c r="C1093" s="284"/>
      <c r="D1093" s="284"/>
      <c r="E1093" s="285"/>
      <c r="F1093" s="35"/>
      <c r="G1093" s="290"/>
      <c r="H1093" s="360"/>
      <c r="I1093" s="285"/>
      <c r="J1093" s="276"/>
      <c r="K1093" s="276"/>
      <c r="L1093" s="276"/>
      <c r="M1093" s="276"/>
      <c r="N1093" s="276"/>
      <c r="O1093" s="276"/>
      <c r="P1093" s="276"/>
      <c r="Q1093" s="276"/>
      <c r="R1093" s="276"/>
      <c r="S1093" s="276"/>
      <c r="T1093" s="276"/>
      <c r="U1093" s="276"/>
      <c r="V1093" s="276"/>
      <c r="W1093" s="276"/>
      <c r="X1093" s="276"/>
    </row>
    <row r="1094" ht="15.75" customHeight="1">
      <c r="A1094" s="297"/>
      <c r="B1094" s="284"/>
      <c r="C1094" s="284"/>
      <c r="D1094" s="284"/>
      <c r="E1094" s="285"/>
      <c r="F1094" s="35"/>
      <c r="G1094" s="290"/>
      <c r="H1094" s="360"/>
      <c r="I1094" s="285"/>
      <c r="J1094" s="276"/>
      <c r="K1094" s="276"/>
      <c r="L1094" s="276"/>
      <c r="M1094" s="276"/>
      <c r="N1094" s="276"/>
      <c r="O1094" s="276"/>
      <c r="P1094" s="276"/>
      <c r="Q1094" s="276"/>
      <c r="R1094" s="276"/>
      <c r="S1094" s="276"/>
      <c r="T1094" s="276"/>
      <c r="U1094" s="276"/>
      <c r="V1094" s="276"/>
      <c r="W1094" s="276"/>
      <c r="X1094" s="276"/>
    </row>
    <row r="1095" ht="15.75" customHeight="1">
      <c r="A1095" s="297"/>
      <c r="B1095" s="284"/>
      <c r="C1095" s="284"/>
      <c r="D1095" s="284"/>
      <c r="E1095" s="285"/>
      <c r="F1095" s="35"/>
      <c r="G1095" s="290"/>
      <c r="H1095" s="360"/>
      <c r="I1095" s="285"/>
      <c r="J1095" s="276"/>
      <c r="K1095" s="276"/>
      <c r="L1095" s="276"/>
      <c r="M1095" s="276"/>
      <c r="N1095" s="276"/>
      <c r="O1095" s="276"/>
      <c r="P1095" s="276"/>
      <c r="Q1095" s="276"/>
      <c r="R1095" s="276"/>
      <c r="S1095" s="276"/>
      <c r="T1095" s="276"/>
      <c r="U1095" s="276"/>
      <c r="V1095" s="276"/>
      <c r="W1095" s="276"/>
      <c r="X1095" s="276"/>
    </row>
    <row r="1096" ht="15.75" customHeight="1">
      <c r="A1096" s="297"/>
      <c r="B1096" s="284"/>
      <c r="C1096" s="284"/>
      <c r="D1096" s="284"/>
      <c r="E1096" s="285"/>
      <c r="F1096" s="35"/>
      <c r="G1096" s="290"/>
      <c r="H1096" s="506"/>
      <c r="I1096" s="285"/>
      <c r="J1096" s="276"/>
      <c r="K1096" s="276"/>
      <c r="L1096" s="276"/>
      <c r="M1096" s="276"/>
      <c r="N1096" s="276"/>
      <c r="O1096" s="276"/>
      <c r="P1096" s="276"/>
      <c r="Q1096" s="276"/>
      <c r="R1096" s="276"/>
      <c r="S1096" s="276"/>
      <c r="T1096" s="276"/>
      <c r="U1096" s="276"/>
      <c r="V1096" s="276"/>
      <c r="W1096" s="276"/>
      <c r="X1096" s="276"/>
    </row>
    <row r="1097" ht="15.75" customHeight="1">
      <c r="A1097" s="297"/>
      <c r="B1097" s="284"/>
      <c r="C1097" s="284"/>
      <c r="D1097" s="284"/>
      <c r="E1097" s="285"/>
      <c r="F1097" s="35"/>
      <c r="G1097" s="290"/>
      <c r="H1097" s="360"/>
      <c r="I1097" s="285"/>
      <c r="J1097" s="276"/>
      <c r="K1097" s="276"/>
      <c r="L1097" s="276"/>
      <c r="M1097" s="276"/>
      <c r="N1097" s="276"/>
      <c r="O1097" s="276"/>
      <c r="P1097" s="276"/>
      <c r="Q1097" s="276"/>
      <c r="R1097" s="276"/>
      <c r="S1097" s="276"/>
      <c r="T1097" s="276"/>
      <c r="U1097" s="276"/>
      <c r="V1097" s="276"/>
      <c r="W1097" s="276"/>
      <c r="X1097" s="276"/>
    </row>
    <row r="1098" ht="15.75" customHeight="1">
      <c r="A1098" s="297"/>
      <c r="B1098" s="284"/>
      <c r="C1098" s="284"/>
      <c r="D1098" s="284"/>
      <c r="E1098" s="285"/>
      <c r="F1098" s="35"/>
      <c r="G1098" s="290"/>
      <c r="H1098" s="360"/>
      <c r="I1098" s="285"/>
      <c r="J1098" s="64" t="s">
        <v>1930</v>
      </c>
      <c r="K1098" s="276"/>
      <c r="L1098" s="276"/>
      <c r="M1098" s="276"/>
      <c r="N1098" s="276"/>
      <c r="O1098" s="276"/>
      <c r="P1098" s="276"/>
      <c r="Q1098" s="276"/>
      <c r="R1098" s="276"/>
      <c r="S1098" s="276"/>
      <c r="T1098" s="276"/>
      <c r="U1098" s="276"/>
      <c r="V1098" s="276"/>
      <c r="W1098" s="276"/>
      <c r="X1098" s="276"/>
    </row>
    <row r="1099" ht="15.75" customHeight="1">
      <c r="A1099" s="403"/>
      <c r="B1099" s="284"/>
      <c r="C1099" s="284"/>
      <c r="D1099" s="284"/>
      <c r="E1099" s="490"/>
      <c r="F1099" s="30"/>
      <c r="G1099" s="360"/>
      <c r="H1099" s="360"/>
      <c r="I1099" s="490"/>
      <c r="J1099" s="276"/>
      <c r="K1099" s="276"/>
      <c r="L1099" s="276"/>
      <c r="M1099" s="276"/>
      <c r="N1099" s="276"/>
      <c r="O1099" s="276"/>
      <c r="P1099" s="276"/>
      <c r="Q1099" s="276"/>
      <c r="R1099" s="276"/>
      <c r="S1099" s="276"/>
      <c r="T1099" s="276"/>
      <c r="U1099" s="276"/>
      <c r="V1099" s="276"/>
      <c r="W1099" s="276"/>
      <c r="X1099" s="276"/>
    </row>
    <row r="1100" ht="15.75" customHeight="1">
      <c r="A1100" s="403"/>
      <c r="B1100" s="284"/>
      <c r="C1100" s="284"/>
      <c r="D1100" s="284"/>
      <c r="E1100" s="490"/>
      <c r="F1100" s="30"/>
      <c r="G1100" s="360"/>
      <c r="H1100" s="360"/>
      <c r="I1100" s="490"/>
      <c r="J1100" s="276"/>
      <c r="K1100" s="276"/>
      <c r="L1100" s="276"/>
      <c r="M1100" s="276"/>
      <c r="N1100" s="276"/>
      <c r="O1100" s="276"/>
      <c r="P1100" s="276"/>
      <c r="Q1100" s="276"/>
      <c r="R1100" s="276"/>
      <c r="S1100" s="276"/>
      <c r="T1100" s="276"/>
      <c r="U1100" s="276"/>
      <c r="V1100" s="276"/>
      <c r="W1100" s="276"/>
      <c r="X1100" s="276"/>
    </row>
    <row r="1101" ht="15.75" customHeight="1">
      <c r="A1101" s="403"/>
      <c r="B1101" s="284"/>
      <c r="C1101" s="284"/>
      <c r="D1101" s="284"/>
      <c r="E1101" s="490"/>
      <c r="F1101" s="30"/>
      <c r="G1101" s="360"/>
      <c r="H1101" s="360"/>
      <c r="I1101" s="490"/>
      <c r="J1101" s="276"/>
      <c r="K1101" s="276"/>
      <c r="L1101" s="276"/>
      <c r="M1101" s="276"/>
      <c r="N1101" s="276"/>
      <c r="O1101" s="276"/>
      <c r="P1101" s="276"/>
      <c r="Q1101" s="276"/>
      <c r="R1101" s="276"/>
      <c r="S1101" s="276"/>
      <c r="T1101" s="276"/>
      <c r="U1101" s="276"/>
      <c r="V1101" s="276"/>
      <c r="W1101" s="276"/>
      <c r="X1101" s="276"/>
    </row>
    <row r="1102" ht="15.75" customHeight="1">
      <c r="A1102" s="403"/>
      <c r="B1102" s="284"/>
      <c r="C1102" s="284"/>
      <c r="D1102" s="284"/>
      <c r="E1102" s="490"/>
      <c r="F1102" s="30"/>
      <c r="G1102" s="360"/>
      <c r="H1102" s="360"/>
      <c r="I1102" s="490"/>
      <c r="J1102" s="276"/>
      <c r="K1102" s="276"/>
      <c r="L1102" s="276"/>
      <c r="M1102" s="276"/>
      <c r="N1102" s="276"/>
      <c r="O1102" s="276"/>
      <c r="P1102" s="276"/>
      <c r="Q1102" s="276"/>
      <c r="R1102" s="276"/>
      <c r="S1102" s="276"/>
      <c r="T1102" s="276"/>
      <c r="U1102" s="276"/>
      <c r="V1102" s="276"/>
      <c r="W1102" s="276"/>
      <c r="X1102" s="276"/>
    </row>
    <row r="1103" ht="15.75" customHeight="1">
      <c r="A1103" s="403"/>
      <c r="B1103" s="284"/>
      <c r="C1103" s="284"/>
      <c r="D1103" s="284"/>
      <c r="E1103" s="490"/>
      <c r="F1103" s="30"/>
      <c r="G1103" s="360"/>
      <c r="H1103" s="360"/>
      <c r="I1103" s="490"/>
      <c r="J1103" s="276"/>
      <c r="K1103" s="276"/>
      <c r="L1103" s="276"/>
      <c r="M1103" s="276"/>
      <c r="N1103" s="276"/>
      <c r="O1103" s="276"/>
      <c r="P1103" s="276"/>
      <c r="Q1103" s="276"/>
      <c r="R1103" s="276"/>
      <c r="S1103" s="276"/>
      <c r="T1103" s="276"/>
      <c r="U1103" s="276"/>
      <c r="V1103" s="276"/>
      <c r="W1103" s="276"/>
      <c r="X1103" s="276"/>
    </row>
    <row r="1104" ht="15.75" customHeight="1">
      <c r="A1104" s="403"/>
      <c r="B1104" s="284"/>
      <c r="C1104" s="284"/>
      <c r="D1104" s="284"/>
      <c r="E1104" s="490"/>
      <c r="F1104" s="30"/>
      <c r="G1104" s="360"/>
      <c r="H1104" s="360"/>
      <c r="I1104" s="490"/>
      <c r="J1104" s="276"/>
      <c r="K1104" s="276"/>
      <c r="L1104" s="276"/>
      <c r="M1104" s="276"/>
      <c r="N1104" s="276"/>
      <c r="O1104" s="276"/>
      <c r="P1104" s="276"/>
      <c r="Q1104" s="276"/>
      <c r="R1104" s="276"/>
      <c r="S1104" s="276"/>
      <c r="T1104" s="276"/>
      <c r="U1104" s="276"/>
      <c r="V1104" s="276"/>
      <c r="W1104" s="276"/>
      <c r="X1104" s="276"/>
    </row>
    <row r="1105" ht="15.75" customHeight="1">
      <c r="A1105" s="403"/>
      <c r="B1105" s="284"/>
      <c r="C1105" s="284"/>
      <c r="D1105" s="284"/>
      <c r="E1105" s="490"/>
      <c r="F1105" s="30"/>
      <c r="G1105" s="360"/>
      <c r="H1105" s="360"/>
      <c r="I1105" s="490"/>
      <c r="J1105" s="276"/>
      <c r="K1105" s="276"/>
      <c r="L1105" s="276"/>
      <c r="M1105" s="276"/>
      <c r="N1105" s="276"/>
      <c r="O1105" s="276"/>
      <c r="P1105" s="276"/>
      <c r="Q1105" s="276"/>
      <c r="R1105" s="276"/>
      <c r="S1105" s="276"/>
      <c r="T1105" s="276"/>
      <c r="U1105" s="276"/>
      <c r="V1105" s="276"/>
      <c r="W1105" s="276"/>
      <c r="X1105" s="276"/>
    </row>
    <row r="1106" ht="15.75" customHeight="1">
      <c r="A1106" s="403"/>
      <c r="B1106" s="284"/>
      <c r="C1106" s="284"/>
      <c r="D1106" s="284"/>
      <c r="E1106" s="490"/>
      <c r="F1106" s="30"/>
      <c r="G1106" s="360"/>
      <c r="H1106" s="360"/>
      <c r="I1106" s="490"/>
      <c r="J1106" s="276"/>
      <c r="K1106" s="276"/>
      <c r="L1106" s="276"/>
      <c r="M1106" s="276"/>
      <c r="N1106" s="276"/>
      <c r="O1106" s="276"/>
      <c r="P1106" s="276"/>
      <c r="Q1106" s="276"/>
      <c r="R1106" s="276"/>
      <c r="S1106" s="276"/>
      <c r="T1106" s="276"/>
      <c r="U1106" s="276"/>
      <c r="V1106" s="276"/>
      <c r="W1106" s="276"/>
      <c r="X1106" s="276"/>
    </row>
    <row r="1107" ht="15.75" customHeight="1">
      <c r="A1107" s="403"/>
      <c r="B1107" s="284"/>
      <c r="C1107" s="284"/>
      <c r="D1107" s="284"/>
      <c r="E1107" s="490"/>
      <c r="F1107" s="30"/>
      <c r="G1107" s="360"/>
      <c r="H1107" s="360"/>
      <c r="I1107" s="490"/>
      <c r="J1107" s="276"/>
      <c r="K1107" s="276"/>
      <c r="L1107" s="276"/>
      <c r="M1107" s="276"/>
      <c r="N1107" s="276"/>
      <c r="O1107" s="276"/>
      <c r="P1107" s="276"/>
      <c r="Q1107" s="276"/>
      <c r="R1107" s="276"/>
      <c r="S1107" s="276"/>
      <c r="T1107" s="276"/>
      <c r="U1107" s="276"/>
      <c r="V1107" s="276"/>
      <c r="W1107" s="276"/>
      <c r="X1107" s="276"/>
    </row>
    <row r="1108" ht="15.75" customHeight="1">
      <c r="A1108" s="403"/>
      <c r="B1108" s="284"/>
      <c r="C1108" s="284"/>
      <c r="D1108" s="284"/>
      <c r="E1108" s="490"/>
      <c r="F1108" s="30"/>
      <c r="G1108" s="360"/>
      <c r="H1108" s="360"/>
      <c r="I1108" s="490"/>
      <c r="J1108" s="276"/>
      <c r="K1108" s="276"/>
      <c r="L1108" s="276"/>
      <c r="M1108" s="276"/>
      <c r="N1108" s="276"/>
      <c r="O1108" s="276"/>
      <c r="P1108" s="276"/>
      <c r="Q1108" s="276"/>
      <c r="R1108" s="276"/>
      <c r="S1108" s="276"/>
      <c r="T1108" s="276"/>
      <c r="U1108" s="276"/>
      <c r="V1108" s="276"/>
      <c r="W1108" s="276"/>
      <c r="X1108" s="276"/>
    </row>
    <row r="1109" ht="15.75" customHeight="1">
      <c r="A1109" s="403"/>
      <c r="B1109" s="284"/>
      <c r="C1109" s="284"/>
      <c r="D1109" s="284"/>
      <c r="E1109" s="490"/>
      <c r="F1109" s="30"/>
      <c r="G1109" s="360"/>
      <c r="H1109" s="360"/>
      <c r="I1109" s="490"/>
      <c r="J1109" s="276"/>
      <c r="K1109" s="276"/>
      <c r="L1109" s="276"/>
      <c r="M1109" s="276"/>
      <c r="N1109" s="276"/>
      <c r="O1109" s="276"/>
      <c r="P1109" s="276"/>
      <c r="Q1109" s="276"/>
      <c r="R1109" s="276"/>
      <c r="S1109" s="276"/>
      <c r="T1109" s="276"/>
      <c r="U1109" s="276"/>
      <c r="V1109" s="276"/>
      <c r="W1109" s="276"/>
      <c r="X1109" s="276"/>
    </row>
    <row r="1110" ht="15.75" customHeight="1">
      <c r="A1110" s="403"/>
      <c r="B1110" s="284"/>
      <c r="C1110" s="284"/>
      <c r="D1110" s="284"/>
      <c r="E1110" s="490"/>
      <c r="F1110" s="30"/>
      <c r="G1110" s="360"/>
      <c r="H1110" s="360"/>
      <c r="I1110" s="490"/>
      <c r="J1110" s="276"/>
      <c r="K1110" s="276"/>
      <c r="L1110" s="276"/>
      <c r="M1110" s="276"/>
      <c r="N1110" s="276"/>
      <c r="O1110" s="276"/>
      <c r="P1110" s="276"/>
      <c r="Q1110" s="276"/>
      <c r="R1110" s="276"/>
      <c r="S1110" s="276"/>
      <c r="T1110" s="276"/>
      <c r="U1110" s="276"/>
      <c r="V1110" s="276"/>
      <c r="W1110" s="276"/>
      <c r="X1110" s="276"/>
    </row>
    <row r="1111" ht="15.75" customHeight="1">
      <c r="A1111" s="403"/>
      <c r="B1111" s="284"/>
      <c r="C1111" s="284"/>
      <c r="D1111" s="284"/>
      <c r="E1111" s="490"/>
      <c r="F1111" s="30"/>
      <c r="G1111" s="360"/>
      <c r="H1111" s="360"/>
      <c r="I1111" s="490"/>
      <c r="J1111" s="276"/>
      <c r="K1111" s="276"/>
      <c r="L1111" s="276"/>
      <c r="M1111" s="276"/>
      <c r="N1111" s="276"/>
      <c r="O1111" s="276"/>
      <c r="P1111" s="276"/>
      <c r="Q1111" s="276"/>
      <c r="R1111" s="276"/>
      <c r="S1111" s="276"/>
      <c r="T1111" s="276"/>
      <c r="U1111" s="276"/>
      <c r="V1111" s="276"/>
      <c r="W1111" s="276"/>
      <c r="X1111" s="276"/>
    </row>
    <row r="1112" ht="15.75" customHeight="1">
      <c r="A1112" s="403"/>
      <c r="B1112" s="284"/>
      <c r="C1112" s="284"/>
      <c r="D1112" s="284"/>
      <c r="E1112" s="490"/>
      <c r="F1112" s="30"/>
      <c r="G1112" s="360"/>
      <c r="H1112" s="360"/>
      <c r="I1112" s="490"/>
      <c r="J1112" s="276"/>
      <c r="K1112" s="276"/>
      <c r="L1112" s="276"/>
      <c r="M1112" s="276"/>
      <c r="N1112" s="276"/>
      <c r="O1112" s="276"/>
      <c r="P1112" s="276"/>
      <c r="Q1112" s="276"/>
      <c r="R1112" s="276"/>
      <c r="S1112" s="276"/>
      <c r="T1112" s="276"/>
      <c r="U1112" s="276"/>
      <c r="V1112" s="276"/>
      <c r="W1112" s="276"/>
      <c r="X1112" s="276"/>
    </row>
    <row r="1113" ht="15.75" customHeight="1">
      <c r="A1113" s="403"/>
      <c r="B1113" s="284"/>
      <c r="C1113" s="284"/>
      <c r="D1113" s="284"/>
      <c r="E1113" s="490"/>
      <c r="F1113" s="30"/>
      <c r="G1113" s="360"/>
      <c r="H1113" s="360"/>
      <c r="I1113" s="490"/>
      <c r="J1113" s="276"/>
      <c r="K1113" s="276"/>
      <c r="L1113" s="276"/>
      <c r="M1113" s="276"/>
      <c r="N1113" s="276"/>
      <c r="O1113" s="276"/>
      <c r="P1113" s="276"/>
      <c r="Q1113" s="276"/>
      <c r="R1113" s="276"/>
      <c r="S1113" s="276"/>
      <c r="T1113" s="276"/>
      <c r="U1113" s="276"/>
      <c r="V1113" s="276"/>
      <c r="W1113" s="276"/>
      <c r="X1113" s="276"/>
    </row>
    <row r="1114" ht="15.75" customHeight="1">
      <c r="A1114" s="403"/>
      <c r="B1114" s="284"/>
      <c r="C1114" s="284"/>
      <c r="D1114" s="284"/>
      <c r="E1114" s="490"/>
      <c r="F1114" s="30"/>
      <c r="G1114" s="360"/>
      <c r="H1114" s="360"/>
      <c r="I1114" s="490"/>
      <c r="J1114" s="276"/>
      <c r="K1114" s="276"/>
      <c r="L1114" s="276"/>
      <c r="M1114" s="276"/>
      <c r="N1114" s="276"/>
      <c r="O1114" s="276"/>
      <c r="P1114" s="276"/>
      <c r="Q1114" s="276"/>
      <c r="R1114" s="276"/>
      <c r="S1114" s="276"/>
      <c r="T1114" s="276"/>
      <c r="U1114" s="276"/>
      <c r="V1114" s="276"/>
      <c r="W1114" s="276"/>
      <c r="X1114" s="276"/>
    </row>
    <row r="1115" ht="15.75" customHeight="1">
      <c r="A1115" s="403"/>
      <c r="B1115" s="284"/>
      <c r="C1115" s="284"/>
      <c r="D1115" s="284"/>
      <c r="E1115" s="490"/>
      <c r="F1115" s="30"/>
      <c r="G1115" s="360"/>
      <c r="H1115" s="360"/>
      <c r="I1115" s="490"/>
      <c r="J1115" s="276"/>
      <c r="K1115" s="276"/>
      <c r="L1115" s="276"/>
      <c r="M1115" s="276"/>
      <c r="N1115" s="276"/>
      <c r="O1115" s="276"/>
      <c r="P1115" s="276"/>
      <c r="Q1115" s="276"/>
      <c r="R1115" s="276"/>
      <c r="S1115" s="276"/>
      <c r="T1115" s="276"/>
      <c r="U1115" s="276"/>
      <c r="V1115" s="276"/>
      <c r="W1115" s="276"/>
      <c r="X1115" s="276"/>
    </row>
    <row r="1116" ht="15.75" customHeight="1">
      <c r="A1116" s="403"/>
      <c r="B1116" s="284"/>
      <c r="C1116" s="284"/>
      <c r="D1116" s="284"/>
      <c r="E1116" s="490"/>
      <c r="F1116" s="30"/>
      <c r="G1116" s="360"/>
      <c r="H1116" s="360"/>
      <c r="I1116" s="490"/>
      <c r="J1116" s="276"/>
      <c r="K1116" s="276"/>
      <c r="L1116" s="276"/>
      <c r="M1116" s="276"/>
      <c r="N1116" s="276"/>
      <c r="O1116" s="276"/>
      <c r="P1116" s="276"/>
      <c r="Q1116" s="276"/>
      <c r="R1116" s="276"/>
      <c r="S1116" s="276"/>
      <c r="T1116" s="276"/>
      <c r="U1116" s="276"/>
      <c r="V1116" s="276"/>
      <c r="W1116" s="276"/>
      <c r="X1116" s="276"/>
    </row>
    <row r="1117" ht="15.75" customHeight="1">
      <c r="A1117" s="403"/>
      <c r="B1117" s="284"/>
      <c r="C1117" s="284"/>
      <c r="D1117" s="284"/>
      <c r="E1117" s="490"/>
      <c r="F1117" s="30"/>
      <c r="G1117" s="360"/>
      <c r="H1117" s="360"/>
      <c r="I1117" s="490"/>
      <c r="J1117" s="276"/>
      <c r="K1117" s="276"/>
      <c r="L1117" s="276"/>
      <c r="M1117" s="276"/>
      <c r="N1117" s="276"/>
      <c r="O1117" s="276"/>
      <c r="P1117" s="276"/>
      <c r="Q1117" s="276"/>
      <c r="R1117" s="276"/>
      <c r="S1117" s="276"/>
      <c r="T1117" s="276"/>
      <c r="U1117" s="276"/>
      <c r="V1117" s="276"/>
      <c r="W1117" s="276"/>
      <c r="X1117" s="276"/>
    </row>
    <row r="1118" ht="15.75" customHeight="1">
      <c r="A1118" s="403"/>
      <c r="B1118" s="284"/>
      <c r="C1118" s="284"/>
      <c r="D1118" s="284"/>
      <c r="E1118" s="490"/>
      <c r="F1118" s="30"/>
      <c r="G1118" s="360"/>
      <c r="H1118" s="360"/>
      <c r="I1118" s="490"/>
      <c r="J1118" s="276"/>
      <c r="K1118" s="276"/>
      <c r="L1118" s="276"/>
      <c r="M1118" s="276"/>
      <c r="N1118" s="276"/>
      <c r="O1118" s="276"/>
      <c r="P1118" s="276"/>
      <c r="Q1118" s="276"/>
      <c r="R1118" s="276"/>
      <c r="S1118" s="276"/>
      <c r="T1118" s="276"/>
      <c r="U1118" s="276"/>
      <c r="V1118" s="276"/>
      <c r="W1118" s="276"/>
      <c r="X1118" s="276"/>
    </row>
    <row r="1119" ht="15.75" customHeight="1">
      <c r="A1119" s="403"/>
      <c r="B1119" s="284"/>
      <c r="C1119" s="284"/>
      <c r="D1119" s="284"/>
      <c r="E1119" s="490"/>
      <c r="F1119" s="30"/>
      <c r="G1119" s="360"/>
      <c r="H1119" s="360"/>
      <c r="I1119" s="490"/>
      <c r="J1119" s="276"/>
      <c r="K1119" s="276"/>
      <c r="L1119" s="276"/>
      <c r="M1119" s="276"/>
      <c r="N1119" s="276"/>
      <c r="O1119" s="276"/>
      <c r="P1119" s="276"/>
      <c r="Q1119" s="276"/>
      <c r="R1119" s="276"/>
      <c r="S1119" s="276"/>
      <c r="T1119" s="276"/>
      <c r="U1119" s="276"/>
      <c r="V1119" s="276"/>
      <c r="W1119" s="276"/>
      <c r="X1119" s="276"/>
    </row>
    <row r="1120" ht="15.75" customHeight="1">
      <c r="A1120" s="403"/>
      <c r="B1120" s="284"/>
      <c r="C1120" s="284"/>
      <c r="D1120" s="284"/>
      <c r="E1120" s="490"/>
      <c r="F1120" s="30"/>
      <c r="G1120" s="360"/>
      <c r="H1120" s="360"/>
      <c r="I1120" s="490"/>
      <c r="J1120" s="276"/>
      <c r="K1120" s="276"/>
      <c r="L1120" s="276"/>
      <c r="M1120" s="276"/>
      <c r="N1120" s="276"/>
      <c r="O1120" s="276"/>
      <c r="P1120" s="276"/>
      <c r="Q1120" s="276"/>
      <c r="R1120" s="276"/>
      <c r="S1120" s="276"/>
      <c r="T1120" s="276"/>
      <c r="U1120" s="276"/>
      <c r="V1120" s="276"/>
      <c r="W1120" s="276"/>
      <c r="X1120" s="276"/>
    </row>
    <row r="1121" ht="15.75" customHeight="1">
      <c r="A1121" s="403"/>
      <c r="B1121" s="284"/>
      <c r="C1121" s="284"/>
      <c r="D1121" s="284"/>
      <c r="E1121" s="490"/>
      <c r="F1121" s="30"/>
      <c r="G1121" s="360"/>
      <c r="H1121" s="360"/>
      <c r="I1121" s="490"/>
      <c r="J1121" s="276"/>
      <c r="K1121" s="276"/>
      <c r="L1121" s="276"/>
      <c r="M1121" s="276"/>
      <c r="N1121" s="276"/>
      <c r="O1121" s="276"/>
      <c r="P1121" s="276"/>
      <c r="Q1121" s="276"/>
      <c r="R1121" s="276"/>
      <c r="S1121" s="276"/>
      <c r="T1121" s="276"/>
      <c r="U1121" s="276"/>
      <c r="V1121" s="276"/>
      <c r="W1121" s="276"/>
      <c r="X1121" s="276"/>
    </row>
    <row r="1122" ht="15.75" customHeight="1">
      <c r="A1122" s="403"/>
      <c r="B1122" s="284"/>
      <c r="C1122" s="284"/>
      <c r="D1122" s="284"/>
      <c r="E1122" s="490"/>
      <c r="F1122" s="30"/>
      <c r="G1122" s="360"/>
      <c r="H1122" s="360"/>
      <c r="I1122" s="490"/>
      <c r="J1122" s="276"/>
      <c r="K1122" s="276"/>
      <c r="L1122" s="276"/>
      <c r="M1122" s="276"/>
      <c r="N1122" s="276"/>
      <c r="O1122" s="276"/>
      <c r="P1122" s="276"/>
      <c r="Q1122" s="276"/>
      <c r="R1122" s="276"/>
      <c r="S1122" s="276"/>
      <c r="T1122" s="276"/>
      <c r="U1122" s="276"/>
      <c r="V1122" s="276"/>
      <c r="W1122" s="276"/>
      <c r="X1122" s="276"/>
    </row>
    <row r="1123" ht="15.75" customHeight="1">
      <c r="A1123" s="403"/>
      <c r="B1123" s="284"/>
      <c r="C1123" s="284"/>
      <c r="D1123" s="284"/>
      <c r="E1123" s="490"/>
      <c r="F1123" s="30"/>
      <c r="G1123" s="360"/>
      <c r="H1123" s="360"/>
      <c r="I1123" s="490"/>
      <c r="J1123" s="276"/>
      <c r="K1123" s="276"/>
      <c r="L1123" s="276"/>
      <c r="M1123" s="276"/>
      <c r="N1123" s="276"/>
      <c r="O1123" s="276"/>
      <c r="P1123" s="276"/>
      <c r="Q1123" s="276"/>
      <c r="R1123" s="276"/>
      <c r="S1123" s="276"/>
      <c r="T1123" s="276"/>
      <c r="U1123" s="276"/>
      <c r="V1123" s="276"/>
      <c r="W1123" s="276"/>
      <c r="X1123" s="276"/>
    </row>
    <row r="1124" ht="15.75" customHeight="1">
      <c r="A1124" s="403"/>
      <c r="B1124" s="284"/>
      <c r="C1124" s="284"/>
      <c r="D1124" s="284"/>
      <c r="E1124" s="490"/>
      <c r="F1124" s="30"/>
      <c r="G1124" s="360"/>
      <c r="H1124" s="360"/>
      <c r="I1124" s="490"/>
      <c r="J1124" s="276"/>
      <c r="K1124" s="276"/>
      <c r="L1124" s="276"/>
      <c r="M1124" s="276"/>
      <c r="N1124" s="276"/>
      <c r="O1124" s="276"/>
      <c r="P1124" s="276"/>
      <c r="Q1124" s="276"/>
      <c r="R1124" s="276"/>
      <c r="S1124" s="276"/>
      <c r="T1124" s="276"/>
      <c r="U1124" s="276"/>
      <c r="V1124" s="276"/>
      <c r="W1124" s="276"/>
      <c r="X1124" s="276"/>
    </row>
    <row r="1125" ht="15.75" customHeight="1">
      <c r="A1125" s="403"/>
      <c r="B1125" s="284"/>
      <c r="C1125" s="284"/>
      <c r="D1125" s="284"/>
      <c r="E1125" s="490"/>
      <c r="F1125" s="30"/>
      <c r="G1125" s="360"/>
      <c r="H1125" s="360"/>
      <c r="I1125" s="490"/>
      <c r="J1125" s="276"/>
      <c r="K1125" s="276"/>
      <c r="L1125" s="276"/>
      <c r="M1125" s="276"/>
      <c r="N1125" s="276"/>
      <c r="O1125" s="276"/>
      <c r="P1125" s="276"/>
      <c r="Q1125" s="276"/>
      <c r="R1125" s="276"/>
      <c r="S1125" s="276"/>
      <c r="T1125" s="276"/>
      <c r="U1125" s="276"/>
      <c r="V1125" s="276"/>
      <c r="W1125" s="276"/>
      <c r="X1125" s="276"/>
    </row>
    <row r="1126" ht="15.75" customHeight="1">
      <c r="A1126" s="403"/>
      <c r="B1126" s="284"/>
      <c r="C1126" s="284"/>
      <c r="D1126" s="284"/>
      <c r="E1126" s="490"/>
      <c r="F1126" s="30"/>
      <c r="G1126" s="360"/>
      <c r="H1126" s="360"/>
      <c r="I1126" s="490"/>
      <c r="J1126" s="276"/>
      <c r="K1126" s="276"/>
      <c r="L1126" s="276"/>
      <c r="M1126" s="276"/>
      <c r="N1126" s="276"/>
      <c r="O1126" s="276"/>
      <c r="P1126" s="276"/>
      <c r="Q1126" s="276"/>
      <c r="R1126" s="276"/>
      <c r="S1126" s="276"/>
      <c r="T1126" s="276"/>
      <c r="U1126" s="276"/>
      <c r="V1126" s="276"/>
      <c r="W1126" s="276"/>
      <c r="X1126" s="276"/>
    </row>
    <row r="1127" ht="15.75" customHeight="1">
      <c r="A1127" s="403"/>
      <c r="B1127" s="284"/>
      <c r="C1127" s="284"/>
      <c r="D1127" s="284"/>
      <c r="E1127" s="490"/>
      <c r="F1127" s="30"/>
      <c r="G1127" s="360"/>
      <c r="H1127" s="360"/>
      <c r="I1127" s="490"/>
      <c r="J1127" s="276"/>
      <c r="K1127" s="276"/>
      <c r="L1127" s="276"/>
      <c r="M1127" s="276"/>
      <c r="N1127" s="276"/>
      <c r="O1127" s="276"/>
      <c r="P1127" s="276"/>
      <c r="Q1127" s="276"/>
      <c r="R1127" s="276"/>
      <c r="S1127" s="276"/>
      <c r="T1127" s="276"/>
      <c r="U1127" s="276"/>
      <c r="V1127" s="276"/>
      <c r="W1127" s="276"/>
      <c r="X1127" s="276"/>
    </row>
    <row r="1128" ht="15.75" customHeight="1">
      <c r="A1128" s="403"/>
      <c r="B1128" s="284"/>
      <c r="C1128" s="284"/>
      <c r="D1128" s="284"/>
      <c r="E1128" s="490"/>
      <c r="F1128" s="30"/>
      <c r="G1128" s="360"/>
      <c r="H1128" s="360"/>
      <c r="I1128" s="490"/>
      <c r="J1128" s="276"/>
      <c r="K1128" s="276"/>
      <c r="L1128" s="276"/>
      <c r="M1128" s="276"/>
      <c r="N1128" s="276"/>
      <c r="O1128" s="276"/>
      <c r="P1128" s="276"/>
      <c r="Q1128" s="276"/>
      <c r="R1128" s="276"/>
      <c r="S1128" s="276"/>
      <c r="T1128" s="276"/>
      <c r="U1128" s="276"/>
      <c r="V1128" s="276"/>
      <c r="W1128" s="276"/>
      <c r="X1128" s="276"/>
    </row>
    <row r="1129" ht="15.75" customHeight="1">
      <c r="A1129" s="403"/>
      <c r="B1129" s="284"/>
      <c r="C1129" s="284"/>
      <c r="D1129" s="284"/>
      <c r="E1129" s="490"/>
      <c r="F1129" s="30"/>
      <c r="G1129" s="360"/>
      <c r="H1129" s="360"/>
      <c r="I1129" s="490"/>
      <c r="J1129" s="276"/>
      <c r="K1129" s="276"/>
      <c r="L1129" s="276"/>
      <c r="M1129" s="276"/>
      <c r="N1129" s="276"/>
      <c r="O1129" s="276"/>
      <c r="P1129" s="276"/>
      <c r="Q1129" s="276"/>
      <c r="R1129" s="276"/>
      <c r="S1129" s="276"/>
      <c r="T1129" s="276"/>
      <c r="U1129" s="276"/>
      <c r="V1129" s="276"/>
      <c r="W1129" s="276"/>
      <c r="X1129" s="276"/>
    </row>
    <row r="1130" ht="15.75" customHeight="1">
      <c r="A1130" s="403"/>
      <c r="B1130" s="284"/>
      <c r="C1130" s="284"/>
      <c r="D1130" s="284"/>
      <c r="E1130" s="490"/>
      <c r="F1130" s="30"/>
      <c r="G1130" s="360"/>
      <c r="H1130" s="360"/>
      <c r="I1130" s="490"/>
      <c r="J1130" s="276"/>
      <c r="K1130" s="276"/>
      <c r="L1130" s="276"/>
      <c r="M1130" s="276"/>
      <c r="N1130" s="276"/>
      <c r="O1130" s="276"/>
      <c r="P1130" s="276"/>
      <c r="Q1130" s="276"/>
      <c r="R1130" s="276"/>
      <c r="S1130" s="276"/>
      <c r="T1130" s="276"/>
      <c r="U1130" s="276"/>
      <c r="V1130" s="276"/>
      <c r="W1130" s="276"/>
      <c r="X1130" s="276"/>
    </row>
    <row r="1131" ht="15.75" customHeight="1">
      <c r="A1131" s="403"/>
      <c r="B1131" s="284"/>
      <c r="C1131" s="284"/>
      <c r="D1131" s="284"/>
      <c r="E1131" s="490"/>
      <c r="F1131" s="30"/>
      <c r="G1131" s="360"/>
      <c r="H1131" s="360"/>
      <c r="I1131" s="490"/>
      <c r="J1131" s="276"/>
      <c r="K1131" s="276"/>
      <c r="L1131" s="276"/>
      <c r="M1131" s="276"/>
      <c r="N1131" s="276"/>
      <c r="O1131" s="276"/>
      <c r="P1131" s="276"/>
      <c r="Q1131" s="276"/>
      <c r="R1131" s="276"/>
      <c r="S1131" s="276"/>
      <c r="T1131" s="276"/>
      <c r="U1131" s="276"/>
      <c r="V1131" s="276"/>
      <c r="W1131" s="276"/>
      <c r="X1131" s="276"/>
    </row>
    <row r="1132" ht="15.75" customHeight="1">
      <c r="A1132" s="403"/>
      <c r="B1132" s="284"/>
      <c r="C1132" s="284"/>
      <c r="D1132" s="284"/>
      <c r="E1132" s="490"/>
      <c r="F1132" s="30"/>
      <c r="G1132" s="30"/>
      <c r="H1132" s="288"/>
      <c r="I1132" s="490"/>
      <c r="J1132" s="276"/>
      <c r="K1132" s="276"/>
      <c r="L1132" s="276"/>
      <c r="M1132" s="276"/>
      <c r="N1132" s="276"/>
      <c r="O1132" s="276"/>
      <c r="P1132" s="276"/>
      <c r="Q1132" s="276"/>
      <c r="R1132" s="276"/>
      <c r="S1132" s="276"/>
      <c r="T1132" s="276"/>
      <c r="U1132" s="276"/>
      <c r="V1132" s="276"/>
      <c r="W1132" s="276"/>
      <c r="X1132" s="276"/>
    </row>
    <row r="1133" ht="15.75" customHeight="1">
      <c r="A1133" s="403"/>
      <c r="B1133" s="284"/>
      <c r="C1133" s="284"/>
      <c r="D1133" s="284"/>
      <c r="E1133" s="490"/>
      <c r="F1133" s="30"/>
      <c r="G1133" s="30"/>
      <c r="H1133" s="288"/>
      <c r="I1133" s="490"/>
      <c r="J1133" s="276"/>
      <c r="K1133" s="276"/>
      <c r="L1133" s="276"/>
      <c r="M1133" s="276"/>
      <c r="N1133" s="276"/>
      <c r="O1133" s="276"/>
      <c r="P1133" s="276"/>
      <c r="Q1133" s="276"/>
      <c r="R1133" s="276"/>
      <c r="S1133" s="276"/>
      <c r="T1133" s="276"/>
      <c r="U1133" s="276"/>
      <c r="V1133" s="276"/>
      <c r="W1133" s="276"/>
      <c r="X1133" s="276"/>
    </row>
    <row r="1134" ht="15.75" customHeight="1">
      <c r="A1134" s="403"/>
      <c r="B1134" s="284"/>
      <c r="C1134" s="284"/>
      <c r="D1134" s="284"/>
      <c r="E1134" s="490"/>
      <c r="F1134" s="30"/>
      <c r="G1134" s="30"/>
      <c r="H1134" s="288"/>
      <c r="I1134" s="490"/>
      <c r="J1134" s="276"/>
      <c r="K1134" s="276"/>
      <c r="L1134" s="276"/>
      <c r="M1134" s="276"/>
      <c r="N1134" s="276"/>
      <c r="O1134" s="276"/>
      <c r="P1134" s="276"/>
      <c r="Q1134" s="276"/>
      <c r="R1134" s="276"/>
      <c r="S1134" s="276"/>
      <c r="T1134" s="276"/>
      <c r="U1134" s="276"/>
      <c r="V1134" s="276"/>
      <c r="W1134" s="276"/>
      <c r="X1134" s="276"/>
    </row>
    <row r="1135" ht="15.75" customHeight="1">
      <c r="A1135" s="403"/>
      <c r="B1135" s="284"/>
      <c r="C1135" s="284"/>
      <c r="D1135" s="284"/>
      <c r="E1135" s="490"/>
      <c r="F1135" s="30"/>
      <c r="G1135" s="30"/>
      <c r="H1135" s="288"/>
      <c r="I1135" s="490"/>
      <c r="J1135" s="276"/>
      <c r="K1135" s="276"/>
      <c r="L1135" s="276"/>
      <c r="M1135" s="276"/>
      <c r="N1135" s="276"/>
      <c r="O1135" s="276"/>
      <c r="P1135" s="276"/>
      <c r="Q1135" s="276"/>
      <c r="R1135" s="276"/>
      <c r="S1135" s="276"/>
      <c r="T1135" s="276"/>
      <c r="U1135" s="276"/>
      <c r="V1135" s="276"/>
      <c r="W1135" s="276"/>
      <c r="X1135" s="276"/>
    </row>
    <row r="1136" ht="15.75" customHeight="1">
      <c r="A1136" s="403"/>
      <c r="B1136" s="284"/>
      <c r="C1136" s="284"/>
      <c r="D1136" s="284"/>
      <c r="E1136" s="490"/>
      <c r="F1136" s="30"/>
      <c r="G1136" s="30"/>
      <c r="H1136" s="288"/>
      <c r="I1136" s="490"/>
      <c r="J1136" s="276"/>
      <c r="K1136" s="276"/>
      <c r="L1136" s="276"/>
      <c r="M1136" s="276"/>
      <c r="N1136" s="276"/>
      <c r="O1136" s="276"/>
      <c r="P1136" s="276"/>
      <c r="Q1136" s="276"/>
      <c r="R1136" s="276"/>
      <c r="S1136" s="276"/>
      <c r="T1136" s="276"/>
      <c r="U1136" s="276"/>
      <c r="V1136" s="276"/>
      <c r="W1136" s="276"/>
      <c r="X1136" s="276"/>
    </row>
    <row r="1137" ht="15.75" customHeight="1">
      <c r="A1137" s="403"/>
      <c r="B1137" s="284"/>
      <c r="C1137" s="284"/>
      <c r="D1137" s="284"/>
      <c r="E1137" s="490"/>
      <c r="F1137" s="30"/>
      <c r="G1137" s="30"/>
      <c r="H1137" s="288"/>
      <c r="I1137" s="490"/>
      <c r="J1137" s="276"/>
      <c r="K1137" s="276"/>
      <c r="L1137" s="276"/>
      <c r="M1137" s="276"/>
      <c r="N1137" s="276"/>
      <c r="O1137" s="276"/>
      <c r="P1137" s="276"/>
      <c r="Q1137" s="276"/>
      <c r="R1137" s="276"/>
      <c r="S1137" s="276"/>
      <c r="T1137" s="276"/>
      <c r="U1137" s="276"/>
      <c r="V1137" s="276"/>
      <c r="W1137" s="276"/>
      <c r="X1137" s="276"/>
    </row>
    <row r="1138" ht="15.75" customHeight="1">
      <c r="A1138" s="403"/>
      <c r="B1138" s="284"/>
      <c r="C1138" s="284"/>
      <c r="D1138" s="284"/>
      <c r="E1138" s="490"/>
      <c r="F1138" s="30"/>
      <c r="G1138" s="30"/>
      <c r="H1138" s="288"/>
      <c r="I1138" s="490"/>
      <c r="J1138" s="276"/>
      <c r="K1138" s="276"/>
      <c r="L1138" s="276"/>
      <c r="M1138" s="276"/>
      <c r="N1138" s="276"/>
      <c r="O1138" s="276"/>
      <c r="P1138" s="276"/>
      <c r="Q1138" s="276"/>
      <c r="R1138" s="276"/>
      <c r="S1138" s="276"/>
      <c r="T1138" s="276"/>
      <c r="U1138" s="276"/>
      <c r="V1138" s="276"/>
      <c r="W1138" s="276"/>
      <c r="X1138" s="276"/>
    </row>
    <row r="1139" ht="15.75" customHeight="1">
      <c r="A1139" s="403"/>
      <c r="B1139" s="284"/>
      <c r="C1139" s="284"/>
      <c r="D1139" s="284"/>
      <c r="E1139" s="490"/>
      <c r="F1139" s="30"/>
      <c r="G1139" s="30"/>
      <c r="H1139" s="288"/>
      <c r="I1139" s="490"/>
      <c r="J1139" s="276"/>
      <c r="K1139" s="276"/>
      <c r="L1139" s="276"/>
      <c r="M1139" s="276"/>
      <c r="N1139" s="276"/>
      <c r="O1139" s="276"/>
      <c r="P1139" s="276"/>
      <c r="Q1139" s="276"/>
      <c r="R1139" s="276"/>
      <c r="S1139" s="276"/>
      <c r="T1139" s="276"/>
      <c r="U1139" s="276"/>
      <c r="V1139" s="276"/>
      <c r="W1139" s="276"/>
      <c r="X1139" s="276"/>
    </row>
    <row r="1140" ht="15.75" customHeight="1">
      <c r="A1140" s="403"/>
      <c r="B1140" s="284"/>
      <c r="C1140" s="284"/>
      <c r="D1140" s="284"/>
      <c r="E1140" s="490"/>
      <c r="F1140" s="30"/>
      <c r="G1140" s="30"/>
      <c r="H1140" s="288"/>
      <c r="I1140" s="490"/>
      <c r="J1140" s="276"/>
      <c r="K1140" s="276"/>
      <c r="L1140" s="276"/>
      <c r="M1140" s="276"/>
      <c r="N1140" s="276"/>
      <c r="O1140" s="276"/>
      <c r="P1140" s="276"/>
      <c r="Q1140" s="276"/>
      <c r="R1140" s="276"/>
      <c r="S1140" s="276"/>
      <c r="T1140" s="276"/>
      <c r="U1140" s="276"/>
      <c r="V1140" s="276"/>
      <c r="W1140" s="276"/>
      <c r="X1140" s="276"/>
    </row>
    <row r="1141" ht="15.75" customHeight="1">
      <c r="A1141" s="403"/>
      <c r="B1141" s="284"/>
      <c r="C1141" s="284"/>
      <c r="D1141" s="284"/>
      <c r="E1141" s="490"/>
      <c r="F1141" s="30"/>
      <c r="G1141" s="30"/>
      <c r="H1141" s="288"/>
      <c r="I1141" s="490"/>
      <c r="J1141" s="276"/>
      <c r="K1141" s="276"/>
      <c r="L1141" s="276"/>
      <c r="M1141" s="276"/>
      <c r="N1141" s="276"/>
      <c r="O1141" s="276"/>
      <c r="P1141" s="276"/>
      <c r="Q1141" s="276"/>
      <c r="R1141" s="276"/>
      <c r="S1141" s="276"/>
      <c r="T1141" s="276"/>
      <c r="U1141" s="276"/>
      <c r="V1141" s="276"/>
      <c r="W1141" s="276"/>
      <c r="X1141" s="276"/>
    </row>
    <row r="1142" ht="15.75" customHeight="1">
      <c r="A1142" s="403"/>
      <c r="B1142" s="284"/>
      <c r="C1142" s="284"/>
      <c r="D1142" s="284"/>
      <c r="E1142" s="490"/>
      <c r="F1142" s="30"/>
      <c r="G1142" s="30"/>
      <c r="H1142" s="288"/>
      <c r="I1142" s="490"/>
      <c r="J1142" s="276"/>
      <c r="K1142" s="276"/>
      <c r="L1142" s="276"/>
      <c r="M1142" s="276"/>
      <c r="N1142" s="276"/>
      <c r="O1142" s="276"/>
      <c r="P1142" s="276"/>
      <c r="Q1142" s="276"/>
      <c r="R1142" s="276"/>
      <c r="S1142" s="276"/>
      <c r="T1142" s="276"/>
      <c r="U1142" s="276"/>
      <c r="V1142" s="276"/>
      <c r="W1142" s="276"/>
      <c r="X1142" s="276"/>
    </row>
    <row r="1143" ht="15.75" customHeight="1">
      <c r="A1143" s="403"/>
      <c r="B1143" s="284"/>
      <c r="C1143" s="284"/>
      <c r="D1143" s="284"/>
      <c r="E1143" s="490"/>
      <c r="F1143" s="30"/>
      <c r="G1143" s="30"/>
      <c r="H1143" s="288"/>
      <c r="I1143" s="490"/>
      <c r="J1143" s="276"/>
      <c r="K1143" s="276"/>
      <c r="L1143" s="276"/>
      <c r="M1143" s="276"/>
      <c r="N1143" s="276"/>
      <c r="O1143" s="276"/>
      <c r="P1143" s="276"/>
      <c r="Q1143" s="276"/>
      <c r="R1143" s="276"/>
      <c r="S1143" s="276"/>
      <c r="T1143" s="276"/>
      <c r="U1143" s="276"/>
      <c r="V1143" s="276"/>
      <c r="W1143" s="276"/>
      <c r="X1143" s="276"/>
    </row>
    <row r="1144" ht="15.75" customHeight="1">
      <c r="A1144" s="403"/>
      <c r="B1144" s="284"/>
      <c r="C1144" s="284"/>
      <c r="D1144" s="284"/>
      <c r="E1144" s="490"/>
      <c r="F1144" s="30"/>
      <c r="G1144" s="30"/>
      <c r="H1144" s="288"/>
      <c r="I1144" s="490"/>
      <c r="J1144" s="276"/>
      <c r="K1144" s="276"/>
      <c r="L1144" s="276"/>
      <c r="M1144" s="276"/>
      <c r="N1144" s="276"/>
      <c r="O1144" s="276"/>
      <c r="P1144" s="276"/>
      <c r="Q1144" s="276"/>
      <c r="R1144" s="276"/>
      <c r="S1144" s="276"/>
      <c r="T1144" s="276"/>
      <c r="U1144" s="276"/>
      <c r="V1144" s="276"/>
      <c r="W1144" s="276"/>
      <c r="X1144" s="276"/>
    </row>
    <row r="1145" ht="15.75" customHeight="1">
      <c r="A1145" s="403"/>
      <c r="B1145" s="284"/>
      <c r="C1145" s="284"/>
      <c r="D1145" s="284"/>
      <c r="E1145" s="490"/>
      <c r="F1145" s="30"/>
      <c r="G1145" s="30"/>
      <c r="H1145" s="288"/>
      <c r="I1145" s="490"/>
      <c r="J1145" s="276"/>
      <c r="K1145" s="276"/>
      <c r="L1145" s="276"/>
      <c r="M1145" s="276"/>
      <c r="N1145" s="276"/>
      <c r="O1145" s="276"/>
      <c r="P1145" s="276"/>
      <c r="Q1145" s="276"/>
      <c r="R1145" s="276"/>
      <c r="S1145" s="276"/>
      <c r="T1145" s="276"/>
      <c r="U1145" s="276"/>
      <c r="V1145" s="276"/>
      <c r="W1145" s="276"/>
      <c r="X1145" s="276"/>
    </row>
    <row r="1146" ht="15.75" customHeight="1">
      <c r="A1146" s="403"/>
      <c r="B1146" s="284"/>
      <c r="C1146" s="284"/>
      <c r="D1146" s="284"/>
      <c r="E1146" s="490"/>
      <c r="F1146" s="30"/>
      <c r="G1146" s="30"/>
      <c r="H1146" s="288"/>
      <c r="I1146" s="490"/>
      <c r="J1146" s="276"/>
      <c r="K1146" s="276"/>
      <c r="L1146" s="276"/>
      <c r="M1146" s="276"/>
      <c r="N1146" s="276"/>
      <c r="O1146" s="276"/>
      <c r="P1146" s="276"/>
      <c r="Q1146" s="276"/>
      <c r="R1146" s="276"/>
      <c r="S1146" s="276"/>
      <c r="T1146" s="276"/>
      <c r="U1146" s="276"/>
      <c r="V1146" s="276"/>
      <c r="W1146" s="276"/>
      <c r="X1146" s="276"/>
    </row>
    <row r="1147" ht="15.75" customHeight="1">
      <c r="A1147" s="403"/>
      <c r="B1147" s="284"/>
      <c r="C1147" s="284"/>
      <c r="D1147" s="284"/>
      <c r="E1147" s="490"/>
      <c r="F1147" s="30"/>
      <c r="G1147" s="30"/>
      <c r="H1147" s="288"/>
      <c r="I1147" s="490"/>
      <c r="J1147" s="276"/>
      <c r="K1147" s="276"/>
      <c r="L1147" s="276"/>
      <c r="M1147" s="276"/>
      <c r="N1147" s="276"/>
      <c r="O1147" s="276"/>
      <c r="P1147" s="276"/>
      <c r="Q1147" s="276"/>
      <c r="R1147" s="276"/>
      <c r="S1147" s="276"/>
      <c r="T1147" s="276"/>
      <c r="U1147" s="276"/>
      <c r="V1147" s="276"/>
      <c r="W1147" s="276"/>
      <c r="X1147" s="276"/>
    </row>
    <row r="1148" ht="15.75" customHeight="1">
      <c r="A1148" s="403"/>
      <c r="B1148" s="284"/>
      <c r="C1148" s="284"/>
      <c r="D1148" s="284"/>
      <c r="E1148" s="490"/>
      <c r="F1148" s="30"/>
      <c r="G1148" s="30"/>
      <c r="H1148" s="288"/>
      <c r="I1148" s="490"/>
      <c r="J1148" s="276"/>
      <c r="K1148" s="276"/>
      <c r="L1148" s="276"/>
      <c r="M1148" s="276"/>
      <c r="N1148" s="276"/>
      <c r="O1148" s="276"/>
      <c r="P1148" s="276"/>
      <c r="Q1148" s="276"/>
      <c r="R1148" s="276"/>
      <c r="S1148" s="276"/>
      <c r="T1148" s="276"/>
      <c r="U1148" s="276"/>
      <c r="V1148" s="276"/>
      <c r="W1148" s="276"/>
      <c r="X1148" s="276"/>
    </row>
    <row r="1149" ht="15.75" customHeight="1">
      <c r="A1149" s="403"/>
      <c r="B1149" s="284"/>
      <c r="C1149" s="284"/>
      <c r="D1149" s="284"/>
      <c r="E1149" s="490"/>
      <c r="F1149" s="30"/>
      <c r="G1149" s="30"/>
      <c r="H1149" s="288"/>
      <c r="I1149" s="490"/>
      <c r="J1149" s="276"/>
      <c r="K1149" s="276"/>
      <c r="L1149" s="276"/>
      <c r="M1149" s="276"/>
      <c r="N1149" s="276"/>
      <c r="O1149" s="276"/>
      <c r="P1149" s="276"/>
      <c r="Q1149" s="276"/>
      <c r="R1149" s="276"/>
      <c r="S1149" s="276"/>
      <c r="T1149" s="276"/>
      <c r="U1149" s="276"/>
      <c r="V1149" s="276"/>
      <c r="W1149" s="276"/>
      <c r="X1149" s="276"/>
    </row>
    <row r="1150" ht="15.75" customHeight="1">
      <c r="A1150" s="403"/>
      <c r="B1150" s="284"/>
      <c r="C1150" s="284"/>
      <c r="D1150" s="284"/>
      <c r="E1150" s="490"/>
      <c r="F1150" s="30"/>
      <c r="G1150" s="30"/>
      <c r="H1150" s="288"/>
      <c r="I1150" s="490"/>
      <c r="J1150" s="276"/>
      <c r="K1150" s="276"/>
      <c r="L1150" s="276"/>
      <c r="M1150" s="276"/>
      <c r="N1150" s="276"/>
      <c r="O1150" s="276"/>
      <c r="P1150" s="276"/>
      <c r="Q1150" s="276"/>
      <c r="R1150" s="276"/>
      <c r="S1150" s="276"/>
      <c r="T1150" s="276"/>
      <c r="U1150" s="276"/>
      <c r="V1150" s="276"/>
      <c r="W1150" s="276"/>
      <c r="X1150" s="276"/>
    </row>
    <row r="1151" ht="15.75" customHeight="1">
      <c r="A1151" s="403"/>
      <c r="B1151" s="284"/>
      <c r="C1151" s="284"/>
      <c r="D1151" s="284"/>
      <c r="E1151" s="490"/>
      <c r="F1151" s="30"/>
      <c r="G1151" s="30"/>
      <c r="H1151" s="288"/>
      <c r="I1151" s="490"/>
      <c r="J1151" s="276"/>
      <c r="K1151" s="276"/>
      <c r="L1151" s="276"/>
      <c r="M1151" s="276"/>
      <c r="N1151" s="276"/>
      <c r="O1151" s="276"/>
      <c r="P1151" s="276"/>
      <c r="Q1151" s="276"/>
      <c r="R1151" s="276"/>
      <c r="S1151" s="276"/>
      <c r="T1151" s="276"/>
      <c r="U1151" s="276"/>
      <c r="V1151" s="276"/>
      <c r="W1151" s="276"/>
      <c r="X1151" s="276"/>
    </row>
    <row r="1152" ht="15.75" customHeight="1">
      <c r="A1152" s="403"/>
      <c r="B1152" s="284"/>
      <c r="C1152" s="284"/>
      <c r="D1152" s="284"/>
      <c r="E1152" s="490"/>
      <c r="F1152" s="30"/>
      <c r="G1152" s="30"/>
      <c r="H1152" s="288"/>
      <c r="I1152" s="490"/>
      <c r="J1152" s="276"/>
      <c r="K1152" s="276"/>
      <c r="L1152" s="276"/>
      <c r="M1152" s="276"/>
      <c r="N1152" s="276"/>
      <c r="O1152" s="276"/>
      <c r="P1152" s="276"/>
      <c r="Q1152" s="276"/>
      <c r="R1152" s="276"/>
      <c r="S1152" s="276"/>
      <c r="T1152" s="276"/>
      <c r="U1152" s="276"/>
      <c r="V1152" s="276"/>
      <c r="W1152" s="276"/>
      <c r="X1152" s="276"/>
    </row>
    <row r="1153" ht="15.75" customHeight="1">
      <c r="A1153" s="403"/>
      <c r="B1153" s="284"/>
      <c r="C1153" s="284"/>
      <c r="D1153" s="284"/>
      <c r="E1153" s="490"/>
      <c r="F1153" s="30"/>
      <c r="G1153" s="30"/>
      <c r="H1153" s="288"/>
      <c r="I1153" s="490"/>
      <c r="J1153" s="276"/>
      <c r="K1153" s="276"/>
      <c r="L1153" s="276"/>
      <c r="M1153" s="276"/>
      <c r="N1153" s="276"/>
      <c r="O1153" s="276"/>
      <c r="P1153" s="276"/>
      <c r="Q1153" s="276"/>
      <c r="R1153" s="276"/>
      <c r="S1153" s="276"/>
      <c r="T1153" s="276"/>
      <c r="U1153" s="276"/>
      <c r="V1153" s="276"/>
      <c r="W1153" s="276"/>
      <c r="X1153" s="276"/>
    </row>
    <row r="1154" ht="15.75" customHeight="1">
      <c r="A1154" s="403"/>
      <c r="B1154" s="284"/>
      <c r="C1154" s="284"/>
      <c r="D1154" s="284"/>
      <c r="E1154" s="490"/>
      <c r="F1154" s="30"/>
      <c r="G1154" s="30"/>
      <c r="H1154" s="288"/>
      <c r="I1154" s="490"/>
      <c r="J1154" s="276"/>
      <c r="K1154" s="276"/>
      <c r="L1154" s="276"/>
      <c r="M1154" s="276"/>
      <c r="N1154" s="276"/>
      <c r="O1154" s="276"/>
      <c r="P1154" s="276"/>
      <c r="Q1154" s="276"/>
      <c r="R1154" s="276"/>
      <c r="S1154" s="276"/>
      <c r="T1154" s="276"/>
      <c r="U1154" s="276"/>
      <c r="V1154" s="276"/>
      <c r="W1154" s="276"/>
      <c r="X1154" s="276"/>
    </row>
    <row r="1155" ht="15.75" customHeight="1">
      <c r="A1155" s="403"/>
      <c r="B1155" s="284"/>
      <c r="C1155" s="284"/>
      <c r="D1155" s="284"/>
      <c r="E1155" s="490"/>
      <c r="F1155" s="30"/>
      <c r="G1155" s="30"/>
      <c r="H1155" s="288"/>
      <c r="I1155" s="490"/>
      <c r="J1155" s="276"/>
      <c r="K1155" s="276"/>
      <c r="L1155" s="276"/>
      <c r="M1155" s="276"/>
      <c r="N1155" s="276"/>
      <c r="O1155" s="276"/>
      <c r="P1155" s="276"/>
      <c r="Q1155" s="276"/>
      <c r="R1155" s="276"/>
      <c r="S1155" s="276"/>
      <c r="T1155" s="276"/>
      <c r="U1155" s="276"/>
      <c r="V1155" s="276"/>
      <c r="W1155" s="276"/>
      <c r="X1155" s="276"/>
    </row>
    <row r="1156" ht="15.75" customHeight="1">
      <c r="A1156" s="403"/>
      <c r="B1156" s="284"/>
      <c r="C1156" s="284"/>
      <c r="D1156" s="284"/>
      <c r="E1156" s="490"/>
      <c r="F1156" s="30"/>
      <c r="G1156" s="30"/>
      <c r="H1156" s="288"/>
      <c r="I1156" s="490"/>
      <c r="J1156" s="276"/>
      <c r="K1156" s="276"/>
      <c r="L1156" s="276"/>
      <c r="M1156" s="276"/>
      <c r="N1156" s="276"/>
      <c r="O1156" s="276"/>
      <c r="P1156" s="276"/>
      <c r="Q1156" s="276"/>
      <c r="R1156" s="276"/>
      <c r="S1156" s="276"/>
      <c r="T1156" s="276"/>
      <c r="U1156" s="276"/>
      <c r="V1156" s="276"/>
      <c r="W1156" s="276"/>
      <c r="X1156" s="276"/>
    </row>
    <row r="1157" ht="15.75" customHeight="1">
      <c r="A1157" s="403"/>
      <c r="B1157" s="284"/>
      <c r="C1157" s="284"/>
      <c r="D1157" s="284"/>
      <c r="E1157" s="490"/>
      <c r="F1157" s="30"/>
      <c r="G1157" s="30"/>
      <c r="H1157" s="288"/>
      <c r="I1157" s="490"/>
      <c r="J1157" s="276"/>
      <c r="K1157" s="276"/>
      <c r="L1157" s="276"/>
      <c r="M1157" s="276"/>
      <c r="N1157" s="276"/>
      <c r="O1157" s="276"/>
      <c r="P1157" s="276"/>
      <c r="Q1157" s="276"/>
      <c r="R1157" s="276"/>
      <c r="S1157" s="276"/>
      <c r="T1157" s="276"/>
      <c r="U1157" s="276"/>
      <c r="V1157" s="276"/>
      <c r="W1157" s="276"/>
      <c r="X1157" s="276"/>
    </row>
    <row r="1158" ht="15.75" customHeight="1">
      <c r="A1158" s="403"/>
      <c r="B1158" s="284"/>
      <c r="C1158" s="284"/>
      <c r="D1158" s="284"/>
      <c r="E1158" s="490"/>
      <c r="F1158" s="30"/>
      <c r="G1158" s="30"/>
      <c r="H1158" s="288"/>
      <c r="I1158" s="490"/>
      <c r="J1158" s="276"/>
      <c r="K1158" s="276"/>
      <c r="L1158" s="276"/>
      <c r="M1158" s="276"/>
      <c r="N1158" s="276"/>
      <c r="O1158" s="276"/>
      <c r="P1158" s="276"/>
      <c r="Q1158" s="276"/>
      <c r="R1158" s="276"/>
      <c r="S1158" s="276"/>
      <c r="T1158" s="276"/>
      <c r="U1158" s="276"/>
      <c r="V1158" s="276"/>
      <c r="W1158" s="276"/>
      <c r="X1158" s="276"/>
    </row>
    <row r="1159" ht="15.75" customHeight="1">
      <c r="A1159" s="403"/>
      <c r="B1159" s="284"/>
      <c r="C1159" s="284"/>
      <c r="D1159" s="284"/>
      <c r="E1159" s="490"/>
      <c r="F1159" s="30"/>
      <c r="G1159" s="30"/>
      <c r="H1159" s="288"/>
      <c r="I1159" s="490"/>
      <c r="J1159" s="276"/>
      <c r="K1159" s="276"/>
      <c r="L1159" s="276"/>
      <c r="M1159" s="276"/>
      <c r="N1159" s="276"/>
      <c r="O1159" s="276"/>
      <c r="P1159" s="276"/>
      <c r="Q1159" s="276"/>
      <c r="R1159" s="276"/>
      <c r="S1159" s="276"/>
      <c r="T1159" s="276"/>
      <c r="U1159" s="276"/>
      <c r="V1159" s="276"/>
      <c r="W1159" s="276"/>
      <c r="X1159" s="276"/>
    </row>
    <row r="1160" ht="15.75" customHeight="1">
      <c r="A1160" s="403"/>
      <c r="B1160" s="284"/>
      <c r="C1160" s="284"/>
      <c r="D1160" s="284"/>
      <c r="E1160" s="490"/>
      <c r="F1160" s="30"/>
      <c r="G1160" s="30"/>
      <c r="H1160" s="288"/>
      <c r="I1160" s="490"/>
      <c r="J1160" s="276"/>
      <c r="K1160" s="276"/>
      <c r="L1160" s="276"/>
      <c r="M1160" s="276"/>
      <c r="N1160" s="276"/>
      <c r="O1160" s="276"/>
      <c r="P1160" s="276"/>
      <c r="Q1160" s="276"/>
      <c r="R1160" s="276"/>
      <c r="S1160" s="276"/>
      <c r="T1160" s="276"/>
      <c r="U1160" s="276"/>
      <c r="V1160" s="276"/>
      <c r="W1160" s="276"/>
      <c r="X1160" s="276"/>
    </row>
    <row r="1161" ht="15.75" customHeight="1">
      <c r="A1161" s="403"/>
      <c r="B1161" s="284"/>
      <c r="C1161" s="284"/>
      <c r="D1161" s="284"/>
      <c r="E1161" s="490"/>
      <c r="F1161" s="30"/>
      <c r="G1161" s="30"/>
      <c r="H1161" s="288"/>
      <c r="I1161" s="490"/>
      <c r="J1161" s="276"/>
      <c r="K1161" s="276"/>
      <c r="L1161" s="276"/>
      <c r="M1161" s="276"/>
      <c r="N1161" s="276"/>
      <c r="O1161" s="276"/>
      <c r="P1161" s="276"/>
      <c r="Q1161" s="276"/>
      <c r="R1161" s="276"/>
      <c r="S1161" s="276"/>
      <c r="T1161" s="276"/>
      <c r="U1161" s="276"/>
      <c r="V1161" s="276"/>
      <c r="W1161" s="276"/>
      <c r="X1161" s="276"/>
    </row>
    <row r="1162" ht="15.75" customHeight="1">
      <c r="A1162" s="403"/>
      <c r="B1162" s="284"/>
      <c r="C1162" s="284"/>
      <c r="D1162" s="284"/>
      <c r="E1162" s="490"/>
      <c r="F1162" s="30"/>
      <c r="G1162" s="30"/>
      <c r="H1162" s="288"/>
      <c r="I1162" s="490"/>
      <c r="J1162" s="276"/>
      <c r="K1162" s="276"/>
      <c r="L1162" s="276"/>
      <c r="M1162" s="276"/>
      <c r="N1162" s="276"/>
      <c r="O1162" s="276"/>
      <c r="P1162" s="276"/>
      <c r="Q1162" s="276"/>
      <c r="R1162" s="276"/>
      <c r="S1162" s="276"/>
      <c r="T1162" s="276"/>
      <c r="U1162" s="276"/>
      <c r="V1162" s="276"/>
      <c r="W1162" s="276"/>
      <c r="X1162" s="276"/>
    </row>
    <row r="1163" ht="15.75" customHeight="1">
      <c r="A1163" s="403"/>
      <c r="B1163" s="284"/>
      <c r="C1163" s="284"/>
      <c r="D1163" s="284"/>
      <c r="E1163" s="490"/>
      <c r="F1163" s="30"/>
      <c r="G1163" s="30"/>
      <c r="H1163" s="288"/>
      <c r="I1163" s="490"/>
      <c r="J1163" s="276"/>
      <c r="K1163" s="276"/>
      <c r="L1163" s="276"/>
      <c r="M1163" s="276"/>
      <c r="N1163" s="276"/>
      <c r="O1163" s="276"/>
      <c r="P1163" s="276"/>
      <c r="Q1163" s="276"/>
      <c r="R1163" s="276"/>
      <c r="S1163" s="276"/>
      <c r="T1163" s="276"/>
      <c r="U1163" s="276"/>
      <c r="V1163" s="276"/>
      <c r="W1163" s="276"/>
      <c r="X1163" s="276"/>
    </row>
    <row r="1164" ht="15.75" customHeight="1">
      <c r="A1164" s="403"/>
      <c r="B1164" s="284"/>
      <c r="C1164" s="284"/>
      <c r="D1164" s="284"/>
      <c r="E1164" s="490"/>
      <c r="F1164" s="30"/>
      <c r="G1164" s="30"/>
      <c r="H1164" s="288"/>
      <c r="I1164" s="490"/>
      <c r="J1164" s="276"/>
      <c r="K1164" s="276"/>
      <c r="L1164" s="276"/>
      <c r="M1164" s="276"/>
      <c r="N1164" s="276"/>
      <c r="O1164" s="276"/>
      <c r="P1164" s="276"/>
      <c r="Q1164" s="276"/>
      <c r="R1164" s="276"/>
      <c r="S1164" s="276"/>
      <c r="T1164" s="276"/>
      <c r="U1164" s="276"/>
      <c r="V1164" s="276"/>
      <c r="W1164" s="276"/>
      <c r="X1164" s="276"/>
    </row>
    <row r="1165" ht="15.75" customHeight="1">
      <c r="A1165" s="403"/>
      <c r="B1165" s="284"/>
      <c r="C1165" s="284"/>
      <c r="D1165" s="284"/>
      <c r="E1165" s="490"/>
      <c r="F1165" s="30"/>
      <c r="G1165" s="30"/>
      <c r="H1165" s="288"/>
      <c r="I1165" s="490"/>
      <c r="J1165" s="276"/>
      <c r="K1165" s="276"/>
      <c r="L1165" s="276"/>
      <c r="M1165" s="276"/>
      <c r="N1165" s="276"/>
      <c r="O1165" s="276"/>
      <c r="P1165" s="276"/>
      <c r="Q1165" s="276"/>
      <c r="R1165" s="276"/>
      <c r="S1165" s="276"/>
      <c r="T1165" s="276"/>
      <c r="U1165" s="276"/>
      <c r="V1165" s="276"/>
      <c r="W1165" s="276"/>
      <c r="X1165" s="276"/>
    </row>
    <row r="1166" ht="15.75" customHeight="1">
      <c r="A1166" s="403"/>
      <c r="B1166" s="284"/>
      <c r="C1166" s="284"/>
      <c r="D1166" s="284"/>
      <c r="E1166" s="490"/>
      <c r="F1166" s="30"/>
      <c r="G1166" s="30"/>
      <c r="H1166" s="288"/>
      <c r="I1166" s="490"/>
      <c r="J1166" s="276"/>
      <c r="K1166" s="276"/>
      <c r="L1166" s="276"/>
      <c r="M1166" s="276"/>
      <c r="N1166" s="276"/>
      <c r="O1166" s="276"/>
      <c r="P1166" s="276"/>
      <c r="Q1166" s="276"/>
      <c r="R1166" s="276"/>
      <c r="S1166" s="276"/>
      <c r="T1166" s="276"/>
      <c r="U1166" s="276"/>
      <c r="V1166" s="276"/>
      <c r="W1166" s="276"/>
      <c r="X1166" s="276"/>
    </row>
    <row r="1167" ht="15.75" customHeight="1">
      <c r="A1167" s="403"/>
      <c r="B1167" s="284"/>
      <c r="C1167" s="284"/>
      <c r="D1167" s="284"/>
      <c r="E1167" s="490"/>
      <c r="F1167" s="30"/>
      <c r="G1167" s="30"/>
      <c r="H1167" s="288"/>
      <c r="I1167" s="490"/>
      <c r="J1167" s="276"/>
      <c r="K1167" s="276"/>
      <c r="L1167" s="276"/>
      <c r="M1167" s="276"/>
      <c r="N1167" s="276"/>
      <c r="O1167" s="276"/>
      <c r="P1167" s="276"/>
      <c r="Q1167" s="276"/>
      <c r="R1167" s="276"/>
      <c r="S1167" s="276"/>
      <c r="T1167" s="276"/>
      <c r="U1167" s="276"/>
      <c r="V1167" s="276"/>
      <c r="W1167" s="276"/>
      <c r="X1167" s="276"/>
    </row>
    <row r="1168" ht="15.75" customHeight="1">
      <c r="A1168" s="403"/>
      <c r="B1168" s="284"/>
      <c r="C1168" s="284"/>
      <c r="D1168" s="284"/>
      <c r="E1168" s="490"/>
      <c r="F1168" s="30"/>
      <c r="G1168" s="30"/>
      <c r="H1168" s="288"/>
      <c r="I1168" s="490"/>
      <c r="J1168" s="276"/>
      <c r="K1168" s="276"/>
      <c r="L1168" s="276"/>
      <c r="M1168" s="276"/>
      <c r="N1168" s="276"/>
      <c r="O1168" s="276"/>
      <c r="P1168" s="276"/>
      <c r="Q1168" s="276"/>
      <c r="R1168" s="276"/>
      <c r="S1168" s="276"/>
      <c r="T1168" s="276"/>
      <c r="U1168" s="276"/>
      <c r="V1168" s="276"/>
      <c r="W1168" s="276"/>
      <c r="X1168" s="276"/>
    </row>
    <row r="1169" ht="15.75" customHeight="1">
      <c r="A1169" s="403"/>
      <c r="B1169" s="284"/>
      <c r="C1169" s="284"/>
      <c r="D1169" s="284"/>
      <c r="E1169" s="490"/>
      <c r="F1169" s="30"/>
      <c r="G1169" s="30"/>
      <c r="H1169" s="288"/>
      <c r="I1169" s="490"/>
      <c r="J1169" s="276"/>
      <c r="K1169" s="276"/>
      <c r="L1169" s="276"/>
      <c r="M1169" s="276"/>
      <c r="N1169" s="276"/>
      <c r="O1169" s="276"/>
      <c r="P1169" s="276"/>
      <c r="Q1169" s="276"/>
      <c r="R1169" s="276"/>
      <c r="S1169" s="276"/>
      <c r="T1169" s="276"/>
      <c r="U1169" s="276"/>
      <c r="V1169" s="276"/>
      <c r="W1169" s="276"/>
      <c r="X1169" s="276"/>
    </row>
    <row r="1170" ht="15.75" customHeight="1">
      <c r="A1170" s="403"/>
      <c r="B1170" s="284"/>
      <c r="C1170" s="284"/>
      <c r="D1170" s="284"/>
      <c r="E1170" s="490"/>
      <c r="F1170" s="30"/>
      <c r="G1170" s="30"/>
      <c r="H1170" s="288"/>
      <c r="I1170" s="490"/>
      <c r="J1170" s="276"/>
      <c r="K1170" s="276"/>
      <c r="L1170" s="276"/>
      <c r="M1170" s="276"/>
      <c r="N1170" s="276"/>
      <c r="O1170" s="276"/>
      <c r="P1170" s="276"/>
      <c r="Q1170" s="276"/>
      <c r="R1170" s="276"/>
      <c r="S1170" s="276"/>
      <c r="T1170" s="276"/>
      <c r="U1170" s="276"/>
      <c r="V1170" s="276"/>
      <c r="W1170" s="276"/>
      <c r="X1170" s="276"/>
    </row>
    <row r="1171" ht="15.75" customHeight="1">
      <c r="A1171" s="403"/>
      <c r="B1171" s="284"/>
      <c r="C1171" s="284"/>
      <c r="D1171" s="284"/>
      <c r="E1171" s="490"/>
      <c r="F1171" s="30"/>
      <c r="G1171" s="30"/>
      <c r="H1171" s="288"/>
      <c r="I1171" s="490"/>
      <c r="J1171" s="276"/>
      <c r="K1171" s="276"/>
      <c r="L1171" s="276"/>
      <c r="M1171" s="276"/>
      <c r="N1171" s="276"/>
      <c r="O1171" s="276"/>
      <c r="P1171" s="276"/>
      <c r="Q1171" s="276"/>
      <c r="R1171" s="276"/>
      <c r="S1171" s="276"/>
      <c r="T1171" s="276"/>
      <c r="U1171" s="276"/>
      <c r="V1171" s="276"/>
      <c r="W1171" s="276"/>
      <c r="X1171" s="276"/>
    </row>
    <row r="1172" ht="15.75" customHeight="1">
      <c r="A1172" s="403"/>
      <c r="B1172" s="284">
        <f t="shared" ref="B1172:B1989" si="32">DAY(A1172)</f>
        <v>30</v>
      </c>
      <c r="C1172" s="284">
        <f t="shared" ref="C1172:C1989" si="33">MONTH(A1172)</f>
        <v>12</v>
      </c>
      <c r="D1172" s="284">
        <f t="shared" ref="D1172:D1989" si="34">YEAR(A1172)</f>
        <v>1899</v>
      </c>
      <c r="E1172" s="490"/>
      <c r="F1172" s="30"/>
      <c r="G1172" s="30"/>
      <c r="H1172" s="288">
        <f t="shared" ref="H1172:H1989" si="35">G1172*F1172</f>
        <v>0</v>
      </c>
      <c r="I1172" s="490"/>
      <c r="J1172" s="276"/>
      <c r="K1172" s="276"/>
      <c r="L1172" s="276"/>
      <c r="M1172" s="276"/>
      <c r="N1172" s="276"/>
      <c r="O1172" s="276"/>
      <c r="P1172" s="276"/>
      <c r="Q1172" s="276"/>
      <c r="R1172" s="276"/>
      <c r="S1172" s="276"/>
      <c r="T1172" s="276"/>
      <c r="U1172" s="276"/>
      <c r="V1172" s="276"/>
      <c r="W1172" s="276"/>
      <c r="X1172" s="276"/>
    </row>
    <row r="1173" ht="15.75" customHeight="1">
      <c r="A1173" s="403"/>
      <c r="B1173" s="284">
        <f t="shared" si="32"/>
        <v>30</v>
      </c>
      <c r="C1173" s="284">
        <f t="shared" si="33"/>
        <v>12</v>
      </c>
      <c r="D1173" s="284">
        <f t="shared" si="34"/>
        <v>1899</v>
      </c>
      <c r="E1173" s="490"/>
      <c r="F1173" s="30"/>
      <c r="G1173" s="30"/>
      <c r="H1173" s="288">
        <f t="shared" si="35"/>
        <v>0</v>
      </c>
      <c r="I1173" s="490"/>
      <c r="J1173" s="276"/>
      <c r="K1173" s="276"/>
      <c r="L1173" s="276"/>
      <c r="M1173" s="276"/>
      <c r="N1173" s="276"/>
      <c r="O1173" s="276"/>
      <c r="P1173" s="276"/>
      <c r="Q1173" s="276"/>
      <c r="R1173" s="276"/>
      <c r="S1173" s="276"/>
      <c r="T1173" s="276"/>
      <c r="U1173" s="276"/>
      <c r="V1173" s="276"/>
      <c r="W1173" s="276"/>
      <c r="X1173" s="276"/>
    </row>
    <row r="1174" ht="15.75" customHeight="1">
      <c r="A1174" s="403"/>
      <c r="B1174" s="284">
        <f t="shared" si="32"/>
        <v>30</v>
      </c>
      <c r="C1174" s="284">
        <f t="shared" si="33"/>
        <v>12</v>
      </c>
      <c r="D1174" s="284">
        <f t="shared" si="34"/>
        <v>1899</v>
      </c>
      <c r="E1174" s="490"/>
      <c r="F1174" s="30"/>
      <c r="G1174" s="30"/>
      <c r="H1174" s="288">
        <f t="shared" si="35"/>
        <v>0</v>
      </c>
      <c r="I1174" s="490"/>
      <c r="J1174" s="276"/>
      <c r="K1174" s="276"/>
      <c r="L1174" s="276"/>
      <c r="M1174" s="276"/>
      <c r="N1174" s="276"/>
      <c r="O1174" s="276"/>
      <c r="P1174" s="276"/>
      <c r="Q1174" s="276"/>
      <c r="R1174" s="276"/>
      <c r="S1174" s="276"/>
      <c r="T1174" s="276"/>
      <c r="U1174" s="276"/>
      <c r="V1174" s="276"/>
      <c r="W1174" s="276"/>
      <c r="X1174" s="276"/>
    </row>
    <row r="1175" ht="15.75" customHeight="1">
      <c r="A1175" s="403"/>
      <c r="B1175" s="284">
        <f t="shared" si="32"/>
        <v>30</v>
      </c>
      <c r="C1175" s="284">
        <f t="shared" si="33"/>
        <v>12</v>
      </c>
      <c r="D1175" s="284">
        <f t="shared" si="34"/>
        <v>1899</v>
      </c>
      <c r="E1175" s="490"/>
      <c r="F1175" s="30"/>
      <c r="G1175" s="30"/>
      <c r="H1175" s="288">
        <f t="shared" si="35"/>
        <v>0</v>
      </c>
      <c r="I1175" s="490"/>
      <c r="J1175" s="276"/>
      <c r="K1175" s="276"/>
      <c r="L1175" s="276"/>
      <c r="M1175" s="276"/>
      <c r="N1175" s="276"/>
      <c r="O1175" s="276"/>
      <c r="P1175" s="276"/>
      <c r="Q1175" s="276"/>
      <c r="R1175" s="276"/>
      <c r="S1175" s="276"/>
      <c r="T1175" s="276"/>
      <c r="U1175" s="276"/>
      <c r="V1175" s="276"/>
      <c r="W1175" s="276"/>
      <c r="X1175" s="276"/>
    </row>
    <row r="1176" ht="15.75" customHeight="1">
      <c r="A1176" s="403"/>
      <c r="B1176" s="284">
        <f t="shared" si="32"/>
        <v>30</v>
      </c>
      <c r="C1176" s="284">
        <f t="shared" si="33"/>
        <v>12</v>
      </c>
      <c r="D1176" s="284">
        <f t="shared" si="34"/>
        <v>1899</v>
      </c>
      <c r="E1176" s="490"/>
      <c r="F1176" s="30"/>
      <c r="G1176" s="30"/>
      <c r="H1176" s="288">
        <f t="shared" si="35"/>
        <v>0</v>
      </c>
      <c r="I1176" s="490"/>
      <c r="J1176" s="276"/>
      <c r="K1176" s="276"/>
      <c r="L1176" s="276"/>
      <c r="M1176" s="276"/>
      <c r="N1176" s="276"/>
      <c r="O1176" s="276"/>
      <c r="P1176" s="276"/>
      <c r="Q1176" s="276"/>
      <c r="R1176" s="276"/>
      <c r="S1176" s="276"/>
      <c r="T1176" s="276"/>
      <c r="U1176" s="276"/>
      <c r="V1176" s="276"/>
      <c r="W1176" s="276"/>
      <c r="X1176" s="276"/>
    </row>
    <row r="1177" ht="15.75" customHeight="1">
      <c r="A1177" s="403"/>
      <c r="B1177" s="284">
        <f t="shared" si="32"/>
        <v>30</v>
      </c>
      <c r="C1177" s="284">
        <f t="shared" si="33"/>
        <v>12</v>
      </c>
      <c r="D1177" s="284">
        <f t="shared" si="34"/>
        <v>1899</v>
      </c>
      <c r="E1177" s="490"/>
      <c r="F1177" s="30"/>
      <c r="G1177" s="30"/>
      <c r="H1177" s="288">
        <f t="shared" si="35"/>
        <v>0</v>
      </c>
      <c r="I1177" s="490"/>
      <c r="J1177" s="276"/>
      <c r="K1177" s="276"/>
      <c r="L1177" s="276"/>
      <c r="M1177" s="276"/>
      <c r="N1177" s="276"/>
      <c r="O1177" s="276"/>
      <c r="P1177" s="276"/>
      <c r="Q1177" s="276"/>
      <c r="R1177" s="276"/>
      <c r="S1177" s="276"/>
      <c r="T1177" s="276"/>
      <c r="U1177" s="276"/>
      <c r="V1177" s="276"/>
      <c r="W1177" s="276"/>
      <c r="X1177" s="276"/>
    </row>
    <row r="1178" ht="15.75" customHeight="1">
      <c r="A1178" s="403"/>
      <c r="B1178" s="284">
        <f t="shared" si="32"/>
        <v>30</v>
      </c>
      <c r="C1178" s="284">
        <f t="shared" si="33"/>
        <v>12</v>
      </c>
      <c r="D1178" s="284">
        <f t="shared" si="34"/>
        <v>1899</v>
      </c>
      <c r="E1178" s="490"/>
      <c r="F1178" s="30"/>
      <c r="G1178" s="30"/>
      <c r="H1178" s="288">
        <f t="shared" si="35"/>
        <v>0</v>
      </c>
      <c r="I1178" s="490"/>
      <c r="J1178" s="276"/>
      <c r="K1178" s="276"/>
      <c r="L1178" s="276"/>
      <c r="M1178" s="276"/>
      <c r="N1178" s="276"/>
      <c r="O1178" s="276"/>
      <c r="P1178" s="276"/>
      <c r="Q1178" s="276"/>
      <c r="R1178" s="276"/>
      <c r="S1178" s="276"/>
      <c r="T1178" s="276"/>
      <c r="U1178" s="276"/>
      <c r="V1178" s="276"/>
      <c r="W1178" s="276"/>
      <c r="X1178" s="276"/>
    </row>
    <row r="1179" ht="15.75" customHeight="1">
      <c r="A1179" s="403"/>
      <c r="B1179" s="284">
        <f t="shared" si="32"/>
        <v>30</v>
      </c>
      <c r="C1179" s="284">
        <f t="shared" si="33"/>
        <v>12</v>
      </c>
      <c r="D1179" s="284">
        <f t="shared" si="34"/>
        <v>1899</v>
      </c>
      <c r="E1179" s="490"/>
      <c r="F1179" s="30"/>
      <c r="G1179" s="30"/>
      <c r="H1179" s="288">
        <f t="shared" si="35"/>
        <v>0</v>
      </c>
      <c r="I1179" s="490"/>
      <c r="J1179" s="276"/>
      <c r="K1179" s="276"/>
      <c r="L1179" s="276"/>
      <c r="M1179" s="276"/>
      <c r="N1179" s="276"/>
      <c r="O1179" s="276"/>
      <c r="P1179" s="276"/>
      <c r="Q1179" s="276"/>
      <c r="R1179" s="276"/>
      <c r="S1179" s="276"/>
      <c r="T1179" s="276"/>
      <c r="U1179" s="276"/>
      <c r="V1179" s="276"/>
      <c r="W1179" s="276"/>
      <c r="X1179" s="276"/>
    </row>
    <row r="1180" ht="15.75" customHeight="1">
      <c r="A1180" s="403"/>
      <c r="B1180" s="284">
        <f t="shared" si="32"/>
        <v>30</v>
      </c>
      <c r="C1180" s="284">
        <f t="shared" si="33"/>
        <v>12</v>
      </c>
      <c r="D1180" s="284">
        <f t="shared" si="34"/>
        <v>1899</v>
      </c>
      <c r="E1180" s="490"/>
      <c r="F1180" s="30"/>
      <c r="G1180" s="30"/>
      <c r="H1180" s="288">
        <f t="shared" si="35"/>
        <v>0</v>
      </c>
      <c r="I1180" s="490"/>
      <c r="J1180" s="276"/>
      <c r="K1180" s="276"/>
      <c r="L1180" s="276"/>
      <c r="M1180" s="276"/>
      <c r="N1180" s="276"/>
      <c r="O1180" s="276"/>
      <c r="P1180" s="276"/>
      <c r="Q1180" s="276"/>
      <c r="R1180" s="276"/>
      <c r="S1180" s="276"/>
      <c r="T1180" s="276"/>
      <c r="U1180" s="276"/>
      <c r="V1180" s="276"/>
      <c r="W1180" s="276"/>
      <c r="X1180" s="276"/>
    </row>
    <row r="1181" ht="15.75" customHeight="1">
      <c r="A1181" s="403"/>
      <c r="B1181" s="284">
        <f t="shared" si="32"/>
        <v>30</v>
      </c>
      <c r="C1181" s="284">
        <f t="shared" si="33"/>
        <v>12</v>
      </c>
      <c r="D1181" s="284">
        <f t="shared" si="34"/>
        <v>1899</v>
      </c>
      <c r="E1181" s="490"/>
      <c r="F1181" s="30"/>
      <c r="G1181" s="30"/>
      <c r="H1181" s="288">
        <f t="shared" si="35"/>
        <v>0</v>
      </c>
      <c r="I1181" s="490"/>
      <c r="J1181" s="276"/>
      <c r="K1181" s="276"/>
      <c r="L1181" s="276"/>
      <c r="M1181" s="276"/>
      <c r="N1181" s="276"/>
      <c r="O1181" s="276"/>
      <c r="P1181" s="276"/>
      <c r="Q1181" s="276"/>
      <c r="R1181" s="276"/>
      <c r="S1181" s="276"/>
      <c r="T1181" s="276"/>
      <c r="U1181" s="276"/>
      <c r="V1181" s="276"/>
      <c r="W1181" s="276"/>
      <c r="X1181" s="276"/>
    </row>
    <row r="1182" ht="15.75" customHeight="1">
      <c r="A1182" s="403"/>
      <c r="B1182" s="284">
        <f t="shared" si="32"/>
        <v>30</v>
      </c>
      <c r="C1182" s="284">
        <f t="shared" si="33"/>
        <v>12</v>
      </c>
      <c r="D1182" s="284">
        <f t="shared" si="34"/>
        <v>1899</v>
      </c>
      <c r="E1182" s="490"/>
      <c r="F1182" s="30"/>
      <c r="G1182" s="30"/>
      <c r="H1182" s="288">
        <f t="shared" si="35"/>
        <v>0</v>
      </c>
      <c r="I1182" s="490"/>
      <c r="J1182" s="276"/>
      <c r="K1182" s="276"/>
      <c r="L1182" s="276"/>
      <c r="M1182" s="276"/>
      <c r="N1182" s="276"/>
      <c r="O1182" s="276"/>
      <c r="P1182" s="276"/>
      <c r="Q1182" s="276"/>
      <c r="R1182" s="276"/>
      <c r="S1182" s="276"/>
      <c r="T1182" s="276"/>
      <c r="U1182" s="276"/>
      <c r="V1182" s="276"/>
      <c r="W1182" s="276"/>
      <c r="X1182" s="276"/>
    </row>
    <row r="1183" ht="15.75" customHeight="1">
      <c r="A1183" s="403"/>
      <c r="B1183" s="284">
        <f t="shared" si="32"/>
        <v>30</v>
      </c>
      <c r="C1183" s="284">
        <f t="shared" si="33"/>
        <v>12</v>
      </c>
      <c r="D1183" s="284">
        <f t="shared" si="34"/>
        <v>1899</v>
      </c>
      <c r="E1183" s="490"/>
      <c r="F1183" s="30"/>
      <c r="G1183" s="30"/>
      <c r="H1183" s="288">
        <f t="shared" si="35"/>
        <v>0</v>
      </c>
      <c r="I1183" s="490"/>
      <c r="J1183" s="276"/>
      <c r="K1183" s="276"/>
      <c r="L1183" s="276"/>
      <c r="M1183" s="276"/>
      <c r="N1183" s="276"/>
      <c r="O1183" s="276"/>
      <c r="P1183" s="276"/>
      <c r="Q1183" s="276"/>
      <c r="R1183" s="276"/>
      <c r="S1183" s="276"/>
      <c r="T1183" s="276"/>
      <c r="U1183" s="276"/>
      <c r="V1183" s="276"/>
      <c r="W1183" s="276"/>
      <c r="X1183" s="276"/>
    </row>
    <row r="1184" ht="15.75" customHeight="1">
      <c r="A1184" s="403"/>
      <c r="B1184" s="284">
        <f t="shared" si="32"/>
        <v>30</v>
      </c>
      <c r="C1184" s="284">
        <f t="shared" si="33"/>
        <v>12</v>
      </c>
      <c r="D1184" s="284">
        <f t="shared" si="34"/>
        <v>1899</v>
      </c>
      <c r="E1184" s="490"/>
      <c r="F1184" s="30"/>
      <c r="G1184" s="30"/>
      <c r="H1184" s="288">
        <f t="shared" si="35"/>
        <v>0</v>
      </c>
      <c r="I1184" s="490"/>
      <c r="J1184" s="276"/>
      <c r="K1184" s="276"/>
      <c r="L1184" s="276"/>
      <c r="M1184" s="276"/>
      <c r="N1184" s="276"/>
      <c r="O1184" s="276"/>
      <c r="P1184" s="276"/>
      <c r="Q1184" s="276"/>
      <c r="R1184" s="276"/>
      <c r="S1184" s="276"/>
      <c r="T1184" s="276"/>
      <c r="U1184" s="276"/>
      <c r="V1184" s="276"/>
      <c r="W1184" s="276"/>
      <c r="X1184" s="276"/>
    </row>
    <row r="1185" ht="15.75" customHeight="1">
      <c r="A1185" s="403"/>
      <c r="B1185" s="284">
        <f t="shared" si="32"/>
        <v>30</v>
      </c>
      <c r="C1185" s="284">
        <f t="shared" si="33"/>
        <v>12</v>
      </c>
      <c r="D1185" s="284">
        <f t="shared" si="34"/>
        <v>1899</v>
      </c>
      <c r="E1185" s="490"/>
      <c r="F1185" s="30"/>
      <c r="G1185" s="30"/>
      <c r="H1185" s="288">
        <f t="shared" si="35"/>
        <v>0</v>
      </c>
      <c r="I1185" s="490"/>
      <c r="J1185" s="276"/>
      <c r="K1185" s="276"/>
      <c r="L1185" s="276"/>
      <c r="M1185" s="276"/>
      <c r="N1185" s="276"/>
      <c r="O1185" s="276"/>
      <c r="P1185" s="276"/>
      <c r="Q1185" s="276"/>
      <c r="R1185" s="276"/>
      <c r="S1185" s="276"/>
      <c r="T1185" s="276"/>
      <c r="U1185" s="276"/>
      <c r="V1185" s="276"/>
      <c r="W1185" s="276"/>
      <c r="X1185" s="276"/>
    </row>
    <row r="1186" ht="15.75" customHeight="1">
      <c r="A1186" s="403"/>
      <c r="B1186" s="284">
        <f t="shared" si="32"/>
        <v>30</v>
      </c>
      <c r="C1186" s="284">
        <f t="shared" si="33"/>
        <v>12</v>
      </c>
      <c r="D1186" s="284">
        <f t="shared" si="34"/>
        <v>1899</v>
      </c>
      <c r="E1186" s="490"/>
      <c r="F1186" s="30"/>
      <c r="G1186" s="30"/>
      <c r="H1186" s="288">
        <f t="shared" si="35"/>
        <v>0</v>
      </c>
      <c r="I1186" s="490"/>
      <c r="J1186" s="276"/>
      <c r="K1186" s="276"/>
      <c r="L1186" s="276"/>
      <c r="M1186" s="276"/>
      <c r="N1186" s="276"/>
      <c r="O1186" s="276"/>
      <c r="P1186" s="276"/>
      <c r="Q1186" s="276"/>
      <c r="R1186" s="276"/>
      <c r="S1186" s="276"/>
      <c r="T1186" s="276"/>
      <c r="U1186" s="276"/>
      <c r="V1186" s="276"/>
      <c r="W1186" s="276"/>
      <c r="X1186" s="276"/>
    </row>
    <row r="1187" ht="15.75" customHeight="1">
      <c r="A1187" s="403"/>
      <c r="B1187" s="284">
        <f t="shared" si="32"/>
        <v>30</v>
      </c>
      <c r="C1187" s="284">
        <f t="shared" si="33"/>
        <v>12</v>
      </c>
      <c r="D1187" s="284">
        <f t="shared" si="34"/>
        <v>1899</v>
      </c>
      <c r="E1187" s="490"/>
      <c r="F1187" s="30"/>
      <c r="G1187" s="30"/>
      <c r="H1187" s="288">
        <f t="shared" si="35"/>
        <v>0</v>
      </c>
      <c r="I1187" s="490"/>
      <c r="J1187" s="276"/>
      <c r="K1187" s="276"/>
      <c r="L1187" s="276"/>
      <c r="M1187" s="276"/>
      <c r="N1187" s="276"/>
      <c r="O1187" s="276"/>
      <c r="P1187" s="276"/>
      <c r="Q1187" s="276"/>
      <c r="R1187" s="276"/>
      <c r="S1187" s="276"/>
      <c r="T1187" s="276"/>
      <c r="U1187" s="276"/>
      <c r="V1187" s="276"/>
      <c r="W1187" s="276"/>
      <c r="X1187" s="276"/>
    </row>
    <row r="1188" ht="15.75" customHeight="1">
      <c r="A1188" s="403"/>
      <c r="B1188" s="284">
        <f t="shared" si="32"/>
        <v>30</v>
      </c>
      <c r="C1188" s="284">
        <f t="shared" si="33"/>
        <v>12</v>
      </c>
      <c r="D1188" s="284">
        <f t="shared" si="34"/>
        <v>1899</v>
      </c>
      <c r="E1188" s="490"/>
      <c r="F1188" s="30"/>
      <c r="G1188" s="30"/>
      <c r="H1188" s="288">
        <f t="shared" si="35"/>
        <v>0</v>
      </c>
      <c r="I1188" s="490"/>
      <c r="J1188" s="276"/>
      <c r="K1188" s="276"/>
      <c r="L1188" s="276"/>
      <c r="M1188" s="276"/>
      <c r="N1188" s="276"/>
      <c r="O1188" s="276"/>
      <c r="P1188" s="276"/>
      <c r="Q1188" s="276"/>
      <c r="R1188" s="276"/>
      <c r="S1188" s="276"/>
      <c r="T1188" s="276"/>
      <c r="U1188" s="276"/>
      <c r="V1188" s="276"/>
      <c r="W1188" s="276"/>
      <c r="X1188" s="276"/>
    </row>
    <row r="1189" ht="15.75" customHeight="1">
      <c r="A1189" s="403"/>
      <c r="B1189" s="284">
        <f t="shared" si="32"/>
        <v>30</v>
      </c>
      <c r="C1189" s="284">
        <f t="shared" si="33"/>
        <v>12</v>
      </c>
      <c r="D1189" s="284">
        <f t="shared" si="34"/>
        <v>1899</v>
      </c>
      <c r="E1189" s="490"/>
      <c r="F1189" s="30"/>
      <c r="G1189" s="30"/>
      <c r="H1189" s="288">
        <f t="shared" si="35"/>
        <v>0</v>
      </c>
      <c r="I1189" s="490"/>
      <c r="J1189" s="276"/>
      <c r="K1189" s="276"/>
      <c r="L1189" s="276"/>
      <c r="M1189" s="276"/>
      <c r="N1189" s="276"/>
      <c r="O1189" s="276"/>
      <c r="P1189" s="276"/>
      <c r="Q1189" s="276"/>
      <c r="R1189" s="276"/>
      <c r="S1189" s="276"/>
      <c r="T1189" s="276"/>
      <c r="U1189" s="276"/>
      <c r="V1189" s="276"/>
      <c r="W1189" s="276"/>
      <c r="X1189" s="276"/>
    </row>
    <row r="1190" ht="15.75" customHeight="1">
      <c r="A1190" s="403"/>
      <c r="B1190" s="284">
        <f t="shared" si="32"/>
        <v>30</v>
      </c>
      <c r="C1190" s="284">
        <f t="shared" si="33"/>
        <v>12</v>
      </c>
      <c r="D1190" s="284">
        <f t="shared" si="34"/>
        <v>1899</v>
      </c>
      <c r="E1190" s="490"/>
      <c r="F1190" s="30"/>
      <c r="G1190" s="30"/>
      <c r="H1190" s="288">
        <f t="shared" si="35"/>
        <v>0</v>
      </c>
      <c r="I1190" s="490"/>
      <c r="J1190" s="276"/>
      <c r="K1190" s="276"/>
      <c r="L1190" s="276"/>
      <c r="M1190" s="276"/>
      <c r="N1190" s="276"/>
      <c r="O1190" s="276"/>
      <c r="P1190" s="276"/>
      <c r="Q1190" s="276"/>
      <c r="R1190" s="276"/>
      <c r="S1190" s="276"/>
      <c r="T1190" s="276"/>
      <c r="U1190" s="276"/>
      <c r="V1190" s="276"/>
      <c r="W1190" s="276"/>
      <c r="X1190" s="276"/>
    </row>
    <row r="1191" ht="15.75" customHeight="1">
      <c r="A1191" s="403"/>
      <c r="B1191" s="284">
        <f t="shared" si="32"/>
        <v>30</v>
      </c>
      <c r="C1191" s="284">
        <f t="shared" si="33"/>
        <v>12</v>
      </c>
      <c r="D1191" s="284">
        <f t="shared" si="34"/>
        <v>1899</v>
      </c>
      <c r="E1191" s="490"/>
      <c r="F1191" s="30"/>
      <c r="G1191" s="30"/>
      <c r="H1191" s="288">
        <f t="shared" si="35"/>
        <v>0</v>
      </c>
      <c r="I1191" s="490"/>
      <c r="J1191" s="276"/>
      <c r="K1191" s="276"/>
      <c r="L1191" s="276"/>
      <c r="M1191" s="276"/>
      <c r="N1191" s="276"/>
      <c r="O1191" s="276"/>
      <c r="P1191" s="276"/>
      <c r="Q1191" s="276"/>
      <c r="R1191" s="276"/>
      <c r="S1191" s="276"/>
      <c r="T1191" s="276"/>
      <c r="U1191" s="276"/>
      <c r="V1191" s="276"/>
      <c r="W1191" s="276"/>
      <c r="X1191" s="276"/>
    </row>
    <row r="1192" ht="15.75" customHeight="1">
      <c r="A1192" s="403"/>
      <c r="B1192" s="284">
        <f t="shared" si="32"/>
        <v>30</v>
      </c>
      <c r="C1192" s="284">
        <f t="shared" si="33"/>
        <v>12</v>
      </c>
      <c r="D1192" s="284">
        <f t="shared" si="34"/>
        <v>1899</v>
      </c>
      <c r="E1192" s="490"/>
      <c r="F1192" s="30"/>
      <c r="G1192" s="30"/>
      <c r="H1192" s="288">
        <f t="shared" si="35"/>
        <v>0</v>
      </c>
      <c r="I1192" s="490"/>
      <c r="J1192" s="276"/>
      <c r="K1192" s="276"/>
      <c r="L1192" s="276"/>
      <c r="M1192" s="276"/>
      <c r="N1192" s="276"/>
      <c r="O1192" s="276"/>
      <c r="P1192" s="276"/>
      <c r="Q1192" s="276"/>
      <c r="R1192" s="276"/>
      <c r="S1192" s="276"/>
      <c r="T1192" s="276"/>
      <c r="U1192" s="276"/>
      <c r="V1192" s="276"/>
      <c r="W1192" s="276"/>
      <c r="X1192" s="276"/>
    </row>
    <row r="1193" ht="15.75" customHeight="1">
      <c r="A1193" s="403"/>
      <c r="B1193" s="284">
        <f t="shared" si="32"/>
        <v>30</v>
      </c>
      <c r="C1193" s="284">
        <f t="shared" si="33"/>
        <v>12</v>
      </c>
      <c r="D1193" s="284">
        <f t="shared" si="34"/>
        <v>1899</v>
      </c>
      <c r="E1193" s="490"/>
      <c r="F1193" s="30"/>
      <c r="G1193" s="30"/>
      <c r="H1193" s="288">
        <f t="shared" si="35"/>
        <v>0</v>
      </c>
      <c r="I1193" s="490"/>
      <c r="J1193" s="276"/>
      <c r="K1193" s="276"/>
      <c r="L1193" s="276"/>
      <c r="M1193" s="276"/>
      <c r="N1193" s="276"/>
      <c r="O1193" s="276"/>
      <c r="P1193" s="276"/>
      <c r="Q1193" s="276"/>
      <c r="R1193" s="276"/>
      <c r="S1193" s="276"/>
      <c r="T1193" s="276"/>
      <c r="U1193" s="276"/>
      <c r="V1193" s="276"/>
      <c r="W1193" s="276"/>
      <c r="X1193" s="276"/>
    </row>
    <row r="1194" ht="15.75" customHeight="1">
      <c r="A1194" s="403"/>
      <c r="B1194" s="284">
        <f t="shared" si="32"/>
        <v>30</v>
      </c>
      <c r="C1194" s="284">
        <f t="shared" si="33"/>
        <v>12</v>
      </c>
      <c r="D1194" s="284">
        <f t="shared" si="34"/>
        <v>1899</v>
      </c>
      <c r="E1194" s="490"/>
      <c r="F1194" s="30"/>
      <c r="G1194" s="30"/>
      <c r="H1194" s="288">
        <f t="shared" si="35"/>
        <v>0</v>
      </c>
      <c r="I1194" s="490"/>
      <c r="J1194" s="276"/>
      <c r="K1194" s="276"/>
      <c r="L1194" s="276"/>
      <c r="M1194" s="276"/>
      <c r="N1194" s="276"/>
      <c r="O1194" s="276"/>
      <c r="P1194" s="276"/>
      <c r="Q1194" s="276"/>
      <c r="R1194" s="276"/>
      <c r="S1194" s="276"/>
      <c r="T1194" s="276"/>
      <c r="U1194" s="276"/>
      <c r="V1194" s="276"/>
      <c r="W1194" s="276"/>
      <c r="X1194" s="276"/>
    </row>
    <row r="1195" ht="15.75" customHeight="1">
      <c r="A1195" s="403"/>
      <c r="B1195" s="284">
        <f t="shared" si="32"/>
        <v>30</v>
      </c>
      <c r="C1195" s="284">
        <f t="shared" si="33"/>
        <v>12</v>
      </c>
      <c r="D1195" s="284">
        <f t="shared" si="34"/>
        <v>1899</v>
      </c>
      <c r="E1195" s="490"/>
      <c r="F1195" s="30"/>
      <c r="G1195" s="30"/>
      <c r="H1195" s="288">
        <f t="shared" si="35"/>
        <v>0</v>
      </c>
      <c r="I1195" s="490"/>
      <c r="J1195" s="276"/>
      <c r="K1195" s="276"/>
      <c r="L1195" s="276"/>
      <c r="M1195" s="276"/>
      <c r="N1195" s="276"/>
      <c r="O1195" s="276"/>
      <c r="P1195" s="276"/>
      <c r="Q1195" s="276"/>
      <c r="R1195" s="276"/>
      <c r="S1195" s="276"/>
      <c r="T1195" s="276"/>
      <c r="U1195" s="276"/>
      <c r="V1195" s="276"/>
      <c r="W1195" s="276"/>
      <c r="X1195" s="276"/>
    </row>
    <row r="1196" ht="15.75" customHeight="1">
      <c r="A1196" s="403"/>
      <c r="B1196" s="284">
        <f t="shared" si="32"/>
        <v>30</v>
      </c>
      <c r="C1196" s="284">
        <f t="shared" si="33"/>
        <v>12</v>
      </c>
      <c r="D1196" s="284">
        <f t="shared" si="34"/>
        <v>1899</v>
      </c>
      <c r="E1196" s="490"/>
      <c r="F1196" s="30"/>
      <c r="G1196" s="30"/>
      <c r="H1196" s="288">
        <f t="shared" si="35"/>
        <v>0</v>
      </c>
      <c r="I1196" s="490"/>
      <c r="J1196" s="276"/>
      <c r="K1196" s="276"/>
      <c r="L1196" s="276"/>
      <c r="M1196" s="276"/>
      <c r="N1196" s="276"/>
      <c r="O1196" s="276"/>
      <c r="P1196" s="276"/>
      <c r="Q1196" s="276"/>
      <c r="R1196" s="276"/>
      <c r="S1196" s="276"/>
      <c r="T1196" s="276"/>
      <c r="U1196" s="276"/>
      <c r="V1196" s="276"/>
      <c r="W1196" s="276"/>
      <c r="X1196" s="276"/>
    </row>
    <row r="1197" ht="15.75" customHeight="1">
      <c r="A1197" s="403"/>
      <c r="B1197" s="284">
        <f t="shared" si="32"/>
        <v>30</v>
      </c>
      <c r="C1197" s="284">
        <f t="shared" si="33"/>
        <v>12</v>
      </c>
      <c r="D1197" s="284">
        <f t="shared" si="34"/>
        <v>1899</v>
      </c>
      <c r="E1197" s="490"/>
      <c r="F1197" s="30"/>
      <c r="G1197" s="30"/>
      <c r="H1197" s="288">
        <f t="shared" si="35"/>
        <v>0</v>
      </c>
      <c r="I1197" s="490"/>
      <c r="J1197" s="276"/>
      <c r="K1197" s="276"/>
      <c r="L1197" s="276"/>
      <c r="M1197" s="276"/>
      <c r="N1197" s="276"/>
      <c r="O1197" s="276"/>
      <c r="P1197" s="276"/>
      <c r="Q1197" s="276"/>
      <c r="R1197" s="276"/>
      <c r="S1197" s="276"/>
      <c r="T1197" s="276"/>
      <c r="U1197" s="276"/>
      <c r="V1197" s="276"/>
      <c r="W1197" s="276"/>
      <c r="X1197" s="276"/>
    </row>
    <row r="1198" ht="15.75" customHeight="1">
      <c r="A1198" s="403"/>
      <c r="B1198" s="284">
        <f t="shared" si="32"/>
        <v>30</v>
      </c>
      <c r="C1198" s="284">
        <f t="shared" si="33"/>
        <v>12</v>
      </c>
      <c r="D1198" s="284">
        <f t="shared" si="34"/>
        <v>1899</v>
      </c>
      <c r="E1198" s="490"/>
      <c r="F1198" s="30"/>
      <c r="G1198" s="30"/>
      <c r="H1198" s="288">
        <f t="shared" si="35"/>
        <v>0</v>
      </c>
      <c r="I1198" s="490"/>
      <c r="J1198" s="276"/>
      <c r="K1198" s="276"/>
      <c r="L1198" s="276"/>
      <c r="M1198" s="276"/>
      <c r="N1198" s="276"/>
      <c r="O1198" s="276"/>
      <c r="P1198" s="276"/>
      <c r="Q1198" s="276"/>
      <c r="R1198" s="276"/>
      <c r="S1198" s="276"/>
      <c r="T1198" s="276"/>
      <c r="U1198" s="276"/>
      <c r="V1198" s="276"/>
      <c r="W1198" s="276"/>
      <c r="X1198" s="276"/>
    </row>
    <row r="1199" ht="15.75" customHeight="1">
      <c r="A1199" s="403"/>
      <c r="B1199" s="284">
        <f t="shared" si="32"/>
        <v>30</v>
      </c>
      <c r="C1199" s="284">
        <f t="shared" si="33"/>
        <v>12</v>
      </c>
      <c r="D1199" s="284">
        <f t="shared" si="34"/>
        <v>1899</v>
      </c>
      <c r="E1199" s="490"/>
      <c r="F1199" s="30"/>
      <c r="G1199" s="30"/>
      <c r="H1199" s="288">
        <f t="shared" si="35"/>
        <v>0</v>
      </c>
      <c r="I1199" s="490"/>
      <c r="J1199" s="276"/>
      <c r="K1199" s="276"/>
      <c r="L1199" s="276"/>
      <c r="M1199" s="276"/>
      <c r="N1199" s="276"/>
      <c r="O1199" s="276"/>
      <c r="P1199" s="276"/>
      <c r="Q1199" s="276"/>
      <c r="R1199" s="276"/>
      <c r="S1199" s="276"/>
      <c r="T1199" s="276"/>
      <c r="U1199" s="276"/>
      <c r="V1199" s="276"/>
      <c r="W1199" s="276"/>
      <c r="X1199" s="276"/>
    </row>
    <row r="1200" ht="15.75" customHeight="1">
      <c r="A1200" s="403"/>
      <c r="B1200" s="284">
        <f t="shared" si="32"/>
        <v>30</v>
      </c>
      <c r="C1200" s="284">
        <f t="shared" si="33"/>
        <v>12</v>
      </c>
      <c r="D1200" s="284">
        <f t="shared" si="34"/>
        <v>1899</v>
      </c>
      <c r="E1200" s="490"/>
      <c r="F1200" s="30"/>
      <c r="G1200" s="30"/>
      <c r="H1200" s="288">
        <f t="shared" si="35"/>
        <v>0</v>
      </c>
      <c r="I1200" s="490"/>
      <c r="J1200" s="276"/>
      <c r="K1200" s="276"/>
      <c r="L1200" s="276"/>
      <c r="M1200" s="276"/>
      <c r="N1200" s="276"/>
      <c r="O1200" s="276"/>
      <c r="P1200" s="276"/>
      <c r="Q1200" s="276"/>
      <c r="R1200" s="276"/>
      <c r="S1200" s="276"/>
      <c r="T1200" s="276"/>
      <c r="U1200" s="276"/>
      <c r="V1200" s="276"/>
      <c r="W1200" s="276"/>
      <c r="X1200" s="276"/>
    </row>
    <row r="1201" ht="15.75" customHeight="1">
      <c r="A1201" s="403"/>
      <c r="B1201" s="284">
        <f t="shared" si="32"/>
        <v>30</v>
      </c>
      <c r="C1201" s="284">
        <f t="shared" si="33"/>
        <v>12</v>
      </c>
      <c r="D1201" s="284">
        <f t="shared" si="34"/>
        <v>1899</v>
      </c>
      <c r="E1201" s="490"/>
      <c r="F1201" s="30"/>
      <c r="G1201" s="30"/>
      <c r="H1201" s="288">
        <f t="shared" si="35"/>
        <v>0</v>
      </c>
      <c r="I1201" s="490"/>
      <c r="J1201" s="276"/>
      <c r="K1201" s="276"/>
      <c r="L1201" s="276"/>
      <c r="M1201" s="276"/>
      <c r="N1201" s="276"/>
      <c r="O1201" s="276"/>
      <c r="P1201" s="276"/>
      <c r="Q1201" s="276"/>
      <c r="R1201" s="276"/>
      <c r="S1201" s="276"/>
      <c r="T1201" s="276"/>
      <c r="U1201" s="276"/>
      <c r="V1201" s="276"/>
      <c r="W1201" s="276"/>
      <c r="X1201" s="276"/>
    </row>
    <row r="1202" ht="15.75" customHeight="1">
      <c r="A1202" s="403"/>
      <c r="B1202" s="284">
        <f t="shared" si="32"/>
        <v>30</v>
      </c>
      <c r="C1202" s="284">
        <f t="shared" si="33"/>
        <v>12</v>
      </c>
      <c r="D1202" s="284">
        <f t="shared" si="34"/>
        <v>1899</v>
      </c>
      <c r="E1202" s="490"/>
      <c r="F1202" s="30"/>
      <c r="G1202" s="30"/>
      <c r="H1202" s="288">
        <f t="shared" si="35"/>
        <v>0</v>
      </c>
      <c r="I1202" s="490"/>
      <c r="J1202" s="276"/>
      <c r="K1202" s="276"/>
      <c r="L1202" s="276"/>
      <c r="M1202" s="276"/>
      <c r="N1202" s="276"/>
      <c r="O1202" s="276"/>
      <c r="P1202" s="276"/>
      <c r="Q1202" s="276"/>
      <c r="R1202" s="276"/>
      <c r="S1202" s="276"/>
      <c r="T1202" s="276"/>
      <c r="U1202" s="276"/>
      <c r="V1202" s="276"/>
      <c r="W1202" s="276"/>
      <c r="X1202" s="276"/>
    </row>
    <row r="1203" ht="15.75" customHeight="1">
      <c r="A1203" s="403"/>
      <c r="B1203" s="284">
        <f t="shared" si="32"/>
        <v>30</v>
      </c>
      <c r="C1203" s="284">
        <f t="shared" si="33"/>
        <v>12</v>
      </c>
      <c r="D1203" s="284">
        <f t="shared" si="34"/>
        <v>1899</v>
      </c>
      <c r="E1203" s="490"/>
      <c r="F1203" s="30"/>
      <c r="G1203" s="30"/>
      <c r="H1203" s="288">
        <f t="shared" si="35"/>
        <v>0</v>
      </c>
      <c r="I1203" s="490"/>
      <c r="J1203" s="276"/>
      <c r="K1203" s="276"/>
      <c r="L1203" s="276"/>
      <c r="M1203" s="276"/>
      <c r="N1203" s="276"/>
      <c r="O1203" s="276"/>
      <c r="P1203" s="276"/>
      <c r="Q1203" s="276"/>
      <c r="R1203" s="276"/>
      <c r="S1203" s="276"/>
      <c r="T1203" s="276"/>
      <c r="U1203" s="276"/>
      <c r="V1203" s="276"/>
      <c r="W1203" s="276"/>
      <c r="X1203" s="276"/>
    </row>
    <row r="1204" ht="15.75" customHeight="1">
      <c r="A1204" s="403"/>
      <c r="B1204" s="284">
        <f t="shared" si="32"/>
        <v>30</v>
      </c>
      <c r="C1204" s="284">
        <f t="shared" si="33"/>
        <v>12</v>
      </c>
      <c r="D1204" s="284">
        <f t="shared" si="34"/>
        <v>1899</v>
      </c>
      <c r="E1204" s="490"/>
      <c r="F1204" s="30"/>
      <c r="G1204" s="30"/>
      <c r="H1204" s="288">
        <f t="shared" si="35"/>
        <v>0</v>
      </c>
      <c r="I1204" s="490"/>
      <c r="J1204" s="276"/>
      <c r="K1204" s="276"/>
      <c r="L1204" s="276"/>
      <c r="M1204" s="276"/>
      <c r="N1204" s="276"/>
      <c r="O1204" s="276"/>
      <c r="P1204" s="276"/>
      <c r="Q1204" s="276"/>
      <c r="R1204" s="276"/>
      <c r="S1204" s="276"/>
      <c r="T1204" s="276"/>
      <c r="U1204" s="276"/>
      <c r="V1204" s="276"/>
      <c r="W1204" s="276"/>
      <c r="X1204" s="276"/>
    </row>
    <row r="1205" ht="15.75" customHeight="1">
      <c r="A1205" s="403"/>
      <c r="B1205" s="284">
        <f t="shared" si="32"/>
        <v>30</v>
      </c>
      <c r="C1205" s="284">
        <f t="shared" si="33"/>
        <v>12</v>
      </c>
      <c r="D1205" s="284">
        <f t="shared" si="34"/>
        <v>1899</v>
      </c>
      <c r="E1205" s="490"/>
      <c r="F1205" s="30"/>
      <c r="G1205" s="30"/>
      <c r="H1205" s="288">
        <f t="shared" si="35"/>
        <v>0</v>
      </c>
      <c r="I1205" s="490"/>
      <c r="J1205" s="276"/>
      <c r="K1205" s="276"/>
      <c r="L1205" s="276"/>
      <c r="M1205" s="276"/>
      <c r="N1205" s="276"/>
      <c r="O1205" s="276"/>
      <c r="P1205" s="276"/>
      <c r="Q1205" s="276"/>
      <c r="R1205" s="276"/>
      <c r="S1205" s="276"/>
      <c r="T1205" s="276"/>
      <c r="U1205" s="276"/>
      <c r="V1205" s="276"/>
      <c r="W1205" s="276"/>
      <c r="X1205" s="276"/>
    </row>
    <row r="1206" ht="15.75" customHeight="1">
      <c r="A1206" s="403"/>
      <c r="B1206" s="284">
        <f t="shared" si="32"/>
        <v>30</v>
      </c>
      <c r="C1206" s="284">
        <f t="shared" si="33"/>
        <v>12</v>
      </c>
      <c r="D1206" s="284">
        <f t="shared" si="34"/>
        <v>1899</v>
      </c>
      <c r="E1206" s="490"/>
      <c r="F1206" s="30"/>
      <c r="G1206" s="30"/>
      <c r="H1206" s="288">
        <f t="shared" si="35"/>
        <v>0</v>
      </c>
      <c r="I1206" s="490"/>
      <c r="J1206" s="276"/>
      <c r="K1206" s="276"/>
      <c r="L1206" s="276"/>
      <c r="M1206" s="276"/>
      <c r="N1206" s="276"/>
      <c r="O1206" s="276"/>
      <c r="P1206" s="276"/>
      <c r="Q1206" s="276"/>
      <c r="R1206" s="276"/>
      <c r="S1206" s="276"/>
      <c r="T1206" s="276"/>
      <c r="U1206" s="276"/>
      <c r="V1206" s="276"/>
      <c r="W1206" s="276"/>
      <c r="X1206" s="276"/>
    </row>
    <row r="1207" ht="15.75" customHeight="1">
      <c r="A1207" s="403"/>
      <c r="B1207" s="284">
        <f t="shared" si="32"/>
        <v>30</v>
      </c>
      <c r="C1207" s="284">
        <f t="shared" si="33"/>
        <v>12</v>
      </c>
      <c r="D1207" s="284">
        <f t="shared" si="34"/>
        <v>1899</v>
      </c>
      <c r="E1207" s="490"/>
      <c r="F1207" s="30"/>
      <c r="G1207" s="30"/>
      <c r="H1207" s="288">
        <f t="shared" si="35"/>
        <v>0</v>
      </c>
      <c r="I1207" s="490"/>
      <c r="J1207" s="276"/>
      <c r="K1207" s="276"/>
      <c r="L1207" s="276"/>
      <c r="M1207" s="276"/>
      <c r="N1207" s="276"/>
      <c r="O1207" s="276"/>
      <c r="P1207" s="276"/>
      <c r="Q1207" s="276"/>
      <c r="R1207" s="276"/>
      <c r="S1207" s="276"/>
      <c r="T1207" s="276"/>
      <c r="U1207" s="276"/>
      <c r="V1207" s="276"/>
      <c r="W1207" s="276"/>
      <c r="X1207" s="276"/>
    </row>
    <row r="1208" ht="15.75" customHeight="1">
      <c r="A1208" s="403"/>
      <c r="B1208" s="284">
        <f t="shared" si="32"/>
        <v>30</v>
      </c>
      <c r="C1208" s="284">
        <f t="shared" si="33"/>
        <v>12</v>
      </c>
      <c r="D1208" s="284">
        <f t="shared" si="34"/>
        <v>1899</v>
      </c>
      <c r="E1208" s="490"/>
      <c r="F1208" s="30"/>
      <c r="G1208" s="30"/>
      <c r="H1208" s="288">
        <f t="shared" si="35"/>
        <v>0</v>
      </c>
      <c r="I1208" s="490"/>
      <c r="J1208" s="276"/>
      <c r="K1208" s="276"/>
      <c r="L1208" s="276"/>
      <c r="M1208" s="276"/>
      <c r="N1208" s="276"/>
      <c r="O1208" s="276"/>
      <c r="P1208" s="276"/>
      <c r="Q1208" s="276"/>
      <c r="R1208" s="276"/>
      <c r="S1208" s="276"/>
      <c r="T1208" s="276"/>
      <c r="U1208" s="276"/>
      <c r="V1208" s="276"/>
      <c r="W1208" s="276"/>
      <c r="X1208" s="276"/>
    </row>
    <row r="1209" ht="15.75" customHeight="1">
      <c r="A1209" s="403"/>
      <c r="B1209" s="284">
        <f t="shared" si="32"/>
        <v>30</v>
      </c>
      <c r="C1209" s="284">
        <f t="shared" si="33"/>
        <v>12</v>
      </c>
      <c r="D1209" s="284">
        <f t="shared" si="34"/>
        <v>1899</v>
      </c>
      <c r="E1209" s="490"/>
      <c r="F1209" s="30"/>
      <c r="G1209" s="30"/>
      <c r="H1209" s="288">
        <f t="shared" si="35"/>
        <v>0</v>
      </c>
      <c r="I1209" s="490"/>
      <c r="J1209" s="276"/>
      <c r="K1209" s="276"/>
      <c r="L1209" s="276"/>
      <c r="M1209" s="276"/>
      <c r="N1209" s="276"/>
      <c r="O1209" s="276"/>
      <c r="P1209" s="276"/>
      <c r="Q1209" s="276"/>
      <c r="R1209" s="276"/>
      <c r="S1209" s="276"/>
      <c r="T1209" s="276"/>
      <c r="U1209" s="276"/>
      <c r="V1209" s="276"/>
      <c r="W1209" s="276"/>
      <c r="X1209" s="276"/>
    </row>
    <row r="1210" ht="15.75" customHeight="1">
      <c r="A1210" s="403"/>
      <c r="B1210" s="284">
        <f t="shared" si="32"/>
        <v>30</v>
      </c>
      <c r="C1210" s="284">
        <f t="shared" si="33"/>
        <v>12</v>
      </c>
      <c r="D1210" s="284">
        <f t="shared" si="34"/>
        <v>1899</v>
      </c>
      <c r="E1210" s="490"/>
      <c r="F1210" s="30"/>
      <c r="G1210" s="30"/>
      <c r="H1210" s="288">
        <f t="shared" si="35"/>
        <v>0</v>
      </c>
      <c r="I1210" s="490"/>
      <c r="J1210" s="276"/>
      <c r="K1210" s="276"/>
      <c r="L1210" s="276"/>
      <c r="M1210" s="276"/>
      <c r="N1210" s="276"/>
      <c r="O1210" s="276"/>
      <c r="P1210" s="276"/>
      <c r="Q1210" s="276"/>
      <c r="R1210" s="276"/>
      <c r="S1210" s="276"/>
      <c r="T1210" s="276"/>
      <c r="U1210" s="276"/>
      <c r="V1210" s="276"/>
      <c r="W1210" s="276"/>
      <c r="X1210" s="276"/>
    </row>
    <row r="1211" ht="15.75" customHeight="1">
      <c r="A1211" s="403"/>
      <c r="B1211" s="284">
        <f t="shared" si="32"/>
        <v>30</v>
      </c>
      <c r="C1211" s="284">
        <f t="shared" si="33"/>
        <v>12</v>
      </c>
      <c r="D1211" s="284">
        <f t="shared" si="34"/>
        <v>1899</v>
      </c>
      <c r="E1211" s="490"/>
      <c r="F1211" s="30"/>
      <c r="G1211" s="30"/>
      <c r="H1211" s="288">
        <f t="shared" si="35"/>
        <v>0</v>
      </c>
      <c r="I1211" s="490"/>
      <c r="J1211" s="276"/>
      <c r="K1211" s="276"/>
      <c r="L1211" s="276"/>
      <c r="M1211" s="276"/>
      <c r="N1211" s="276"/>
      <c r="O1211" s="276"/>
      <c r="P1211" s="276"/>
      <c r="Q1211" s="276"/>
      <c r="R1211" s="276"/>
      <c r="S1211" s="276"/>
      <c r="T1211" s="276"/>
      <c r="U1211" s="276"/>
      <c r="V1211" s="276"/>
      <c r="W1211" s="276"/>
      <c r="X1211" s="276"/>
    </row>
    <row r="1212" ht="15.75" customHeight="1">
      <c r="A1212" s="403"/>
      <c r="B1212" s="284">
        <f t="shared" si="32"/>
        <v>30</v>
      </c>
      <c r="C1212" s="284">
        <f t="shared" si="33"/>
        <v>12</v>
      </c>
      <c r="D1212" s="284">
        <f t="shared" si="34"/>
        <v>1899</v>
      </c>
      <c r="E1212" s="490"/>
      <c r="F1212" s="30"/>
      <c r="G1212" s="30"/>
      <c r="H1212" s="288">
        <f t="shared" si="35"/>
        <v>0</v>
      </c>
      <c r="I1212" s="490"/>
      <c r="J1212" s="276"/>
      <c r="K1212" s="276"/>
      <c r="L1212" s="276"/>
      <c r="M1212" s="276"/>
      <c r="N1212" s="276"/>
      <c r="O1212" s="276"/>
      <c r="P1212" s="276"/>
      <c r="Q1212" s="276"/>
      <c r="R1212" s="276"/>
      <c r="S1212" s="276"/>
      <c r="T1212" s="276"/>
      <c r="U1212" s="276"/>
      <c r="V1212" s="276"/>
      <c r="W1212" s="276"/>
      <c r="X1212" s="276"/>
    </row>
    <row r="1213" ht="15.75" customHeight="1">
      <c r="A1213" s="403"/>
      <c r="B1213" s="284">
        <f t="shared" si="32"/>
        <v>30</v>
      </c>
      <c r="C1213" s="284">
        <f t="shared" si="33"/>
        <v>12</v>
      </c>
      <c r="D1213" s="284">
        <f t="shared" si="34"/>
        <v>1899</v>
      </c>
      <c r="E1213" s="490"/>
      <c r="F1213" s="30"/>
      <c r="G1213" s="30"/>
      <c r="H1213" s="288">
        <f t="shared" si="35"/>
        <v>0</v>
      </c>
      <c r="I1213" s="490"/>
      <c r="J1213" s="276"/>
      <c r="K1213" s="276"/>
      <c r="L1213" s="276"/>
      <c r="M1213" s="276"/>
      <c r="N1213" s="276"/>
      <c r="O1213" s="276"/>
      <c r="P1213" s="276"/>
      <c r="Q1213" s="276"/>
      <c r="R1213" s="276"/>
      <c r="S1213" s="276"/>
      <c r="T1213" s="276"/>
      <c r="U1213" s="276"/>
      <c r="V1213" s="276"/>
      <c r="W1213" s="276"/>
      <c r="X1213" s="276"/>
    </row>
    <row r="1214" ht="15.75" customHeight="1">
      <c r="A1214" s="403"/>
      <c r="B1214" s="284">
        <f t="shared" si="32"/>
        <v>30</v>
      </c>
      <c r="C1214" s="284">
        <f t="shared" si="33"/>
        <v>12</v>
      </c>
      <c r="D1214" s="284">
        <f t="shared" si="34"/>
        <v>1899</v>
      </c>
      <c r="E1214" s="490"/>
      <c r="F1214" s="30"/>
      <c r="G1214" s="30"/>
      <c r="H1214" s="288">
        <f t="shared" si="35"/>
        <v>0</v>
      </c>
      <c r="I1214" s="490"/>
      <c r="J1214" s="276"/>
      <c r="K1214" s="276"/>
      <c r="L1214" s="276"/>
      <c r="M1214" s="276"/>
      <c r="N1214" s="276"/>
      <c r="O1214" s="276"/>
      <c r="P1214" s="276"/>
      <c r="Q1214" s="276"/>
      <c r="R1214" s="276"/>
      <c r="S1214" s="276"/>
      <c r="T1214" s="276"/>
      <c r="U1214" s="276"/>
      <c r="V1214" s="276"/>
      <c r="W1214" s="276"/>
      <c r="X1214" s="276"/>
    </row>
    <row r="1215" ht="15.75" customHeight="1">
      <c r="A1215" s="403"/>
      <c r="B1215" s="284">
        <f t="shared" si="32"/>
        <v>30</v>
      </c>
      <c r="C1215" s="284">
        <f t="shared" si="33"/>
        <v>12</v>
      </c>
      <c r="D1215" s="284">
        <f t="shared" si="34"/>
        <v>1899</v>
      </c>
      <c r="E1215" s="490"/>
      <c r="F1215" s="30"/>
      <c r="G1215" s="30"/>
      <c r="H1215" s="288">
        <f t="shared" si="35"/>
        <v>0</v>
      </c>
      <c r="I1215" s="490"/>
      <c r="J1215" s="276"/>
      <c r="K1215" s="276"/>
      <c r="L1215" s="276"/>
      <c r="M1215" s="276"/>
      <c r="N1215" s="276"/>
      <c r="O1215" s="276"/>
      <c r="P1215" s="276"/>
      <c r="Q1215" s="276"/>
      <c r="R1215" s="276"/>
      <c r="S1215" s="276"/>
      <c r="T1215" s="276"/>
      <c r="U1215" s="276"/>
      <c r="V1215" s="276"/>
      <c r="W1215" s="276"/>
      <c r="X1215" s="276"/>
    </row>
    <row r="1216" ht="15.75" customHeight="1">
      <c r="A1216" s="403"/>
      <c r="B1216" s="284">
        <f t="shared" si="32"/>
        <v>30</v>
      </c>
      <c r="C1216" s="284">
        <f t="shared" si="33"/>
        <v>12</v>
      </c>
      <c r="D1216" s="284">
        <f t="shared" si="34"/>
        <v>1899</v>
      </c>
      <c r="E1216" s="490"/>
      <c r="F1216" s="30"/>
      <c r="G1216" s="30"/>
      <c r="H1216" s="288">
        <f t="shared" si="35"/>
        <v>0</v>
      </c>
      <c r="I1216" s="490"/>
      <c r="J1216" s="276"/>
      <c r="K1216" s="276"/>
      <c r="L1216" s="276"/>
      <c r="M1216" s="276"/>
      <c r="N1216" s="276"/>
      <c r="O1216" s="276"/>
      <c r="P1216" s="276"/>
      <c r="Q1216" s="276"/>
      <c r="R1216" s="276"/>
      <c r="S1216" s="276"/>
      <c r="T1216" s="276"/>
      <c r="U1216" s="276"/>
      <c r="V1216" s="276"/>
      <c r="W1216" s="276"/>
      <c r="X1216" s="276"/>
    </row>
    <row r="1217" ht="15.75" customHeight="1">
      <c r="A1217" s="403"/>
      <c r="B1217" s="284">
        <f t="shared" si="32"/>
        <v>30</v>
      </c>
      <c r="C1217" s="284">
        <f t="shared" si="33"/>
        <v>12</v>
      </c>
      <c r="D1217" s="284">
        <f t="shared" si="34"/>
        <v>1899</v>
      </c>
      <c r="E1217" s="490"/>
      <c r="F1217" s="30"/>
      <c r="G1217" s="30"/>
      <c r="H1217" s="288">
        <f t="shared" si="35"/>
        <v>0</v>
      </c>
      <c r="I1217" s="490"/>
      <c r="J1217" s="276"/>
      <c r="K1217" s="276"/>
      <c r="L1217" s="276"/>
      <c r="M1217" s="276"/>
      <c r="N1217" s="276"/>
      <c r="O1217" s="276"/>
      <c r="P1217" s="276"/>
      <c r="Q1217" s="276"/>
      <c r="R1217" s="276"/>
      <c r="S1217" s="276"/>
      <c r="T1217" s="276"/>
      <c r="U1217" s="276"/>
      <c r="V1217" s="276"/>
      <c r="W1217" s="276"/>
      <c r="X1217" s="276"/>
    </row>
    <row r="1218" ht="15.75" customHeight="1">
      <c r="A1218" s="403"/>
      <c r="B1218" s="284">
        <f t="shared" si="32"/>
        <v>30</v>
      </c>
      <c r="C1218" s="284">
        <f t="shared" si="33"/>
        <v>12</v>
      </c>
      <c r="D1218" s="284">
        <f t="shared" si="34"/>
        <v>1899</v>
      </c>
      <c r="E1218" s="490"/>
      <c r="F1218" s="30"/>
      <c r="G1218" s="30"/>
      <c r="H1218" s="288">
        <f t="shared" si="35"/>
        <v>0</v>
      </c>
      <c r="I1218" s="490"/>
      <c r="J1218" s="276"/>
      <c r="K1218" s="276"/>
      <c r="L1218" s="276"/>
      <c r="M1218" s="276"/>
      <c r="N1218" s="276"/>
      <c r="O1218" s="276"/>
      <c r="P1218" s="276"/>
      <c r="Q1218" s="276"/>
      <c r="R1218" s="276"/>
      <c r="S1218" s="276"/>
      <c r="T1218" s="276"/>
      <c r="U1218" s="276"/>
      <c r="V1218" s="276"/>
      <c r="W1218" s="276"/>
      <c r="X1218" s="276"/>
    </row>
    <row r="1219" ht="15.75" customHeight="1">
      <c r="A1219" s="403"/>
      <c r="B1219" s="284">
        <f t="shared" si="32"/>
        <v>30</v>
      </c>
      <c r="C1219" s="284">
        <f t="shared" si="33"/>
        <v>12</v>
      </c>
      <c r="D1219" s="284">
        <f t="shared" si="34"/>
        <v>1899</v>
      </c>
      <c r="E1219" s="490"/>
      <c r="F1219" s="30"/>
      <c r="G1219" s="30"/>
      <c r="H1219" s="288">
        <f t="shared" si="35"/>
        <v>0</v>
      </c>
      <c r="I1219" s="490"/>
      <c r="J1219" s="276"/>
      <c r="K1219" s="276"/>
      <c r="L1219" s="276"/>
      <c r="M1219" s="276"/>
      <c r="N1219" s="276"/>
      <c r="O1219" s="276"/>
      <c r="P1219" s="276"/>
      <c r="Q1219" s="276"/>
      <c r="R1219" s="276"/>
      <c r="S1219" s="276"/>
      <c r="T1219" s="276"/>
      <c r="U1219" s="276"/>
      <c r="V1219" s="276"/>
      <c r="W1219" s="276"/>
      <c r="X1219" s="276"/>
    </row>
    <row r="1220" ht="15.75" customHeight="1">
      <c r="A1220" s="403"/>
      <c r="B1220" s="284">
        <f t="shared" si="32"/>
        <v>30</v>
      </c>
      <c r="C1220" s="284">
        <f t="shared" si="33"/>
        <v>12</v>
      </c>
      <c r="D1220" s="284">
        <f t="shared" si="34"/>
        <v>1899</v>
      </c>
      <c r="E1220" s="490"/>
      <c r="F1220" s="30"/>
      <c r="G1220" s="30"/>
      <c r="H1220" s="288">
        <f t="shared" si="35"/>
        <v>0</v>
      </c>
      <c r="I1220" s="490"/>
      <c r="J1220" s="276"/>
      <c r="K1220" s="276"/>
      <c r="L1220" s="276"/>
      <c r="M1220" s="276"/>
      <c r="N1220" s="276"/>
      <c r="O1220" s="276"/>
      <c r="P1220" s="276"/>
      <c r="Q1220" s="276"/>
      <c r="R1220" s="276"/>
      <c r="S1220" s="276"/>
      <c r="T1220" s="276"/>
      <c r="U1220" s="276"/>
      <c r="V1220" s="276"/>
      <c r="W1220" s="276"/>
      <c r="X1220" s="276"/>
    </row>
    <row r="1221" ht="15.75" customHeight="1">
      <c r="A1221" s="403"/>
      <c r="B1221" s="284">
        <f t="shared" si="32"/>
        <v>30</v>
      </c>
      <c r="C1221" s="284">
        <f t="shared" si="33"/>
        <v>12</v>
      </c>
      <c r="D1221" s="284">
        <f t="shared" si="34"/>
        <v>1899</v>
      </c>
      <c r="E1221" s="490"/>
      <c r="F1221" s="30"/>
      <c r="G1221" s="30"/>
      <c r="H1221" s="288">
        <f t="shared" si="35"/>
        <v>0</v>
      </c>
      <c r="I1221" s="490"/>
      <c r="J1221" s="276"/>
      <c r="K1221" s="276"/>
      <c r="L1221" s="276"/>
      <c r="M1221" s="276"/>
      <c r="N1221" s="276"/>
      <c r="O1221" s="276"/>
      <c r="P1221" s="276"/>
      <c r="Q1221" s="276"/>
      <c r="R1221" s="276"/>
      <c r="S1221" s="276"/>
      <c r="T1221" s="276"/>
      <c r="U1221" s="276"/>
      <c r="V1221" s="276"/>
      <c r="W1221" s="276"/>
      <c r="X1221" s="276"/>
    </row>
    <row r="1222" ht="15.75" customHeight="1">
      <c r="A1222" s="403"/>
      <c r="B1222" s="284">
        <f t="shared" si="32"/>
        <v>30</v>
      </c>
      <c r="C1222" s="284">
        <f t="shared" si="33"/>
        <v>12</v>
      </c>
      <c r="D1222" s="284">
        <f t="shared" si="34"/>
        <v>1899</v>
      </c>
      <c r="E1222" s="490"/>
      <c r="F1222" s="30"/>
      <c r="G1222" s="30"/>
      <c r="H1222" s="288">
        <f t="shared" si="35"/>
        <v>0</v>
      </c>
      <c r="I1222" s="490"/>
      <c r="J1222" s="276"/>
      <c r="K1222" s="276"/>
      <c r="L1222" s="276"/>
      <c r="M1222" s="276"/>
      <c r="N1222" s="276"/>
      <c r="O1222" s="276"/>
      <c r="P1222" s="276"/>
      <c r="Q1222" s="276"/>
      <c r="R1222" s="276"/>
      <c r="S1222" s="276"/>
      <c r="T1222" s="276"/>
      <c r="U1222" s="276"/>
      <c r="V1222" s="276"/>
      <c r="W1222" s="276"/>
      <c r="X1222" s="276"/>
    </row>
    <row r="1223" ht="15.75" customHeight="1">
      <c r="A1223" s="403"/>
      <c r="B1223" s="284">
        <f t="shared" si="32"/>
        <v>30</v>
      </c>
      <c r="C1223" s="284">
        <f t="shared" si="33"/>
        <v>12</v>
      </c>
      <c r="D1223" s="284">
        <f t="shared" si="34"/>
        <v>1899</v>
      </c>
      <c r="E1223" s="490"/>
      <c r="F1223" s="30"/>
      <c r="G1223" s="30"/>
      <c r="H1223" s="288">
        <f t="shared" si="35"/>
        <v>0</v>
      </c>
      <c r="I1223" s="490"/>
      <c r="J1223" s="276"/>
      <c r="K1223" s="276"/>
      <c r="L1223" s="276"/>
      <c r="M1223" s="276"/>
      <c r="N1223" s="276"/>
      <c r="O1223" s="276"/>
      <c r="P1223" s="276"/>
      <c r="Q1223" s="276"/>
      <c r="R1223" s="276"/>
      <c r="S1223" s="276"/>
      <c r="T1223" s="276"/>
      <c r="U1223" s="276"/>
      <c r="V1223" s="276"/>
      <c r="W1223" s="276"/>
      <c r="X1223" s="276"/>
    </row>
    <row r="1224" ht="15.75" customHeight="1">
      <c r="A1224" s="403"/>
      <c r="B1224" s="284">
        <f t="shared" si="32"/>
        <v>30</v>
      </c>
      <c r="C1224" s="284">
        <f t="shared" si="33"/>
        <v>12</v>
      </c>
      <c r="D1224" s="284">
        <f t="shared" si="34"/>
        <v>1899</v>
      </c>
      <c r="E1224" s="490"/>
      <c r="F1224" s="30"/>
      <c r="G1224" s="30"/>
      <c r="H1224" s="288">
        <f t="shared" si="35"/>
        <v>0</v>
      </c>
      <c r="I1224" s="490"/>
      <c r="J1224" s="276"/>
      <c r="K1224" s="276"/>
      <c r="L1224" s="276"/>
      <c r="M1224" s="276"/>
      <c r="N1224" s="276"/>
      <c r="O1224" s="276"/>
      <c r="P1224" s="276"/>
      <c r="Q1224" s="276"/>
      <c r="R1224" s="276"/>
      <c r="S1224" s="276"/>
      <c r="T1224" s="276"/>
      <c r="U1224" s="276"/>
      <c r="V1224" s="276"/>
      <c r="W1224" s="276"/>
      <c r="X1224" s="276"/>
    </row>
    <row r="1225" ht="15.75" customHeight="1">
      <c r="A1225" s="403"/>
      <c r="B1225" s="284">
        <f t="shared" si="32"/>
        <v>30</v>
      </c>
      <c r="C1225" s="284">
        <f t="shared" si="33"/>
        <v>12</v>
      </c>
      <c r="D1225" s="284">
        <f t="shared" si="34"/>
        <v>1899</v>
      </c>
      <c r="E1225" s="490"/>
      <c r="F1225" s="30"/>
      <c r="G1225" s="30"/>
      <c r="H1225" s="288">
        <f t="shared" si="35"/>
        <v>0</v>
      </c>
      <c r="I1225" s="490"/>
      <c r="J1225" s="276"/>
      <c r="K1225" s="276"/>
      <c r="L1225" s="276"/>
      <c r="M1225" s="276"/>
      <c r="N1225" s="276"/>
      <c r="O1225" s="276"/>
      <c r="P1225" s="276"/>
      <c r="Q1225" s="276"/>
      <c r="R1225" s="276"/>
      <c r="S1225" s="276"/>
      <c r="T1225" s="276"/>
      <c r="U1225" s="276"/>
      <c r="V1225" s="276"/>
      <c r="W1225" s="276"/>
      <c r="X1225" s="276"/>
    </row>
    <row r="1226" ht="15.75" customHeight="1">
      <c r="A1226" s="403"/>
      <c r="B1226" s="284">
        <f t="shared" si="32"/>
        <v>30</v>
      </c>
      <c r="C1226" s="284">
        <f t="shared" si="33"/>
        <v>12</v>
      </c>
      <c r="D1226" s="284">
        <f t="shared" si="34"/>
        <v>1899</v>
      </c>
      <c r="E1226" s="490"/>
      <c r="F1226" s="30"/>
      <c r="G1226" s="30"/>
      <c r="H1226" s="288">
        <f t="shared" si="35"/>
        <v>0</v>
      </c>
      <c r="I1226" s="490"/>
      <c r="J1226" s="276"/>
      <c r="K1226" s="276"/>
      <c r="L1226" s="276"/>
      <c r="M1226" s="276"/>
      <c r="N1226" s="276"/>
      <c r="O1226" s="276"/>
      <c r="P1226" s="276"/>
      <c r="Q1226" s="276"/>
      <c r="R1226" s="276"/>
      <c r="S1226" s="276"/>
      <c r="T1226" s="276"/>
      <c r="U1226" s="276"/>
      <c r="V1226" s="276"/>
      <c r="W1226" s="276"/>
      <c r="X1226" s="276"/>
    </row>
    <row r="1227" ht="15.75" customHeight="1">
      <c r="A1227" s="403"/>
      <c r="B1227" s="284">
        <f t="shared" si="32"/>
        <v>30</v>
      </c>
      <c r="C1227" s="284">
        <f t="shared" si="33"/>
        <v>12</v>
      </c>
      <c r="D1227" s="284">
        <f t="shared" si="34"/>
        <v>1899</v>
      </c>
      <c r="E1227" s="490"/>
      <c r="F1227" s="30"/>
      <c r="G1227" s="30"/>
      <c r="H1227" s="288">
        <f t="shared" si="35"/>
        <v>0</v>
      </c>
      <c r="I1227" s="490"/>
      <c r="J1227" s="276"/>
      <c r="K1227" s="276"/>
      <c r="L1227" s="276"/>
      <c r="M1227" s="276"/>
      <c r="N1227" s="276"/>
      <c r="O1227" s="276"/>
      <c r="P1227" s="276"/>
      <c r="Q1227" s="276"/>
      <c r="R1227" s="276"/>
      <c r="S1227" s="276"/>
      <c r="T1227" s="276"/>
      <c r="U1227" s="276"/>
      <c r="V1227" s="276"/>
      <c r="W1227" s="276"/>
      <c r="X1227" s="276"/>
    </row>
    <row r="1228" ht="15.75" customHeight="1">
      <c r="A1228" s="403"/>
      <c r="B1228" s="284">
        <f t="shared" si="32"/>
        <v>30</v>
      </c>
      <c r="C1228" s="284">
        <f t="shared" si="33"/>
        <v>12</v>
      </c>
      <c r="D1228" s="284">
        <f t="shared" si="34"/>
        <v>1899</v>
      </c>
      <c r="E1228" s="490"/>
      <c r="F1228" s="30"/>
      <c r="G1228" s="30"/>
      <c r="H1228" s="288">
        <f t="shared" si="35"/>
        <v>0</v>
      </c>
      <c r="I1228" s="490"/>
      <c r="J1228" s="276"/>
      <c r="K1228" s="276"/>
      <c r="L1228" s="276"/>
      <c r="M1228" s="276"/>
      <c r="N1228" s="276"/>
      <c r="O1228" s="276"/>
      <c r="P1228" s="276"/>
      <c r="Q1228" s="276"/>
      <c r="R1228" s="276"/>
      <c r="S1228" s="276"/>
      <c r="T1228" s="276"/>
      <c r="U1228" s="276"/>
      <c r="V1228" s="276"/>
      <c r="W1228" s="276"/>
      <c r="X1228" s="276"/>
    </row>
    <row r="1229" ht="15.75" customHeight="1">
      <c r="A1229" s="403"/>
      <c r="B1229" s="284">
        <f t="shared" si="32"/>
        <v>30</v>
      </c>
      <c r="C1229" s="284">
        <f t="shared" si="33"/>
        <v>12</v>
      </c>
      <c r="D1229" s="284">
        <f t="shared" si="34"/>
        <v>1899</v>
      </c>
      <c r="E1229" s="490"/>
      <c r="F1229" s="30"/>
      <c r="G1229" s="30"/>
      <c r="H1229" s="288">
        <f t="shared" si="35"/>
        <v>0</v>
      </c>
      <c r="I1229" s="490"/>
      <c r="J1229" s="276"/>
      <c r="K1229" s="276"/>
      <c r="L1229" s="276"/>
      <c r="M1229" s="276"/>
      <c r="N1229" s="276"/>
      <c r="O1229" s="276"/>
      <c r="P1229" s="276"/>
      <c r="Q1229" s="276"/>
      <c r="R1229" s="276"/>
      <c r="S1229" s="276"/>
      <c r="T1229" s="276"/>
      <c r="U1229" s="276"/>
      <c r="V1229" s="276"/>
      <c r="W1229" s="276"/>
      <c r="X1229" s="276"/>
    </row>
    <row r="1230" ht="15.75" customHeight="1">
      <c r="A1230" s="403"/>
      <c r="B1230" s="284">
        <f t="shared" si="32"/>
        <v>30</v>
      </c>
      <c r="C1230" s="284">
        <f t="shared" si="33"/>
        <v>12</v>
      </c>
      <c r="D1230" s="284">
        <f t="shared" si="34"/>
        <v>1899</v>
      </c>
      <c r="E1230" s="490"/>
      <c r="F1230" s="30"/>
      <c r="G1230" s="30"/>
      <c r="H1230" s="288">
        <f t="shared" si="35"/>
        <v>0</v>
      </c>
      <c r="I1230" s="490"/>
      <c r="J1230" s="276"/>
      <c r="K1230" s="276"/>
      <c r="L1230" s="276"/>
      <c r="M1230" s="276"/>
      <c r="N1230" s="276"/>
      <c r="O1230" s="276"/>
      <c r="P1230" s="276"/>
      <c r="Q1230" s="276"/>
      <c r="R1230" s="276"/>
      <c r="S1230" s="276"/>
      <c r="T1230" s="276"/>
      <c r="U1230" s="276"/>
      <c r="V1230" s="276"/>
      <c r="W1230" s="276"/>
      <c r="X1230" s="276"/>
    </row>
    <row r="1231" ht="15.75" customHeight="1">
      <c r="A1231" s="403"/>
      <c r="B1231" s="284">
        <f t="shared" si="32"/>
        <v>30</v>
      </c>
      <c r="C1231" s="284">
        <f t="shared" si="33"/>
        <v>12</v>
      </c>
      <c r="D1231" s="284">
        <f t="shared" si="34"/>
        <v>1899</v>
      </c>
      <c r="E1231" s="490"/>
      <c r="F1231" s="30"/>
      <c r="G1231" s="30"/>
      <c r="H1231" s="288">
        <f t="shared" si="35"/>
        <v>0</v>
      </c>
      <c r="I1231" s="490"/>
      <c r="J1231" s="276"/>
      <c r="K1231" s="276"/>
      <c r="L1231" s="276"/>
      <c r="M1231" s="276"/>
      <c r="N1231" s="276"/>
      <c r="O1231" s="276"/>
      <c r="P1231" s="276"/>
      <c r="Q1231" s="276"/>
      <c r="R1231" s="276"/>
      <c r="S1231" s="276"/>
      <c r="T1231" s="276"/>
      <c r="U1231" s="276"/>
      <c r="V1231" s="276"/>
      <c r="W1231" s="276"/>
      <c r="X1231" s="276"/>
    </row>
    <row r="1232" ht="15.75" customHeight="1">
      <c r="A1232" s="403"/>
      <c r="B1232" s="284">
        <f t="shared" si="32"/>
        <v>30</v>
      </c>
      <c r="C1232" s="284">
        <f t="shared" si="33"/>
        <v>12</v>
      </c>
      <c r="D1232" s="284">
        <f t="shared" si="34"/>
        <v>1899</v>
      </c>
      <c r="E1232" s="490"/>
      <c r="F1232" s="30"/>
      <c r="G1232" s="30"/>
      <c r="H1232" s="288">
        <f t="shared" si="35"/>
        <v>0</v>
      </c>
      <c r="I1232" s="490"/>
      <c r="J1232" s="276"/>
      <c r="K1232" s="276"/>
      <c r="L1232" s="276"/>
      <c r="M1232" s="276"/>
      <c r="N1232" s="276"/>
      <c r="O1232" s="276"/>
      <c r="P1232" s="276"/>
      <c r="Q1232" s="276"/>
      <c r="R1232" s="276"/>
      <c r="S1232" s="276"/>
      <c r="T1232" s="276"/>
      <c r="U1232" s="276"/>
      <c r="V1232" s="276"/>
      <c r="W1232" s="276"/>
      <c r="X1232" s="276"/>
    </row>
    <row r="1233" ht="15.75" customHeight="1">
      <c r="A1233" s="403"/>
      <c r="B1233" s="284">
        <f t="shared" si="32"/>
        <v>30</v>
      </c>
      <c r="C1233" s="284">
        <f t="shared" si="33"/>
        <v>12</v>
      </c>
      <c r="D1233" s="284">
        <f t="shared" si="34"/>
        <v>1899</v>
      </c>
      <c r="E1233" s="490"/>
      <c r="F1233" s="30"/>
      <c r="G1233" s="30"/>
      <c r="H1233" s="288">
        <f t="shared" si="35"/>
        <v>0</v>
      </c>
      <c r="I1233" s="490"/>
      <c r="J1233" s="276"/>
      <c r="K1233" s="276"/>
      <c r="L1233" s="276"/>
      <c r="M1233" s="276"/>
      <c r="N1233" s="276"/>
      <c r="O1233" s="276"/>
      <c r="P1233" s="276"/>
      <c r="Q1233" s="276"/>
      <c r="R1233" s="276"/>
      <c r="S1233" s="276"/>
      <c r="T1233" s="276"/>
      <c r="U1233" s="276"/>
      <c r="V1233" s="276"/>
      <c r="W1233" s="276"/>
      <c r="X1233" s="276"/>
    </row>
    <row r="1234" ht="15.75" customHeight="1">
      <c r="A1234" s="403"/>
      <c r="B1234" s="284">
        <f t="shared" si="32"/>
        <v>30</v>
      </c>
      <c r="C1234" s="284">
        <f t="shared" si="33"/>
        <v>12</v>
      </c>
      <c r="D1234" s="284">
        <f t="shared" si="34"/>
        <v>1899</v>
      </c>
      <c r="E1234" s="490"/>
      <c r="F1234" s="30"/>
      <c r="G1234" s="30"/>
      <c r="H1234" s="288">
        <f t="shared" si="35"/>
        <v>0</v>
      </c>
      <c r="I1234" s="490"/>
      <c r="J1234" s="276"/>
      <c r="K1234" s="276"/>
      <c r="L1234" s="276"/>
      <c r="M1234" s="276"/>
      <c r="N1234" s="276"/>
      <c r="O1234" s="276"/>
      <c r="P1234" s="276"/>
      <c r="Q1234" s="276"/>
      <c r="R1234" s="276"/>
      <c r="S1234" s="276"/>
      <c r="T1234" s="276"/>
      <c r="U1234" s="276"/>
      <c r="V1234" s="276"/>
      <c r="W1234" s="276"/>
      <c r="X1234" s="276"/>
    </row>
    <row r="1235" ht="15.75" customHeight="1">
      <c r="A1235" s="403"/>
      <c r="B1235" s="284">
        <f t="shared" si="32"/>
        <v>30</v>
      </c>
      <c r="C1235" s="284">
        <f t="shared" si="33"/>
        <v>12</v>
      </c>
      <c r="D1235" s="284">
        <f t="shared" si="34"/>
        <v>1899</v>
      </c>
      <c r="E1235" s="490"/>
      <c r="F1235" s="30"/>
      <c r="G1235" s="30"/>
      <c r="H1235" s="288">
        <f t="shared" si="35"/>
        <v>0</v>
      </c>
      <c r="I1235" s="490"/>
      <c r="J1235" s="276"/>
      <c r="K1235" s="276"/>
      <c r="L1235" s="276"/>
      <c r="M1235" s="276"/>
      <c r="N1235" s="276"/>
      <c r="O1235" s="276"/>
      <c r="P1235" s="276"/>
      <c r="Q1235" s="276"/>
      <c r="R1235" s="276"/>
      <c r="S1235" s="276"/>
      <c r="T1235" s="276"/>
      <c r="U1235" s="276"/>
      <c r="V1235" s="276"/>
      <c r="W1235" s="276"/>
      <c r="X1235" s="276"/>
    </row>
    <row r="1236" ht="15.75" customHeight="1">
      <c r="A1236" s="403"/>
      <c r="B1236" s="284">
        <f t="shared" si="32"/>
        <v>30</v>
      </c>
      <c r="C1236" s="284">
        <f t="shared" si="33"/>
        <v>12</v>
      </c>
      <c r="D1236" s="284">
        <f t="shared" si="34"/>
        <v>1899</v>
      </c>
      <c r="E1236" s="490"/>
      <c r="F1236" s="30"/>
      <c r="G1236" s="30"/>
      <c r="H1236" s="288">
        <f t="shared" si="35"/>
        <v>0</v>
      </c>
      <c r="I1236" s="490"/>
      <c r="J1236" s="276"/>
      <c r="K1236" s="276"/>
      <c r="L1236" s="276"/>
      <c r="M1236" s="276"/>
      <c r="N1236" s="276"/>
      <c r="O1236" s="276"/>
      <c r="P1236" s="276"/>
      <c r="Q1236" s="276"/>
      <c r="R1236" s="276"/>
      <c r="S1236" s="276"/>
      <c r="T1236" s="276"/>
      <c r="U1236" s="276"/>
      <c r="V1236" s="276"/>
      <c r="W1236" s="276"/>
      <c r="X1236" s="276"/>
    </row>
    <row r="1237" ht="15.75" customHeight="1">
      <c r="A1237" s="403"/>
      <c r="B1237" s="284">
        <f t="shared" si="32"/>
        <v>30</v>
      </c>
      <c r="C1237" s="284">
        <f t="shared" si="33"/>
        <v>12</v>
      </c>
      <c r="D1237" s="284">
        <f t="shared" si="34"/>
        <v>1899</v>
      </c>
      <c r="E1237" s="490"/>
      <c r="F1237" s="30"/>
      <c r="G1237" s="30"/>
      <c r="H1237" s="288">
        <f t="shared" si="35"/>
        <v>0</v>
      </c>
      <c r="I1237" s="490"/>
      <c r="J1237" s="276"/>
      <c r="K1237" s="276"/>
      <c r="L1237" s="276"/>
      <c r="M1237" s="276"/>
      <c r="N1237" s="276"/>
      <c r="O1237" s="276"/>
      <c r="P1237" s="276"/>
      <c r="Q1237" s="276"/>
      <c r="R1237" s="276"/>
      <c r="S1237" s="276"/>
      <c r="T1237" s="276"/>
      <c r="U1237" s="276"/>
      <c r="V1237" s="276"/>
      <c r="W1237" s="276"/>
      <c r="X1237" s="276"/>
    </row>
    <row r="1238" ht="15.75" customHeight="1">
      <c r="A1238" s="403"/>
      <c r="B1238" s="284">
        <f t="shared" si="32"/>
        <v>30</v>
      </c>
      <c r="C1238" s="284">
        <f t="shared" si="33"/>
        <v>12</v>
      </c>
      <c r="D1238" s="284">
        <f t="shared" si="34"/>
        <v>1899</v>
      </c>
      <c r="E1238" s="490"/>
      <c r="F1238" s="30"/>
      <c r="G1238" s="30"/>
      <c r="H1238" s="288">
        <f t="shared" si="35"/>
        <v>0</v>
      </c>
      <c r="I1238" s="490"/>
      <c r="J1238" s="276"/>
      <c r="K1238" s="276"/>
      <c r="L1238" s="276"/>
      <c r="M1238" s="276"/>
      <c r="N1238" s="276"/>
      <c r="O1238" s="276"/>
      <c r="P1238" s="276"/>
      <c r="Q1238" s="276"/>
      <c r="R1238" s="276"/>
      <c r="S1238" s="276"/>
      <c r="T1238" s="276"/>
      <c r="U1238" s="276"/>
      <c r="V1238" s="276"/>
      <c r="W1238" s="276"/>
      <c r="X1238" s="276"/>
    </row>
    <row r="1239" ht="15.75" customHeight="1">
      <c r="A1239" s="403"/>
      <c r="B1239" s="284">
        <f t="shared" si="32"/>
        <v>30</v>
      </c>
      <c r="C1239" s="284">
        <f t="shared" si="33"/>
        <v>12</v>
      </c>
      <c r="D1239" s="284">
        <f t="shared" si="34"/>
        <v>1899</v>
      </c>
      <c r="E1239" s="490"/>
      <c r="F1239" s="30"/>
      <c r="G1239" s="30"/>
      <c r="H1239" s="288">
        <f t="shared" si="35"/>
        <v>0</v>
      </c>
      <c r="I1239" s="490"/>
      <c r="J1239" s="276"/>
      <c r="K1239" s="276"/>
      <c r="L1239" s="276"/>
      <c r="M1239" s="276"/>
      <c r="N1239" s="276"/>
      <c r="O1239" s="276"/>
      <c r="P1239" s="276"/>
      <c r="Q1239" s="276"/>
      <c r="R1239" s="276"/>
      <c r="S1239" s="276"/>
      <c r="T1239" s="276"/>
      <c r="U1239" s="276"/>
      <c r="V1239" s="276"/>
      <c r="W1239" s="276"/>
      <c r="X1239" s="276"/>
    </row>
    <row r="1240" ht="15.75" customHeight="1">
      <c r="A1240" s="403"/>
      <c r="B1240" s="284">
        <f t="shared" si="32"/>
        <v>30</v>
      </c>
      <c r="C1240" s="284">
        <f t="shared" si="33"/>
        <v>12</v>
      </c>
      <c r="D1240" s="284">
        <f t="shared" si="34"/>
        <v>1899</v>
      </c>
      <c r="E1240" s="490"/>
      <c r="F1240" s="30"/>
      <c r="G1240" s="30"/>
      <c r="H1240" s="288">
        <f t="shared" si="35"/>
        <v>0</v>
      </c>
      <c r="I1240" s="490"/>
      <c r="J1240" s="276"/>
      <c r="K1240" s="276"/>
      <c r="L1240" s="276"/>
      <c r="M1240" s="276"/>
      <c r="N1240" s="276"/>
      <c r="O1240" s="276"/>
      <c r="P1240" s="276"/>
      <c r="Q1240" s="276"/>
      <c r="R1240" s="276"/>
      <c r="S1240" s="276"/>
      <c r="T1240" s="276"/>
      <c r="U1240" s="276"/>
      <c r="V1240" s="276"/>
      <c r="W1240" s="276"/>
      <c r="X1240" s="276"/>
    </row>
    <row r="1241" ht="15.75" customHeight="1">
      <c r="A1241" s="403"/>
      <c r="B1241" s="284">
        <f t="shared" si="32"/>
        <v>30</v>
      </c>
      <c r="C1241" s="284">
        <f t="shared" si="33"/>
        <v>12</v>
      </c>
      <c r="D1241" s="284">
        <f t="shared" si="34"/>
        <v>1899</v>
      </c>
      <c r="E1241" s="490"/>
      <c r="F1241" s="30"/>
      <c r="G1241" s="30"/>
      <c r="H1241" s="288">
        <f t="shared" si="35"/>
        <v>0</v>
      </c>
      <c r="I1241" s="490"/>
      <c r="J1241" s="276"/>
      <c r="K1241" s="276"/>
      <c r="L1241" s="276"/>
      <c r="M1241" s="276"/>
      <c r="N1241" s="276"/>
      <c r="O1241" s="276"/>
      <c r="P1241" s="276"/>
      <c r="Q1241" s="276"/>
      <c r="R1241" s="276"/>
      <c r="S1241" s="276"/>
      <c r="T1241" s="276"/>
      <c r="U1241" s="276"/>
      <c r="V1241" s="276"/>
      <c r="W1241" s="276"/>
      <c r="X1241" s="276"/>
    </row>
    <row r="1242" ht="15.75" customHeight="1">
      <c r="A1242" s="403"/>
      <c r="B1242" s="284">
        <f t="shared" si="32"/>
        <v>30</v>
      </c>
      <c r="C1242" s="284">
        <f t="shared" si="33"/>
        <v>12</v>
      </c>
      <c r="D1242" s="284">
        <f t="shared" si="34"/>
        <v>1899</v>
      </c>
      <c r="E1242" s="490"/>
      <c r="F1242" s="30"/>
      <c r="G1242" s="30"/>
      <c r="H1242" s="288">
        <f t="shared" si="35"/>
        <v>0</v>
      </c>
      <c r="I1242" s="490"/>
      <c r="J1242" s="276"/>
      <c r="K1242" s="276"/>
      <c r="L1242" s="276"/>
      <c r="M1242" s="276"/>
      <c r="N1242" s="276"/>
      <c r="O1242" s="276"/>
      <c r="P1242" s="276"/>
      <c r="Q1242" s="276"/>
      <c r="R1242" s="276"/>
      <c r="S1242" s="276"/>
      <c r="T1242" s="276"/>
      <c r="U1242" s="276"/>
      <c r="V1242" s="276"/>
      <c r="W1242" s="276"/>
      <c r="X1242" s="276"/>
    </row>
    <row r="1243" ht="15.75" customHeight="1">
      <c r="A1243" s="403"/>
      <c r="B1243" s="284">
        <f t="shared" si="32"/>
        <v>30</v>
      </c>
      <c r="C1243" s="284">
        <f t="shared" si="33"/>
        <v>12</v>
      </c>
      <c r="D1243" s="284">
        <f t="shared" si="34"/>
        <v>1899</v>
      </c>
      <c r="E1243" s="490"/>
      <c r="F1243" s="30"/>
      <c r="G1243" s="30"/>
      <c r="H1243" s="288">
        <f t="shared" si="35"/>
        <v>0</v>
      </c>
      <c r="I1243" s="490"/>
      <c r="J1243" s="276"/>
      <c r="K1243" s="276"/>
      <c r="L1243" s="276"/>
      <c r="M1243" s="276"/>
      <c r="N1243" s="276"/>
      <c r="O1243" s="276"/>
      <c r="P1243" s="276"/>
      <c r="Q1243" s="276"/>
      <c r="R1243" s="276"/>
      <c r="S1243" s="276"/>
      <c r="T1243" s="276"/>
      <c r="U1243" s="276"/>
      <c r="V1243" s="276"/>
      <c r="W1243" s="276"/>
      <c r="X1243" s="276"/>
    </row>
    <row r="1244" ht="15.75" customHeight="1">
      <c r="A1244" s="403"/>
      <c r="B1244" s="284">
        <f t="shared" si="32"/>
        <v>30</v>
      </c>
      <c r="C1244" s="284">
        <f t="shared" si="33"/>
        <v>12</v>
      </c>
      <c r="D1244" s="284">
        <f t="shared" si="34"/>
        <v>1899</v>
      </c>
      <c r="E1244" s="490"/>
      <c r="F1244" s="30"/>
      <c r="G1244" s="30"/>
      <c r="H1244" s="288">
        <f t="shared" si="35"/>
        <v>0</v>
      </c>
      <c r="I1244" s="490"/>
      <c r="J1244" s="276"/>
      <c r="K1244" s="276"/>
      <c r="L1244" s="276"/>
      <c r="M1244" s="276"/>
      <c r="N1244" s="276"/>
      <c r="O1244" s="276"/>
      <c r="P1244" s="276"/>
      <c r="Q1244" s="276"/>
      <c r="R1244" s="276"/>
      <c r="S1244" s="276"/>
      <c r="T1244" s="276"/>
      <c r="U1244" s="276"/>
      <c r="V1244" s="276"/>
      <c r="W1244" s="276"/>
      <c r="X1244" s="276"/>
    </row>
    <row r="1245" ht="15.75" customHeight="1">
      <c r="A1245" s="403"/>
      <c r="B1245" s="284">
        <f t="shared" si="32"/>
        <v>30</v>
      </c>
      <c r="C1245" s="284">
        <f t="shared" si="33"/>
        <v>12</v>
      </c>
      <c r="D1245" s="284">
        <f t="shared" si="34"/>
        <v>1899</v>
      </c>
      <c r="E1245" s="490"/>
      <c r="F1245" s="30"/>
      <c r="G1245" s="30"/>
      <c r="H1245" s="288">
        <f t="shared" si="35"/>
        <v>0</v>
      </c>
      <c r="I1245" s="490"/>
      <c r="J1245" s="276"/>
      <c r="K1245" s="276"/>
      <c r="L1245" s="276"/>
      <c r="M1245" s="276"/>
      <c r="N1245" s="276"/>
      <c r="O1245" s="276"/>
      <c r="P1245" s="276"/>
      <c r="Q1245" s="276"/>
      <c r="R1245" s="276"/>
      <c r="S1245" s="276"/>
      <c r="T1245" s="276"/>
      <c r="U1245" s="276"/>
      <c r="V1245" s="276"/>
      <c r="W1245" s="276"/>
      <c r="X1245" s="276"/>
    </row>
    <row r="1246" ht="15.75" customHeight="1">
      <c r="A1246" s="403"/>
      <c r="B1246" s="284">
        <f t="shared" si="32"/>
        <v>30</v>
      </c>
      <c r="C1246" s="284">
        <f t="shared" si="33"/>
        <v>12</v>
      </c>
      <c r="D1246" s="284">
        <f t="shared" si="34"/>
        <v>1899</v>
      </c>
      <c r="E1246" s="490"/>
      <c r="F1246" s="30"/>
      <c r="G1246" s="30"/>
      <c r="H1246" s="288">
        <f t="shared" si="35"/>
        <v>0</v>
      </c>
      <c r="I1246" s="490"/>
      <c r="J1246" s="276"/>
      <c r="K1246" s="276"/>
      <c r="L1246" s="276"/>
      <c r="M1246" s="276"/>
      <c r="N1246" s="276"/>
      <c r="O1246" s="276"/>
      <c r="P1246" s="276"/>
      <c r="Q1246" s="276"/>
      <c r="R1246" s="276"/>
      <c r="S1246" s="276"/>
      <c r="T1246" s="276"/>
      <c r="U1246" s="276"/>
      <c r="V1246" s="276"/>
      <c r="W1246" s="276"/>
      <c r="X1246" s="276"/>
    </row>
    <row r="1247" ht="15.75" customHeight="1">
      <c r="A1247" s="403"/>
      <c r="B1247" s="284">
        <f t="shared" si="32"/>
        <v>30</v>
      </c>
      <c r="C1247" s="284">
        <f t="shared" si="33"/>
        <v>12</v>
      </c>
      <c r="D1247" s="284">
        <f t="shared" si="34"/>
        <v>1899</v>
      </c>
      <c r="E1247" s="490"/>
      <c r="F1247" s="30"/>
      <c r="G1247" s="30"/>
      <c r="H1247" s="288">
        <f t="shared" si="35"/>
        <v>0</v>
      </c>
      <c r="I1247" s="490"/>
      <c r="J1247" s="276"/>
      <c r="K1247" s="276"/>
      <c r="L1247" s="276"/>
      <c r="M1247" s="276"/>
      <c r="N1247" s="276"/>
      <c r="O1247" s="276"/>
      <c r="P1247" s="276"/>
      <c r="Q1247" s="276"/>
      <c r="R1247" s="276"/>
      <c r="S1247" s="276"/>
      <c r="T1247" s="276"/>
      <c r="U1247" s="276"/>
      <c r="V1247" s="276"/>
      <c r="W1247" s="276"/>
      <c r="X1247" s="276"/>
    </row>
    <row r="1248" ht="15.75" customHeight="1">
      <c r="A1248" s="403"/>
      <c r="B1248" s="284">
        <f t="shared" si="32"/>
        <v>30</v>
      </c>
      <c r="C1248" s="284">
        <f t="shared" si="33"/>
        <v>12</v>
      </c>
      <c r="D1248" s="284">
        <f t="shared" si="34"/>
        <v>1899</v>
      </c>
      <c r="E1248" s="490"/>
      <c r="F1248" s="30"/>
      <c r="G1248" s="30"/>
      <c r="H1248" s="288">
        <f t="shared" si="35"/>
        <v>0</v>
      </c>
      <c r="I1248" s="490"/>
      <c r="J1248" s="276"/>
      <c r="K1248" s="276"/>
      <c r="L1248" s="276"/>
      <c r="M1248" s="276"/>
      <c r="N1248" s="276"/>
      <c r="O1248" s="276"/>
      <c r="P1248" s="276"/>
      <c r="Q1248" s="276"/>
      <c r="R1248" s="276"/>
      <c r="S1248" s="276"/>
      <c r="T1248" s="276"/>
      <c r="U1248" s="276"/>
      <c r="V1248" s="276"/>
      <c r="W1248" s="276"/>
      <c r="X1248" s="276"/>
    </row>
    <row r="1249" ht="15.75" customHeight="1">
      <c r="A1249" s="403"/>
      <c r="B1249" s="284">
        <f t="shared" si="32"/>
        <v>30</v>
      </c>
      <c r="C1249" s="284">
        <f t="shared" si="33"/>
        <v>12</v>
      </c>
      <c r="D1249" s="284">
        <f t="shared" si="34"/>
        <v>1899</v>
      </c>
      <c r="E1249" s="490"/>
      <c r="F1249" s="30"/>
      <c r="G1249" s="30"/>
      <c r="H1249" s="288">
        <f t="shared" si="35"/>
        <v>0</v>
      </c>
      <c r="I1249" s="490"/>
      <c r="J1249" s="276"/>
      <c r="K1249" s="276"/>
      <c r="L1249" s="276"/>
      <c r="M1249" s="276"/>
      <c r="N1249" s="276"/>
      <c r="O1249" s="276"/>
      <c r="P1249" s="276"/>
      <c r="Q1249" s="276"/>
      <c r="R1249" s="276"/>
      <c r="S1249" s="276"/>
      <c r="T1249" s="276"/>
      <c r="U1249" s="276"/>
      <c r="V1249" s="276"/>
      <c r="W1249" s="276"/>
      <c r="X1249" s="276"/>
    </row>
    <row r="1250" ht="15.75" customHeight="1">
      <c r="A1250" s="403"/>
      <c r="B1250" s="284">
        <f t="shared" si="32"/>
        <v>30</v>
      </c>
      <c r="C1250" s="284">
        <f t="shared" si="33"/>
        <v>12</v>
      </c>
      <c r="D1250" s="284">
        <f t="shared" si="34"/>
        <v>1899</v>
      </c>
      <c r="E1250" s="490"/>
      <c r="F1250" s="30"/>
      <c r="G1250" s="30"/>
      <c r="H1250" s="288">
        <f t="shared" si="35"/>
        <v>0</v>
      </c>
      <c r="I1250" s="490"/>
      <c r="J1250" s="276"/>
      <c r="K1250" s="276"/>
      <c r="L1250" s="276"/>
      <c r="M1250" s="276"/>
      <c r="N1250" s="276"/>
      <c r="O1250" s="276"/>
      <c r="P1250" s="276"/>
      <c r="Q1250" s="276"/>
      <c r="R1250" s="276"/>
      <c r="S1250" s="276"/>
      <c r="T1250" s="276"/>
      <c r="U1250" s="276"/>
      <c r="V1250" s="276"/>
      <c r="W1250" s="276"/>
      <c r="X1250" s="276"/>
    </row>
    <row r="1251" ht="15.75" customHeight="1">
      <c r="A1251" s="403"/>
      <c r="B1251" s="284">
        <f t="shared" si="32"/>
        <v>30</v>
      </c>
      <c r="C1251" s="284">
        <f t="shared" si="33"/>
        <v>12</v>
      </c>
      <c r="D1251" s="284">
        <f t="shared" si="34"/>
        <v>1899</v>
      </c>
      <c r="E1251" s="490"/>
      <c r="F1251" s="30"/>
      <c r="G1251" s="30"/>
      <c r="H1251" s="288">
        <f t="shared" si="35"/>
        <v>0</v>
      </c>
      <c r="I1251" s="490"/>
      <c r="J1251" s="276"/>
      <c r="K1251" s="276"/>
      <c r="L1251" s="276"/>
      <c r="M1251" s="276"/>
      <c r="N1251" s="276"/>
      <c r="O1251" s="276"/>
      <c r="P1251" s="276"/>
      <c r="Q1251" s="276"/>
      <c r="R1251" s="276"/>
      <c r="S1251" s="276"/>
      <c r="T1251" s="276"/>
      <c r="U1251" s="276"/>
      <c r="V1251" s="276"/>
      <c r="W1251" s="276"/>
      <c r="X1251" s="276"/>
    </row>
    <row r="1252" ht="15.75" customHeight="1">
      <c r="A1252" s="403"/>
      <c r="B1252" s="284">
        <f t="shared" si="32"/>
        <v>30</v>
      </c>
      <c r="C1252" s="284">
        <f t="shared" si="33"/>
        <v>12</v>
      </c>
      <c r="D1252" s="284">
        <f t="shared" si="34"/>
        <v>1899</v>
      </c>
      <c r="E1252" s="490"/>
      <c r="F1252" s="30"/>
      <c r="G1252" s="30"/>
      <c r="H1252" s="288">
        <f t="shared" si="35"/>
        <v>0</v>
      </c>
      <c r="I1252" s="490"/>
      <c r="J1252" s="276"/>
      <c r="K1252" s="276"/>
      <c r="L1252" s="276"/>
      <c r="M1252" s="276"/>
      <c r="N1252" s="276"/>
      <c r="O1252" s="276"/>
      <c r="P1252" s="276"/>
      <c r="Q1252" s="276"/>
      <c r="R1252" s="276"/>
      <c r="S1252" s="276"/>
      <c r="T1252" s="276"/>
      <c r="U1252" s="276"/>
      <c r="V1252" s="276"/>
      <c r="W1252" s="276"/>
      <c r="X1252" s="276"/>
    </row>
    <row r="1253" ht="15.75" customHeight="1">
      <c r="A1253" s="403"/>
      <c r="B1253" s="284">
        <f t="shared" si="32"/>
        <v>30</v>
      </c>
      <c r="C1253" s="284">
        <f t="shared" si="33"/>
        <v>12</v>
      </c>
      <c r="D1253" s="284">
        <f t="shared" si="34"/>
        <v>1899</v>
      </c>
      <c r="E1253" s="490"/>
      <c r="F1253" s="30"/>
      <c r="G1253" s="30"/>
      <c r="H1253" s="288">
        <f t="shared" si="35"/>
        <v>0</v>
      </c>
      <c r="I1253" s="490"/>
      <c r="J1253" s="276"/>
      <c r="K1253" s="276"/>
      <c r="L1253" s="276"/>
      <c r="M1253" s="276"/>
      <c r="N1253" s="276"/>
      <c r="O1253" s="276"/>
      <c r="P1253" s="276"/>
      <c r="Q1253" s="276"/>
      <c r="R1253" s="276"/>
      <c r="S1253" s="276"/>
      <c r="T1253" s="276"/>
      <c r="U1253" s="276"/>
      <c r="V1253" s="276"/>
      <c r="W1253" s="276"/>
      <c r="X1253" s="276"/>
    </row>
    <row r="1254" ht="15.75" customHeight="1">
      <c r="A1254" s="403"/>
      <c r="B1254" s="284">
        <f t="shared" si="32"/>
        <v>30</v>
      </c>
      <c r="C1254" s="284">
        <f t="shared" si="33"/>
        <v>12</v>
      </c>
      <c r="D1254" s="284">
        <f t="shared" si="34"/>
        <v>1899</v>
      </c>
      <c r="E1254" s="490"/>
      <c r="F1254" s="30"/>
      <c r="G1254" s="30"/>
      <c r="H1254" s="288">
        <f t="shared" si="35"/>
        <v>0</v>
      </c>
      <c r="I1254" s="490"/>
      <c r="J1254" s="276"/>
      <c r="K1254" s="276"/>
      <c r="L1254" s="276"/>
      <c r="M1254" s="276"/>
      <c r="N1254" s="276"/>
      <c r="O1254" s="276"/>
      <c r="P1254" s="276"/>
      <c r="Q1254" s="276"/>
      <c r="R1254" s="276"/>
      <c r="S1254" s="276"/>
      <c r="T1254" s="276"/>
      <c r="U1254" s="276"/>
      <c r="V1254" s="276"/>
      <c r="W1254" s="276"/>
      <c r="X1254" s="276"/>
    </row>
    <row r="1255" ht="15.75" customHeight="1">
      <c r="A1255" s="403"/>
      <c r="B1255" s="284">
        <f t="shared" si="32"/>
        <v>30</v>
      </c>
      <c r="C1255" s="284">
        <f t="shared" si="33"/>
        <v>12</v>
      </c>
      <c r="D1255" s="284">
        <f t="shared" si="34"/>
        <v>1899</v>
      </c>
      <c r="E1255" s="490"/>
      <c r="F1255" s="30"/>
      <c r="G1255" s="30"/>
      <c r="H1255" s="288">
        <f t="shared" si="35"/>
        <v>0</v>
      </c>
      <c r="I1255" s="490"/>
      <c r="J1255" s="276"/>
      <c r="K1255" s="276"/>
      <c r="L1255" s="276"/>
      <c r="M1255" s="276"/>
      <c r="N1255" s="276"/>
      <c r="O1255" s="276"/>
      <c r="P1255" s="276"/>
      <c r="Q1255" s="276"/>
      <c r="R1255" s="276"/>
      <c r="S1255" s="276"/>
      <c r="T1255" s="276"/>
      <c r="U1255" s="276"/>
      <c r="V1255" s="276"/>
      <c r="W1255" s="276"/>
      <c r="X1255" s="276"/>
    </row>
    <row r="1256" ht="15.75" customHeight="1">
      <c r="A1256" s="403"/>
      <c r="B1256" s="284">
        <f t="shared" si="32"/>
        <v>30</v>
      </c>
      <c r="C1256" s="284">
        <f t="shared" si="33"/>
        <v>12</v>
      </c>
      <c r="D1256" s="284">
        <f t="shared" si="34"/>
        <v>1899</v>
      </c>
      <c r="E1256" s="490"/>
      <c r="F1256" s="30"/>
      <c r="G1256" s="30"/>
      <c r="H1256" s="288">
        <f t="shared" si="35"/>
        <v>0</v>
      </c>
      <c r="I1256" s="490"/>
      <c r="J1256" s="276"/>
      <c r="K1256" s="276"/>
      <c r="L1256" s="276"/>
      <c r="M1256" s="276"/>
      <c r="N1256" s="276"/>
      <c r="O1256" s="276"/>
      <c r="P1256" s="276"/>
      <c r="Q1256" s="276"/>
      <c r="R1256" s="276"/>
      <c r="S1256" s="276"/>
      <c r="T1256" s="276"/>
      <c r="U1256" s="276"/>
      <c r="V1256" s="276"/>
      <c r="W1256" s="276"/>
      <c r="X1256" s="276"/>
    </row>
    <row r="1257" ht="15.75" customHeight="1">
      <c r="A1257" s="403"/>
      <c r="B1257" s="284">
        <f t="shared" si="32"/>
        <v>30</v>
      </c>
      <c r="C1257" s="284">
        <f t="shared" si="33"/>
        <v>12</v>
      </c>
      <c r="D1257" s="284">
        <f t="shared" si="34"/>
        <v>1899</v>
      </c>
      <c r="E1257" s="490"/>
      <c r="F1257" s="30"/>
      <c r="G1257" s="30"/>
      <c r="H1257" s="288">
        <f t="shared" si="35"/>
        <v>0</v>
      </c>
      <c r="I1257" s="490"/>
      <c r="J1257" s="276"/>
      <c r="K1257" s="276"/>
      <c r="L1257" s="276"/>
      <c r="M1257" s="276"/>
      <c r="N1257" s="276"/>
      <c r="O1257" s="276"/>
      <c r="P1257" s="276"/>
      <c r="Q1257" s="276"/>
      <c r="R1257" s="276"/>
      <c r="S1257" s="276"/>
      <c r="T1257" s="276"/>
      <c r="U1257" s="276"/>
      <c r="V1257" s="276"/>
      <c r="W1257" s="276"/>
      <c r="X1257" s="276"/>
    </row>
    <row r="1258" ht="15.75" customHeight="1">
      <c r="A1258" s="403"/>
      <c r="B1258" s="284">
        <f t="shared" si="32"/>
        <v>30</v>
      </c>
      <c r="C1258" s="284">
        <f t="shared" si="33"/>
        <v>12</v>
      </c>
      <c r="D1258" s="284">
        <f t="shared" si="34"/>
        <v>1899</v>
      </c>
      <c r="E1258" s="490"/>
      <c r="F1258" s="30"/>
      <c r="G1258" s="30"/>
      <c r="H1258" s="288">
        <f t="shared" si="35"/>
        <v>0</v>
      </c>
      <c r="I1258" s="490"/>
      <c r="J1258" s="276"/>
      <c r="K1258" s="276"/>
      <c r="L1258" s="276"/>
      <c r="M1258" s="276"/>
      <c r="N1258" s="276"/>
      <c r="O1258" s="276"/>
      <c r="P1258" s="276"/>
      <c r="Q1258" s="276"/>
      <c r="R1258" s="276"/>
      <c r="S1258" s="276"/>
      <c r="T1258" s="276"/>
      <c r="U1258" s="276"/>
      <c r="V1258" s="276"/>
      <c r="W1258" s="276"/>
      <c r="X1258" s="276"/>
    </row>
    <row r="1259" ht="15.75" customHeight="1">
      <c r="A1259" s="403"/>
      <c r="B1259" s="284">
        <f t="shared" si="32"/>
        <v>30</v>
      </c>
      <c r="C1259" s="284">
        <f t="shared" si="33"/>
        <v>12</v>
      </c>
      <c r="D1259" s="284">
        <f t="shared" si="34"/>
        <v>1899</v>
      </c>
      <c r="E1259" s="490"/>
      <c r="F1259" s="30"/>
      <c r="G1259" s="30"/>
      <c r="H1259" s="288">
        <f t="shared" si="35"/>
        <v>0</v>
      </c>
      <c r="I1259" s="490"/>
      <c r="J1259" s="276"/>
      <c r="K1259" s="276"/>
      <c r="L1259" s="276"/>
      <c r="M1259" s="276"/>
      <c r="N1259" s="276"/>
      <c r="O1259" s="276"/>
      <c r="P1259" s="276"/>
      <c r="Q1259" s="276"/>
      <c r="R1259" s="276"/>
      <c r="S1259" s="276"/>
      <c r="T1259" s="276"/>
      <c r="U1259" s="276"/>
      <c r="V1259" s="276"/>
      <c r="W1259" s="276"/>
      <c r="X1259" s="276"/>
    </row>
    <row r="1260" ht="15.75" customHeight="1">
      <c r="A1260" s="403"/>
      <c r="B1260" s="284">
        <f t="shared" si="32"/>
        <v>30</v>
      </c>
      <c r="C1260" s="284">
        <f t="shared" si="33"/>
        <v>12</v>
      </c>
      <c r="D1260" s="284">
        <f t="shared" si="34"/>
        <v>1899</v>
      </c>
      <c r="E1260" s="490"/>
      <c r="F1260" s="30"/>
      <c r="G1260" s="30"/>
      <c r="H1260" s="288">
        <f t="shared" si="35"/>
        <v>0</v>
      </c>
      <c r="I1260" s="490"/>
      <c r="J1260" s="276"/>
      <c r="K1260" s="276"/>
      <c r="L1260" s="276"/>
      <c r="M1260" s="276"/>
      <c r="N1260" s="276"/>
      <c r="O1260" s="276"/>
      <c r="P1260" s="276"/>
      <c r="Q1260" s="276"/>
      <c r="R1260" s="276"/>
      <c r="S1260" s="276"/>
      <c r="T1260" s="276"/>
      <c r="U1260" s="276"/>
      <c r="V1260" s="276"/>
      <c r="W1260" s="276"/>
      <c r="X1260" s="276"/>
    </row>
    <row r="1261" ht="15.75" customHeight="1">
      <c r="A1261" s="403"/>
      <c r="B1261" s="284">
        <f t="shared" si="32"/>
        <v>30</v>
      </c>
      <c r="C1261" s="284">
        <f t="shared" si="33"/>
        <v>12</v>
      </c>
      <c r="D1261" s="284">
        <f t="shared" si="34"/>
        <v>1899</v>
      </c>
      <c r="E1261" s="490"/>
      <c r="F1261" s="30"/>
      <c r="G1261" s="30"/>
      <c r="H1261" s="288">
        <f t="shared" si="35"/>
        <v>0</v>
      </c>
      <c r="I1261" s="490"/>
      <c r="J1261" s="276"/>
      <c r="K1261" s="276"/>
      <c r="L1261" s="276"/>
      <c r="M1261" s="276"/>
      <c r="N1261" s="276"/>
      <c r="O1261" s="276"/>
      <c r="P1261" s="276"/>
      <c r="Q1261" s="276"/>
      <c r="R1261" s="276"/>
      <c r="S1261" s="276"/>
      <c r="T1261" s="276"/>
      <c r="U1261" s="276"/>
      <c r="V1261" s="276"/>
      <c r="W1261" s="276"/>
      <c r="X1261" s="276"/>
    </row>
    <row r="1262" ht="15.75" customHeight="1">
      <c r="A1262" s="403"/>
      <c r="B1262" s="284">
        <f t="shared" si="32"/>
        <v>30</v>
      </c>
      <c r="C1262" s="284">
        <f t="shared" si="33"/>
        <v>12</v>
      </c>
      <c r="D1262" s="284">
        <f t="shared" si="34"/>
        <v>1899</v>
      </c>
      <c r="E1262" s="490"/>
      <c r="F1262" s="30"/>
      <c r="G1262" s="30"/>
      <c r="H1262" s="288">
        <f t="shared" si="35"/>
        <v>0</v>
      </c>
      <c r="I1262" s="490"/>
      <c r="J1262" s="276"/>
      <c r="K1262" s="276"/>
      <c r="L1262" s="276"/>
      <c r="M1262" s="276"/>
      <c r="N1262" s="276"/>
      <c r="O1262" s="276"/>
      <c r="P1262" s="276"/>
      <c r="Q1262" s="276"/>
      <c r="R1262" s="276"/>
      <c r="S1262" s="276"/>
      <c r="T1262" s="276"/>
      <c r="U1262" s="276"/>
      <c r="V1262" s="276"/>
      <c r="W1262" s="276"/>
      <c r="X1262" s="276"/>
    </row>
    <row r="1263" ht="15.75" customHeight="1">
      <c r="A1263" s="403"/>
      <c r="B1263" s="284">
        <f t="shared" si="32"/>
        <v>30</v>
      </c>
      <c r="C1263" s="284">
        <f t="shared" si="33"/>
        <v>12</v>
      </c>
      <c r="D1263" s="284">
        <f t="shared" si="34"/>
        <v>1899</v>
      </c>
      <c r="E1263" s="490"/>
      <c r="F1263" s="30"/>
      <c r="G1263" s="30"/>
      <c r="H1263" s="288">
        <f t="shared" si="35"/>
        <v>0</v>
      </c>
      <c r="I1263" s="490"/>
      <c r="J1263" s="276"/>
      <c r="K1263" s="276"/>
      <c r="L1263" s="276"/>
      <c r="M1263" s="276"/>
      <c r="N1263" s="276"/>
      <c r="O1263" s="276"/>
      <c r="P1263" s="276"/>
      <c r="Q1263" s="276"/>
      <c r="R1263" s="276"/>
      <c r="S1263" s="276"/>
      <c r="T1263" s="276"/>
      <c r="U1263" s="276"/>
      <c r="V1263" s="276"/>
      <c r="W1263" s="276"/>
      <c r="X1263" s="276"/>
    </row>
    <row r="1264" ht="15.75" customHeight="1">
      <c r="A1264" s="403"/>
      <c r="B1264" s="284">
        <f t="shared" si="32"/>
        <v>30</v>
      </c>
      <c r="C1264" s="284">
        <f t="shared" si="33"/>
        <v>12</v>
      </c>
      <c r="D1264" s="284">
        <f t="shared" si="34"/>
        <v>1899</v>
      </c>
      <c r="E1264" s="490"/>
      <c r="F1264" s="30"/>
      <c r="G1264" s="30"/>
      <c r="H1264" s="288">
        <f t="shared" si="35"/>
        <v>0</v>
      </c>
      <c r="I1264" s="490"/>
      <c r="J1264" s="276"/>
      <c r="K1264" s="276"/>
      <c r="L1264" s="276"/>
      <c r="M1264" s="276"/>
      <c r="N1264" s="276"/>
      <c r="O1264" s="276"/>
      <c r="P1264" s="276"/>
      <c r="Q1264" s="276"/>
      <c r="R1264" s="276"/>
      <c r="S1264" s="276"/>
      <c r="T1264" s="276"/>
      <c r="U1264" s="276"/>
      <c r="V1264" s="276"/>
      <c r="W1264" s="276"/>
      <c r="X1264" s="276"/>
    </row>
    <row r="1265" ht="15.75" customHeight="1">
      <c r="A1265" s="403"/>
      <c r="B1265" s="284">
        <f t="shared" si="32"/>
        <v>30</v>
      </c>
      <c r="C1265" s="284">
        <f t="shared" si="33"/>
        <v>12</v>
      </c>
      <c r="D1265" s="284">
        <f t="shared" si="34"/>
        <v>1899</v>
      </c>
      <c r="E1265" s="490"/>
      <c r="F1265" s="30"/>
      <c r="G1265" s="30"/>
      <c r="H1265" s="288">
        <f t="shared" si="35"/>
        <v>0</v>
      </c>
      <c r="I1265" s="490"/>
      <c r="J1265" s="276"/>
      <c r="K1265" s="276"/>
      <c r="L1265" s="276"/>
      <c r="M1265" s="276"/>
      <c r="N1265" s="276"/>
      <c r="O1265" s="276"/>
      <c r="P1265" s="276"/>
      <c r="Q1265" s="276"/>
      <c r="R1265" s="276"/>
      <c r="S1265" s="276"/>
      <c r="T1265" s="276"/>
      <c r="U1265" s="276"/>
      <c r="V1265" s="276"/>
      <c r="W1265" s="276"/>
      <c r="X1265" s="276"/>
    </row>
    <row r="1266" ht="15.75" customHeight="1">
      <c r="A1266" s="403"/>
      <c r="B1266" s="284">
        <f t="shared" si="32"/>
        <v>30</v>
      </c>
      <c r="C1266" s="284">
        <f t="shared" si="33"/>
        <v>12</v>
      </c>
      <c r="D1266" s="284">
        <f t="shared" si="34"/>
        <v>1899</v>
      </c>
      <c r="E1266" s="490"/>
      <c r="F1266" s="30"/>
      <c r="G1266" s="30"/>
      <c r="H1266" s="288">
        <f t="shared" si="35"/>
        <v>0</v>
      </c>
      <c r="I1266" s="490"/>
      <c r="J1266" s="276"/>
      <c r="K1266" s="276"/>
      <c r="L1266" s="276"/>
      <c r="M1266" s="276"/>
      <c r="N1266" s="276"/>
      <c r="O1266" s="276"/>
      <c r="P1266" s="276"/>
      <c r="Q1266" s="276"/>
      <c r="R1266" s="276"/>
      <c r="S1266" s="276"/>
      <c r="T1266" s="276"/>
      <c r="U1266" s="276"/>
      <c r="V1266" s="276"/>
      <c r="W1266" s="276"/>
      <c r="X1266" s="276"/>
    </row>
    <row r="1267" ht="15.75" customHeight="1">
      <c r="A1267" s="403"/>
      <c r="B1267" s="284">
        <f t="shared" si="32"/>
        <v>30</v>
      </c>
      <c r="C1267" s="284">
        <f t="shared" si="33"/>
        <v>12</v>
      </c>
      <c r="D1267" s="284">
        <f t="shared" si="34"/>
        <v>1899</v>
      </c>
      <c r="E1267" s="490"/>
      <c r="F1267" s="30"/>
      <c r="G1267" s="30"/>
      <c r="H1267" s="288">
        <f t="shared" si="35"/>
        <v>0</v>
      </c>
      <c r="I1267" s="490"/>
      <c r="J1267" s="276"/>
      <c r="K1267" s="276"/>
      <c r="L1267" s="276"/>
      <c r="M1267" s="276"/>
      <c r="N1267" s="276"/>
      <c r="O1267" s="276"/>
      <c r="P1267" s="276"/>
      <c r="Q1267" s="276"/>
      <c r="R1267" s="276"/>
      <c r="S1267" s="276"/>
      <c r="T1267" s="276"/>
      <c r="U1267" s="276"/>
      <c r="V1267" s="276"/>
      <c r="W1267" s="276"/>
      <c r="X1267" s="276"/>
    </row>
    <row r="1268" ht="15.75" customHeight="1">
      <c r="A1268" s="403"/>
      <c r="B1268" s="284">
        <f t="shared" si="32"/>
        <v>30</v>
      </c>
      <c r="C1268" s="284">
        <f t="shared" si="33"/>
        <v>12</v>
      </c>
      <c r="D1268" s="284">
        <f t="shared" si="34"/>
        <v>1899</v>
      </c>
      <c r="E1268" s="490"/>
      <c r="F1268" s="30"/>
      <c r="G1268" s="30"/>
      <c r="H1268" s="288">
        <f t="shared" si="35"/>
        <v>0</v>
      </c>
      <c r="I1268" s="490"/>
      <c r="J1268" s="276"/>
      <c r="K1268" s="276"/>
      <c r="L1268" s="276"/>
      <c r="M1268" s="276"/>
      <c r="N1268" s="276"/>
      <c r="O1268" s="276"/>
      <c r="P1268" s="276"/>
      <c r="Q1268" s="276"/>
      <c r="R1268" s="276"/>
      <c r="S1268" s="276"/>
      <c r="T1268" s="276"/>
      <c r="U1268" s="276"/>
      <c r="V1268" s="276"/>
      <c r="W1268" s="276"/>
      <c r="X1268" s="276"/>
    </row>
    <row r="1269" ht="15.75" customHeight="1">
      <c r="A1269" s="403"/>
      <c r="B1269" s="284">
        <f t="shared" si="32"/>
        <v>30</v>
      </c>
      <c r="C1269" s="284">
        <f t="shared" si="33"/>
        <v>12</v>
      </c>
      <c r="D1269" s="284">
        <f t="shared" si="34"/>
        <v>1899</v>
      </c>
      <c r="E1269" s="490"/>
      <c r="F1269" s="30"/>
      <c r="G1269" s="30"/>
      <c r="H1269" s="288">
        <f t="shared" si="35"/>
        <v>0</v>
      </c>
      <c r="I1269" s="490"/>
      <c r="J1269" s="276"/>
      <c r="K1269" s="276"/>
      <c r="L1269" s="276"/>
      <c r="M1269" s="276"/>
      <c r="N1269" s="276"/>
      <c r="O1269" s="276"/>
      <c r="P1269" s="276"/>
      <c r="Q1269" s="276"/>
      <c r="R1269" s="276"/>
      <c r="S1269" s="276"/>
      <c r="T1269" s="276"/>
      <c r="U1269" s="276"/>
      <c r="V1269" s="276"/>
      <c r="W1269" s="276"/>
      <c r="X1269" s="276"/>
    </row>
    <row r="1270" ht="15.75" customHeight="1">
      <c r="A1270" s="403"/>
      <c r="B1270" s="284">
        <f t="shared" si="32"/>
        <v>30</v>
      </c>
      <c r="C1270" s="284">
        <f t="shared" si="33"/>
        <v>12</v>
      </c>
      <c r="D1270" s="284">
        <f t="shared" si="34"/>
        <v>1899</v>
      </c>
      <c r="E1270" s="490"/>
      <c r="F1270" s="30"/>
      <c r="G1270" s="30"/>
      <c r="H1270" s="288">
        <f t="shared" si="35"/>
        <v>0</v>
      </c>
      <c r="I1270" s="490"/>
      <c r="J1270" s="276"/>
      <c r="K1270" s="276"/>
      <c r="L1270" s="276"/>
      <c r="M1270" s="276"/>
      <c r="N1270" s="276"/>
      <c r="O1270" s="276"/>
      <c r="P1270" s="276"/>
      <c r="Q1270" s="276"/>
      <c r="R1270" s="276"/>
      <c r="S1270" s="276"/>
      <c r="T1270" s="276"/>
      <c r="U1270" s="276"/>
      <c r="V1270" s="276"/>
      <c r="W1270" s="276"/>
      <c r="X1270" s="276"/>
    </row>
    <row r="1271" ht="15.75" customHeight="1">
      <c r="A1271" s="403"/>
      <c r="B1271" s="284">
        <f t="shared" si="32"/>
        <v>30</v>
      </c>
      <c r="C1271" s="284">
        <f t="shared" si="33"/>
        <v>12</v>
      </c>
      <c r="D1271" s="284">
        <f t="shared" si="34"/>
        <v>1899</v>
      </c>
      <c r="E1271" s="490"/>
      <c r="F1271" s="30"/>
      <c r="G1271" s="30"/>
      <c r="H1271" s="288">
        <f t="shared" si="35"/>
        <v>0</v>
      </c>
      <c r="I1271" s="490"/>
      <c r="J1271" s="276"/>
      <c r="K1271" s="276"/>
      <c r="L1271" s="276"/>
      <c r="M1271" s="276"/>
      <c r="N1271" s="276"/>
      <c r="O1271" s="276"/>
      <c r="P1271" s="276"/>
      <c r="Q1271" s="276"/>
      <c r="R1271" s="276"/>
      <c r="S1271" s="276"/>
      <c r="T1271" s="276"/>
      <c r="U1271" s="276"/>
      <c r="V1271" s="276"/>
      <c r="W1271" s="276"/>
      <c r="X1271" s="276"/>
    </row>
    <row r="1272" ht="15.75" customHeight="1">
      <c r="A1272" s="403"/>
      <c r="B1272" s="284">
        <f t="shared" si="32"/>
        <v>30</v>
      </c>
      <c r="C1272" s="284">
        <f t="shared" si="33"/>
        <v>12</v>
      </c>
      <c r="D1272" s="284">
        <f t="shared" si="34"/>
        <v>1899</v>
      </c>
      <c r="E1272" s="490"/>
      <c r="F1272" s="30"/>
      <c r="G1272" s="30"/>
      <c r="H1272" s="288">
        <f t="shared" si="35"/>
        <v>0</v>
      </c>
      <c r="I1272" s="490"/>
      <c r="J1272" s="276"/>
      <c r="K1272" s="276"/>
      <c r="L1272" s="276"/>
      <c r="M1272" s="276"/>
      <c r="N1272" s="276"/>
      <c r="O1272" s="276"/>
      <c r="P1272" s="276"/>
      <c r="Q1272" s="276"/>
      <c r="R1272" s="276"/>
      <c r="S1272" s="276"/>
      <c r="T1272" s="276"/>
      <c r="U1272" s="276"/>
      <c r="V1272" s="276"/>
      <c r="W1272" s="276"/>
      <c r="X1272" s="276"/>
    </row>
    <row r="1273" ht="15.75" customHeight="1">
      <c r="A1273" s="403"/>
      <c r="B1273" s="284">
        <f t="shared" si="32"/>
        <v>30</v>
      </c>
      <c r="C1273" s="284">
        <f t="shared" si="33"/>
        <v>12</v>
      </c>
      <c r="D1273" s="284">
        <f t="shared" si="34"/>
        <v>1899</v>
      </c>
      <c r="E1273" s="490"/>
      <c r="F1273" s="30"/>
      <c r="G1273" s="30"/>
      <c r="H1273" s="288">
        <f t="shared" si="35"/>
        <v>0</v>
      </c>
      <c r="I1273" s="490"/>
      <c r="J1273" s="276"/>
      <c r="K1273" s="276"/>
      <c r="L1273" s="276"/>
      <c r="M1273" s="276"/>
      <c r="N1273" s="276"/>
      <c r="O1273" s="276"/>
      <c r="P1273" s="276"/>
      <c r="Q1273" s="276"/>
      <c r="R1273" s="276"/>
      <c r="S1273" s="276"/>
      <c r="T1273" s="276"/>
      <c r="U1273" s="276"/>
      <c r="V1273" s="276"/>
      <c r="W1273" s="276"/>
      <c r="X1273" s="276"/>
    </row>
    <row r="1274" ht="15.75" customHeight="1">
      <c r="A1274" s="403"/>
      <c r="B1274" s="284">
        <f t="shared" si="32"/>
        <v>30</v>
      </c>
      <c r="C1274" s="284">
        <f t="shared" si="33"/>
        <v>12</v>
      </c>
      <c r="D1274" s="284">
        <f t="shared" si="34"/>
        <v>1899</v>
      </c>
      <c r="E1274" s="490"/>
      <c r="F1274" s="30"/>
      <c r="G1274" s="30"/>
      <c r="H1274" s="288">
        <f t="shared" si="35"/>
        <v>0</v>
      </c>
      <c r="I1274" s="490"/>
      <c r="J1274" s="276"/>
      <c r="K1274" s="276"/>
      <c r="L1274" s="276"/>
      <c r="M1274" s="276"/>
      <c r="N1274" s="276"/>
      <c r="O1274" s="276"/>
      <c r="P1274" s="276"/>
      <c r="Q1274" s="276"/>
      <c r="R1274" s="276"/>
      <c r="S1274" s="276"/>
      <c r="T1274" s="276"/>
      <c r="U1274" s="276"/>
      <c r="V1274" s="276"/>
      <c r="W1274" s="276"/>
      <c r="X1274" s="276"/>
    </row>
    <row r="1275" ht="15.75" customHeight="1">
      <c r="A1275" s="403"/>
      <c r="B1275" s="284">
        <f t="shared" si="32"/>
        <v>30</v>
      </c>
      <c r="C1275" s="284">
        <f t="shared" si="33"/>
        <v>12</v>
      </c>
      <c r="D1275" s="284">
        <f t="shared" si="34"/>
        <v>1899</v>
      </c>
      <c r="E1275" s="490"/>
      <c r="F1275" s="30"/>
      <c r="G1275" s="30"/>
      <c r="H1275" s="288">
        <f t="shared" si="35"/>
        <v>0</v>
      </c>
      <c r="I1275" s="490"/>
      <c r="J1275" s="276"/>
      <c r="K1275" s="276"/>
      <c r="L1275" s="276"/>
      <c r="M1275" s="276"/>
      <c r="N1275" s="276"/>
      <c r="O1275" s="276"/>
      <c r="P1275" s="276"/>
      <c r="Q1275" s="276"/>
      <c r="R1275" s="276"/>
      <c r="S1275" s="276"/>
      <c r="T1275" s="276"/>
      <c r="U1275" s="276"/>
      <c r="V1275" s="276"/>
      <c r="W1275" s="276"/>
      <c r="X1275" s="276"/>
    </row>
    <row r="1276" ht="15.75" customHeight="1">
      <c r="A1276" s="403"/>
      <c r="B1276" s="284">
        <f t="shared" si="32"/>
        <v>30</v>
      </c>
      <c r="C1276" s="284">
        <f t="shared" si="33"/>
        <v>12</v>
      </c>
      <c r="D1276" s="284">
        <f t="shared" si="34"/>
        <v>1899</v>
      </c>
      <c r="E1276" s="490"/>
      <c r="F1276" s="30"/>
      <c r="G1276" s="30"/>
      <c r="H1276" s="288">
        <f t="shared" si="35"/>
        <v>0</v>
      </c>
      <c r="I1276" s="490"/>
      <c r="J1276" s="276"/>
      <c r="K1276" s="276"/>
      <c r="L1276" s="276"/>
      <c r="M1276" s="276"/>
      <c r="N1276" s="276"/>
      <c r="O1276" s="276"/>
      <c r="P1276" s="276"/>
      <c r="Q1276" s="276"/>
      <c r="R1276" s="276"/>
      <c r="S1276" s="276"/>
      <c r="T1276" s="276"/>
      <c r="U1276" s="276"/>
      <c r="V1276" s="276"/>
      <c r="W1276" s="276"/>
      <c r="X1276" s="276"/>
    </row>
    <row r="1277" ht="15.75" customHeight="1">
      <c r="A1277" s="403"/>
      <c r="B1277" s="284">
        <f t="shared" si="32"/>
        <v>30</v>
      </c>
      <c r="C1277" s="284">
        <f t="shared" si="33"/>
        <v>12</v>
      </c>
      <c r="D1277" s="284">
        <f t="shared" si="34"/>
        <v>1899</v>
      </c>
      <c r="E1277" s="490"/>
      <c r="F1277" s="30"/>
      <c r="G1277" s="30"/>
      <c r="H1277" s="288">
        <f t="shared" si="35"/>
        <v>0</v>
      </c>
      <c r="I1277" s="490"/>
      <c r="J1277" s="276"/>
      <c r="K1277" s="276"/>
      <c r="L1277" s="276"/>
      <c r="M1277" s="276"/>
      <c r="N1277" s="276"/>
      <c r="O1277" s="276"/>
      <c r="P1277" s="276"/>
      <c r="Q1277" s="276"/>
      <c r="R1277" s="276"/>
      <c r="S1277" s="276"/>
      <c r="T1277" s="276"/>
      <c r="U1277" s="276"/>
      <c r="V1277" s="276"/>
      <c r="W1277" s="276"/>
      <c r="X1277" s="276"/>
    </row>
    <row r="1278" ht="15.75" customHeight="1">
      <c r="A1278" s="403"/>
      <c r="B1278" s="284">
        <f t="shared" si="32"/>
        <v>30</v>
      </c>
      <c r="C1278" s="284">
        <f t="shared" si="33"/>
        <v>12</v>
      </c>
      <c r="D1278" s="284">
        <f t="shared" si="34"/>
        <v>1899</v>
      </c>
      <c r="E1278" s="490"/>
      <c r="F1278" s="30"/>
      <c r="G1278" s="30"/>
      <c r="H1278" s="288">
        <f t="shared" si="35"/>
        <v>0</v>
      </c>
      <c r="I1278" s="490"/>
      <c r="J1278" s="276"/>
      <c r="K1278" s="276"/>
      <c r="L1278" s="276"/>
      <c r="M1278" s="276"/>
      <c r="N1278" s="276"/>
      <c r="O1278" s="276"/>
      <c r="P1278" s="276"/>
      <c r="Q1278" s="276"/>
      <c r="R1278" s="276"/>
      <c r="S1278" s="276"/>
      <c r="T1278" s="276"/>
      <c r="U1278" s="276"/>
      <c r="V1278" s="276"/>
      <c r="W1278" s="276"/>
      <c r="X1278" s="276"/>
    </row>
    <row r="1279" ht="15.75" customHeight="1">
      <c r="A1279" s="403"/>
      <c r="B1279" s="284">
        <f t="shared" si="32"/>
        <v>30</v>
      </c>
      <c r="C1279" s="284">
        <f t="shared" si="33"/>
        <v>12</v>
      </c>
      <c r="D1279" s="284">
        <f t="shared" si="34"/>
        <v>1899</v>
      </c>
      <c r="E1279" s="490"/>
      <c r="F1279" s="30"/>
      <c r="G1279" s="30"/>
      <c r="H1279" s="288">
        <f t="shared" si="35"/>
        <v>0</v>
      </c>
      <c r="I1279" s="490"/>
      <c r="J1279" s="276"/>
      <c r="K1279" s="276"/>
      <c r="L1279" s="276"/>
      <c r="M1279" s="276"/>
      <c r="N1279" s="276"/>
      <c r="O1279" s="276"/>
      <c r="P1279" s="276"/>
      <c r="Q1279" s="276"/>
      <c r="R1279" s="276"/>
      <c r="S1279" s="276"/>
      <c r="T1279" s="276"/>
      <c r="U1279" s="276"/>
      <c r="V1279" s="276"/>
      <c r="W1279" s="276"/>
      <c r="X1279" s="276"/>
    </row>
    <row r="1280" ht="15.75" customHeight="1">
      <c r="A1280" s="403"/>
      <c r="B1280" s="284">
        <f t="shared" si="32"/>
        <v>30</v>
      </c>
      <c r="C1280" s="284">
        <f t="shared" si="33"/>
        <v>12</v>
      </c>
      <c r="D1280" s="284">
        <f t="shared" si="34"/>
        <v>1899</v>
      </c>
      <c r="E1280" s="490"/>
      <c r="F1280" s="30"/>
      <c r="G1280" s="30"/>
      <c r="H1280" s="288">
        <f t="shared" si="35"/>
        <v>0</v>
      </c>
      <c r="I1280" s="490"/>
      <c r="J1280" s="276"/>
      <c r="K1280" s="276"/>
      <c r="L1280" s="276"/>
      <c r="M1280" s="276"/>
      <c r="N1280" s="276"/>
      <c r="O1280" s="276"/>
      <c r="P1280" s="276"/>
      <c r="Q1280" s="276"/>
      <c r="R1280" s="276"/>
      <c r="S1280" s="276"/>
      <c r="T1280" s="276"/>
      <c r="U1280" s="276"/>
      <c r="V1280" s="276"/>
      <c r="W1280" s="276"/>
      <c r="X1280" s="276"/>
    </row>
    <row r="1281" ht="15.75" customHeight="1">
      <c r="A1281" s="403"/>
      <c r="B1281" s="284">
        <f t="shared" si="32"/>
        <v>30</v>
      </c>
      <c r="C1281" s="284">
        <f t="shared" si="33"/>
        <v>12</v>
      </c>
      <c r="D1281" s="284">
        <f t="shared" si="34"/>
        <v>1899</v>
      </c>
      <c r="E1281" s="490"/>
      <c r="F1281" s="30"/>
      <c r="G1281" s="30"/>
      <c r="H1281" s="288">
        <f t="shared" si="35"/>
        <v>0</v>
      </c>
      <c r="I1281" s="490"/>
      <c r="J1281" s="276"/>
      <c r="K1281" s="276"/>
      <c r="L1281" s="276"/>
      <c r="M1281" s="276"/>
      <c r="N1281" s="276"/>
      <c r="O1281" s="276"/>
      <c r="P1281" s="276"/>
      <c r="Q1281" s="276"/>
      <c r="R1281" s="276"/>
      <c r="S1281" s="276"/>
      <c r="T1281" s="276"/>
      <c r="U1281" s="276"/>
      <c r="V1281" s="276"/>
      <c r="W1281" s="276"/>
      <c r="X1281" s="276"/>
    </row>
    <row r="1282" ht="15.75" customHeight="1">
      <c r="A1282" s="403"/>
      <c r="B1282" s="284">
        <f t="shared" si="32"/>
        <v>30</v>
      </c>
      <c r="C1282" s="284">
        <f t="shared" si="33"/>
        <v>12</v>
      </c>
      <c r="D1282" s="284">
        <f t="shared" si="34"/>
        <v>1899</v>
      </c>
      <c r="E1282" s="490"/>
      <c r="F1282" s="30"/>
      <c r="G1282" s="30"/>
      <c r="H1282" s="288">
        <f t="shared" si="35"/>
        <v>0</v>
      </c>
      <c r="I1282" s="490"/>
      <c r="J1282" s="276"/>
      <c r="K1282" s="276"/>
      <c r="L1282" s="276"/>
      <c r="M1282" s="276"/>
      <c r="N1282" s="276"/>
      <c r="O1282" s="276"/>
      <c r="P1282" s="276"/>
      <c r="Q1282" s="276"/>
      <c r="R1282" s="276"/>
      <c r="S1282" s="276"/>
      <c r="T1282" s="276"/>
      <c r="U1282" s="276"/>
      <c r="V1282" s="276"/>
      <c r="W1282" s="276"/>
      <c r="X1282" s="276"/>
    </row>
    <row r="1283" ht="15.75" customHeight="1">
      <c r="A1283" s="403"/>
      <c r="B1283" s="284">
        <f t="shared" si="32"/>
        <v>30</v>
      </c>
      <c r="C1283" s="284">
        <f t="shared" si="33"/>
        <v>12</v>
      </c>
      <c r="D1283" s="284">
        <f t="shared" si="34"/>
        <v>1899</v>
      </c>
      <c r="E1283" s="490"/>
      <c r="F1283" s="30"/>
      <c r="G1283" s="30"/>
      <c r="H1283" s="288">
        <f t="shared" si="35"/>
        <v>0</v>
      </c>
      <c r="I1283" s="490"/>
      <c r="J1283" s="276"/>
      <c r="K1283" s="276"/>
      <c r="L1283" s="276"/>
      <c r="M1283" s="276"/>
      <c r="N1283" s="276"/>
      <c r="O1283" s="276"/>
      <c r="P1283" s="276"/>
      <c r="Q1283" s="276"/>
      <c r="R1283" s="276"/>
      <c r="S1283" s="276"/>
      <c r="T1283" s="276"/>
      <c r="U1283" s="276"/>
      <c r="V1283" s="276"/>
      <c r="W1283" s="276"/>
      <c r="X1283" s="276"/>
    </row>
    <row r="1284" ht="15.75" customHeight="1">
      <c r="A1284" s="403"/>
      <c r="B1284" s="284">
        <f t="shared" si="32"/>
        <v>30</v>
      </c>
      <c r="C1284" s="284">
        <f t="shared" si="33"/>
        <v>12</v>
      </c>
      <c r="D1284" s="284">
        <f t="shared" si="34"/>
        <v>1899</v>
      </c>
      <c r="E1284" s="490"/>
      <c r="F1284" s="30"/>
      <c r="G1284" s="30"/>
      <c r="H1284" s="288">
        <f t="shared" si="35"/>
        <v>0</v>
      </c>
      <c r="I1284" s="490"/>
      <c r="J1284" s="276"/>
      <c r="K1284" s="276"/>
      <c r="L1284" s="276"/>
      <c r="M1284" s="276"/>
      <c r="N1284" s="276"/>
      <c r="O1284" s="276"/>
      <c r="P1284" s="276"/>
      <c r="Q1284" s="276"/>
      <c r="R1284" s="276"/>
      <c r="S1284" s="276"/>
      <c r="T1284" s="276"/>
      <c r="U1284" s="276"/>
      <c r="V1284" s="276"/>
      <c r="W1284" s="276"/>
      <c r="X1284" s="276"/>
    </row>
    <row r="1285" ht="15.75" customHeight="1">
      <c r="A1285" s="403"/>
      <c r="B1285" s="284">
        <f t="shared" si="32"/>
        <v>30</v>
      </c>
      <c r="C1285" s="284">
        <f t="shared" si="33"/>
        <v>12</v>
      </c>
      <c r="D1285" s="284">
        <f t="shared" si="34"/>
        <v>1899</v>
      </c>
      <c r="E1285" s="490"/>
      <c r="F1285" s="30"/>
      <c r="G1285" s="30"/>
      <c r="H1285" s="288">
        <f t="shared" si="35"/>
        <v>0</v>
      </c>
      <c r="I1285" s="490"/>
      <c r="J1285" s="276"/>
      <c r="K1285" s="276"/>
      <c r="L1285" s="276"/>
      <c r="M1285" s="276"/>
      <c r="N1285" s="276"/>
      <c r="O1285" s="276"/>
      <c r="P1285" s="276"/>
      <c r="Q1285" s="276"/>
      <c r="R1285" s="276"/>
      <c r="S1285" s="276"/>
      <c r="T1285" s="276"/>
      <c r="U1285" s="276"/>
      <c r="V1285" s="276"/>
      <c r="W1285" s="276"/>
      <c r="X1285" s="276"/>
    </row>
    <row r="1286" ht="15.75" customHeight="1">
      <c r="A1286" s="403"/>
      <c r="B1286" s="284">
        <f t="shared" si="32"/>
        <v>30</v>
      </c>
      <c r="C1286" s="284">
        <f t="shared" si="33"/>
        <v>12</v>
      </c>
      <c r="D1286" s="284">
        <f t="shared" si="34"/>
        <v>1899</v>
      </c>
      <c r="E1286" s="490"/>
      <c r="F1286" s="30"/>
      <c r="G1286" s="30"/>
      <c r="H1286" s="288">
        <f t="shared" si="35"/>
        <v>0</v>
      </c>
      <c r="I1286" s="490"/>
      <c r="J1286" s="276"/>
      <c r="K1286" s="276"/>
      <c r="L1286" s="276"/>
      <c r="M1286" s="276"/>
      <c r="N1286" s="276"/>
      <c r="O1286" s="276"/>
      <c r="P1286" s="276"/>
      <c r="Q1286" s="276"/>
      <c r="R1286" s="276"/>
      <c r="S1286" s="276"/>
      <c r="T1286" s="276"/>
      <c r="U1286" s="276"/>
      <c r="V1286" s="276"/>
      <c r="W1286" s="276"/>
      <c r="X1286" s="276"/>
    </row>
    <row r="1287" ht="15.75" customHeight="1">
      <c r="A1287" s="403"/>
      <c r="B1287" s="284">
        <f t="shared" si="32"/>
        <v>30</v>
      </c>
      <c r="C1287" s="284">
        <f t="shared" si="33"/>
        <v>12</v>
      </c>
      <c r="D1287" s="284">
        <f t="shared" si="34"/>
        <v>1899</v>
      </c>
      <c r="E1287" s="490"/>
      <c r="F1287" s="30"/>
      <c r="G1287" s="30"/>
      <c r="H1287" s="288">
        <f t="shared" si="35"/>
        <v>0</v>
      </c>
      <c r="I1287" s="490"/>
      <c r="J1287" s="276"/>
      <c r="K1287" s="276"/>
      <c r="L1287" s="276"/>
      <c r="M1287" s="276"/>
      <c r="N1287" s="276"/>
      <c r="O1287" s="276"/>
      <c r="P1287" s="276"/>
      <c r="Q1287" s="276"/>
      <c r="R1287" s="276"/>
      <c r="S1287" s="276"/>
      <c r="T1287" s="276"/>
      <c r="U1287" s="276"/>
      <c r="V1287" s="276"/>
      <c r="W1287" s="276"/>
      <c r="X1287" s="276"/>
    </row>
    <row r="1288" ht="15.75" customHeight="1">
      <c r="A1288" s="403"/>
      <c r="B1288" s="284">
        <f t="shared" si="32"/>
        <v>30</v>
      </c>
      <c r="C1288" s="284">
        <f t="shared" si="33"/>
        <v>12</v>
      </c>
      <c r="D1288" s="284">
        <f t="shared" si="34"/>
        <v>1899</v>
      </c>
      <c r="E1288" s="490"/>
      <c r="F1288" s="30"/>
      <c r="G1288" s="30"/>
      <c r="H1288" s="288">
        <f t="shared" si="35"/>
        <v>0</v>
      </c>
      <c r="I1288" s="490"/>
      <c r="J1288" s="276"/>
      <c r="K1288" s="276"/>
      <c r="L1288" s="276"/>
      <c r="M1288" s="276"/>
      <c r="N1288" s="276"/>
      <c r="O1288" s="276"/>
      <c r="P1288" s="276"/>
      <c r="Q1288" s="276"/>
      <c r="R1288" s="276"/>
      <c r="S1288" s="276"/>
      <c r="T1288" s="276"/>
      <c r="U1288" s="276"/>
      <c r="V1288" s="276"/>
      <c r="W1288" s="276"/>
      <c r="X1288" s="276"/>
    </row>
    <row r="1289" ht="15.75" customHeight="1">
      <c r="A1289" s="403"/>
      <c r="B1289" s="284">
        <f t="shared" si="32"/>
        <v>30</v>
      </c>
      <c r="C1289" s="284">
        <f t="shared" si="33"/>
        <v>12</v>
      </c>
      <c r="D1289" s="284">
        <f t="shared" si="34"/>
        <v>1899</v>
      </c>
      <c r="E1289" s="490"/>
      <c r="F1289" s="30"/>
      <c r="G1289" s="30"/>
      <c r="H1289" s="288">
        <f t="shared" si="35"/>
        <v>0</v>
      </c>
      <c r="I1289" s="490"/>
      <c r="J1289" s="276"/>
      <c r="K1289" s="276"/>
      <c r="L1289" s="276"/>
      <c r="M1289" s="276"/>
      <c r="N1289" s="276"/>
      <c r="O1289" s="276"/>
      <c r="P1289" s="276"/>
      <c r="Q1289" s="276"/>
      <c r="R1289" s="276"/>
      <c r="S1289" s="276"/>
      <c r="T1289" s="276"/>
      <c r="U1289" s="276"/>
      <c r="V1289" s="276"/>
      <c r="W1289" s="276"/>
      <c r="X1289" s="276"/>
    </row>
    <row r="1290" ht="15.75" customHeight="1">
      <c r="A1290" s="403"/>
      <c r="B1290" s="284">
        <f t="shared" si="32"/>
        <v>30</v>
      </c>
      <c r="C1290" s="284">
        <f t="shared" si="33"/>
        <v>12</v>
      </c>
      <c r="D1290" s="284">
        <f t="shared" si="34"/>
        <v>1899</v>
      </c>
      <c r="E1290" s="490"/>
      <c r="F1290" s="30"/>
      <c r="G1290" s="30"/>
      <c r="H1290" s="288">
        <f t="shared" si="35"/>
        <v>0</v>
      </c>
      <c r="I1290" s="490"/>
      <c r="J1290" s="276"/>
      <c r="K1290" s="276"/>
      <c r="L1290" s="276"/>
      <c r="M1290" s="276"/>
      <c r="N1290" s="276"/>
      <c r="O1290" s="276"/>
      <c r="P1290" s="276"/>
      <c r="Q1290" s="276"/>
      <c r="R1290" s="276"/>
      <c r="S1290" s="276"/>
      <c r="T1290" s="276"/>
      <c r="U1290" s="276"/>
      <c r="V1290" s="276"/>
      <c r="W1290" s="276"/>
      <c r="X1290" s="276"/>
    </row>
    <row r="1291" ht="15.75" customHeight="1">
      <c r="A1291" s="403"/>
      <c r="B1291" s="284">
        <f t="shared" si="32"/>
        <v>30</v>
      </c>
      <c r="C1291" s="284">
        <f t="shared" si="33"/>
        <v>12</v>
      </c>
      <c r="D1291" s="284">
        <f t="shared" si="34"/>
        <v>1899</v>
      </c>
      <c r="E1291" s="490"/>
      <c r="F1291" s="30"/>
      <c r="G1291" s="30"/>
      <c r="H1291" s="288">
        <f t="shared" si="35"/>
        <v>0</v>
      </c>
      <c r="I1291" s="490"/>
      <c r="J1291" s="276"/>
      <c r="K1291" s="276"/>
      <c r="L1291" s="276"/>
      <c r="M1291" s="276"/>
      <c r="N1291" s="276"/>
      <c r="O1291" s="276"/>
      <c r="P1291" s="276"/>
      <c r="Q1291" s="276"/>
      <c r="R1291" s="276"/>
      <c r="S1291" s="276"/>
      <c r="T1291" s="276"/>
      <c r="U1291" s="276"/>
      <c r="V1291" s="276"/>
      <c r="W1291" s="276"/>
      <c r="X1291" s="276"/>
    </row>
    <row r="1292" ht="15.75" customHeight="1">
      <c r="A1292" s="403"/>
      <c r="B1292" s="284">
        <f t="shared" si="32"/>
        <v>30</v>
      </c>
      <c r="C1292" s="284">
        <f t="shared" si="33"/>
        <v>12</v>
      </c>
      <c r="D1292" s="284">
        <f t="shared" si="34"/>
        <v>1899</v>
      </c>
      <c r="E1292" s="490"/>
      <c r="F1292" s="30"/>
      <c r="G1292" s="30"/>
      <c r="H1292" s="288">
        <f t="shared" si="35"/>
        <v>0</v>
      </c>
      <c r="I1292" s="490"/>
      <c r="J1292" s="276"/>
      <c r="K1292" s="276"/>
      <c r="L1292" s="276"/>
      <c r="M1292" s="276"/>
      <c r="N1292" s="276"/>
      <c r="O1292" s="276"/>
      <c r="P1292" s="276"/>
      <c r="Q1292" s="276"/>
      <c r="R1292" s="276"/>
      <c r="S1292" s="276"/>
      <c r="T1292" s="276"/>
      <c r="U1292" s="276"/>
      <c r="V1292" s="276"/>
      <c r="W1292" s="276"/>
      <c r="X1292" s="276"/>
    </row>
    <row r="1293" ht="15.75" customHeight="1">
      <c r="A1293" s="403"/>
      <c r="B1293" s="284">
        <f t="shared" si="32"/>
        <v>30</v>
      </c>
      <c r="C1293" s="284">
        <f t="shared" si="33"/>
        <v>12</v>
      </c>
      <c r="D1293" s="284">
        <f t="shared" si="34"/>
        <v>1899</v>
      </c>
      <c r="E1293" s="490"/>
      <c r="F1293" s="30"/>
      <c r="G1293" s="30"/>
      <c r="H1293" s="288">
        <f t="shared" si="35"/>
        <v>0</v>
      </c>
      <c r="I1293" s="490"/>
      <c r="J1293" s="276"/>
      <c r="K1293" s="276"/>
      <c r="L1293" s="276"/>
      <c r="M1293" s="276"/>
      <c r="N1293" s="276"/>
      <c r="O1293" s="276"/>
      <c r="P1293" s="276"/>
      <c r="Q1293" s="276"/>
      <c r="R1293" s="276"/>
      <c r="S1293" s="276"/>
      <c r="T1293" s="276"/>
      <c r="U1293" s="276"/>
      <c r="V1293" s="276"/>
      <c r="W1293" s="276"/>
      <c r="X1293" s="276"/>
    </row>
    <row r="1294" ht="15.75" customHeight="1">
      <c r="A1294" s="403"/>
      <c r="B1294" s="284">
        <f t="shared" si="32"/>
        <v>30</v>
      </c>
      <c r="C1294" s="284">
        <f t="shared" si="33"/>
        <v>12</v>
      </c>
      <c r="D1294" s="284">
        <f t="shared" si="34"/>
        <v>1899</v>
      </c>
      <c r="E1294" s="490"/>
      <c r="F1294" s="30"/>
      <c r="G1294" s="30"/>
      <c r="H1294" s="288">
        <f t="shared" si="35"/>
        <v>0</v>
      </c>
      <c r="I1294" s="490"/>
      <c r="J1294" s="276"/>
      <c r="K1294" s="276"/>
      <c r="L1294" s="276"/>
      <c r="M1294" s="276"/>
      <c r="N1294" s="276"/>
      <c r="O1294" s="276"/>
      <c r="P1294" s="276"/>
      <c r="Q1294" s="276"/>
      <c r="R1294" s="276"/>
      <c r="S1294" s="276"/>
      <c r="T1294" s="276"/>
      <c r="U1294" s="276"/>
      <c r="V1294" s="276"/>
      <c r="W1294" s="276"/>
      <c r="X1294" s="276"/>
    </row>
    <row r="1295" ht="15.75" customHeight="1">
      <c r="A1295" s="403"/>
      <c r="B1295" s="284">
        <f t="shared" si="32"/>
        <v>30</v>
      </c>
      <c r="C1295" s="284">
        <f t="shared" si="33"/>
        <v>12</v>
      </c>
      <c r="D1295" s="284">
        <f t="shared" si="34"/>
        <v>1899</v>
      </c>
      <c r="E1295" s="490"/>
      <c r="F1295" s="30"/>
      <c r="G1295" s="30"/>
      <c r="H1295" s="288">
        <f t="shared" si="35"/>
        <v>0</v>
      </c>
      <c r="I1295" s="490"/>
      <c r="J1295" s="276"/>
      <c r="K1295" s="276"/>
      <c r="L1295" s="276"/>
      <c r="M1295" s="276"/>
      <c r="N1295" s="276"/>
      <c r="O1295" s="276"/>
      <c r="P1295" s="276"/>
      <c r="Q1295" s="276"/>
      <c r="R1295" s="276"/>
      <c r="S1295" s="276"/>
      <c r="T1295" s="276"/>
      <c r="U1295" s="276"/>
      <c r="V1295" s="276"/>
      <c r="W1295" s="276"/>
      <c r="X1295" s="276"/>
    </row>
    <row r="1296" ht="15.75" customHeight="1">
      <c r="A1296" s="403"/>
      <c r="B1296" s="284">
        <f t="shared" si="32"/>
        <v>30</v>
      </c>
      <c r="C1296" s="284">
        <f t="shared" si="33"/>
        <v>12</v>
      </c>
      <c r="D1296" s="284">
        <f t="shared" si="34"/>
        <v>1899</v>
      </c>
      <c r="E1296" s="490"/>
      <c r="F1296" s="30"/>
      <c r="G1296" s="30"/>
      <c r="H1296" s="288">
        <f t="shared" si="35"/>
        <v>0</v>
      </c>
      <c r="I1296" s="490"/>
      <c r="J1296" s="276"/>
      <c r="K1296" s="276"/>
      <c r="L1296" s="276"/>
      <c r="M1296" s="276"/>
      <c r="N1296" s="276"/>
      <c r="O1296" s="276"/>
      <c r="P1296" s="276"/>
      <c r="Q1296" s="276"/>
      <c r="R1296" s="276"/>
      <c r="S1296" s="276"/>
      <c r="T1296" s="276"/>
      <c r="U1296" s="276"/>
      <c r="V1296" s="276"/>
      <c r="W1296" s="276"/>
      <c r="X1296" s="276"/>
    </row>
    <row r="1297" ht="15.75" customHeight="1">
      <c r="A1297" s="403"/>
      <c r="B1297" s="284">
        <f t="shared" si="32"/>
        <v>30</v>
      </c>
      <c r="C1297" s="284">
        <f t="shared" si="33"/>
        <v>12</v>
      </c>
      <c r="D1297" s="284">
        <f t="shared" si="34"/>
        <v>1899</v>
      </c>
      <c r="E1297" s="490"/>
      <c r="F1297" s="30"/>
      <c r="G1297" s="30"/>
      <c r="H1297" s="288">
        <f t="shared" si="35"/>
        <v>0</v>
      </c>
      <c r="I1297" s="490"/>
      <c r="J1297" s="276"/>
      <c r="K1297" s="276"/>
      <c r="L1297" s="276"/>
      <c r="M1297" s="276"/>
      <c r="N1297" s="276"/>
      <c r="O1297" s="276"/>
      <c r="P1297" s="276"/>
      <c r="Q1297" s="276"/>
      <c r="R1297" s="276"/>
      <c r="S1297" s="276"/>
      <c r="T1297" s="276"/>
      <c r="U1297" s="276"/>
      <c r="V1297" s="276"/>
      <c r="W1297" s="276"/>
      <c r="X1297" s="276"/>
    </row>
    <row r="1298" ht="15.75" customHeight="1">
      <c r="A1298" s="403"/>
      <c r="B1298" s="284">
        <f t="shared" si="32"/>
        <v>30</v>
      </c>
      <c r="C1298" s="284">
        <f t="shared" si="33"/>
        <v>12</v>
      </c>
      <c r="D1298" s="284">
        <f t="shared" si="34"/>
        <v>1899</v>
      </c>
      <c r="E1298" s="490"/>
      <c r="F1298" s="30"/>
      <c r="G1298" s="30"/>
      <c r="H1298" s="288">
        <f t="shared" si="35"/>
        <v>0</v>
      </c>
      <c r="I1298" s="490"/>
      <c r="J1298" s="276"/>
      <c r="K1298" s="276"/>
      <c r="L1298" s="276"/>
      <c r="M1298" s="276"/>
      <c r="N1298" s="276"/>
      <c r="O1298" s="276"/>
      <c r="P1298" s="276"/>
      <c r="Q1298" s="276"/>
      <c r="R1298" s="276"/>
      <c r="S1298" s="276"/>
      <c r="T1298" s="276"/>
      <c r="U1298" s="276"/>
      <c r="V1298" s="276"/>
      <c r="W1298" s="276"/>
      <c r="X1298" s="276"/>
    </row>
    <row r="1299" ht="15.75" customHeight="1">
      <c r="A1299" s="403"/>
      <c r="B1299" s="284">
        <f t="shared" si="32"/>
        <v>30</v>
      </c>
      <c r="C1299" s="284">
        <f t="shared" si="33"/>
        <v>12</v>
      </c>
      <c r="D1299" s="284">
        <f t="shared" si="34"/>
        <v>1899</v>
      </c>
      <c r="E1299" s="490"/>
      <c r="F1299" s="30"/>
      <c r="G1299" s="30"/>
      <c r="H1299" s="288">
        <f t="shared" si="35"/>
        <v>0</v>
      </c>
      <c r="I1299" s="490"/>
      <c r="J1299" s="276"/>
      <c r="K1299" s="276"/>
      <c r="L1299" s="276"/>
      <c r="M1299" s="276"/>
      <c r="N1299" s="276"/>
      <c r="O1299" s="276"/>
      <c r="P1299" s="276"/>
      <c r="Q1299" s="276"/>
      <c r="R1299" s="276"/>
      <c r="S1299" s="276"/>
      <c r="T1299" s="276"/>
      <c r="U1299" s="276"/>
      <c r="V1299" s="276"/>
      <c r="W1299" s="276"/>
      <c r="X1299" s="276"/>
    </row>
    <row r="1300" ht="15.75" customHeight="1">
      <c r="A1300" s="403"/>
      <c r="B1300" s="284">
        <f t="shared" si="32"/>
        <v>30</v>
      </c>
      <c r="C1300" s="284">
        <f t="shared" si="33"/>
        <v>12</v>
      </c>
      <c r="D1300" s="284">
        <f t="shared" si="34"/>
        <v>1899</v>
      </c>
      <c r="E1300" s="490"/>
      <c r="F1300" s="30"/>
      <c r="G1300" s="30"/>
      <c r="H1300" s="288">
        <f t="shared" si="35"/>
        <v>0</v>
      </c>
      <c r="I1300" s="490"/>
      <c r="J1300" s="276"/>
      <c r="K1300" s="276"/>
      <c r="L1300" s="276"/>
      <c r="M1300" s="276"/>
      <c r="N1300" s="276"/>
      <c r="O1300" s="276"/>
      <c r="P1300" s="276"/>
      <c r="Q1300" s="276"/>
      <c r="R1300" s="276"/>
      <c r="S1300" s="276"/>
      <c r="T1300" s="276"/>
      <c r="U1300" s="276"/>
      <c r="V1300" s="276"/>
      <c r="W1300" s="276"/>
      <c r="X1300" s="276"/>
    </row>
    <row r="1301" ht="15.75" customHeight="1">
      <c r="A1301" s="403"/>
      <c r="B1301" s="284">
        <f t="shared" si="32"/>
        <v>30</v>
      </c>
      <c r="C1301" s="284">
        <f t="shared" si="33"/>
        <v>12</v>
      </c>
      <c r="D1301" s="284">
        <f t="shared" si="34"/>
        <v>1899</v>
      </c>
      <c r="E1301" s="490"/>
      <c r="F1301" s="30"/>
      <c r="G1301" s="30"/>
      <c r="H1301" s="288">
        <f t="shared" si="35"/>
        <v>0</v>
      </c>
      <c r="I1301" s="490"/>
      <c r="J1301" s="276"/>
      <c r="K1301" s="276"/>
      <c r="L1301" s="276"/>
      <c r="M1301" s="276"/>
      <c r="N1301" s="276"/>
      <c r="O1301" s="276"/>
      <c r="P1301" s="276"/>
      <c r="Q1301" s="276"/>
      <c r="R1301" s="276"/>
      <c r="S1301" s="276"/>
      <c r="T1301" s="276"/>
      <c r="U1301" s="276"/>
      <c r="V1301" s="276"/>
      <c r="W1301" s="276"/>
      <c r="X1301" s="276"/>
    </row>
    <row r="1302" ht="15.75" customHeight="1">
      <c r="A1302" s="403"/>
      <c r="B1302" s="284">
        <f t="shared" si="32"/>
        <v>30</v>
      </c>
      <c r="C1302" s="284">
        <f t="shared" si="33"/>
        <v>12</v>
      </c>
      <c r="D1302" s="284">
        <f t="shared" si="34"/>
        <v>1899</v>
      </c>
      <c r="E1302" s="490"/>
      <c r="F1302" s="30"/>
      <c r="G1302" s="30"/>
      <c r="H1302" s="288">
        <f t="shared" si="35"/>
        <v>0</v>
      </c>
      <c r="I1302" s="490"/>
      <c r="J1302" s="276"/>
      <c r="K1302" s="276"/>
      <c r="L1302" s="276"/>
      <c r="M1302" s="276"/>
      <c r="N1302" s="276"/>
      <c r="O1302" s="276"/>
      <c r="P1302" s="276"/>
      <c r="Q1302" s="276"/>
      <c r="R1302" s="276"/>
      <c r="S1302" s="276"/>
      <c r="T1302" s="276"/>
      <c r="U1302" s="276"/>
      <c r="V1302" s="276"/>
      <c r="W1302" s="276"/>
      <c r="X1302" s="276"/>
    </row>
    <row r="1303" ht="15.75" customHeight="1">
      <c r="A1303" s="403"/>
      <c r="B1303" s="284">
        <f t="shared" si="32"/>
        <v>30</v>
      </c>
      <c r="C1303" s="284">
        <f t="shared" si="33"/>
        <v>12</v>
      </c>
      <c r="D1303" s="284">
        <f t="shared" si="34"/>
        <v>1899</v>
      </c>
      <c r="E1303" s="490"/>
      <c r="F1303" s="30"/>
      <c r="G1303" s="30"/>
      <c r="H1303" s="288">
        <f t="shared" si="35"/>
        <v>0</v>
      </c>
      <c r="I1303" s="490"/>
      <c r="J1303" s="276"/>
      <c r="K1303" s="276"/>
      <c r="L1303" s="276"/>
      <c r="M1303" s="276"/>
      <c r="N1303" s="276"/>
      <c r="O1303" s="276"/>
      <c r="P1303" s="276"/>
      <c r="Q1303" s="276"/>
      <c r="R1303" s="276"/>
      <c r="S1303" s="276"/>
      <c r="T1303" s="276"/>
      <c r="U1303" s="276"/>
      <c r="V1303" s="276"/>
      <c r="W1303" s="276"/>
      <c r="X1303" s="276"/>
    </row>
    <row r="1304" ht="15.75" customHeight="1">
      <c r="A1304" s="403"/>
      <c r="B1304" s="284">
        <f t="shared" si="32"/>
        <v>30</v>
      </c>
      <c r="C1304" s="284">
        <f t="shared" si="33"/>
        <v>12</v>
      </c>
      <c r="D1304" s="284">
        <f t="shared" si="34"/>
        <v>1899</v>
      </c>
      <c r="E1304" s="490"/>
      <c r="F1304" s="30"/>
      <c r="G1304" s="30"/>
      <c r="H1304" s="288">
        <f t="shared" si="35"/>
        <v>0</v>
      </c>
      <c r="I1304" s="490"/>
      <c r="J1304" s="276"/>
      <c r="K1304" s="276"/>
      <c r="L1304" s="276"/>
      <c r="M1304" s="276"/>
      <c r="N1304" s="276"/>
      <c r="O1304" s="276"/>
      <c r="P1304" s="276"/>
      <c r="Q1304" s="276"/>
      <c r="R1304" s="276"/>
      <c r="S1304" s="276"/>
      <c r="T1304" s="276"/>
      <c r="U1304" s="276"/>
      <c r="V1304" s="276"/>
      <c r="W1304" s="276"/>
      <c r="X1304" s="276"/>
    </row>
    <row r="1305" ht="15.75" customHeight="1">
      <c r="A1305" s="403"/>
      <c r="B1305" s="284">
        <f t="shared" si="32"/>
        <v>30</v>
      </c>
      <c r="C1305" s="284">
        <f t="shared" si="33"/>
        <v>12</v>
      </c>
      <c r="D1305" s="284">
        <f t="shared" si="34"/>
        <v>1899</v>
      </c>
      <c r="E1305" s="490"/>
      <c r="F1305" s="30"/>
      <c r="G1305" s="30"/>
      <c r="H1305" s="288">
        <f t="shared" si="35"/>
        <v>0</v>
      </c>
      <c r="I1305" s="490"/>
      <c r="J1305" s="276"/>
      <c r="K1305" s="276"/>
      <c r="L1305" s="276"/>
      <c r="M1305" s="276"/>
      <c r="N1305" s="276"/>
      <c r="O1305" s="276"/>
      <c r="P1305" s="276"/>
      <c r="Q1305" s="276"/>
      <c r="R1305" s="276"/>
      <c r="S1305" s="276"/>
      <c r="T1305" s="276"/>
      <c r="U1305" s="276"/>
      <c r="V1305" s="276"/>
      <c r="W1305" s="276"/>
      <c r="X1305" s="276"/>
    </row>
    <row r="1306" ht="15.75" customHeight="1">
      <c r="A1306" s="403"/>
      <c r="B1306" s="284">
        <f t="shared" si="32"/>
        <v>30</v>
      </c>
      <c r="C1306" s="284">
        <f t="shared" si="33"/>
        <v>12</v>
      </c>
      <c r="D1306" s="284">
        <f t="shared" si="34"/>
        <v>1899</v>
      </c>
      <c r="E1306" s="490"/>
      <c r="F1306" s="30"/>
      <c r="G1306" s="30"/>
      <c r="H1306" s="288">
        <f t="shared" si="35"/>
        <v>0</v>
      </c>
      <c r="I1306" s="490"/>
      <c r="J1306" s="276"/>
      <c r="K1306" s="276"/>
      <c r="L1306" s="276"/>
      <c r="M1306" s="276"/>
      <c r="N1306" s="276"/>
      <c r="O1306" s="276"/>
      <c r="P1306" s="276"/>
      <c r="Q1306" s="276"/>
      <c r="R1306" s="276"/>
      <c r="S1306" s="276"/>
      <c r="T1306" s="276"/>
      <c r="U1306" s="276"/>
      <c r="V1306" s="276"/>
      <c r="W1306" s="276"/>
      <c r="X1306" s="276"/>
    </row>
    <row r="1307" ht="15.75" customHeight="1">
      <c r="A1307" s="403"/>
      <c r="B1307" s="284">
        <f t="shared" si="32"/>
        <v>30</v>
      </c>
      <c r="C1307" s="284">
        <f t="shared" si="33"/>
        <v>12</v>
      </c>
      <c r="D1307" s="284">
        <f t="shared" si="34"/>
        <v>1899</v>
      </c>
      <c r="E1307" s="490"/>
      <c r="F1307" s="30"/>
      <c r="G1307" s="30"/>
      <c r="H1307" s="288">
        <f t="shared" si="35"/>
        <v>0</v>
      </c>
      <c r="I1307" s="490"/>
      <c r="J1307" s="276"/>
      <c r="K1307" s="276"/>
      <c r="L1307" s="276"/>
      <c r="M1307" s="276"/>
      <c r="N1307" s="276"/>
      <c r="O1307" s="276"/>
      <c r="P1307" s="276"/>
      <c r="Q1307" s="276"/>
      <c r="R1307" s="276"/>
      <c r="S1307" s="276"/>
      <c r="T1307" s="276"/>
      <c r="U1307" s="276"/>
      <c r="V1307" s="276"/>
      <c r="W1307" s="276"/>
      <c r="X1307" s="276"/>
    </row>
    <row r="1308" ht="15.75" customHeight="1">
      <c r="A1308" s="403"/>
      <c r="B1308" s="284">
        <f t="shared" si="32"/>
        <v>30</v>
      </c>
      <c r="C1308" s="284">
        <f t="shared" si="33"/>
        <v>12</v>
      </c>
      <c r="D1308" s="284">
        <f t="shared" si="34"/>
        <v>1899</v>
      </c>
      <c r="E1308" s="490"/>
      <c r="F1308" s="30"/>
      <c r="G1308" s="30"/>
      <c r="H1308" s="288">
        <f t="shared" si="35"/>
        <v>0</v>
      </c>
      <c r="I1308" s="490"/>
      <c r="J1308" s="276"/>
      <c r="K1308" s="276"/>
      <c r="L1308" s="276"/>
      <c r="M1308" s="276"/>
      <c r="N1308" s="276"/>
      <c r="O1308" s="276"/>
      <c r="P1308" s="276"/>
      <c r="Q1308" s="276"/>
      <c r="R1308" s="276"/>
      <c r="S1308" s="276"/>
      <c r="T1308" s="276"/>
      <c r="U1308" s="276"/>
      <c r="V1308" s="276"/>
      <c r="W1308" s="276"/>
      <c r="X1308" s="276"/>
    </row>
    <row r="1309" ht="15.75" customHeight="1">
      <c r="A1309" s="403"/>
      <c r="B1309" s="284">
        <f t="shared" si="32"/>
        <v>30</v>
      </c>
      <c r="C1309" s="284">
        <f t="shared" si="33"/>
        <v>12</v>
      </c>
      <c r="D1309" s="284">
        <f t="shared" si="34"/>
        <v>1899</v>
      </c>
      <c r="E1309" s="490"/>
      <c r="F1309" s="30"/>
      <c r="G1309" s="30"/>
      <c r="H1309" s="288">
        <f t="shared" si="35"/>
        <v>0</v>
      </c>
      <c r="I1309" s="490"/>
      <c r="J1309" s="276"/>
      <c r="K1309" s="276"/>
      <c r="L1309" s="276"/>
      <c r="M1309" s="276"/>
      <c r="N1309" s="276"/>
      <c r="O1309" s="276"/>
      <c r="P1309" s="276"/>
      <c r="Q1309" s="276"/>
      <c r="R1309" s="276"/>
      <c r="S1309" s="276"/>
      <c r="T1309" s="276"/>
      <c r="U1309" s="276"/>
      <c r="V1309" s="276"/>
      <c r="W1309" s="276"/>
      <c r="X1309" s="276"/>
    </row>
    <row r="1310" ht="15.75" customHeight="1">
      <c r="A1310" s="403"/>
      <c r="B1310" s="284">
        <f t="shared" si="32"/>
        <v>30</v>
      </c>
      <c r="C1310" s="284">
        <f t="shared" si="33"/>
        <v>12</v>
      </c>
      <c r="D1310" s="284">
        <f t="shared" si="34"/>
        <v>1899</v>
      </c>
      <c r="E1310" s="490"/>
      <c r="F1310" s="30"/>
      <c r="G1310" s="30"/>
      <c r="H1310" s="288">
        <f t="shared" si="35"/>
        <v>0</v>
      </c>
      <c r="I1310" s="490"/>
      <c r="J1310" s="276"/>
      <c r="K1310" s="276"/>
      <c r="L1310" s="276"/>
      <c r="M1310" s="276"/>
      <c r="N1310" s="276"/>
      <c r="O1310" s="276"/>
      <c r="P1310" s="276"/>
      <c r="Q1310" s="276"/>
      <c r="R1310" s="276"/>
      <c r="S1310" s="276"/>
      <c r="T1310" s="276"/>
      <c r="U1310" s="276"/>
      <c r="V1310" s="276"/>
      <c r="W1310" s="276"/>
      <c r="X1310" s="276"/>
    </row>
    <row r="1311" ht="15.75" customHeight="1">
      <c r="A1311" s="403"/>
      <c r="B1311" s="284">
        <f t="shared" si="32"/>
        <v>30</v>
      </c>
      <c r="C1311" s="284">
        <f t="shared" si="33"/>
        <v>12</v>
      </c>
      <c r="D1311" s="284">
        <f t="shared" si="34"/>
        <v>1899</v>
      </c>
      <c r="E1311" s="490"/>
      <c r="F1311" s="30"/>
      <c r="G1311" s="30"/>
      <c r="H1311" s="288">
        <f t="shared" si="35"/>
        <v>0</v>
      </c>
      <c r="I1311" s="490"/>
      <c r="J1311" s="276"/>
      <c r="K1311" s="276"/>
      <c r="L1311" s="276"/>
      <c r="M1311" s="276"/>
      <c r="N1311" s="276"/>
      <c r="O1311" s="276"/>
      <c r="P1311" s="276"/>
      <c r="Q1311" s="276"/>
      <c r="R1311" s="276"/>
      <c r="S1311" s="276"/>
      <c r="T1311" s="276"/>
      <c r="U1311" s="276"/>
      <c r="V1311" s="276"/>
      <c r="W1311" s="276"/>
      <c r="X1311" s="276"/>
    </row>
    <row r="1312" ht="15.75" customHeight="1">
      <c r="A1312" s="403"/>
      <c r="B1312" s="284">
        <f t="shared" si="32"/>
        <v>30</v>
      </c>
      <c r="C1312" s="284">
        <f t="shared" si="33"/>
        <v>12</v>
      </c>
      <c r="D1312" s="284">
        <f t="shared" si="34"/>
        <v>1899</v>
      </c>
      <c r="E1312" s="490"/>
      <c r="F1312" s="30"/>
      <c r="G1312" s="30"/>
      <c r="H1312" s="288">
        <f t="shared" si="35"/>
        <v>0</v>
      </c>
      <c r="I1312" s="490"/>
      <c r="J1312" s="276"/>
      <c r="K1312" s="276"/>
      <c r="L1312" s="276"/>
      <c r="M1312" s="276"/>
      <c r="N1312" s="276"/>
      <c r="O1312" s="276"/>
      <c r="P1312" s="276"/>
      <c r="Q1312" s="276"/>
      <c r="R1312" s="276"/>
      <c r="S1312" s="276"/>
      <c r="T1312" s="276"/>
      <c r="U1312" s="276"/>
      <c r="V1312" s="276"/>
      <c r="W1312" s="276"/>
      <c r="X1312" s="276"/>
    </row>
    <row r="1313" ht="15.75" customHeight="1">
      <c r="A1313" s="403"/>
      <c r="B1313" s="284">
        <f t="shared" si="32"/>
        <v>30</v>
      </c>
      <c r="C1313" s="284">
        <f t="shared" si="33"/>
        <v>12</v>
      </c>
      <c r="D1313" s="284">
        <f t="shared" si="34"/>
        <v>1899</v>
      </c>
      <c r="E1313" s="490"/>
      <c r="F1313" s="30"/>
      <c r="G1313" s="30"/>
      <c r="H1313" s="288">
        <f t="shared" si="35"/>
        <v>0</v>
      </c>
      <c r="I1313" s="490"/>
      <c r="J1313" s="276"/>
      <c r="K1313" s="276"/>
      <c r="L1313" s="276"/>
      <c r="M1313" s="276"/>
      <c r="N1313" s="276"/>
      <c r="O1313" s="276"/>
      <c r="P1313" s="276"/>
      <c r="Q1313" s="276"/>
      <c r="R1313" s="276"/>
      <c r="S1313" s="276"/>
      <c r="T1313" s="276"/>
      <c r="U1313" s="276"/>
      <c r="V1313" s="276"/>
      <c r="W1313" s="276"/>
      <c r="X1313" s="276"/>
    </row>
    <row r="1314" ht="15.75" customHeight="1">
      <c r="A1314" s="403"/>
      <c r="B1314" s="284">
        <f t="shared" si="32"/>
        <v>30</v>
      </c>
      <c r="C1314" s="284">
        <f t="shared" si="33"/>
        <v>12</v>
      </c>
      <c r="D1314" s="284">
        <f t="shared" si="34"/>
        <v>1899</v>
      </c>
      <c r="E1314" s="490"/>
      <c r="F1314" s="30"/>
      <c r="G1314" s="30"/>
      <c r="H1314" s="288">
        <f t="shared" si="35"/>
        <v>0</v>
      </c>
      <c r="I1314" s="490"/>
      <c r="J1314" s="276"/>
      <c r="K1314" s="276"/>
      <c r="L1314" s="276"/>
      <c r="M1314" s="276"/>
      <c r="N1314" s="276"/>
      <c r="O1314" s="276"/>
      <c r="P1314" s="276"/>
      <c r="Q1314" s="276"/>
      <c r="R1314" s="276"/>
      <c r="S1314" s="276"/>
      <c r="T1314" s="276"/>
      <c r="U1314" s="276"/>
      <c r="V1314" s="276"/>
      <c r="W1314" s="276"/>
      <c r="X1314" s="276"/>
    </row>
    <row r="1315" ht="15.75" customHeight="1">
      <c r="A1315" s="403"/>
      <c r="B1315" s="284">
        <f t="shared" si="32"/>
        <v>30</v>
      </c>
      <c r="C1315" s="284">
        <f t="shared" si="33"/>
        <v>12</v>
      </c>
      <c r="D1315" s="284">
        <f t="shared" si="34"/>
        <v>1899</v>
      </c>
      <c r="E1315" s="490"/>
      <c r="F1315" s="30"/>
      <c r="G1315" s="30"/>
      <c r="H1315" s="288">
        <f t="shared" si="35"/>
        <v>0</v>
      </c>
      <c r="I1315" s="490"/>
      <c r="J1315" s="276"/>
      <c r="K1315" s="276"/>
      <c r="L1315" s="276"/>
      <c r="M1315" s="276"/>
      <c r="N1315" s="276"/>
      <c r="O1315" s="276"/>
      <c r="P1315" s="276"/>
      <c r="Q1315" s="276"/>
      <c r="R1315" s="276"/>
      <c r="S1315" s="276"/>
      <c r="T1315" s="276"/>
      <c r="U1315" s="276"/>
      <c r="V1315" s="276"/>
      <c r="W1315" s="276"/>
      <c r="X1315" s="276"/>
    </row>
    <row r="1316" ht="15.75" customHeight="1">
      <c r="A1316" s="403"/>
      <c r="B1316" s="284">
        <f t="shared" si="32"/>
        <v>30</v>
      </c>
      <c r="C1316" s="284">
        <f t="shared" si="33"/>
        <v>12</v>
      </c>
      <c r="D1316" s="284">
        <f t="shared" si="34"/>
        <v>1899</v>
      </c>
      <c r="E1316" s="490"/>
      <c r="F1316" s="30"/>
      <c r="G1316" s="30"/>
      <c r="H1316" s="288">
        <f t="shared" si="35"/>
        <v>0</v>
      </c>
      <c r="I1316" s="490"/>
      <c r="J1316" s="276"/>
      <c r="K1316" s="276"/>
      <c r="L1316" s="276"/>
      <c r="M1316" s="276"/>
      <c r="N1316" s="276"/>
      <c r="O1316" s="276"/>
      <c r="P1316" s="276"/>
      <c r="Q1316" s="276"/>
      <c r="R1316" s="276"/>
      <c r="S1316" s="276"/>
      <c r="T1316" s="276"/>
      <c r="U1316" s="276"/>
      <c r="V1316" s="276"/>
      <c r="W1316" s="276"/>
      <c r="X1316" s="276"/>
    </row>
    <row r="1317" ht="15.75" customHeight="1">
      <c r="A1317" s="403"/>
      <c r="B1317" s="284">
        <f t="shared" si="32"/>
        <v>30</v>
      </c>
      <c r="C1317" s="284">
        <f t="shared" si="33"/>
        <v>12</v>
      </c>
      <c r="D1317" s="284">
        <f t="shared" si="34"/>
        <v>1899</v>
      </c>
      <c r="E1317" s="490"/>
      <c r="F1317" s="30"/>
      <c r="G1317" s="30"/>
      <c r="H1317" s="288">
        <f t="shared" si="35"/>
        <v>0</v>
      </c>
      <c r="I1317" s="490"/>
      <c r="J1317" s="276"/>
      <c r="K1317" s="276"/>
      <c r="L1317" s="276"/>
      <c r="M1317" s="276"/>
      <c r="N1317" s="276"/>
      <c r="O1317" s="276"/>
      <c r="P1317" s="276"/>
      <c r="Q1317" s="276"/>
      <c r="R1317" s="276"/>
      <c r="S1317" s="276"/>
      <c r="T1317" s="276"/>
      <c r="U1317" s="276"/>
      <c r="V1317" s="276"/>
      <c r="W1317" s="276"/>
      <c r="X1317" s="276"/>
    </row>
    <row r="1318" ht="15.75" customHeight="1">
      <c r="A1318" s="403"/>
      <c r="B1318" s="284">
        <f t="shared" si="32"/>
        <v>30</v>
      </c>
      <c r="C1318" s="284">
        <f t="shared" si="33"/>
        <v>12</v>
      </c>
      <c r="D1318" s="284">
        <f t="shared" si="34"/>
        <v>1899</v>
      </c>
      <c r="E1318" s="490"/>
      <c r="F1318" s="30"/>
      <c r="G1318" s="30"/>
      <c r="H1318" s="288">
        <f t="shared" si="35"/>
        <v>0</v>
      </c>
      <c r="I1318" s="490"/>
      <c r="J1318" s="276"/>
      <c r="K1318" s="276"/>
      <c r="L1318" s="276"/>
      <c r="M1318" s="276"/>
      <c r="N1318" s="276"/>
      <c r="O1318" s="276"/>
      <c r="P1318" s="276"/>
      <c r="Q1318" s="276"/>
      <c r="R1318" s="276"/>
      <c r="S1318" s="276"/>
      <c r="T1318" s="276"/>
      <c r="U1318" s="276"/>
      <c r="V1318" s="276"/>
      <c r="W1318" s="276"/>
      <c r="X1318" s="276"/>
    </row>
    <row r="1319" ht="15.75" customHeight="1">
      <c r="A1319" s="403"/>
      <c r="B1319" s="284">
        <f t="shared" si="32"/>
        <v>30</v>
      </c>
      <c r="C1319" s="284">
        <f t="shared" si="33"/>
        <v>12</v>
      </c>
      <c r="D1319" s="284">
        <f t="shared" si="34"/>
        <v>1899</v>
      </c>
      <c r="E1319" s="490"/>
      <c r="F1319" s="30"/>
      <c r="G1319" s="30"/>
      <c r="H1319" s="288">
        <f t="shared" si="35"/>
        <v>0</v>
      </c>
      <c r="I1319" s="490"/>
      <c r="J1319" s="276"/>
      <c r="K1319" s="276"/>
      <c r="L1319" s="276"/>
      <c r="M1319" s="276"/>
      <c r="N1319" s="276"/>
      <c r="O1319" s="276"/>
      <c r="P1319" s="276"/>
      <c r="Q1319" s="276"/>
      <c r="R1319" s="276"/>
      <c r="S1319" s="276"/>
      <c r="T1319" s="276"/>
      <c r="U1319" s="276"/>
      <c r="V1319" s="276"/>
      <c r="W1319" s="276"/>
      <c r="X1319" s="276"/>
    </row>
    <row r="1320" ht="15.75" customHeight="1">
      <c r="A1320" s="403"/>
      <c r="B1320" s="284">
        <f t="shared" si="32"/>
        <v>30</v>
      </c>
      <c r="C1320" s="284">
        <f t="shared" si="33"/>
        <v>12</v>
      </c>
      <c r="D1320" s="284">
        <f t="shared" si="34"/>
        <v>1899</v>
      </c>
      <c r="E1320" s="490"/>
      <c r="F1320" s="30"/>
      <c r="G1320" s="30"/>
      <c r="H1320" s="288">
        <f t="shared" si="35"/>
        <v>0</v>
      </c>
      <c r="I1320" s="490"/>
      <c r="J1320" s="276"/>
      <c r="K1320" s="276"/>
      <c r="L1320" s="276"/>
      <c r="M1320" s="276"/>
      <c r="N1320" s="276"/>
      <c r="O1320" s="276"/>
      <c r="P1320" s="276"/>
      <c r="Q1320" s="276"/>
      <c r="R1320" s="276"/>
      <c r="S1320" s="276"/>
      <c r="T1320" s="276"/>
      <c r="U1320" s="276"/>
      <c r="V1320" s="276"/>
      <c r="W1320" s="276"/>
      <c r="X1320" s="276"/>
    </row>
    <row r="1321" ht="15.75" customHeight="1">
      <c r="A1321" s="403"/>
      <c r="B1321" s="284">
        <f t="shared" si="32"/>
        <v>30</v>
      </c>
      <c r="C1321" s="284">
        <f t="shared" si="33"/>
        <v>12</v>
      </c>
      <c r="D1321" s="284">
        <f t="shared" si="34"/>
        <v>1899</v>
      </c>
      <c r="E1321" s="490"/>
      <c r="F1321" s="30"/>
      <c r="G1321" s="30"/>
      <c r="H1321" s="288">
        <f t="shared" si="35"/>
        <v>0</v>
      </c>
      <c r="I1321" s="490"/>
      <c r="J1321" s="276"/>
      <c r="K1321" s="276"/>
      <c r="L1321" s="276"/>
      <c r="M1321" s="276"/>
      <c r="N1321" s="276"/>
      <c r="O1321" s="276"/>
      <c r="P1321" s="276"/>
      <c r="Q1321" s="276"/>
      <c r="R1321" s="276"/>
      <c r="S1321" s="276"/>
      <c r="T1321" s="276"/>
      <c r="U1321" s="276"/>
      <c r="V1321" s="276"/>
      <c r="W1321" s="276"/>
      <c r="X1321" s="276"/>
    </row>
    <row r="1322" ht="15.75" customHeight="1">
      <c r="A1322" s="403"/>
      <c r="B1322" s="284">
        <f t="shared" si="32"/>
        <v>30</v>
      </c>
      <c r="C1322" s="284">
        <f t="shared" si="33"/>
        <v>12</v>
      </c>
      <c r="D1322" s="284">
        <f t="shared" si="34"/>
        <v>1899</v>
      </c>
      <c r="E1322" s="490"/>
      <c r="F1322" s="30"/>
      <c r="G1322" s="30"/>
      <c r="H1322" s="288">
        <f t="shared" si="35"/>
        <v>0</v>
      </c>
      <c r="I1322" s="490"/>
      <c r="J1322" s="276"/>
      <c r="K1322" s="276"/>
      <c r="L1322" s="276"/>
      <c r="M1322" s="276"/>
      <c r="N1322" s="276"/>
      <c r="O1322" s="276"/>
      <c r="P1322" s="276"/>
      <c r="Q1322" s="276"/>
      <c r="R1322" s="276"/>
      <c r="S1322" s="276"/>
      <c r="T1322" s="276"/>
      <c r="U1322" s="276"/>
      <c r="V1322" s="276"/>
      <c r="W1322" s="276"/>
      <c r="X1322" s="276"/>
    </row>
    <row r="1323" ht="15.75" customHeight="1">
      <c r="A1323" s="403"/>
      <c r="B1323" s="284">
        <f t="shared" si="32"/>
        <v>30</v>
      </c>
      <c r="C1323" s="284">
        <f t="shared" si="33"/>
        <v>12</v>
      </c>
      <c r="D1323" s="284">
        <f t="shared" si="34"/>
        <v>1899</v>
      </c>
      <c r="E1323" s="490"/>
      <c r="F1323" s="30"/>
      <c r="G1323" s="30"/>
      <c r="H1323" s="288">
        <f t="shared" si="35"/>
        <v>0</v>
      </c>
      <c r="I1323" s="490"/>
      <c r="J1323" s="276"/>
      <c r="K1323" s="276"/>
      <c r="L1323" s="276"/>
      <c r="M1323" s="276"/>
      <c r="N1323" s="276"/>
      <c r="O1323" s="276"/>
      <c r="P1323" s="276"/>
      <c r="Q1323" s="276"/>
      <c r="R1323" s="276"/>
      <c r="S1323" s="276"/>
      <c r="T1323" s="276"/>
      <c r="U1323" s="276"/>
      <c r="V1323" s="276"/>
      <c r="W1323" s="276"/>
      <c r="X1323" s="276"/>
    </row>
    <row r="1324" ht="15.75" customHeight="1">
      <c r="A1324" s="403"/>
      <c r="B1324" s="284">
        <f t="shared" si="32"/>
        <v>30</v>
      </c>
      <c r="C1324" s="284">
        <f t="shared" si="33"/>
        <v>12</v>
      </c>
      <c r="D1324" s="284">
        <f t="shared" si="34"/>
        <v>1899</v>
      </c>
      <c r="E1324" s="490"/>
      <c r="F1324" s="30"/>
      <c r="G1324" s="30"/>
      <c r="H1324" s="288">
        <f t="shared" si="35"/>
        <v>0</v>
      </c>
      <c r="I1324" s="490"/>
      <c r="J1324" s="276"/>
      <c r="K1324" s="276"/>
      <c r="L1324" s="276"/>
      <c r="M1324" s="276"/>
      <c r="N1324" s="276"/>
      <c r="O1324" s="276"/>
      <c r="P1324" s="276"/>
      <c r="Q1324" s="276"/>
      <c r="R1324" s="276"/>
      <c r="S1324" s="276"/>
      <c r="T1324" s="276"/>
      <c r="U1324" s="276"/>
      <c r="V1324" s="276"/>
      <c r="W1324" s="276"/>
      <c r="X1324" s="276"/>
    </row>
    <row r="1325" ht="15.75" customHeight="1">
      <c r="A1325" s="403"/>
      <c r="B1325" s="284">
        <f t="shared" si="32"/>
        <v>30</v>
      </c>
      <c r="C1325" s="284">
        <f t="shared" si="33"/>
        <v>12</v>
      </c>
      <c r="D1325" s="284">
        <f t="shared" si="34"/>
        <v>1899</v>
      </c>
      <c r="E1325" s="490"/>
      <c r="F1325" s="30"/>
      <c r="G1325" s="30"/>
      <c r="H1325" s="288">
        <f t="shared" si="35"/>
        <v>0</v>
      </c>
      <c r="I1325" s="490"/>
      <c r="J1325" s="276"/>
      <c r="K1325" s="276"/>
      <c r="L1325" s="276"/>
      <c r="M1325" s="276"/>
      <c r="N1325" s="276"/>
      <c r="O1325" s="276"/>
      <c r="P1325" s="276"/>
      <c r="Q1325" s="276"/>
      <c r="R1325" s="276"/>
      <c r="S1325" s="276"/>
      <c r="T1325" s="276"/>
      <c r="U1325" s="276"/>
      <c r="V1325" s="276"/>
      <c r="W1325" s="276"/>
      <c r="X1325" s="276"/>
    </row>
    <row r="1326" ht="15.75" customHeight="1">
      <c r="A1326" s="403"/>
      <c r="B1326" s="284">
        <f t="shared" si="32"/>
        <v>30</v>
      </c>
      <c r="C1326" s="284">
        <f t="shared" si="33"/>
        <v>12</v>
      </c>
      <c r="D1326" s="284">
        <f t="shared" si="34"/>
        <v>1899</v>
      </c>
      <c r="E1326" s="490"/>
      <c r="F1326" s="30"/>
      <c r="G1326" s="30"/>
      <c r="H1326" s="288">
        <f t="shared" si="35"/>
        <v>0</v>
      </c>
      <c r="I1326" s="490"/>
      <c r="J1326" s="276"/>
      <c r="K1326" s="276"/>
      <c r="L1326" s="276"/>
      <c r="M1326" s="276"/>
      <c r="N1326" s="276"/>
      <c r="O1326" s="276"/>
      <c r="P1326" s="276"/>
      <c r="Q1326" s="276"/>
      <c r="R1326" s="276"/>
      <c r="S1326" s="276"/>
      <c r="T1326" s="276"/>
      <c r="U1326" s="276"/>
      <c r="V1326" s="276"/>
      <c r="W1326" s="276"/>
      <c r="X1326" s="276"/>
    </row>
    <row r="1327" ht="15.75" customHeight="1">
      <c r="A1327" s="403"/>
      <c r="B1327" s="284">
        <f t="shared" si="32"/>
        <v>30</v>
      </c>
      <c r="C1327" s="284">
        <f t="shared" si="33"/>
        <v>12</v>
      </c>
      <c r="D1327" s="284">
        <f t="shared" si="34"/>
        <v>1899</v>
      </c>
      <c r="E1327" s="490"/>
      <c r="F1327" s="30"/>
      <c r="G1327" s="30"/>
      <c r="H1327" s="288">
        <f t="shared" si="35"/>
        <v>0</v>
      </c>
      <c r="I1327" s="490"/>
      <c r="J1327" s="276"/>
      <c r="K1327" s="276"/>
      <c r="L1327" s="276"/>
      <c r="M1327" s="276"/>
      <c r="N1327" s="276"/>
      <c r="O1327" s="276"/>
      <c r="P1327" s="276"/>
      <c r="Q1327" s="276"/>
      <c r="R1327" s="276"/>
      <c r="S1327" s="276"/>
      <c r="T1327" s="276"/>
      <c r="U1327" s="276"/>
      <c r="V1327" s="276"/>
      <c r="W1327" s="276"/>
      <c r="X1327" s="276"/>
    </row>
    <row r="1328" ht="15.75" customHeight="1">
      <c r="A1328" s="403"/>
      <c r="B1328" s="284">
        <f t="shared" si="32"/>
        <v>30</v>
      </c>
      <c r="C1328" s="284">
        <f t="shared" si="33"/>
        <v>12</v>
      </c>
      <c r="D1328" s="284">
        <f t="shared" si="34"/>
        <v>1899</v>
      </c>
      <c r="E1328" s="490"/>
      <c r="F1328" s="30"/>
      <c r="G1328" s="30"/>
      <c r="H1328" s="288">
        <f t="shared" si="35"/>
        <v>0</v>
      </c>
      <c r="I1328" s="490"/>
      <c r="J1328" s="276"/>
      <c r="K1328" s="276"/>
      <c r="L1328" s="276"/>
      <c r="M1328" s="276"/>
      <c r="N1328" s="276"/>
      <c r="O1328" s="276"/>
      <c r="P1328" s="276"/>
      <c r="Q1328" s="276"/>
      <c r="R1328" s="276"/>
      <c r="S1328" s="276"/>
      <c r="T1328" s="276"/>
      <c r="U1328" s="276"/>
      <c r="V1328" s="276"/>
      <c r="W1328" s="276"/>
      <c r="X1328" s="276"/>
    </row>
    <row r="1329" ht="15.75" customHeight="1">
      <c r="A1329" s="403"/>
      <c r="B1329" s="284">
        <f t="shared" si="32"/>
        <v>30</v>
      </c>
      <c r="C1329" s="284">
        <f t="shared" si="33"/>
        <v>12</v>
      </c>
      <c r="D1329" s="284">
        <f t="shared" si="34"/>
        <v>1899</v>
      </c>
      <c r="E1329" s="490"/>
      <c r="F1329" s="30"/>
      <c r="G1329" s="30"/>
      <c r="H1329" s="288">
        <f t="shared" si="35"/>
        <v>0</v>
      </c>
      <c r="I1329" s="490"/>
      <c r="J1329" s="276"/>
      <c r="K1329" s="276"/>
      <c r="L1329" s="276"/>
      <c r="M1329" s="276"/>
      <c r="N1329" s="276"/>
      <c r="O1329" s="276"/>
      <c r="P1329" s="276"/>
      <c r="Q1329" s="276"/>
      <c r="R1329" s="276"/>
      <c r="S1329" s="276"/>
      <c r="T1329" s="276"/>
      <c r="U1329" s="276"/>
      <c r="V1329" s="276"/>
      <c r="W1329" s="276"/>
      <c r="X1329" s="276"/>
    </row>
    <row r="1330" ht="15.75" customHeight="1">
      <c r="A1330" s="403"/>
      <c r="B1330" s="284">
        <f t="shared" si="32"/>
        <v>30</v>
      </c>
      <c r="C1330" s="284">
        <f t="shared" si="33"/>
        <v>12</v>
      </c>
      <c r="D1330" s="284">
        <f t="shared" si="34"/>
        <v>1899</v>
      </c>
      <c r="E1330" s="490"/>
      <c r="F1330" s="30"/>
      <c r="G1330" s="30"/>
      <c r="H1330" s="288">
        <f t="shared" si="35"/>
        <v>0</v>
      </c>
      <c r="I1330" s="490"/>
      <c r="J1330" s="276"/>
      <c r="K1330" s="276"/>
      <c r="L1330" s="276"/>
      <c r="M1330" s="276"/>
      <c r="N1330" s="276"/>
      <c r="O1330" s="276"/>
      <c r="P1330" s="276"/>
      <c r="Q1330" s="276"/>
      <c r="R1330" s="276"/>
      <c r="S1330" s="276"/>
      <c r="T1330" s="276"/>
      <c r="U1330" s="276"/>
      <c r="V1330" s="276"/>
      <c r="W1330" s="276"/>
      <c r="X1330" s="276"/>
    </row>
    <row r="1331" ht="15.75" customHeight="1">
      <c r="A1331" s="403"/>
      <c r="B1331" s="284">
        <f t="shared" si="32"/>
        <v>30</v>
      </c>
      <c r="C1331" s="284">
        <f t="shared" si="33"/>
        <v>12</v>
      </c>
      <c r="D1331" s="284">
        <f t="shared" si="34"/>
        <v>1899</v>
      </c>
      <c r="E1331" s="490"/>
      <c r="F1331" s="30"/>
      <c r="G1331" s="30"/>
      <c r="H1331" s="288">
        <f t="shared" si="35"/>
        <v>0</v>
      </c>
      <c r="I1331" s="490"/>
      <c r="J1331" s="276"/>
      <c r="K1331" s="276"/>
      <c r="L1331" s="276"/>
      <c r="M1331" s="276"/>
      <c r="N1331" s="276"/>
      <c r="O1331" s="276"/>
      <c r="P1331" s="276"/>
      <c r="Q1331" s="276"/>
      <c r="R1331" s="276"/>
      <c r="S1331" s="276"/>
      <c r="T1331" s="276"/>
      <c r="U1331" s="276"/>
      <c r="V1331" s="276"/>
      <c r="W1331" s="276"/>
      <c r="X1331" s="276"/>
    </row>
    <row r="1332" ht="15.75" customHeight="1">
      <c r="A1332" s="403"/>
      <c r="B1332" s="284">
        <f t="shared" si="32"/>
        <v>30</v>
      </c>
      <c r="C1332" s="284">
        <f t="shared" si="33"/>
        <v>12</v>
      </c>
      <c r="D1332" s="284">
        <f t="shared" si="34"/>
        <v>1899</v>
      </c>
      <c r="E1332" s="490"/>
      <c r="F1332" s="30"/>
      <c r="G1332" s="30"/>
      <c r="H1332" s="288">
        <f t="shared" si="35"/>
        <v>0</v>
      </c>
      <c r="I1332" s="490"/>
      <c r="J1332" s="276"/>
      <c r="K1332" s="276"/>
      <c r="L1332" s="276"/>
      <c r="M1332" s="276"/>
      <c r="N1332" s="276"/>
      <c r="O1332" s="276"/>
      <c r="P1332" s="276"/>
      <c r="Q1332" s="276"/>
      <c r="R1332" s="276"/>
      <c r="S1332" s="276"/>
      <c r="T1332" s="276"/>
      <c r="U1332" s="276"/>
      <c r="V1332" s="276"/>
      <c r="W1332" s="276"/>
      <c r="X1332" s="276"/>
    </row>
    <row r="1333" ht="15.75" customHeight="1">
      <c r="A1333" s="403"/>
      <c r="B1333" s="284">
        <f t="shared" si="32"/>
        <v>30</v>
      </c>
      <c r="C1333" s="284">
        <f t="shared" si="33"/>
        <v>12</v>
      </c>
      <c r="D1333" s="284">
        <f t="shared" si="34"/>
        <v>1899</v>
      </c>
      <c r="E1333" s="490"/>
      <c r="F1333" s="30"/>
      <c r="G1333" s="30"/>
      <c r="H1333" s="288">
        <f t="shared" si="35"/>
        <v>0</v>
      </c>
      <c r="I1333" s="490"/>
      <c r="J1333" s="276"/>
      <c r="K1333" s="276"/>
      <c r="L1333" s="276"/>
      <c r="M1333" s="276"/>
      <c r="N1333" s="276"/>
      <c r="O1333" s="276"/>
      <c r="P1333" s="276"/>
      <c r="Q1333" s="276"/>
      <c r="R1333" s="276"/>
      <c r="S1333" s="276"/>
      <c r="T1333" s="276"/>
      <c r="U1333" s="276"/>
      <c r="V1333" s="276"/>
      <c r="W1333" s="276"/>
      <c r="X1333" s="276"/>
    </row>
    <row r="1334" ht="15.75" customHeight="1">
      <c r="A1334" s="403"/>
      <c r="B1334" s="284">
        <f t="shared" si="32"/>
        <v>30</v>
      </c>
      <c r="C1334" s="284">
        <f t="shared" si="33"/>
        <v>12</v>
      </c>
      <c r="D1334" s="284">
        <f t="shared" si="34"/>
        <v>1899</v>
      </c>
      <c r="E1334" s="490"/>
      <c r="F1334" s="30"/>
      <c r="G1334" s="30"/>
      <c r="H1334" s="288">
        <f t="shared" si="35"/>
        <v>0</v>
      </c>
      <c r="I1334" s="490"/>
      <c r="J1334" s="276"/>
      <c r="K1334" s="276"/>
      <c r="L1334" s="276"/>
      <c r="M1334" s="276"/>
      <c r="N1334" s="276"/>
      <c r="O1334" s="276"/>
      <c r="P1334" s="276"/>
      <c r="Q1334" s="276"/>
      <c r="R1334" s="276"/>
      <c r="S1334" s="276"/>
      <c r="T1334" s="276"/>
      <c r="U1334" s="276"/>
      <c r="V1334" s="276"/>
      <c r="W1334" s="276"/>
      <c r="X1334" s="276"/>
    </row>
    <row r="1335" ht="15.75" customHeight="1">
      <c r="A1335" s="403"/>
      <c r="B1335" s="284">
        <f t="shared" si="32"/>
        <v>30</v>
      </c>
      <c r="C1335" s="284">
        <f t="shared" si="33"/>
        <v>12</v>
      </c>
      <c r="D1335" s="284">
        <f t="shared" si="34"/>
        <v>1899</v>
      </c>
      <c r="E1335" s="490"/>
      <c r="F1335" s="30"/>
      <c r="G1335" s="30"/>
      <c r="H1335" s="288">
        <f t="shared" si="35"/>
        <v>0</v>
      </c>
      <c r="I1335" s="490"/>
      <c r="J1335" s="276"/>
      <c r="K1335" s="276"/>
      <c r="L1335" s="276"/>
      <c r="M1335" s="276"/>
      <c r="N1335" s="276"/>
      <c r="O1335" s="276"/>
      <c r="P1335" s="276"/>
      <c r="Q1335" s="276"/>
      <c r="R1335" s="276"/>
      <c r="S1335" s="276"/>
      <c r="T1335" s="276"/>
      <c r="U1335" s="276"/>
      <c r="V1335" s="276"/>
      <c r="W1335" s="276"/>
      <c r="X1335" s="276"/>
    </row>
    <row r="1336" ht="15.75" customHeight="1">
      <c r="A1336" s="403"/>
      <c r="B1336" s="284">
        <f t="shared" si="32"/>
        <v>30</v>
      </c>
      <c r="C1336" s="284">
        <f t="shared" si="33"/>
        <v>12</v>
      </c>
      <c r="D1336" s="284">
        <f t="shared" si="34"/>
        <v>1899</v>
      </c>
      <c r="E1336" s="490"/>
      <c r="F1336" s="30"/>
      <c r="G1336" s="30"/>
      <c r="H1336" s="288">
        <f t="shared" si="35"/>
        <v>0</v>
      </c>
      <c r="I1336" s="490"/>
      <c r="J1336" s="276"/>
      <c r="K1336" s="276"/>
      <c r="L1336" s="276"/>
      <c r="M1336" s="276"/>
      <c r="N1336" s="276"/>
      <c r="O1336" s="276"/>
      <c r="P1336" s="276"/>
      <c r="Q1336" s="276"/>
      <c r="R1336" s="276"/>
      <c r="S1336" s="276"/>
      <c r="T1336" s="276"/>
      <c r="U1336" s="276"/>
      <c r="V1336" s="276"/>
      <c r="W1336" s="276"/>
      <c r="X1336" s="276"/>
    </row>
    <row r="1337" ht="15.75" customHeight="1">
      <c r="A1337" s="403"/>
      <c r="B1337" s="284">
        <f t="shared" si="32"/>
        <v>30</v>
      </c>
      <c r="C1337" s="284">
        <f t="shared" si="33"/>
        <v>12</v>
      </c>
      <c r="D1337" s="284">
        <f t="shared" si="34"/>
        <v>1899</v>
      </c>
      <c r="E1337" s="490"/>
      <c r="F1337" s="30"/>
      <c r="G1337" s="30"/>
      <c r="H1337" s="288">
        <f t="shared" si="35"/>
        <v>0</v>
      </c>
      <c r="I1337" s="490"/>
      <c r="J1337" s="276"/>
      <c r="K1337" s="276"/>
      <c r="L1337" s="276"/>
      <c r="M1337" s="276"/>
      <c r="N1337" s="276"/>
      <c r="O1337" s="276"/>
      <c r="P1337" s="276"/>
      <c r="Q1337" s="276"/>
      <c r="R1337" s="276"/>
      <c r="S1337" s="276"/>
      <c r="T1337" s="276"/>
      <c r="U1337" s="276"/>
      <c r="V1337" s="276"/>
      <c r="W1337" s="276"/>
      <c r="X1337" s="276"/>
    </row>
    <row r="1338" ht="15.75" customHeight="1">
      <c r="A1338" s="403"/>
      <c r="B1338" s="284">
        <f t="shared" si="32"/>
        <v>30</v>
      </c>
      <c r="C1338" s="284">
        <f t="shared" si="33"/>
        <v>12</v>
      </c>
      <c r="D1338" s="284">
        <f t="shared" si="34"/>
        <v>1899</v>
      </c>
      <c r="E1338" s="490"/>
      <c r="F1338" s="30"/>
      <c r="G1338" s="30"/>
      <c r="H1338" s="288">
        <f t="shared" si="35"/>
        <v>0</v>
      </c>
      <c r="I1338" s="490"/>
      <c r="J1338" s="276"/>
      <c r="K1338" s="276"/>
      <c r="L1338" s="276"/>
      <c r="M1338" s="276"/>
      <c r="N1338" s="276"/>
      <c r="O1338" s="276"/>
      <c r="P1338" s="276"/>
      <c r="Q1338" s="276"/>
      <c r="R1338" s="276"/>
      <c r="S1338" s="276"/>
      <c r="T1338" s="276"/>
      <c r="U1338" s="276"/>
      <c r="V1338" s="276"/>
      <c r="W1338" s="276"/>
      <c r="X1338" s="276"/>
    </row>
    <row r="1339" ht="15.75" customHeight="1">
      <c r="A1339" s="403"/>
      <c r="B1339" s="284">
        <f t="shared" si="32"/>
        <v>30</v>
      </c>
      <c r="C1339" s="284">
        <f t="shared" si="33"/>
        <v>12</v>
      </c>
      <c r="D1339" s="284">
        <f t="shared" si="34"/>
        <v>1899</v>
      </c>
      <c r="E1339" s="490"/>
      <c r="F1339" s="30"/>
      <c r="G1339" s="30"/>
      <c r="H1339" s="288">
        <f t="shared" si="35"/>
        <v>0</v>
      </c>
      <c r="I1339" s="490"/>
      <c r="J1339" s="276"/>
      <c r="K1339" s="276"/>
      <c r="L1339" s="276"/>
      <c r="M1339" s="276"/>
      <c r="N1339" s="276"/>
      <c r="O1339" s="276"/>
      <c r="P1339" s="276"/>
      <c r="Q1339" s="276"/>
      <c r="R1339" s="276"/>
      <c r="S1339" s="276"/>
      <c r="T1339" s="276"/>
      <c r="U1339" s="276"/>
      <c r="V1339" s="276"/>
      <c r="W1339" s="276"/>
      <c r="X1339" s="276"/>
    </row>
    <row r="1340" ht="15.75" customHeight="1">
      <c r="A1340" s="403"/>
      <c r="B1340" s="284">
        <f t="shared" si="32"/>
        <v>30</v>
      </c>
      <c r="C1340" s="284">
        <f t="shared" si="33"/>
        <v>12</v>
      </c>
      <c r="D1340" s="284">
        <f t="shared" si="34"/>
        <v>1899</v>
      </c>
      <c r="E1340" s="490"/>
      <c r="F1340" s="30"/>
      <c r="G1340" s="30"/>
      <c r="H1340" s="288">
        <f t="shared" si="35"/>
        <v>0</v>
      </c>
      <c r="I1340" s="490"/>
      <c r="J1340" s="276"/>
      <c r="K1340" s="276"/>
      <c r="L1340" s="276"/>
      <c r="M1340" s="276"/>
      <c r="N1340" s="276"/>
      <c r="O1340" s="276"/>
      <c r="P1340" s="276"/>
      <c r="Q1340" s="276"/>
      <c r="R1340" s="276"/>
      <c r="S1340" s="276"/>
      <c r="T1340" s="276"/>
      <c r="U1340" s="276"/>
      <c r="V1340" s="276"/>
      <c r="W1340" s="276"/>
      <c r="X1340" s="276"/>
    </row>
    <row r="1341" ht="15.75" customHeight="1">
      <c r="A1341" s="403"/>
      <c r="B1341" s="284">
        <f t="shared" si="32"/>
        <v>30</v>
      </c>
      <c r="C1341" s="284">
        <f t="shared" si="33"/>
        <v>12</v>
      </c>
      <c r="D1341" s="284">
        <f t="shared" si="34"/>
        <v>1899</v>
      </c>
      <c r="E1341" s="490"/>
      <c r="F1341" s="30"/>
      <c r="G1341" s="30"/>
      <c r="H1341" s="288">
        <f t="shared" si="35"/>
        <v>0</v>
      </c>
      <c r="I1341" s="490"/>
      <c r="J1341" s="276"/>
      <c r="K1341" s="276"/>
      <c r="L1341" s="276"/>
      <c r="M1341" s="276"/>
      <c r="N1341" s="276"/>
      <c r="O1341" s="276"/>
      <c r="P1341" s="276"/>
      <c r="Q1341" s="276"/>
      <c r="R1341" s="276"/>
      <c r="S1341" s="276"/>
      <c r="T1341" s="276"/>
      <c r="U1341" s="276"/>
      <c r="V1341" s="276"/>
      <c r="W1341" s="276"/>
      <c r="X1341" s="276"/>
    </row>
    <row r="1342" ht="15.75" customHeight="1">
      <c r="A1342" s="403"/>
      <c r="B1342" s="284">
        <f t="shared" si="32"/>
        <v>30</v>
      </c>
      <c r="C1342" s="284">
        <f t="shared" si="33"/>
        <v>12</v>
      </c>
      <c r="D1342" s="284">
        <f t="shared" si="34"/>
        <v>1899</v>
      </c>
      <c r="E1342" s="490"/>
      <c r="F1342" s="30"/>
      <c r="G1342" s="30"/>
      <c r="H1342" s="288">
        <f t="shared" si="35"/>
        <v>0</v>
      </c>
      <c r="I1342" s="490"/>
      <c r="J1342" s="276"/>
      <c r="K1342" s="276"/>
      <c r="L1342" s="276"/>
      <c r="M1342" s="276"/>
      <c r="N1342" s="276"/>
      <c r="O1342" s="276"/>
      <c r="P1342" s="276"/>
      <c r="Q1342" s="276"/>
      <c r="R1342" s="276"/>
      <c r="S1342" s="276"/>
      <c r="T1342" s="276"/>
      <c r="U1342" s="276"/>
      <c r="V1342" s="276"/>
      <c r="W1342" s="276"/>
      <c r="X1342" s="276"/>
    </row>
    <row r="1343" ht="15.75" customHeight="1">
      <c r="A1343" s="403"/>
      <c r="B1343" s="284">
        <f t="shared" si="32"/>
        <v>30</v>
      </c>
      <c r="C1343" s="284">
        <f t="shared" si="33"/>
        <v>12</v>
      </c>
      <c r="D1343" s="284">
        <f t="shared" si="34"/>
        <v>1899</v>
      </c>
      <c r="E1343" s="490"/>
      <c r="F1343" s="30"/>
      <c r="G1343" s="30"/>
      <c r="H1343" s="288">
        <f t="shared" si="35"/>
        <v>0</v>
      </c>
      <c r="I1343" s="490"/>
      <c r="J1343" s="276"/>
      <c r="K1343" s="276"/>
      <c r="L1343" s="276"/>
      <c r="M1343" s="276"/>
      <c r="N1343" s="276"/>
      <c r="O1343" s="276"/>
      <c r="P1343" s="276"/>
      <c r="Q1343" s="276"/>
      <c r="R1343" s="276"/>
      <c r="S1343" s="276"/>
      <c r="T1343" s="276"/>
      <c r="U1343" s="276"/>
      <c r="V1343" s="276"/>
      <c r="W1343" s="276"/>
      <c r="X1343" s="276"/>
    </row>
    <row r="1344" ht="15.75" customHeight="1">
      <c r="A1344" s="403"/>
      <c r="B1344" s="284">
        <f t="shared" si="32"/>
        <v>30</v>
      </c>
      <c r="C1344" s="284">
        <f t="shared" si="33"/>
        <v>12</v>
      </c>
      <c r="D1344" s="284">
        <f t="shared" si="34"/>
        <v>1899</v>
      </c>
      <c r="E1344" s="490"/>
      <c r="F1344" s="30"/>
      <c r="G1344" s="30"/>
      <c r="H1344" s="288">
        <f t="shared" si="35"/>
        <v>0</v>
      </c>
      <c r="I1344" s="490"/>
      <c r="J1344" s="276"/>
      <c r="K1344" s="276"/>
      <c r="L1344" s="276"/>
      <c r="M1344" s="276"/>
      <c r="N1344" s="276"/>
      <c r="O1344" s="276"/>
      <c r="P1344" s="276"/>
      <c r="Q1344" s="276"/>
      <c r="R1344" s="276"/>
      <c r="S1344" s="276"/>
      <c r="T1344" s="276"/>
      <c r="U1344" s="276"/>
      <c r="V1344" s="276"/>
      <c r="W1344" s="276"/>
      <c r="X1344" s="276"/>
    </row>
    <row r="1345" ht="15.75" customHeight="1">
      <c r="A1345" s="403"/>
      <c r="B1345" s="284">
        <f t="shared" si="32"/>
        <v>30</v>
      </c>
      <c r="C1345" s="284">
        <f t="shared" si="33"/>
        <v>12</v>
      </c>
      <c r="D1345" s="284">
        <f t="shared" si="34"/>
        <v>1899</v>
      </c>
      <c r="E1345" s="490"/>
      <c r="F1345" s="30"/>
      <c r="G1345" s="30"/>
      <c r="H1345" s="288">
        <f t="shared" si="35"/>
        <v>0</v>
      </c>
      <c r="I1345" s="490"/>
      <c r="J1345" s="276"/>
      <c r="K1345" s="276"/>
      <c r="L1345" s="276"/>
      <c r="M1345" s="276"/>
      <c r="N1345" s="276"/>
      <c r="O1345" s="276"/>
      <c r="P1345" s="276"/>
      <c r="Q1345" s="276"/>
      <c r="R1345" s="276"/>
      <c r="S1345" s="276"/>
      <c r="T1345" s="276"/>
      <c r="U1345" s="276"/>
      <c r="V1345" s="276"/>
      <c r="W1345" s="276"/>
      <c r="X1345" s="276"/>
    </row>
    <row r="1346" ht="15.75" customHeight="1">
      <c r="A1346" s="403"/>
      <c r="B1346" s="284">
        <f t="shared" si="32"/>
        <v>30</v>
      </c>
      <c r="C1346" s="284">
        <f t="shared" si="33"/>
        <v>12</v>
      </c>
      <c r="D1346" s="284">
        <f t="shared" si="34"/>
        <v>1899</v>
      </c>
      <c r="E1346" s="490"/>
      <c r="F1346" s="30"/>
      <c r="G1346" s="30"/>
      <c r="H1346" s="288">
        <f t="shared" si="35"/>
        <v>0</v>
      </c>
      <c r="I1346" s="490"/>
      <c r="J1346" s="276"/>
      <c r="K1346" s="276"/>
      <c r="L1346" s="276"/>
      <c r="M1346" s="276"/>
      <c r="N1346" s="276"/>
      <c r="O1346" s="276"/>
      <c r="P1346" s="276"/>
      <c r="Q1346" s="276"/>
      <c r="R1346" s="276"/>
      <c r="S1346" s="276"/>
      <c r="T1346" s="276"/>
      <c r="U1346" s="276"/>
      <c r="V1346" s="276"/>
      <c r="W1346" s="276"/>
      <c r="X1346" s="276"/>
    </row>
    <row r="1347" ht="15.75" customHeight="1">
      <c r="A1347" s="403"/>
      <c r="B1347" s="284">
        <f t="shared" si="32"/>
        <v>30</v>
      </c>
      <c r="C1347" s="284">
        <f t="shared" si="33"/>
        <v>12</v>
      </c>
      <c r="D1347" s="284">
        <f t="shared" si="34"/>
        <v>1899</v>
      </c>
      <c r="E1347" s="490"/>
      <c r="F1347" s="30"/>
      <c r="G1347" s="30"/>
      <c r="H1347" s="288">
        <f t="shared" si="35"/>
        <v>0</v>
      </c>
      <c r="I1347" s="490"/>
      <c r="J1347" s="276"/>
      <c r="K1347" s="276"/>
      <c r="L1347" s="276"/>
      <c r="M1347" s="276"/>
      <c r="N1347" s="276"/>
      <c r="O1347" s="276"/>
      <c r="P1347" s="276"/>
      <c r="Q1347" s="276"/>
      <c r="R1347" s="276"/>
      <c r="S1347" s="276"/>
      <c r="T1347" s="276"/>
      <c r="U1347" s="276"/>
      <c r="V1347" s="276"/>
      <c r="W1347" s="276"/>
      <c r="X1347" s="276"/>
    </row>
    <row r="1348" ht="15.75" customHeight="1">
      <c r="A1348" s="403"/>
      <c r="B1348" s="284">
        <f t="shared" si="32"/>
        <v>30</v>
      </c>
      <c r="C1348" s="284">
        <f t="shared" si="33"/>
        <v>12</v>
      </c>
      <c r="D1348" s="284">
        <f t="shared" si="34"/>
        <v>1899</v>
      </c>
      <c r="E1348" s="490"/>
      <c r="F1348" s="30"/>
      <c r="G1348" s="30"/>
      <c r="H1348" s="288">
        <f t="shared" si="35"/>
        <v>0</v>
      </c>
      <c r="I1348" s="490"/>
      <c r="J1348" s="276"/>
      <c r="K1348" s="276"/>
      <c r="L1348" s="276"/>
      <c r="M1348" s="276"/>
      <c r="N1348" s="276"/>
      <c r="O1348" s="276"/>
      <c r="P1348" s="276"/>
      <c r="Q1348" s="276"/>
      <c r="R1348" s="276"/>
      <c r="S1348" s="276"/>
      <c r="T1348" s="276"/>
      <c r="U1348" s="276"/>
      <c r="V1348" s="276"/>
      <c r="W1348" s="276"/>
      <c r="X1348" s="276"/>
    </row>
    <row r="1349" ht="15.75" customHeight="1">
      <c r="A1349" s="403"/>
      <c r="B1349" s="284">
        <f t="shared" si="32"/>
        <v>30</v>
      </c>
      <c r="C1349" s="284">
        <f t="shared" si="33"/>
        <v>12</v>
      </c>
      <c r="D1349" s="284">
        <f t="shared" si="34"/>
        <v>1899</v>
      </c>
      <c r="E1349" s="490"/>
      <c r="F1349" s="30"/>
      <c r="G1349" s="30"/>
      <c r="H1349" s="288">
        <f t="shared" si="35"/>
        <v>0</v>
      </c>
      <c r="I1349" s="490"/>
      <c r="J1349" s="276"/>
      <c r="K1349" s="276"/>
      <c r="L1349" s="276"/>
      <c r="M1349" s="276"/>
      <c r="N1349" s="276"/>
      <c r="O1349" s="276"/>
      <c r="P1349" s="276"/>
      <c r="Q1349" s="276"/>
      <c r="R1349" s="276"/>
      <c r="S1349" s="276"/>
      <c r="T1349" s="276"/>
      <c r="U1349" s="276"/>
      <c r="V1349" s="276"/>
      <c r="W1349" s="276"/>
      <c r="X1349" s="276"/>
    </row>
    <row r="1350" ht="15.75" customHeight="1">
      <c r="A1350" s="403"/>
      <c r="B1350" s="284">
        <f t="shared" si="32"/>
        <v>30</v>
      </c>
      <c r="C1350" s="284">
        <f t="shared" si="33"/>
        <v>12</v>
      </c>
      <c r="D1350" s="284">
        <f t="shared" si="34"/>
        <v>1899</v>
      </c>
      <c r="E1350" s="490"/>
      <c r="F1350" s="30"/>
      <c r="G1350" s="30"/>
      <c r="H1350" s="288">
        <f t="shared" si="35"/>
        <v>0</v>
      </c>
      <c r="I1350" s="490"/>
      <c r="J1350" s="276"/>
      <c r="K1350" s="276"/>
      <c r="L1350" s="276"/>
      <c r="M1350" s="276"/>
      <c r="N1350" s="276"/>
      <c r="O1350" s="276"/>
      <c r="P1350" s="276"/>
      <c r="Q1350" s="276"/>
      <c r="R1350" s="276"/>
      <c r="S1350" s="276"/>
      <c r="T1350" s="276"/>
      <c r="U1350" s="276"/>
      <c r="V1350" s="276"/>
      <c r="W1350" s="276"/>
      <c r="X1350" s="276"/>
    </row>
    <row r="1351" ht="15.75" customHeight="1">
      <c r="A1351" s="403"/>
      <c r="B1351" s="284">
        <f t="shared" si="32"/>
        <v>30</v>
      </c>
      <c r="C1351" s="284">
        <f t="shared" si="33"/>
        <v>12</v>
      </c>
      <c r="D1351" s="284">
        <f t="shared" si="34"/>
        <v>1899</v>
      </c>
      <c r="E1351" s="490"/>
      <c r="F1351" s="30"/>
      <c r="G1351" s="30"/>
      <c r="H1351" s="288">
        <f t="shared" si="35"/>
        <v>0</v>
      </c>
      <c r="I1351" s="490"/>
      <c r="J1351" s="276"/>
      <c r="K1351" s="276"/>
      <c r="L1351" s="276"/>
      <c r="M1351" s="276"/>
      <c r="N1351" s="276"/>
      <c r="O1351" s="276"/>
      <c r="P1351" s="276"/>
      <c r="Q1351" s="276"/>
      <c r="R1351" s="276"/>
      <c r="S1351" s="276"/>
      <c r="T1351" s="276"/>
      <c r="U1351" s="276"/>
      <c r="V1351" s="276"/>
      <c r="W1351" s="276"/>
      <c r="X1351" s="276"/>
    </row>
    <row r="1352" ht="15.75" customHeight="1">
      <c r="A1352" s="403"/>
      <c r="B1352" s="284">
        <f t="shared" si="32"/>
        <v>30</v>
      </c>
      <c r="C1352" s="284">
        <f t="shared" si="33"/>
        <v>12</v>
      </c>
      <c r="D1352" s="284">
        <f t="shared" si="34"/>
        <v>1899</v>
      </c>
      <c r="E1352" s="490"/>
      <c r="F1352" s="30"/>
      <c r="G1352" s="30"/>
      <c r="H1352" s="288">
        <f t="shared" si="35"/>
        <v>0</v>
      </c>
      <c r="I1352" s="490"/>
      <c r="J1352" s="276"/>
      <c r="K1352" s="276"/>
      <c r="L1352" s="276"/>
      <c r="M1352" s="276"/>
      <c r="N1352" s="276"/>
      <c r="O1352" s="276"/>
      <c r="P1352" s="276"/>
      <c r="Q1352" s="276"/>
      <c r="R1352" s="276"/>
      <c r="S1352" s="276"/>
      <c r="T1352" s="276"/>
      <c r="U1352" s="276"/>
      <c r="V1352" s="276"/>
      <c r="W1352" s="276"/>
      <c r="X1352" s="276"/>
    </row>
    <row r="1353" ht="15.75" customHeight="1">
      <c r="A1353" s="403"/>
      <c r="B1353" s="284">
        <f t="shared" si="32"/>
        <v>30</v>
      </c>
      <c r="C1353" s="284">
        <f t="shared" si="33"/>
        <v>12</v>
      </c>
      <c r="D1353" s="284">
        <f t="shared" si="34"/>
        <v>1899</v>
      </c>
      <c r="E1353" s="490"/>
      <c r="F1353" s="30"/>
      <c r="G1353" s="30"/>
      <c r="H1353" s="288">
        <f t="shared" si="35"/>
        <v>0</v>
      </c>
      <c r="I1353" s="490"/>
      <c r="J1353" s="276"/>
      <c r="K1353" s="276"/>
      <c r="L1353" s="276"/>
      <c r="M1353" s="276"/>
      <c r="N1353" s="276"/>
      <c r="O1353" s="276"/>
      <c r="P1353" s="276"/>
      <c r="Q1353" s="276"/>
      <c r="R1353" s="276"/>
      <c r="S1353" s="276"/>
      <c r="T1353" s="276"/>
      <c r="U1353" s="276"/>
      <c r="V1353" s="276"/>
      <c r="W1353" s="276"/>
      <c r="X1353" s="276"/>
    </row>
    <row r="1354" ht="15.75" customHeight="1">
      <c r="A1354" s="403"/>
      <c r="B1354" s="284">
        <f t="shared" si="32"/>
        <v>30</v>
      </c>
      <c r="C1354" s="284">
        <f t="shared" si="33"/>
        <v>12</v>
      </c>
      <c r="D1354" s="284">
        <f t="shared" si="34"/>
        <v>1899</v>
      </c>
      <c r="E1354" s="490"/>
      <c r="F1354" s="30"/>
      <c r="G1354" s="30"/>
      <c r="H1354" s="288">
        <f t="shared" si="35"/>
        <v>0</v>
      </c>
      <c r="I1354" s="490"/>
      <c r="J1354" s="276"/>
      <c r="K1354" s="276"/>
      <c r="L1354" s="276"/>
      <c r="M1354" s="276"/>
      <c r="N1354" s="276"/>
      <c r="O1354" s="276"/>
      <c r="P1354" s="276"/>
      <c r="Q1354" s="276"/>
      <c r="R1354" s="276"/>
      <c r="S1354" s="276"/>
      <c r="T1354" s="276"/>
      <c r="U1354" s="276"/>
      <c r="V1354" s="276"/>
      <c r="W1354" s="276"/>
      <c r="X1354" s="276"/>
    </row>
    <row r="1355" ht="15.75" customHeight="1">
      <c r="A1355" s="403"/>
      <c r="B1355" s="284">
        <f t="shared" si="32"/>
        <v>30</v>
      </c>
      <c r="C1355" s="284">
        <f t="shared" si="33"/>
        <v>12</v>
      </c>
      <c r="D1355" s="284">
        <f t="shared" si="34"/>
        <v>1899</v>
      </c>
      <c r="E1355" s="490"/>
      <c r="F1355" s="30"/>
      <c r="G1355" s="30"/>
      <c r="H1355" s="288">
        <f t="shared" si="35"/>
        <v>0</v>
      </c>
      <c r="I1355" s="490"/>
      <c r="J1355" s="276"/>
      <c r="K1355" s="276"/>
      <c r="L1355" s="276"/>
      <c r="M1355" s="276"/>
      <c r="N1355" s="276"/>
      <c r="O1355" s="276"/>
      <c r="P1355" s="276"/>
      <c r="Q1355" s="276"/>
      <c r="R1355" s="276"/>
      <c r="S1355" s="276"/>
      <c r="T1355" s="276"/>
      <c r="U1355" s="276"/>
      <c r="V1355" s="276"/>
      <c r="W1355" s="276"/>
      <c r="X1355" s="276"/>
    </row>
    <row r="1356" ht="15.75" customHeight="1">
      <c r="A1356" s="403"/>
      <c r="B1356" s="284">
        <f t="shared" si="32"/>
        <v>30</v>
      </c>
      <c r="C1356" s="284">
        <f t="shared" si="33"/>
        <v>12</v>
      </c>
      <c r="D1356" s="284">
        <f t="shared" si="34"/>
        <v>1899</v>
      </c>
      <c r="E1356" s="490"/>
      <c r="F1356" s="30"/>
      <c r="G1356" s="30"/>
      <c r="H1356" s="288">
        <f t="shared" si="35"/>
        <v>0</v>
      </c>
      <c r="I1356" s="490"/>
      <c r="J1356" s="276"/>
      <c r="K1356" s="276"/>
      <c r="L1356" s="276"/>
      <c r="M1356" s="276"/>
      <c r="N1356" s="276"/>
      <c r="O1356" s="276"/>
      <c r="P1356" s="276"/>
      <c r="Q1356" s="276"/>
      <c r="R1356" s="276"/>
      <c r="S1356" s="276"/>
      <c r="T1356" s="276"/>
      <c r="U1356" s="276"/>
      <c r="V1356" s="276"/>
      <c r="W1356" s="276"/>
      <c r="X1356" s="276"/>
    </row>
    <row r="1357" ht="15.75" customHeight="1">
      <c r="A1357" s="403"/>
      <c r="B1357" s="284">
        <f t="shared" si="32"/>
        <v>30</v>
      </c>
      <c r="C1357" s="284">
        <f t="shared" si="33"/>
        <v>12</v>
      </c>
      <c r="D1357" s="284">
        <f t="shared" si="34"/>
        <v>1899</v>
      </c>
      <c r="E1357" s="490"/>
      <c r="F1357" s="30"/>
      <c r="G1357" s="30"/>
      <c r="H1357" s="288">
        <f t="shared" si="35"/>
        <v>0</v>
      </c>
      <c r="I1357" s="490"/>
      <c r="J1357" s="276"/>
      <c r="K1357" s="276"/>
      <c r="L1357" s="276"/>
      <c r="M1357" s="276"/>
      <c r="N1357" s="276"/>
      <c r="O1357" s="276"/>
      <c r="P1357" s="276"/>
      <c r="Q1357" s="276"/>
      <c r="R1357" s="276"/>
      <c r="S1357" s="276"/>
      <c r="T1357" s="276"/>
      <c r="U1357" s="276"/>
      <c r="V1357" s="276"/>
      <c r="W1357" s="276"/>
      <c r="X1357" s="276"/>
    </row>
    <row r="1358" ht="15.75" customHeight="1">
      <c r="A1358" s="403"/>
      <c r="B1358" s="284">
        <f t="shared" si="32"/>
        <v>30</v>
      </c>
      <c r="C1358" s="284">
        <f t="shared" si="33"/>
        <v>12</v>
      </c>
      <c r="D1358" s="284">
        <f t="shared" si="34"/>
        <v>1899</v>
      </c>
      <c r="E1358" s="490"/>
      <c r="F1358" s="30"/>
      <c r="G1358" s="30"/>
      <c r="H1358" s="288">
        <f t="shared" si="35"/>
        <v>0</v>
      </c>
      <c r="I1358" s="490"/>
      <c r="J1358" s="276"/>
      <c r="K1358" s="276"/>
      <c r="L1358" s="276"/>
      <c r="M1358" s="276"/>
      <c r="N1358" s="276"/>
      <c r="O1358" s="276"/>
      <c r="P1358" s="276"/>
      <c r="Q1358" s="276"/>
      <c r="R1358" s="276"/>
      <c r="S1358" s="276"/>
      <c r="T1358" s="276"/>
      <c r="U1358" s="276"/>
      <c r="V1358" s="276"/>
      <c r="W1358" s="276"/>
      <c r="X1358" s="276"/>
    </row>
    <row r="1359" ht="15.75" customHeight="1">
      <c r="A1359" s="403"/>
      <c r="B1359" s="284">
        <f t="shared" si="32"/>
        <v>30</v>
      </c>
      <c r="C1359" s="284">
        <f t="shared" si="33"/>
        <v>12</v>
      </c>
      <c r="D1359" s="284">
        <f t="shared" si="34"/>
        <v>1899</v>
      </c>
      <c r="E1359" s="490"/>
      <c r="F1359" s="30"/>
      <c r="G1359" s="30"/>
      <c r="H1359" s="288">
        <f t="shared" si="35"/>
        <v>0</v>
      </c>
      <c r="I1359" s="490"/>
      <c r="J1359" s="276"/>
      <c r="K1359" s="276"/>
      <c r="L1359" s="276"/>
      <c r="M1359" s="276"/>
      <c r="N1359" s="276"/>
      <c r="O1359" s="276"/>
      <c r="P1359" s="276"/>
      <c r="Q1359" s="276"/>
      <c r="R1359" s="276"/>
      <c r="S1359" s="276"/>
      <c r="T1359" s="276"/>
      <c r="U1359" s="276"/>
      <c r="V1359" s="276"/>
      <c r="W1359" s="276"/>
      <c r="X1359" s="276"/>
    </row>
    <row r="1360" ht="15.75" customHeight="1">
      <c r="A1360" s="403"/>
      <c r="B1360" s="284">
        <f t="shared" si="32"/>
        <v>30</v>
      </c>
      <c r="C1360" s="284">
        <f t="shared" si="33"/>
        <v>12</v>
      </c>
      <c r="D1360" s="284">
        <f t="shared" si="34"/>
        <v>1899</v>
      </c>
      <c r="E1360" s="490"/>
      <c r="F1360" s="30"/>
      <c r="G1360" s="30"/>
      <c r="H1360" s="288">
        <f t="shared" si="35"/>
        <v>0</v>
      </c>
      <c r="I1360" s="490"/>
      <c r="J1360" s="276"/>
      <c r="K1360" s="276"/>
      <c r="L1360" s="276"/>
      <c r="M1360" s="276"/>
      <c r="N1360" s="276"/>
      <c r="O1360" s="276"/>
      <c r="P1360" s="276"/>
      <c r="Q1360" s="276"/>
      <c r="R1360" s="276"/>
      <c r="S1360" s="276"/>
      <c r="T1360" s="276"/>
      <c r="U1360" s="276"/>
      <c r="V1360" s="276"/>
      <c r="W1360" s="276"/>
      <c r="X1360" s="276"/>
    </row>
    <row r="1361" ht="15.75" customHeight="1">
      <c r="A1361" s="403"/>
      <c r="B1361" s="284">
        <f t="shared" si="32"/>
        <v>30</v>
      </c>
      <c r="C1361" s="284">
        <f t="shared" si="33"/>
        <v>12</v>
      </c>
      <c r="D1361" s="284">
        <f t="shared" si="34"/>
        <v>1899</v>
      </c>
      <c r="E1361" s="490"/>
      <c r="F1361" s="30"/>
      <c r="G1361" s="30"/>
      <c r="H1361" s="288">
        <f t="shared" si="35"/>
        <v>0</v>
      </c>
      <c r="I1361" s="490"/>
      <c r="J1361" s="276"/>
      <c r="K1361" s="276"/>
      <c r="L1361" s="276"/>
      <c r="M1361" s="276"/>
      <c r="N1361" s="276"/>
      <c r="O1361" s="276"/>
      <c r="P1361" s="276"/>
      <c r="Q1361" s="276"/>
      <c r="R1361" s="276"/>
      <c r="S1361" s="276"/>
      <c r="T1361" s="276"/>
      <c r="U1361" s="276"/>
      <c r="V1361" s="276"/>
      <c r="W1361" s="276"/>
      <c r="X1361" s="276"/>
    </row>
    <row r="1362" ht="15.75" customHeight="1">
      <c r="A1362" s="403"/>
      <c r="B1362" s="284">
        <f t="shared" si="32"/>
        <v>30</v>
      </c>
      <c r="C1362" s="284">
        <f t="shared" si="33"/>
        <v>12</v>
      </c>
      <c r="D1362" s="284">
        <f t="shared" si="34"/>
        <v>1899</v>
      </c>
      <c r="E1362" s="490"/>
      <c r="F1362" s="30"/>
      <c r="G1362" s="30"/>
      <c r="H1362" s="288">
        <f t="shared" si="35"/>
        <v>0</v>
      </c>
      <c r="I1362" s="490"/>
      <c r="J1362" s="276"/>
      <c r="K1362" s="276"/>
      <c r="L1362" s="276"/>
      <c r="M1362" s="276"/>
      <c r="N1362" s="276"/>
      <c r="O1362" s="276"/>
      <c r="P1362" s="276"/>
      <c r="Q1362" s="276"/>
      <c r="R1362" s="276"/>
      <c r="S1362" s="276"/>
      <c r="T1362" s="276"/>
      <c r="U1362" s="276"/>
      <c r="V1362" s="276"/>
      <c r="W1362" s="276"/>
      <c r="X1362" s="276"/>
    </row>
    <row r="1363" ht="15.75" customHeight="1">
      <c r="A1363" s="403"/>
      <c r="B1363" s="284">
        <f t="shared" si="32"/>
        <v>30</v>
      </c>
      <c r="C1363" s="284">
        <f t="shared" si="33"/>
        <v>12</v>
      </c>
      <c r="D1363" s="284">
        <f t="shared" si="34"/>
        <v>1899</v>
      </c>
      <c r="E1363" s="490"/>
      <c r="F1363" s="30"/>
      <c r="G1363" s="30"/>
      <c r="H1363" s="288">
        <f t="shared" si="35"/>
        <v>0</v>
      </c>
      <c r="I1363" s="490"/>
      <c r="J1363" s="276"/>
      <c r="K1363" s="276"/>
      <c r="L1363" s="276"/>
      <c r="M1363" s="276"/>
      <c r="N1363" s="276"/>
      <c r="O1363" s="276"/>
      <c r="P1363" s="276"/>
      <c r="Q1363" s="276"/>
      <c r="R1363" s="276"/>
      <c r="S1363" s="276"/>
      <c r="T1363" s="276"/>
      <c r="U1363" s="276"/>
      <c r="V1363" s="276"/>
      <c r="W1363" s="276"/>
      <c r="X1363" s="276"/>
    </row>
    <row r="1364" ht="15.75" customHeight="1">
      <c r="A1364" s="403"/>
      <c r="B1364" s="284">
        <f t="shared" si="32"/>
        <v>30</v>
      </c>
      <c r="C1364" s="284">
        <f t="shared" si="33"/>
        <v>12</v>
      </c>
      <c r="D1364" s="284">
        <f t="shared" si="34"/>
        <v>1899</v>
      </c>
      <c r="E1364" s="490"/>
      <c r="F1364" s="30"/>
      <c r="G1364" s="30"/>
      <c r="H1364" s="288">
        <f t="shared" si="35"/>
        <v>0</v>
      </c>
      <c r="I1364" s="490"/>
      <c r="J1364" s="276"/>
      <c r="K1364" s="276"/>
      <c r="L1364" s="276"/>
      <c r="M1364" s="276"/>
      <c r="N1364" s="276"/>
      <c r="O1364" s="276"/>
      <c r="P1364" s="276"/>
      <c r="Q1364" s="276"/>
      <c r="R1364" s="276"/>
      <c r="S1364" s="276"/>
      <c r="T1364" s="276"/>
      <c r="U1364" s="276"/>
      <c r="V1364" s="276"/>
      <c r="W1364" s="276"/>
      <c r="X1364" s="276"/>
    </row>
    <row r="1365" ht="15.75" customHeight="1">
      <c r="A1365" s="403"/>
      <c r="B1365" s="284">
        <f t="shared" si="32"/>
        <v>30</v>
      </c>
      <c r="C1365" s="284">
        <f t="shared" si="33"/>
        <v>12</v>
      </c>
      <c r="D1365" s="284">
        <f t="shared" si="34"/>
        <v>1899</v>
      </c>
      <c r="E1365" s="490"/>
      <c r="F1365" s="30"/>
      <c r="G1365" s="30"/>
      <c r="H1365" s="288">
        <f t="shared" si="35"/>
        <v>0</v>
      </c>
      <c r="I1365" s="490"/>
      <c r="J1365" s="276"/>
      <c r="K1365" s="276"/>
      <c r="L1365" s="276"/>
      <c r="M1365" s="276"/>
      <c r="N1365" s="276"/>
      <c r="O1365" s="276"/>
      <c r="P1365" s="276"/>
      <c r="Q1365" s="276"/>
      <c r="R1365" s="276"/>
      <c r="S1365" s="276"/>
      <c r="T1365" s="276"/>
      <c r="U1365" s="276"/>
      <c r="V1365" s="276"/>
      <c r="W1365" s="276"/>
      <c r="X1365" s="276"/>
    </row>
    <row r="1366" ht="15.75" customHeight="1">
      <c r="A1366" s="403"/>
      <c r="B1366" s="284">
        <f t="shared" si="32"/>
        <v>30</v>
      </c>
      <c r="C1366" s="284">
        <f t="shared" si="33"/>
        <v>12</v>
      </c>
      <c r="D1366" s="284">
        <f t="shared" si="34"/>
        <v>1899</v>
      </c>
      <c r="E1366" s="490"/>
      <c r="F1366" s="30"/>
      <c r="G1366" s="30"/>
      <c r="H1366" s="288">
        <f t="shared" si="35"/>
        <v>0</v>
      </c>
      <c r="I1366" s="490"/>
      <c r="J1366" s="276"/>
      <c r="K1366" s="276"/>
      <c r="L1366" s="276"/>
      <c r="M1366" s="276"/>
      <c r="N1366" s="276"/>
      <c r="O1366" s="276"/>
      <c r="P1366" s="276"/>
      <c r="Q1366" s="276"/>
      <c r="R1366" s="276"/>
      <c r="S1366" s="276"/>
      <c r="T1366" s="276"/>
      <c r="U1366" s="276"/>
      <c r="V1366" s="276"/>
      <c r="W1366" s="276"/>
      <c r="X1366" s="276"/>
    </row>
    <row r="1367" ht="15.75" customHeight="1">
      <c r="A1367" s="403"/>
      <c r="B1367" s="284">
        <f t="shared" si="32"/>
        <v>30</v>
      </c>
      <c r="C1367" s="284">
        <f t="shared" si="33"/>
        <v>12</v>
      </c>
      <c r="D1367" s="284">
        <f t="shared" si="34"/>
        <v>1899</v>
      </c>
      <c r="E1367" s="490"/>
      <c r="F1367" s="30"/>
      <c r="G1367" s="30"/>
      <c r="H1367" s="288">
        <f t="shared" si="35"/>
        <v>0</v>
      </c>
      <c r="I1367" s="490"/>
      <c r="J1367" s="276"/>
      <c r="K1367" s="276"/>
      <c r="L1367" s="276"/>
      <c r="M1367" s="276"/>
      <c r="N1367" s="276"/>
      <c r="O1367" s="276"/>
      <c r="P1367" s="276"/>
      <c r="Q1367" s="276"/>
      <c r="R1367" s="276"/>
      <c r="S1367" s="276"/>
      <c r="T1367" s="276"/>
      <c r="U1367" s="276"/>
      <c r="V1367" s="276"/>
      <c r="W1367" s="276"/>
      <c r="X1367" s="276"/>
    </row>
    <row r="1368" ht="15.75" customHeight="1">
      <c r="A1368" s="403"/>
      <c r="B1368" s="284">
        <f t="shared" si="32"/>
        <v>30</v>
      </c>
      <c r="C1368" s="284">
        <f t="shared" si="33"/>
        <v>12</v>
      </c>
      <c r="D1368" s="284">
        <f t="shared" si="34"/>
        <v>1899</v>
      </c>
      <c r="E1368" s="490"/>
      <c r="F1368" s="30"/>
      <c r="G1368" s="30"/>
      <c r="H1368" s="288">
        <f t="shared" si="35"/>
        <v>0</v>
      </c>
      <c r="I1368" s="490"/>
      <c r="J1368" s="276"/>
      <c r="K1368" s="276"/>
      <c r="L1368" s="276"/>
      <c r="M1368" s="276"/>
      <c r="N1368" s="276"/>
      <c r="O1368" s="276"/>
      <c r="P1368" s="276"/>
      <c r="Q1368" s="276"/>
      <c r="R1368" s="276"/>
      <c r="S1368" s="276"/>
      <c r="T1368" s="276"/>
      <c r="U1368" s="276"/>
      <c r="V1368" s="276"/>
      <c r="W1368" s="276"/>
      <c r="X1368" s="276"/>
    </row>
    <row r="1369" ht="15.75" customHeight="1">
      <c r="A1369" s="403"/>
      <c r="B1369" s="284">
        <f t="shared" si="32"/>
        <v>30</v>
      </c>
      <c r="C1369" s="284">
        <f t="shared" si="33"/>
        <v>12</v>
      </c>
      <c r="D1369" s="284">
        <f t="shared" si="34"/>
        <v>1899</v>
      </c>
      <c r="E1369" s="490"/>
      <c r="F1369" s="30"/>
      <c r="G1369" s="30"/>
      <c r="H1369" s="288">
        <f t="shared" si="35"/>
        <v>0</v>
      </c>
      <c r="I1369" s="490"/>
      <c r="J1369" s="276"/>
      <c r="K1369" s="276"/>
      <c r="L1369" s="276"/>
      <c r="M1369" s="276"/>
      <c r="N1369" s="276"/>
      <c r="O1369" s="276"/>
      <c r="P1369" s="276"/>
      <c r="Q1369" s="276"/>
      <c r="R1369" s="276"/>
      <c r="S1369" s="276"/>
      <c r="T1369" s="276"/>
      <c r="U1369" s="276"/>
      <c r="V1369" s="276"/>
      <c r="W1369" s="276"/>
      <c r="X1369" s="276"/>
    </row>
    <row r="1370" ht="15.75" customHeight="1">
      <c r="A1370" s="403"/>
      <c r="B1370" s="284">
        <f t="shared" si="32"/>
        <v>30</v>
      </c>
      <c r="C1370" s="284">
        <f t="shared" si="33"/>
        <v>12</v>
      </c>
      <c r="D1370" s="284">
        <f t="shared" si="34"/>
        <v>1899</v>
      </c>
      <c r="E1370" s="490"/>
      <c r="F1370" s="30"/>
      <c r="G1370" s="30"/>
      <c r="H1370" s="288">
        <f t="shared" si="35"/>
        <v>0</v>
      </c>
      <c r="I1370" s="490"/>
      <c r="J1370" s="276"/>
      <c r="K1370" s="276"/>
      <c r="L1370" s="276"/>
      <c r="M1370" s="276"/>
      <c r="N1370" s="276"/>
      <c r="O1370" s="276"/>
      <c r="P1370" s="276"/>
      <c r="Q1370" s="276"/>
      <c r="R1370" s="276"/>
      <c r="S1370" s="276"/>
      <c r="T1370" s="276"/>
      <c r="U1370" s="276"/>
      <c r="V1370" s="276"/>
      <c r="W1370" s="276"/>
      <c r="X1370" s="276"/>
    </row>
    <row r="1371" ht="15.75" customHeight="1">
      <c r="A1371" s="403"/>
      <c r="B1371" s="284">
        <f t="shared" si="32"/>
        <v>30</v>
      </c>
      <c r="C1371" s="284">
        <f t="shared" si="33"/>
        <v>12</v>
      </c>
      <c r="D1371" s="284">
        <f t="shared" si="34"/>
        <v>1899</v>
      </c>
      <c r="E1371" s="490"/>
      <c r="F1371" s="30"/>
      <c r="G1371" s="30"/>
      <c r="H1371" s="288">
        <f t="shared" si="35"/>
        <v>0</v>
      </c>
      <c r="I1371" s="490"/>
      <c r="J1371" s="276"/>
      <c r="K1371" s="276"/>
      <c r="L1371" s="276"/>
      <c r="M1371" s="276"/>
      <c r="N1371" s="276"/>
      <c r="O1371" s="276"/>
      <c r="P1371" s="276"/>
      <c r="Q1371" s="276"/>
      <c r="R1371" s="276"/>
      <c r="S1371" s="276"/>
      <c r="T1371" s="276"/>
      <c r="U1371" s="276"/>
      <c r="V1371" s="276"/>
      <c r="W1371" s="276"/>
      <c r="X1371" s="276"/>
    </row>
    <row r="1372" ht="15.75" customHeight="1">
      <c r="A1372" s="403"/>
      <c r="B1372" s="284">
        <f t="shared" si="32"/>
        <v>30</v>
      </c>
      <c r="C1372" s="284">
        <f t="shared" si="33"/>
        <v>12</v>
      </c>
      <c r="D1372" s="284">
        <f t="shared" si="34"/>
        <v>1899</v>
      </c>
      <c r="E1372" s="490"/>
      <c r="F1372" s="30"/>
      <c r="G1372" s="30"/>
      <c r="H1372" s="288">
        <f t="shared" si="35"/>
        <v>0</v>
      </c>
      <c r="I1372" s="490"/>
      <c r="J1372" s="276"/>
      <c r="K1372" s="276"/>
      <c r="L1372" s="276"/>
      <c r="M1372" s="276"/>
      <c r="N1372" s="276"/>
      <c r="O1372" s="276"/>
      <c r="P1372" s="276"/>
      <c r="Q1372" s="276"/>
      <c r="R1372" s="276"/>
      <c r="S1372" s="276"/>
      <c r="T1372" s="276"/>
      <c r="U1372" s="276"/>
      <c r="V1372" s="276"/>
      <c r="W1372" s="276"/>
      <c r="X1372" s="276"/>
    </row>
    <row r="1373" ht="15.75" customHeight="1">
      <c r="A1373" s="403"/>
      <c r="B1373" s="284">
        <f t="shared" si="32"/>
        <v>30</v>
      </c>
      <c r="C1373" s="284">
        <f t="shared" si="33"/>
        <v>12</v>
      </c>
      <c r="D1373" s="284">
        <f t="shared" si="34"/>
        <v>1899</v>
      </c>
      <c r="E1373" s="490"/>
      <c r="F1373" s="30"/>
      <c r="G1373" s="30"/>
      <c r="H1373" s="288">
        <f t="shared" si="35"/>
        <v>0</v>
      </c>
      <c r="I1373" s="490"/>
      <c r="J1373" s="276"/>
      <c r="K1373" s="276"/>
      <c r="L1373" s="276"/>
      <c r="M1373" s="276"/>
      <c r="N1373" s="276"/>
      <c r="O1373" s="276"/>
      <c r="P1373" s="276"/>
      <c r="Q1373" s="276"/>
      <c r="R1373" s="276"/>
      <c r="S1373" s="276"/>
      <c r="T1373" s="276"/>
      <c r="U1373" s="276"/>
      <c r="V1373" s="276"/>
      <c r="W1373" s="276"/>
      <c r="X1373" s="276"/>
    </row>
    <row r="1374" ht="15.75" customHeight="1">
      <c r="A1374" s="403"/>
      <c r="B1374" s="284">
        <f t="shared" si="32"/>
        <v>30</v>
      </c>
      <c r="C1374" s="284">
        <f t="shared" si="33"/>
        <v>12</v>
      </c>
      <c r="D1374" s="284">
        <f t="shared" si="34"/>
        <v>1899</v>
      </c>
      <c r="E1374" s="490"/>
      <c r="F1374" s="30"/>
      <c r="G1374" s="30"/>
      <c r="H1374" s="288">
        <f t="shared" si="35"/>
        <v>0</v>
      </c>
      <c r="I1374" s="490"/>
      <c r="J1374" s="276"/>
      <c r="K1374" s="276"/>
      <c r="L1374" s="276"/>
      <c r="M1374" s="276"/>
      <c r="N1374" s="276"/>
      <c r="O1374" s="276"/>
      <c r="P1374" s="276"/>
      <c r="Q1374" s="276"/>
      <c r="R1374" s="276"/>
      <c r="S1374" s="276"/>
      <c r="T1374" s="276"/>
      <c r="U1374" s="276"/>
      <c r="V1374" s="276"/>
      <c r="W1374" s="276"/>
      <c r="X1374" s="276"/>
    </row>
    <row r="1375" ht="15.75" customHeight="1">
      <c r="A1375" s="403"/>
      <c r="B1375" s="284">
        <f t="shared" si="32"/>
        <v>30</v>
      </c>
      <c r="C1375" s="284">
        <f t="shared" si="33"/>
        <v>12</v>
      </c>
      <c r="D1375" s="284">
        <f t="shared" si="34"/>
        <v>1899</v>
      </c>
      <c r="E1375" s="490"/>
      <c r="F1375" s="30"/>
      <c r="G1375" s="30"/>
      <c r="H1375" s="288">
        <f t="shared" si="35"/>
        <v>0</v>
      </c>
      <c r="I1375" s="490"/>
      <c r="J1375" s="276"/>
      <c r="K1375" s="276"/>
      <c r="L1375" s="276"/>
      <c r="M1375" s="276"/>
      <c r="N1375" s="276"/>
      <c r="O1375" s="276"/>
      <c r="P1375" s="276"/>
      <c r="Q1375" s="276"/>
      <c r="R1375" s="276"/>
      <c r="S1375" s="276"/>
      <c r="T1375" s="276"/>
      <c r="U1375" s="276"/>
      <c r="V1375" s="276"/>
      <c r="W1375" s="276"/>
      <c r="X1375" s="276"/>
    </row>
    <row r="1376" ht="15.75" customHeight="1">
      <c r="A1376" s="403"/>
      <c r="B1376" s="284">
        <f t="shared" si="32"/>
        <v>30</v>
      </c>
      <c r="C1376" s="284">
        <f t="shared" si="33"/>
        <v>12</v>
      </c>
      <c r="D1376" s="284">
        <f t="shared" si="34"/>
        <v>1899</v>
      </c>
      <c r="E1376" s="490"/>
      <c r="F1376" s="30"/>
      <c r="G1376" s="30"/>
      <c r="H1376" s="288">
        <f t="shared" si="35"/>
        <v>0</v>
      </c>
      <c r="I1376" s="490"/>
      <c r="J1376" s="276"/>
      <c r="K1376" s="276"/>
      <c r="L1376" s="276"/>
      <c r="M1376" s="276"/>
      <c r="N1376" s="276"/>
      <c r="O1376" s="276"/>
      <c r="P1376" s="276"/>
      <c r="Q1376" s="276"/>
      <c r="R1376" s="276"/>
      <c r="S1376" s="276"/>
      <c r="T1376" s="276"/>
      <c r="U1376" s="276"/>
      <c r="V1376" s="276"/>
      <c r="W1376" s="276"/>
      <c r="X1376" s="276"/>
    </row>
    <row r="1377" ht="15.75" customHeight="1">
      <c r="A1377" s="403"/>
      <c r="B1377" s="284">
        <f t="shared" si="32"/>
        <v>30</v>
      </c>
      <c r="C1377" s="284">
        <f t="shared" si="33"/>
        <v>12</v>
      </c>
      <c r="D1377" s="284">
        <f t="shared" si="34"/>
        <v>1899</v>
      </c>
      <c r="E1377" s="490"/>
      <c r="F1377" s="30"/>
      <c r="G1377" s="30"/>
      <c r="H1377" s="288">
        <f t="shared" si="35"/>
        <v>0</v>
      </c>
      <c r="I1377" s="490"/>
      <c r="J1377" s="276"/>
      <c r="K1377" s="276"/>
      <c r="L1377" s="276"/>
      <c r="M1377" s="276"/>
      <c r="N1377" s="276"/>
      <c r="O1377" s="276"/>
      <c r="P1377" s="276"/>
      <c r="Q1377" s="276"/>
      <c r="R1377" s="276"/>
      <c r="S1377" s="276"/>
      <c r="T1377" s="276"/>
      <c r="U1377" s="276"/>
      <c r="V1377" s="276"/>
      <c r="W1377" s="276"/>
      <c r="X1377" s="276"/>
    </row>
    <row r="1378" ht="15.75" customHeight="1">
      <c r="A1378" s="403"/>
      <c r="B1378" s="284">
        <f t="shared" si="32"/>
        <v>30</v>
      </c>
      <c r="C1378" s="284">
        <f t="shared" si="33"/>
        <v>12</v>
      </c>
      <c r="D1378" s="284">
        <f t="shared" si="34"/>
        <v>1899</v>
      </c>
      <c r="E1378" s="490"/>
      <c r="F1378" s="30"/>
      <c r="G1378" s="30"/>
      <c r="H1378" s="288">
        <f t="shared" si="35"/>
        <v>0</v>
      </c>
      <c r="I1378" s="490"/>
      <c r="J1378" s="276"/>
      <c r="K1378" s="276"/>
      <c r="L1378" s="276"/>
      <c r="M1378" s="276"/>
      <c r="N1378" s="276"/>
      <c r="O1378" s="276"/>
      <c r="P1378" s="276"/>
      <c r="Q1378" s="276"/>
      <c r="R1378" s="276"/>
      <c r="S1378" s="276"/>
      <c r="T1378" s="276"/>
      <c r="U1378" s="276"/>
      <c r="V1378" s="276"/>
      <c r="W1378" s="276"/>
      <c r="X1378" s="276"/>
    </row>
    <row r="1379" ht="15.75" customHeight="1">
      <c r="A1379" s="403"/>
      <c r="B1379" s="284">
        <f t="shared" si="32"/>
        <v>30</v>
      </c>
      <c r="C1379" s="284">
        <f t="shared" si="33"/>
        <v>12</v>
      </c>
      <c r="D1379" s="284">
        <f t="shared" si="34"/>
        <v>1899</v>
      </c>
      <c r="E1379" s="490"/>
      <c r="F1379" s="30"/>
      <c r="G1379" s="30"/>
      <c r="H1379" s="288">
        <f t="shared" si="35"/>
        <v>0</v>
      </c>
      <c r="I1379" s="490"/>
      <c r="J1379" s="276"/>
      <c r="K1379" s="276"/>
      <c r="L1379" s="276"/>
      <c r="M1379" s="276"/>
      <c r="N1379" s="276"/>
      <c r="O1379" s="276"/>
      <c r="P1379" s="276"/>
      <c r="Q1379" s="276"/>
      <c r="R1379" s="276"/>
      <c r="S1379" s="276"/>
      <c r="T1379" s="276"/>
      <c r="U1379" s="276"/>
      <c r="V1379" s="276"/>
      <c r="W1379" s="276"/>
      <c r="X1379" s="276"/>
    </row>
    <row r="1380" ht="15.75" customHeight="1">
      <c r="A1380" s="403"/>
      <c r="B1380" s="284">
        <f t="shared" si="32"/>
        <v>30</v>
      </c>
      <c r="C1380" s="284">
        <f t="shared" si="33"/>
        <v>12</v>
      </c>
      <c r="D1380" s="284">
        <f t="shared" si="34"/>
        <v>1899</v>
      </c>
      <c r="E1380" s="490"/>
      <c r="F1380" s="30"/>
      <c r="G1380" s="30"/>
      <c r="H1380" s="288">
        <f t="shared" si="35"/>
        <v>0</v>
      </c>
      <c r="I1380" s="490"/>
      <c r="J1380" s="276"/>
      <c r="K1380" s="276"/>
      <c r="L1380" s="276"/>
      <c r="M1380" s="276"/>
      <c r="N1380" s="276"/>
      <c r="O1380" s="276"/>
      <c r="P1380" s="276"/>
      <c r="Q1380" s="276"/>
      <c r="R1380" s="276"/>
      <c r="S1380" s="276"/>
      <c r="T1380" s="276"/>
      <c r="U1380" s="276"/>
      <c r="V1380" s="276"/>
      <c r="W1380" s="276"/>
      <c r="X1380" s="276"/>
    </row>
    <row r="1381" ht="15.75" customHeight="1">
      <c r="A1381" s="403"/>
      <c r="B1381" s="284">
        <f t="shared" si="32"/>
        <v>30</v>
      </c>
      <c r="C1381" s="284">
        <f t="shared" si="33"/>
        <v>12</v>
      </c>
      <c r="D1381" s="284">
        <f t="shared" si="34"/>
        <v>1899</v>
      </c>
      <c r="E1381" s="490"/>
      <c r="F1381" s="30"/>
      <c r="G1381" s="30"/>
      <c r="H1381" s="288">
        <f t="shared" si="35"/>
        <v>0</v>
      </c>
      <c r="I1381" s="490"/>
      <c r="J1381" s="276"/>
      <c r="K1381" s="276"/>
      <c r="L1381" s="276"/>
      <c r="M1381" s="276"/>
      <c r="N1381" s="276"/>
      <c r="O1381" s="276"/>
      <c r="P1381" s="276"/>
      <c r="Q1381" s="276"/>
      <c r="R1381" s="276"/>
      <c r="S1381" s="276"/>
      <c r="T1381" s="276"/>
      <c r="U1381" s="276"/>
      <c r="V1381" s="276"/>
      <c r="W1381" s="276"/>
      <c r="X1381" s="276"/>
    </row>
    <row r="1382" ht="15.75" customHeight="1">
      <c r="A1382" s="403"/>
      <c r="B1382" s="284">
        <f t="shared" si="32"/>
        <v>30</v>
      </c>
      <c r="C1382" s="284">
        <f t="shared" si="33"/>
        <v>12</v>
      </c>
      <c r="D1382" s="284">
        <f t="shared" si="34"/>
        <v>1899</v>
      </c>
      <c r="E1382" s="490"/>
      <c r="F1382" s="30"/>
      <c r="G1382" s="30"/>
      <c r="H1382" s="288">
        <f t="shared" si="35"/>
        <v>0</v>
      </c>
      <c r="I1382" s="490"/>
      <c r="J1382" s="276"/>
      <c r="K1382" s="276"/>
      <c r="L1382" s="276"/>
      <c r="M1382" s="276"/>
      <c r="N1382" s="276"/>
      <c r="O1382" s="276"/>
      <c r="P1382" s="276"/>
      <c r="Q1382" s="276"/>
      <c r="R1382" s="276"/>
      <c r="S1382" s="276"/>
      <c r="T1382" s="276"/>
      <c r="U1382" s="276"/>
      <c r="V1382" s="276"/>
      <c r="W1382" s="276"/>
      <c r="X1382" s="276"/>
    </row>
    <row r="1383" ht="15.75" customHeight="1">
      <c r="A1383" s="403"/>
      <c r="B1383" s="284">
        <f t="shared" si="32"/>
        <v>30</v>
      </c>
      <c r="C1383" s="284">
        <f t="shared" si="33"/>
        <v>12</v>
      </c>
      <c r="D1383" s="284">
        <f t="shared" si="34"/>
        <v>1899</v>
      </c>
      <c r="E1383" s="490"/>
      <c r="F1383" s="30"/>
      <c r="G1383" s="30"/>
      <c r="H1383" s="288">
        <f t="shared" si="35"/>
        <v>0</v>
      </c>
      <c r="I1383" s="490"/>
      <c r="J1383" s="276"/>
      <c r="K1383" s="276"/>
      <c r="L1383" s="276"/>
      <c r="M1383" s="276"/>
      <c r="N1383" s="276"/>
      <c r="O1383" s="276"/>
      <c r="P1383" s="276"/>
      <c r="Q1383" s="276"/>
      <c r="R1383" s="276"/>
      <c r="S1383" s="276"/>
      <c r="T1383" s="276"/>
      <c r="U1383" s="276"/>
      <c r="V1383" s="276"/>
      <c r="W1383" s="276"/>
      <c r="X1383" s="276"/>
    </row>
    <row r="1384" ht="15.75" customHeight="1">
      <c r="A1384" s="403"/>
      <c r="B1384" s="284">
        <f t="shared" si="32"/>
        <v>30</v>
      </c>
      <c r="C1384" s="284">
        <f t="shared" si="33"/>
        <v>12</v>
      </c>
      <c r="D1384" s="284">
        <f t="shared" si="34"/>
        <v>1899</v>
      </c>
      <c r="E1384" s="490"/>
      <c r="F1384" s="30"/>
      <c r="G1384" s="30"/>
      <c r="H1384" s="288">
        <f t="shared" si="35"/>
        <v>0</v>
      </c>
      <c r="I1384" s="490"/>
      <c r="J1384" s="276"/>
      <c r="K1384" s="276"/>
      <c r="L1384" s="276"/>
      <c r="M1384" s="276"/>
      <c r="N1384" s="276"/>
      <c r="O1384" s="276"/>
      <c r="P1384" s="276"/>
      <c r="Q1384" s="276"/>
      <c r="R1384" s="276"/>
      <c r="S1384" s="276"/>
      <c r="T1384" s="276"/>
      <c r="U1384" s="276"/>
      <c r="V1384" s="276"/>
      <c r="W1384" s="276"/>
      <c r="X1384" s="276"/>
    </row>
    <row r="1385" ht="15.75" customHeight="1">
      <c r="A1385" s="403"/>
      <c r="B1385" s="284">
        <f t="shared" si="32"/>
        <v>30</v>
      </c>
      <c r="C1385" s="284">
        <f t="shared" si="33"/>
        <v>12</v>
      </c>
      <c r="D1385" s="284">
        <f t="shared" si="34"/>
        <v>1899</v>
      </c>
      <c r="E1385" s="490"/>
      <c r="F1385" s="30"/>
      <c r="G1385" s="30"/>
      <c r="H1385" s="288">
        <f t="shared" si="35"/>
        <v>0</v>
      </c>
      <c r="I1385" s="490"/>
      <c r="J1385" s="276"/>
      <c r="K1385" s="276"/>
      <c r="L1385" s="276"/>
      <c r="M1385" s="276"/>
      <c r="N1385" s="276"/>
      <c r="O1385" s="276"/>
      <c r="P1385" s="276"/>
      <c r="Q1385" s="276"/>
      <c r="R1385" s="276"/>
      <c r="S1385" s="276"/>
      <c r="T1385" s="276"/>
      <c r="U1385" s="276"/>
      <c r="V1385" s="276"/>
      <c r="W1385" s="276"/>
      <c r="X1385" s="276"/>
    </row>
    <row r="1386" ht="15.75" customHeight="1">
      <c r="A1386" s="403"/>
      <c r="B1386" s="284">
        <f t="shared" si="32"/>
        <v>30</v>
      </c>
      <c r="C1386" s="284">
        <f t="shared" si="33"/>
        <v>12</v>
      </c>
      <c r="D1386" s="284">
        <f t="shared" si="34"/>
        <v>1899</v>
      </c>
      <c r="E1386" s="490"/>
      <c r="F1386" s="30"/>
      <c r="G1386" s="30"/>
      <c r="H1386" s="288">
        <f t="shared" si="35"/>
        <v>0</v>
      </c>
      <c r="I1386" s="490"/>
      <c r="J1386" s="276"/>
      <c r="K1386" s="276"/>
      <c r="L1386" s="276"/>
      <c r="M1386" s="276"/>
      <c r="N1386" s="276"/>
      <c r="O1386" s="276"/>
      <c r="P1386" s="276"/>
      <c r="Q1386" s="276"/>
      <c r="R1386" s="276"/>
      <c r="S1386" s="276"/>
      <c r="T1386" s="276"/>
      <c r="U1386" s="276"/>
      <c r="V1386" s="276"/>
      <c r="W1386" s="276"/>
      <c r="X1386" s="276"/>
    </row>
    <row r="1387" ht="15.75" customHeight="1">
      <c r="A1387" s="403"/>
      <c r="B1387" s="284">
        <f t="shared" si="32"/>
        <v>30</v>
      </c>
      <c r="C1387" s="284">
        <f t="shared" si="33"/>
        <v>12</v>
      </c>
      <c r="D1387" s="284">
        <f t="shared" si="34"/>
        <v>1899</v>
      </c>
      <c r="E1387" s="490"/>
      <c r="F1387" s="30"/>
      <c r="G1387" s="30"/>
      <c r="H1387" s="288">
        <f t="shared" si="35"/>
        <v>0</v>
      </c>
      <c r="I1387" s="490"/>
      <c r="J1387" s="276"/>
      <c r="K1387" s="276"/>
      <c r="L1387" s="276"/>
      <c r="M1387" s="276"/>
      <c r="N1387" s="276"/>
      <c r="O1387" s="276"/>
      <c r="P1387" s="276"/>
      <c r="Q1387" s="276"/>
      <c r="R1387" s="276"/>
      <c r="S1387" s="276"/>
      <c r="T1387" s="276"/>
      <c r="U1387" s="276"/>
      <c r="V1387" s="276"/>
      <c r="W1387" s="276"/>
      <c r="X1387" s="276"/>
    </row>
    <row r="1388" ht="15.75" customHeight="1">
      <c r="A1388" s="403"/>
      <c r="B1388" s="284">
        <f t="shared" si="32"/>
        <v>30</v>
      </c>
      <c r="C1388" s="284">
        <f t="shared" si="33"/>
        <v>12</v>
      </c>
      <c r="D1388" s="284">
        <f t="shared" si="34"/>
        <v>1899</v>
      </c>
      <c r="E1388" s="490"/>
      <c r="F1388" s="30"/>
      <c r="G1388" s="30"/>
      <c r="H1388" s="288">
        <f t="shared" si="35"/>
        <v>0</v>
      </c>
      <c r="I1388" s="490"/>
      <c r="J1388" s="276"/>
      <c r="K1388" s="276"/>
      <c r="L1388" s="276"/>
      <c r="M1388" s="276"/>
      <c r="N1388" s="276"/>
      <c r="O1388" s="276"/>
      <c r="P1388" s="276"/>
      <c r="Q1388" s="276"/>
      <c r="R1388" s="276"/>
      <c r="S1388" s="276"/>
      <c r="T1388" s="276"/>
      <c r="U1388" s="276"/>
      <c r="V1388" s="276"/>
      <c r="W1388" s="276"/>
      <c r="X1388" s="276"/>
    </row>
    <row r="1389" ht="15.75" customHeight="1">
      <c r="A1389" s="403"/>
      <c r="B1389" s="284">
        <f t="shared" si="32"/>
        <v>30</v>
      </c>
      <c r="C1389" s="284">
        <f t="shared" si="33"/>
        <v>12</v>
      </c>
      <c r="D1389" s="284">
        <f t="shared" si="34"/>
        <v>1899</v>
      </c>
      <c r="E1389" s="490"/>
      <c r="F1389" s="30"/>
      <c r="G1389" s="30"/>
      <c r="H1389" s="288">
        <f t="shared" si="35"/>
        <v>0</v>
      </c>
      <c r="I1389" s="490"/>
      <c r="J1389" s="276"/>
      <c r="K1389" s="276"/>
      <c r="L1389" s="276"/>
      <c r="M1389" s="276"/>
      <c r="N1389" s="276"/>
      <c r="O1389" s="276"/>
      <c r="P1389" s="276"/>
      <c r="Q1389" s="276"/>
      <c r="R1389" s="276"/>
      <c r="S1389" s="276"/>
      <c r="T1389" s="276"/>
      <c r="U1389" s="276"/>
      <c r="V1389" s="276"/>
      <c r="W1389" s="276"/>
      <c r="X1389" s="276"/>
    </row>
    <row r="1390" ht="15.75" customHeight="1">
      <c r="A1390" s="403"/>
      <c r="B1390" s="284">
        <f t="shared" si="32"/>
        <v>30</v>
      </c>
      <c r="C1390" s="284">
        <f t="shared" si="33"/>
        <v>12</v>
      </c>
      <c r="D1390" s="284">
        <f t="shared" si="34"/>
        <v>1899</v>
      </c>
      <c r="E1390" s="490"/>
      <c r="F1390" s="30"/>
      <c r="G1390" s="30"/>
      <c r="H1390" s="288">
        <f t="shared" si="35"/>
        <v>0</v>
      </c>
      <c r="I1390" s="490"/>
      <c r="J1390" s="276"/>
      <c r="K1390" s="276"/>
      <c r="L1390" s="276"/>
      <c r="M1390" s="276"/>
      <c r="N1390" s="276"/>
      <c r="O1390" s="276"/>
      <c r="P1390" s="276"/>
      <c r="Q1390" s="276"/>
      <c r="R1390" s="276"/>
      <c r="S1390" s="276"/>
      <c r="T1390" s="276"/>
      <c r="U1390" s="276"/>
      <c r="V1390" s="276"/>
      <c r="W1390" s="276"/>
      <c r="X1390" s="276"/>
    </row>
    <row r="1391" ht="15.75" customHeight="1">
      <c r="A1391" s="403"/>
      <c r="B1391" s="284">
        <f t="shared" si="32"/>
        <v>30</v>
      </c>
      <c r="C1391" s="284">
        <f t="shared" si="33"/>
        <v>12</v>
      </c>
      <c r="D1391" s="284">
        <f t="shared" si="34"/>
        <v>1899</v>
      </c>
      <c r="E1391" s="490"/>
      <c r="F1391" s="30"/>
      <c r="G1391" s="30"/>
      <c r="H1391" s="288">
        <f t="shared" si="35"/>
        <v>0</v>
      </c>
      <c r="I1391" s="490"/>
      <c r="J1391" s="276"/>
      <c r="K1391" s="276"/>
      <c r="L1391" s="276"/>
      <c r="M1391" s="276"/>
      <c r="N1391" s="276"/>
      <c r="O1391" s="276"/>
      <c r="P1391" s="276"/>
      <c r="Q1391" s="276"/>
      <c r="R1391" s="276"/>
      <c r="S1391" s="276"/>
      <c r="T1391" s="276"/>
      <c r="U1391" s="276"/>
      <c r="V1391" s="276"/>
      <c r="W1391" s="276"/>
      <c r="X1391" s="276"/>
    </row>
    <row r="1392" ht="15.75" customHeight="1">
      <c r="A1392" s="403"/>
      <c r="B1392" s="284">
        <f t="shared" si="32"/>
        <v>30</v>
      </c>
      <c r="C1392" s="284">
        <f t="shared" si="33"/>
        <v>12</v>
      </c>
      <c r="D1392" s="284">
        <f t="shared" si="34"/>
        <v>1899</v>
      </c>
      <c r="E1392" s="490"/>
      <c r="F1392" s="30"/>
      <c r="G1392" s="30"/>
      <c r="H1392" s="288">
        <f t="shared" si="35"/>
        <v>0</v>
      </c>
      <c r="I1392" s="490"/>
      <c r="J1392" s="276"/>
      <c r="K1392" s="276"/>
      <c r="L1392" s="276"/>
      <c r="M1392" s="276"/>
      <c r="N1392" s="276"/>
      <c r="O1392" s="276"/>
      <c r="P1392" s="276"/>
      <c r="Q1392" s="276"/>
      <c r="R1392" s="276"/>
      <c r="S1392" s="276"/>
      <c r="T1392" s="276"/>
      <c r="U1392" s="276"/>
      <c r="V1392" s="276"/>
      <c r="W1392" s="276"/>
      <c r="X1392" s="276"/>
    </row>
    <row r="1393" ht="15.75" customHeight="1">
      <c r="A1393" s="403"/>
      <c r="B1393" s="284">
        <f t="shared" si="32"/>
        <v>30</v>
      </c>
      <c r="C1393" s="284">
        <f t="shared" si="33"/>
        <v>12</v>
      </c>
      <c r="D1393" s="284">
        <f t="shared" si="34"/>
        <v>1899</v>
      </c>
      <c r="E1393" s="490"/>
      <c r="F1393" s="30"/>
      <c r="G1393" s="30"/>
      <c r="H1393" s="288">
        <f t="shared" si="35"/>
        <v>0</v>
      </c>
      <c r="I1393" s="490"/>
      <c r="J1393" s="276"/>
      <c r="K1393" s="276"/>
      <c r="L1393" s="276"/>
      <c r="M1393" s="276"/>
      <c r="N1393" s="276"/>
      <c r="O1393" s="276"/>
      <c r="P1393" s="276"/>
      <c r="Q1393" s="276"/>
      <c r="R1393" s="276"/>
      <c r="S1393" s="276"/>
      <c r="T1393" s="276"/>
      <c r="U1393" s="276"/>
      <c r="V1393" s="276"/>
      <c r="W1393" s="276"/>
      <c r="X1393" s="276"/>
    </row>
    <row r="1394" ht="15.75" customHeight="1">
      <c r="A1394" s="403"/>
      <c r="B1394" s="284">
        <f t="shared" si="32"/>
        <v>30</v>
      </c>
      <c r="C1394" s="284">
        <f t="shared" si="33"/>
        <v>12</v>
      </c>
      <c r="D1394" s="284">
        <f t="shared" si="34"/>
        <v>1899</v>
      </c>
      <c r="E1394" s="490"/>
      <c r="F1394" s="30"/>
      <c r="G1394" s="30"/>
      <c r="H1394" s="288">
        <f t="shared" si="35"/>
        <v>0</v>
      </c>
      <c r="I1394" s="490"/>
      <c r="J1394" s="276"/>
      <c r="K1394" s="276"/>
      <c r="L1394" s="276"/>
      <c r="M1394" s="276"/>
      <c r="N1394" s="276"/>
      <c r="O1394" s="276"/>
      <c r="P1394" s="276"/>
      <c r="Q1394" s="276"/>
      <c r="R1394" s="276"/>
      <c r="S1394" s="276"/>
      <c r="T1394" s="276"/>
      <c r="U1394" s="276"/>
      <c r="V1394" s="276"/>
      <c r="W1394" s="276"/>
      <c r="X1394" s="276"/>
    </row>
    <row r="1395" ht="15.75" customHeight="1">
      <c r="A1395" s="403"/>
      <c r="B1395" s="284">
        <f t="shared" si="32"/>
        <v>30</v>
      </c>
      <c r="C1395" s="284">
        <f t="shared" si="33"/>
        <v>12</v>
      </c>
      <c r="D1395" s="284">
        <f t="shared" si="34"/>
        <v>1899</v>
      </c>
      <c r="E1395" s="490"/>
      <c r="F1395" s="30"/>
      <c r="G1395" s="30"/>
      <c r="H1395" s="288">
        <f t="shared" si="35"/>
        <v>0</v>
      </c>
      <c r="I1395" s="490"/>
      <c r="J1395" s="276"/>
      <c r="K1395" s="276"/>
      <c r="L1395" s="276"/>
      <c r="M1395" s="276"/>
      <c r="N1395" s="276"/>
      <c r="O1395" s="276"/>
      <c r="P1395" s="276"/>
      <c r="Q1395" s="276"/>
      <c r="R1395" s="276"/>
      <c r="S1395" s="276"/>
      <c r="T1395" s="276"/>
      <c r="U1395" s="276"/>
      <c r="V1395" s="276"/>
      <c r="W1395" s="276"/>
      <c r="X1395" s="276"/>
    </row>
    <row r="1396" ht="15.75" customHeight="1">
      <c r="A1396" s="403"/>
      <c r="B1396" s="284">
        <f t="shared" si="32"/>
        <v>30</v>
      </c>
      <c r="C1396" s="284">
        <f t="shared" si="33"/>
        <v>12</v>
      </c>
      <c r="D1396" s="284">
        <f t="shared" si="34"/>
        <v>1899</v>
      </c>
      <c r="E1396" s="490"/>
      <c r="F1396" s="30"/>
      <c r="G1396" s="30"/>
      <c r="H1396" s="288">
        <f t="shared" si="35"/>
        <v>0</v>
      </c>
      <c r="I1396" s="490"/>
      <c r="J1396" s="276"/>
      <c r="K1396" s="276"/>
      <c r="L1396" s="276"/>
      <c r="M1396" s="276"/>
      <c r="N1396" s="276"/>
      <c r="O1396" s="276"/>
      <c r="P1396" s="276"/>
      <c r="Q1396" s="276"/>
      <c r="R1396" s="276"/>
      <c r="S1396" s="276"/>
      <c r="T1396" s="276"/>
      <c r="U1396" s="276"/>
      <c r="V1396" s="276"/>
      <c r="W1396" s="276"/>
      <c r="X1396" s="276"/>
    </row>
    <row r="1397" ht="15.75" customHeight="1">
      <c r="A1397" s="403"/>
      <c r="B1397" s="284">
        <f t="shared" si="32"/>
        <v>30</v>
      </c>
      <c r="C1397" s="284">
        <f t="shared" si="33"/>
        <v>12</v>
      </c>
      <c r="D1397" s="284">
        <f t="shared" si="34"/>
        <v>1899</v>
      </c>
      <c r="E1397" s="490"/>
      <c r="F1397" s="30"/>
      <c r="G1397" s="30"/>
      <c r="H1397" s="288">
        <f t="shared" si="35"/>
        <v>0</v>
      </c>
      <c r="I1397" s="490"/>
      <c r="J1397" s="276"/>
      <c r="K1397" s="276"/>
      <c r="L1397" s="276"/>
      <c r="M1397" s="276"/>
      <c r="N1397" s="276"/>
      <c r="O1397" s="276"/>
      <c r="P1397" s="276"/>
      <c r="Q1397" s="276"/>
      <c r="R1397" s="276"/>
      <c r="S1397" s="276"/>
      <c r="T1397" s="276"/>
      <c r="U1397" s="276"/>
      <c r="V1397" s="276"/>
      <c r="W1397" s="276"/>
      <c r="X1397" s="276"/>
    </row>
    <row r="1398" ht="15.75" customHeight="1">
      <c r="A1398" s="403"/>
      <c r="B1398" s="284">
        <f t="shared" si="32"/>
        <v>30</v>
      </c>
      <c r="C1398" s="284">
        <f t="shared" si="33"/>
        <v>12</v>
      </c>
      <c r="D1398" s="284">
        <f t="shared" si="34"/>
        <v>1899</v>
      </c>
      <c r="E1398" s="490"/>
      <c r="F1398" s="30"/>
      <c r="G1398" s="30"/>
      <c r="H1398" s="288">
        <f t="shared" si="35"/>
        <v>0</v>
      </c>
      <c r="I1398" s="490"/>
      <c r="J1398" s="276"/>
      <c r="K1398" s="276"/>
      <c r="L1398" s="276"/>
      <c r="M1398" s="276"/>
      <c r="N1398" s="276"/>
      <c r="O1398" s="276"/>
      <c r="P1398" s="276"/>
      <c r="Q1398" s="276"/>
      <c r="R1398" s="276"/>
      <c r="S1398" s="276"/>
      <c r="T1398" s="276"/>
      <c r="U1398" s="276"/>
      <c r="V1398" s="276"/>
      <c r="W1398" s="276"/>
      <c r="X1398" s="276"/>
    </row>
    <row r="1399" ht="15.75" customHeight="1">
      <c r="A1399" s="403"/>
      <c r="B1399" s="284">
        <f t="shared" si="32"/>
        <v>30</v>
      </c>
      <c r="C1399" s="284">
        <f t="shared" si="33"/>
        <v>12</v>
      </c>
      <c r="D1399" s="284">
        <f t="shared" si="34"/>
        <v>1899</v>
      </c>
      <c r="E1399" s="490"/>
      <c r="F1399" s="30"/>
      <c r="G1399" s="30"/>
      <c r="H1399" s="288">
        <f t="shared" si="35"/>
        <v>0</v>
      </c>
      <c r="I1399" s="490"/>
      <c r="J1399" s="276"/>
      <c r="K1399" s="276"/>
      <c r="L1399" s="276"/>
      <c r="M1399" s="276"/>
      <c r="N1399" s="276"/>
      <c r="O1399" s="276"/>
      <c r="P1399" s="276"/>
      <c r="Q1399" s="276"/>
      <c r="R1399" s="276"/>
      <c r="S1399" s="276"/>
      <c r="T1399" s="276"/>
      <c r="U1399" s="276"/>
      <c r="V1399" s="276"/>
      <c r="W1399" s="276"/>
      <c r="X1399" s="276"/>
    </row>
    <row r="1400" ht="15.75" customHeight="1">
      <c r="A1400" s="403"/>
      <c r="B1400" s="284">
        <f t="shared" si="32"/>
        <v>30</v>
      </c>
      <c r="C1400" s="284">
        <f t="shared" si="33"/>
        <v>12</v>
      </c>
      <c r="D1400" s="284">
        <f t="shared" si="34"/>
        <v>1899</v>
      </c>
      <c r="E1400" s="490"/>
      <c r="F1400" s="30"/>
      <c r="G1400" s="30"/>
      <c r="H1400" s="288">
        <f t="shared" si="35"/>
        <v>0</v>
      </c>
      <c r="I1400" s="490"/>
      <c r="J1400" s="276"/>
      <c r="K1400" s="276"/>
      <c r="L1400" s="276"/>
      <c r="M1400" s="276"/>
      <c r="N1400" s="276"/>
      <c r="O1400" s="276"/>
      <c r="P1400" s="276"/>
      <c r="Q1400" s="276"/>
      <c r="R1400" s="276"/>
      <c r="S1400" s="276"/>
      <c r="T1400" s="276"/>
      <c r="U1400" s="276"/>
      <c r="V1400" s="276"/>
      <c r="W1400" s="276"/>
      <c r="X1400" s="276"/>
    </row>
    <row r="1401" ht="15.75" customHeight="1">
      <c r="A1401" s="403"/>
      <c r="B1401" s="284">
        <f t="shared" si="32"/>
        <v>30</v>
      </c>
      <c r="C1401" s="284">
        <f t="shared" si="33"/>
        <v>12</v>
      </c>
      <c r="D1401" s="284">
        <f t="shared" si="34"/>
        <v>1899</v>
      </c>
      <c r="E1401" s="490"/>
      <c r="F1401" s="30"/>
      <c r="G1401" s="30"/>
      <c r="H1401" s="288">
        <f t="shared" si="35"/>
        <v>0</v>
      </c>
      <c r="I1401" s="490"/>
      <c r="J1401" s="276"/>
      <c r="K1401" s="276"/>
      <c r="L1401" s="276"/>
      <c r="M1401" s="276"/>
      <c r="N1401" s="276"/>
      <c r="O1401" s="276"/>
      <c r="P1401" s="276"/>
      <c r="Q1401" s="276"/>
      <c r="R1401" s="276"/>
      <c r="S1401" s="276"/>
      <c r="T1401" s="276"/>
      <c r="U1401" s="276"/>
      <c r="V1401" s="276"/>
      <c r="W1401" s="276"/>
      <c r="X1401" s="276"/>
    </row>
    <row r="1402" ht="15.75" customHeight="1">
      <c r="A1402" s="403"/>
      <c r="B1402" s="284">
        <f t="shared" si="32"/>
        <v>30</v>
      </c>
      <c r="C1402" s="284">
        <f t="shared" si="33"/>
        <v>12</v>
      </c>
      <c r="D1402" s="284">
        <f t="shared" si="34"/>
        <v>1899</v>
      </c>
      <c r="E1402" s="490"/>
      <c r="F1402" s="30"/>
      <c r="G1402" s="30"/>
      <c r="H1402" s="288">
        <f t="shared" si="35"/>
        <v>0</v>
      </c>
      <c r="I1402" s="490"/>
      <c r="J1402" s="276"/>
      <c r="K1402" s="276"/>
      <c r="L1402" s="276"/>
      <c r="M1402" s="276"/>
      <c r="N1402" s="276"/>
      <c r="O1402" s="276"/>
      <c r="P1402" s="276"/>
      <c r="Q1402" s="276"/>
      <c r="R1402" s="276"/>
      <c r="S1402" s="276"/>
      <c r="T1402" s="276"/>
      <c r="U1402" s="276"/>
      <c r="V1402" s="276"/>
      <c r="W1402" s="276"/>
      <c r="X1402" s="276"/>
    </row>
    <row r="1403" ht="15.75" customHeight="1">
      <c r="A1403" s="403"/>
      <c r="B1403" s="284">
        <f t="shared" si="32"/>
        <v>30</v>
      </c>
      <c r="C1403" s="284">
        <f t="shared" si="33"/>
        <v>12</v>
      </c>
      <c r="D1403" s="284">
        <f t="shared" si="34"/>
        <v>1899</v>
      </c>
      <c r="E1403" s="490"/>
      <c r="F1403" s="30"/>
      <c r="G1403" s="30"/>
      <c r="H1403" s="288">
        <f t="shared" si="35"/>
        <v>0</v>
      </c>
      <c r="I1403" s="490"/>
      <c r="J1403" s="276"/>
      <c r="K1403" s="276"/>
      <c r="L1403" s="276"/>
      <c r="M1403" s="276"/>
      <c r="N1403" s="276"/>
      <c r="O1403" s="276"/>
      <c r="P1403" s="276"/>
      <c r="Q1403" s="276"/>
      <c r="R1403" s="276"/>
      <c r="S1403" s="276"/>
      <c r="T1403" s="276"/>
      <c r="U1403" s="276"/>
      <c r="V1403" s="276"/>
      <c r="W1403" s="276"/>
      <c r="X1403" s="276"/>
    </row>
    <row r="1404" ht="15.75" customHeight="1">
      <c r="A1404" s="403"/>
      <c r="B1404" s="284">
        <f t="shared" si="32"/>
        <v>30</v>
      </c>
      <c r="C1404" s="284">
        <f t="shared" si="33"/>
        <v>12</v>
      </c>
      <c r="D1404" s="284">
        <f t="shared" si="34"/>
        <v>1899</v>
      </c>
      <c r="E1404" s="490"/>
      <c r="F1404" s="30"/>
      <c r="G1404" s="30"/>
      <c r="H1404" s="288">
        <f t="shared" si="35"/>
        <v>0</v>
      </c>
      <c r="I1404" s="490"/>
      <c r="J1404" s="276"/>
      <c r="K1404" s="276"/>
      <c r="L1404" s="276"/>
      <c r="M1404" s="276"/>
      <c r="N1404" s="276"/>
      <c r="O1404" s="276"/>
      <c r="P1404" s="276"/>
      <c r="Q1404" s="276"/>
      <c r="R1404" s="276"/>
      <c r="S1404" s="276"/>
      <c r="T1404" s="276"/>
      <c r="U1404" s="276"/>
      <c r="V1404" s="276"/>
      <c r="W1404" s="276"/>
      <c r="X1404" s="276"/>
    </row>
    <row r="1405" ht="15.75" customHeight="1">
      <c r="A1405" s="403"/>
      <c r="B1405" s="284">
        <f t="shared" si="32"/>
        <v>30</v>
      </c>
      <c r="C1405" s="284">
        <f t="shared" si="33"/>
        <v>12</v>
      </c>
      <c r="D1405" s="284">
        <f t="shared" si="34"/>
        <v>1899</v>
      </c>
      <c r="E1405" s="490"/>
      <c r="F1405" s="30"/>
      <c r="G1405" s="30"/>
      <c r="H1405" s="288">
        <f t="shared" si="35"/>
        <v>0</v>
      </c>
      <c r="I1405" s="490"/>
      <c r="J1405" s="276"/>
      <c r="K1405" s="276"/>
      <c r="L1405" s="276"/>
      <c r="M1405" s="276"/>
      <c r="N1405" s="276"/>
      <c r="O1405" s="276"/>
      <c r="P1405" s="276"/>
      <c r="Q1405" s="276"/>
      <c r="R1405" s="276"/>
      <c r="S1405" s="276"/>
      <c r="T1405" s="276"/>
      <c r="U1405" s="276"/>
      <c r="V1405" s="276"/>
      <c r="W1405" s="276"/>
      <c r="X1405" s="276"/>
    </row>
    <row r="1406" ht="15.75" customHeight="1">
      <c r="A1406" s="403"/>
      <c r="B1406" s="284">
        <f t="shared" si="32"/>
        <v>30</v>
      </c>
      <c r="C1406" s="284">
        <f t="shared" si="33"/>
        <v>12</v>
      </c>
      <c r="D1406" s="284">
        <f t="shared" si="34"/>
        <v>1899</v>
      </c>
      <c r="E1406" s="490"/>
      <c r="F1406" s="30"/>
      <c r="G1406" s="30"/>
      <c r="H1406" s="288">
        <f t="shared" si="35"/>
        <v>0</v>
      </c>
      <c r="I1406" s="490"/>
      <c r="J1406" s="276"/>
      <c r="K1406" s="276"/>
      <c r="L1406" s="276"/>
      <c r="M1406" s="276"/>
      <c r="N1406" s="276"/>
      <c r="O1406" s="276"/>
      <c r="P1406" s="276"/>
      <c r="Q1406" s="276"/>
      <c r="R1406" s="276"/>
      <c r="S1406" s="276"/>
      <c r="T1406" s="276"/>
      <c r="U1406" s="276"/>
      <c r="V1406" s="276"/>
      <c r="W1406" s="276"/>
      <c r="X1406" s="276"/>
    </row>
    <row r="1407" ht="15.75" customHeight="1">
      <c r="A1407" s="403"/>
      <c r="B1407" s="284">
        <f t="shared" si="32"/>
        <v>30</v>
      </c>
      <c r="C1407" s="284">
        <f t="shared" si="33"/>
        <v>12</v>
      </c>
      <c r="D1407" s="284">
        <f t="shared" si="34"/>
        <v>1899</v>
      </c>
      <c r="E1407" s="490"/>
      <c r="F1407" s="30"/>
      <c r="G1407" s="30"/>
      <c r="H1407" s="288">
        <f t="shared" si="35"/>
        <v>0</v>
      </c>
      <c r="I1407" s="490"/>
      <c r="J1407" s="276"/>
      <c r="K1407" s="276"/>
      <c r="L1407" s="276"/>
      <c r="M1407" s="276"/>
      <c r="N1407" s="276"/>
      <c r="O1407" s="276"/>
      <c r="P1407" s="276"/>
      <c r="Q1407" s="276"/>
      <c r="R1407" s="276"/>
      <c r="S1407" s="276"/>
      <c r="T1407" s="276"/>
      <c r="U1407" s="276"/>
      <c r="V1407" s="276"/>
      <c r="W1407" s="276"/>
      <c r="X1407" s="276"/>
    </row>
    <row r="1408" ht="15.75" customHeight="1">
      <c r="A1408" s="403"/>
      <c r="B1408" s="284">
        <f t="shared" si="32"/>
        <v>30</v>
      </c>
      <c r="C1408" s="284">
        <f t="shared" si="33"/>
        <v>12</v>
      </c>
      <c r="D1408" s="284">
        <f t="shared" si="34"/>
        <v>1899</v>
      </c>
      <c r="E1408" s="490"/>
      <c r="F1408" s="30"/>
      <c r="G1408" s="30"/>
      <c r="H1408" s="288">
        <f t="shared" si="35"/>
        <v>0</v>
      </c>
      <c r="I1408" s="490"/>
      <c r="J1408" s="276"/>
      <c r="K1408" s="276"/>
      <c r="L1408" s="276"/>
      <c r="M1408" s="276"/>
      <c r="N1408" s="276"/>
      <c r="O1408" s="276"/>
      <c r="P1408" s="276"/>
      <c r="Q1408" s="276"/>
      <c r="R1408" s="276"/>
      <c r="S1408" s="276"/>
      <c r="T1408" s="276"/>
      <c r="U1408" s="276"/>
      <c r="V1408" s="276"/>
      <c r="W1408" s="276"/>
      <c r="X1408" s="276"/>
    </row>
    <row r="1409" ht="15.75" customHeight="1">
      <c r="A1409" s="403"/>
      <c r="B1409" s="284">
        <f t="shared" si="32"/>
        <v>30</v>
      </c>
      <c r="C1409" s="284">
        <f t="shared" si="33"/>
        <v>12</v>
      </c>
      <c r="D1409" s="284">
        <f t="shared" si="34"/>
        <v>1899</v>
      </c>
      <c r="E1409" s="490"/>
      <c r="F1409" s="30"/>
      <c r="G1409" s="30"/>
      <c r="H1409" s="288">
        <f t="shared" si="35"/>
        <v>0</v>
      </c>
      <c r="I1409" s="490"/>
      <c r="J1409" s="276"/>
      <c r="K1409" s="276"/>
      <c r="L1409" s="276"/>
      <c r="M1409" s="276"/>
      <c r="N1409" s="276"/>
      <c r="O1409" s="276"/>
      <c r="P1409" s="276"/>
      <c r="Q1409" s="276"/>
      <c r="R1409" s="276"/>
      <c r="S1409" s="276"/>
      <c r="T1409" s="276"/>
      <c r="U1409" s="276"/>
      <c r="V1409" s="276"/>
      <c r="W1409" s="276"/>
      <c r="X1409" s="276"/>
    </row>
    <row r="1410" ht="15.75" customHeight="1">
      <c r="A1410" s="403"/>
      <c r="B1410" s="284">
        <f t="shared" si="32"/>
        <v>30</v>
      </c>
      <c r="C1410" s="284">
        <f t="shared" si="33"/>
        <v>12</v>
      </c>
      <c r="D1410" s="284">
        <f t="shared" si="34"/>
        <v>1899</v>
      </c>
      <c r="E1410" s="490"/>
      <c r="F1410" s="30"/>
      <c r="G1410" s="30"/>
      <c r="H1410" s="288">
        <f t="shared" si="35"/>
        <v>0</v>
      </c>
      <c r="I1410" s="490"/>
      <c r="J1410" s="276"/>
      <c r="K1410" s="276"/>
      <c r="L1410" s="276"/>
      <c r="M1410" s="276"/>
      <c r="N1410" s="276"/>
      <c r="O1410" s="276"/>
      <c r="P1410" s="276"/>
      <c r="Q1410" s="276"/>
      <c r="R1410" s="276"/>
      <c r="S1410" s="276"/>
      <c r="T1410" s="276"/>
      <c r="U1410" s="276"/>
      <c r="V1410" s="276"/>
      <c r="W1410" s="276"/>
      <c r="X1410" s="276"/>
    </row>
    <row r="1411" ht="15.75" customHeight="1">
      <c r="A1411" s="403"/>
      <c r="B1411" s="284">
        <f t="shared" si="32"/>
        <v>30</v>
      </c>
      <c r="C1411" s="284">
        <f t="shared" si="33"/>
        <v>12</v>
      </c>
      <c r="D1411" s="284">
        <f t="shared" si="34"/>
        <v>1899</v>
      </c>
      <c r="E1411" s="490"/>
      <c r="F1411" s="30"/>
      <c r="G1411" s="30"/>
      <c r="H1411" s="288">
        <f t="shared" si="35"/>
        <v>0</v>
      </c>
      <c r="I1411" s="490"/>
      <c r="J1411" s="276"/>
      <c r="K1411" s="276"/>
      <c r="L1411" s="276"/>
      <c r="M1411" s="276"/>
      <c r="N1411" s="276"/>
      <c r="O1411" s="276"/>
      <c r="P1411" s="276"/>
      <c r="Q1411" s="276"/>
      <c r="R1411" s="276"/>
      <c r="S1411" s="276"/>
      <c r="T1411" s="276"/>
      <c r="U1411" s="276"/>
      <c r="V1411" s="276"/>
      <c r="W1411" s="276"/>
      <c r="X1411" s="276"/>
    </row>
    <row r="1412" ht="15.75" customHeight="1">
      <c r="A1412" s="403"/>
      <c r="B1412" s="284">
        <f t="shared" si="32"/>
        <v>30</v>
      </c>
      <c r="C1412" s="284">
        <f t="shared" si="33"/>
        <v>12</v>
      </c>
      <c r="D1412" s="284">
        <f t="shared" si="34"/>
        <v>1899</v>
      </c>
      <c r="E1412" s="490"/>
      <c r="F1412" s="30"/>
      <c r="G1412" s="30"/>
      <c r="H1412" s="288">
        <f t="shared" si="35"/>
        <v>0</v>
      </c>
      <c r="I1412" s="490"/>
      <c r="J1412" s="276"/>
      <c r="K1412" s="276"/>
      <c r="L1412" s="276"/>
      <c r="M1412" s="276"/>
      <c r="N1412" s="276"/>
      <c r="O1412" s="276"/>
      <c r="P1412" s="276"/>
      <c r="Q1412" s="276"/>
      <c r="R1412" s="276"/>
      <c r="S1412" s="276"/>
      <c r="T1412" s="276"/>
      <c r="U1412" s="276"/>
      <c r="V1412" s="276"/>
      <c r="W1412" s="276"/>
      <c r="X1412" s="276"/>
    </row>
    <row r="1413" ht="15.75" customHeight="1">
      <c r="A1413" s="403"/>
      <c r="B1413" s="284">
        <f t="shared" si="32"/>
        <v>30</v>
      </c>
      <c r="C1413" s="284">
        <f t="shared" si="33"/>
        <v>12</v>
      </c>
      <c r="D1413" s="284">
        <f t="shared" si="34"/>
        <v>1899</v>
      </c>
      <c r="E1413" s="490"/>
      <c r="F1413" s="30"/>
      <c r="G1413" s="30"/>
      <c r="H1413" s="288">
        <f t="shared" si="35"/>
        <v>0</v>
      </c>
      <c r="I1413" s="490"/>
      <c r="J1413" s="276"/>
      <c r="K1413" s="276"/>
      <c r="L1413" s="276"/>
      <c r="M1413" s="276"/>
      <c r="N1413" s="276"/>
      <c r="O1413" s="276"/>
      <c r="P1413" s="276"/>
      <c r="Q1413" s="276"/>
      <c r="R1413" s="276"/>
      <c r="S1413" s="276"/>
      <c r="T1413" s="276"/>
      <c r="U1413" s="276"/>
      <c r="V1413" s="276"/>
      <c r="W1413" s="276"/>
      <c r="X1413" s="276"/>
    </row>
    <row r="1414" ht="15.75" customHeight="1">
      <c r="A1414" s="403"/>
      <c r="B1414" s="284">
        <f t="shared" si="32"/>
        <v>30</v>
      </c>
      <c r="C1414" s="284">
        <f t="shared" si="33"/>
        <v>12</v>
      </c>
      <c r="D1414" s="284">
        <f t="shared" si="34"/>
        <v>1899</v>
      </c>
      <c r="E1414" s="490"/>
      <c r="F1414" s="30"/>
      <c r="G1414" s="30"/>
      <c r="H1414" s="288">
        <f t="shared" si="35"/>
        <v>0</v>
      </c>
      <c r="I1414" s="490"/>
      <c r="J1414" s="276"/>
      <c r="K1414" s="276"/>
      <c r="L1414" s="276"/>
      <c r="M1414" s="276"/>
      <c r="N1414" s="276"/>
      <c r="O1414" s="276"/>
      <c r="P1414" s="276"/>
      <c r="Q1414" s="276"/>
      <c r="R1414" s="276"/>
      <c r="S1414" s="276"/>
      <c r="T1414" s="276"/>
      <c r="U1414" s="276"/>
      <c r="V1414" s="276"/>
      <c r="W1414" s="276"/>
      <c r="X1414" s="276"/>
    </row>
    <row r="1415" ht="15.75" customHeight="1">
      <c r="A1415" s="403"/>
      <c r="B1415" s="284">
        <f t="shared" si="32"/>
        <v>30</v>
      </c>
      <c r="C1415" s="284">
        <f t="shared" si="33"/>
        <v>12</v>
      </c>
      <c r="D1415" s="284">
        <f t="shared" si="34"/>
        <v>1899</v>
      </c>
      <c r="E1415" s="490"/>
      <c r="F1415" s="30"/>
      <c r="G1415" s="30"/>
      <c r="H1415" s="288">
        <f t="shared" si="35"/>
        <v>0</v>
      </c>
      <c r="I1415" s="490"/>
      <c r="J1415" s="276"/>
      <c r="K1415" s="276"/>
      <c r="L1415" s="276"/>
      <c r="M1415" s="276"/>
      <c r="N1415" s="276"/>
      <c r="O1415" s="276"/>
      <c r="P1415" s="276"/>
      <c r="Q1415" s="276"/>
      <c r="R1415" s="276"/>
      <c r="S1415" s="276"/>
      <c r="T1415" s="276"/>
      <c r="U1415" s="276"/>
      <c r="V1415" s="276"/>
      <c r="W1415" s="276"/>
      <c r="X1415" s="276"/>
    </row>
    <row r="1416" ht="15.75" customHeight="1">
      <c r="A1416" s="403"/>
      <c r="B1416" s="284">
        <f t="shared" si="32"/>
        <v>30</v>
      </c>
      <c r="C1416" s="284">
        <f t="shared" si="33"/>
        <v>12</v>
      </c>
      <c r="D1416" s="284">
        <f t="shared" si="34"/>
        <v>1899</v>
      </c>
      <c r="E1416" s="490"/>
      <c r="F1416" s="30"/>
      <c r="G1416" s="30"/>
      <c r="H1416" s="288">
        <f t="shared" si="35"/>
        <v>0</v>
      </c>
      <c r="I1416" s="490"/>
      <c r="J1416" s="276"/>
      <c r="K1416" s="276"/>
      <c r="L1416" s="276"/>
      <c r="M1416" s="276"/>
      <c r="N1416" s="276"/>
      <c r="O1416" s="276"/>
      <c r="P1416" s="276"/>
      <c r="Q1416" s="276"/>
      <c r="R1416" s="276"/>
      <c r="S1416" s="276"/>
      <c r="T1416" s="276"/>
      <c r="U1416" s="276"/>
      <c r="V1416" s="276"/>
      <c r="W1416" s="276"/>
      <c r="X1416" s="276"/>
    </row>
    <row r="1417" ht="15.75" customHeight="1">
      <c r="A1417" s="403"/>
      <c r="B1417" s="284">
        <f t="shared" si="32"/>
        <v>30</v>
      </c>
      <c r="C1417" s="284">
        <f t="shared" si="33"/>
        <v>12</v>
      </c>
      <c r="D1417" s="284">
        <f t="shared" si="34"/>
        <v>1899</v>
      </c>
      <c r="E1417" s="490"/>
      <c r="F1417" s="30"/>
      <c r="G1417" s="30"/>
      <c r="H1417" s="288">
        <f t="shared" si="35"/>
        <v>0</v>
      </c>
      <c r="I1417" s="490"/>
      <c r="J1417" s="276"/>
      <c r="K1417" s="276"/>
      <c r="L1417" s="276"/>
      <c r="M1417" s="276"/>
      <c r="N1417" s="276"/>
      <c r="O1417" s="276"/>
      <c r="P1417" s="276"/>
      <c r="Q1417" s="276"/>
      <c r="R1417" s="276"/>
      <c r="S1417" s="276"/>
      <c r="T1417" s="276"/>
      <c r="U1417" s="276"/>
      <c r="V1417" s="276"/>
      <c r="W1417" s="276"/>
      <c r="X1417" s="276"/>
    </row>
    <row r="1418" ht="15.75" customHeight="1">
      <c r="A1418" s="403"/>
      <c r="B1418" s="284">
        <f t="shared" si="32"/>
        <v>30</v>
      </c>
      <c r="C1418" s="284">
        <f t="shared" si="33"/>
        <v>12</v>
      </c>
      <c r="D1418" s="284">
        <f t="shared" si="34"/>
        <v>1899</v>
      </c>
      <c r="E1418" s="490"/>
      <c r="F1418" s="30"/>
      <c r="G1418" s="30"/>
      <c r="H1418" s="288">
        <f t="shared" si="35"/>
        <v>0</v>
      </c>
      <c r="I1418" s="490"/>
      <c r="J1418" s="276"/>
      <c r="K1418" s="276"/>
      <c r="L1418" s="276"/>
      <c r="M1418" s="276"/>
      <c r="N1418" s="276"/>
      <c r="O1418" s="276"/>
      <c r="P1418" s="276"/>
      <c r="Q1418" s="276"/>
      <c r="R1418" s="276"/>
      <c r="S1418" s="276"/>
      <c r="T1418" s="276"/>
      <c r="U1418" s="276"/>
      <c r="V1418" s="276"/>
      <c r="W1418" s="276"/>
      <c r="X1418" s="276"/>
    </row>
    <row r="1419" ht="15.75" customHeight="1">
      <c r="A1419" s="403"/>
      <c r="B1419" s="284">
        <f t="shared" si="32"/>
        <v>30</v>
      </c>
      <c r="C1419" s="284">
        <f t="shared" si="33"/>
        <v>12</v>
      </c>
      <c r="D1419" s="284">
        <f t="shared" si="34"/>
        <v>1899</v>
      </c>
      <c r="E1419" s="490"/>
      <c r="F1419" s="30"/>
      <c r="G1419" s="30"/>
      <c r="H1419" s="288">
        <f t="shared" si="35"/>
        <v>0</v>
      </c>
      <c r="I1419" s="490"/>
      <c r="J1419" s="276"/>
      <c r="K1419" s="276"/>
      <c r="L1419" s="276"/>
      <c r="M1419" s="276"/>
      <c r="N1419" s="276"/>
      <c r="O1419" s="276"/>
      <c r="P1419" s="276"/>
      <c r="Q1419" s="276"/>
      <c r="R1419" s="276"/>
      <c r="S1419" s="276"/>
      <c r="T1419" s="276"/>
      <c r="U1419" s="276"/>
      <c r="V1419" s="276"/>
      <c r="W1419" s="276"/>
      <c r="X1419" s="276"/>
    </row>
    <row r="1420" ht="15.75" customHeight="1">
      <c r="A1420" s="403"/>
      <c r="B1420" s="284">
        <f t="shared" si="32"/>
        <v>30</v>
      </c>
      <c r="C1420" s="284">
        <f t="shared" si="33"/>
        <v>12</v>
      </c>
      <c r="D1420" s="284">
        <f t="shared" si="34"/>
        <v>1899</v>
      </c>
      <c r="E1420" s="490"/>
      <c r="F1420" s="30"/>
      <c r="G1420" s="30"/>
      <c r="H1420" s="288">
        <f t="shared" si="35"/>
        <v>0</v>
      </c>
      <c r="I1420" s="490"/>
      <c r="J1420" s="276"/>
      <c r="K1420" s="276"/>
      <c r="L1420" s="276"/>
      <c r="M1420" s="276"/>
      <c r="N1420" s="276"/>
      <c r="O1420" s="276"/>
      <c r="P1420" s="276"/>
      <c r="Q1420" s="276"/>
      <c r="R1420" s="276"/>
      <c r="S1420" s="276"/>
      <c r="T1420" s="276"/>
      <c r="U1420" s="276"/>
      <c r="V1420" s="276"/>
      <c r="W1420" s="276"/>
      <c r="X1420" s="276"/>
    </row>
    <row r="1421" ht="15.75" customHeight="1">
      <c r="A1421" s="403"/>
      <c r="B1421" s="284">
        <f t="shared" si="32"/>
        <v>30</v>
      </c>
      <c r="C1421" s="284">
        <f t="shared" si="33"/>
        <v>12</v>
      </c>
      <c r="D1421" s="284">
        <f t="shared" si="34"/>
        <v>1899</v>
      </c>
      <c r="E1421" s="490"/>
      <c r="F1421" s="30"/>
      <c r="G1421" s="30"/>
      <c r="H1421" s="288">
        <f t="shared" si="35"/>
        <v>0</v>
      </c>
      <c r="I1421" s="490"/>
      <c r="J1421" s="276"/>
      <c r="K1421" s="276"/>
      <c r="L1421" s="276"/>
      <c r="M1421" s="276"/>
      <c r="N1421" s="276"/>
      <c r="O1421" s="276"/>
      <c r="P1421" s="276"/>
      <c r="Q1421" s="276"/>
      <c r="R1421" s="276"/>
      <c r="S1421" s="276"/>
      <c r="T1421" s="276"/>
      <c r="U1421" s="276"/>
      <c r="V1421" s="276"/>
      <c r="W1421" s="276"/>
      <c r="X1421" s="276"/>
    </row>
    <row r="1422" ht="15.75" customHeight="1">
      <c r="A1422" s="403"/>
      <c r="B1422" s="284">
        <f t="shared" si="32"/>
        <v>30</v>
      </c>
      <c r="C1422" s="284">
        <f t="shared" si="33"/>
        <v>12</v>
      </c>
      <c r="D1422" s="284">
        <f t="shared" si="34"/>
        <v>1899</v>
      </c>
      <c r="E1422" s="490"/>
      <c r="F1422" s="30"/>
      <c r="G1422" s="30"/>
      <c r="H1422" s="288">
        <f t="shared" si="35"/>
        <v>0</v>
      </c>
      <c r="I1422" s="490"/>
      <c r="J1422" s="276"/>
      <c r="K1422" s="276"/>
      <c r="L1422" s="276"/>
      <c r="M1422" s="276"/>
      <c r="N1422" s="276"/>
      <c r="O1422" s="276"/>
      <c r="P1422" s="276"/>
      <c r="Q1422" s="276"/>
      <c r="R1422" s="276"/>
      <c r="S1422" s="276"/>
      <c r="T1422" s="276"/>
      <c r="U1422" s="276"/>
      <c r="V1422" s="276"/>
      <c r="W1422" s="276"/>
      <c r="X1422" s="276"/>
    </row>
    <row r="1423" ht="15.75" customHeight="1">
      <c r="A1423" s="403"/>
      <c r="B1423" s="284">
        <f t="shared" si="32"/>
        <v>30</v>
      </c>
      <c r="C1423" s="284">
        <f t="shared" si="33"/>
        <v>12</v>
      </c>
      <c r="D1423" s="284">
        <f t="shared" si="34"/>
        <v>1899</v>
      </c>
      <c r="E1423" s="490"/>
      <c r="F1423" s="30"/>
      <c r="G1423" s="30"/>
      <c r="H1423" s="288">
        <f t="shared" si="35"/>
        <v>0</v>
      </c>
      <c r="I1423" s="490"/>
      <c r="J1423" s="276"/>
      <c r="K1423" s="276"/>
      <c r="L1423" s="276"/>
      <c r="M1423" s="276"/>
      <c r="N1423" s="276"/>
      <c r="O1423" s="276"/>
      <c r="P1423" s="276"/>
      <c r="Q1423" s="276"/>
      <c r="R1423" s="276"/>
      <c r="S1423" s="276"/>
      <c r="T1423" s="276"/>
      <c r="U1423" s="276"/>
      <c r="V1423" s="276"/>
      <c r="W1423" s="276"/>
      <c r="X1423" s="276"/>
    </row>
    <row r="1424" ht="15.75" customHeight="1">
      <c r="A1424" s="403"/>
      <c r="B1424" s="284">
        <f t="shared" si="32"/>
        <v>30</v>
      </c>
      <c r="C1424" s="284">
        <f t="shared" si="33"/>
        <v>12</v>
      </c>
      <c r="D1424" s="284">
        <f t="shared" si="34"/>
        <v>1899</v>
      </c>
      <c r="E1424" s="490"/>
      <c r="F1424" s="30"/>
      <c r="G1424" s="30"/>
      <c r="H1424" s="288">
        <f t="shared" si="35"/>
        <v>0</v>
      </c>
      <c r="I1424" s="490"/>
      <c r="J1424" s="276"/>
      <c r="K1424" s="276"/>
      <c r="L1424" s="276"/>
      <c r="M1424" s="276"/>
      <c r="N1424" s="276"/>
      <c r="O1424" s="276"/>
      <c r="P1424" s="276"/>
      <c r="Q1424" s="276"/>
      <c r="R1424" s="276"/>
      <c r="S1424" s="276"/>
      <c r="T1424" s="276"/>
      <c r="U1424" s="276"/>
      <c r="V1424" s="276"/>
      <c r="W1424" s="276"/>
      <c r="X1424" s="276"/>
    </row>
    <row r="1425" ht="15.75" customHeight="1">
      <c r="A1425" s="403"/>
      <c r="B1425" s="284">
        <f t="shared" si="32"/>
        <v>30</v>
      </c>
      <c r="C1425" s="284">
        <f t="shared" si="33"/>
        <v>12</v>
      </c>
      <c r="D1425" s="284">
        <f t="shared" si="34"/>
        <v>1899</v>
      </c>
      <c r="E1425" s="490"/>
      <c r="F1425" s="30"/>
      <c r="G1425" s="30"/>
      <c r="H1425" s="288">
        <f t="shared" si="35"/>
        <v>0</v>
      </c>
      <c r="I1425" s="490"/>
      <c r="J1425" s="276"/>
      <c r="K1425" s="276"/>
      <c r="L1425" s="276"/>
      <c r="M1425" s="276"/>
      <c r="N1425" s="276"/>
      <c r="O1425" s="276"/>
      <c r="P1425" s="276"/>
      <c r="Q1425" s="276"/>
      <c r="R1425" s="276"/>
      <c r="S1425" s="276"/>
      <c r="T1425" s="276"/>
      <c r="U1425" s="276"/>
      <c r="V1425" s="276"/>
      <c r="W1425" s="276"/>
      <c r="X1425" s="276"/>
    </row>
    <row r="1426" ht="15.75" customHeight="1">
      <c r="A1426" s="403"/>
      <c r="B1426" s="284">
        <f t="shared" si="32"/>
        <v>30</v>
      </c>
      <c r="C1426" s="284">
        <f t="shared" si="33"/>
        <v>12</v>
      </c>
      <c r="D1426" s="284">
        <f t="shared" si="34"/>
        <v>1899</v>
      </c>
      <c r="E1426" s="490"/>
      <c r="F1426" s="30"/>
      <c r="G1426" s="30"/>
      <c r="H1426" s="288">
        <f t="shared" si="35"/>
        <v>0</v>
      </c>
      <c r="I1426" s="490"/>
      <c r="J1426" s="276"/>
      <c r="K1426" s="276"/>
      <c r="L1426" s="276"/>
      <c r="M1426" s="276"/>
      <c r="N1426" s="276"/>
      <c r="O1426" s="276"/>
      <c r="P1426" s="276"/>
      <c r="Q1426" s="276"/>
      <c r="R1426" s="276"/>
      <c r="S1426" s="276"/>
      <c r="T1426" s="276"/>
      <c r="U1426" s="276"/>
      <c r="V1426" s="276"/>
      <c r="W1426" s="276"/>
      <c r="X1426" s="276"/>
    </row>
    <row r="1427" ht="15.75" customHeight="1">
      <c r="A1427" s="403"/>
      <c r="B1427" s="284">
        <f t="shared" si="32"/>
        <v>30</v>
      </c>
      <c r="C1427" s="284">
        <f t="shared" si="33"/>
        <v>12</v>
      </c>
      <c r="D1427" s="284">
        <f t="shared" si="34"/>
        <v>1899</v>
      </c>
      <c r="E1427" s="490"/>
      <c r="F1427" s="30"/>
      <c r="G1427" s="30"/>
      <c r="H1427" s="288">
        <f t="shared" si="35"/>
        <v>0</v>
      </c>
      <c r="I1427" s="490"/>
      <c r="J1427" s="276"/>
      <c r="K1427" s="276"/>
      <c r="L1427" s="276"/>
      <c r="M1427" s="276"/>
      <c r="N1427" s="276"/>
      <c r="O1427" s="276"/>
      <c r="P1427" s="276"/>
      <c r="Q1427" s="276"/>
      <c r="R1427" s="276"/>
      <c r="S1427" s="276"/>
      <c r="T1427" s="276"/>
      <c r="U1427" s="276"/>
      <c r="V1427" s="276"/>
      <c r="W1427" s="276"/>
      <c r="X1427" s="276"/>
    </row>
    <row r="1428" ht="15.75" customHeight="1">
      <c r="A1428" s="403"/>
      <c r="B1428" s="284">
        <f t="shared" si="32"/>
        <v>30</v>
      </c>
      <c r="C1428" s="284">
        <f t="shared" si="33"/>
        <v>12</v>
      </c>
      <c r="D1428" s="284">
        <f t="shared" si="34"/>
        <v>1899</v>
      </c>
      <c r="E1428" s="490"/>
      <c r="F1428" s="30"/>
      <c r="G1428" s="30"/>
      <c r="H1428" s="288">
        <f t="shared" si="35"/>
        <v>0</v>
      </c>
      <c r="I1428" s="490"/>
      <c r="J1428" s="276"/>
      <c r="K1428" s="276"/>
      <c r="L1428" s="276"/>
      <c r="M1428" s="276"/>
      <c r="N1428" s="276"/>
      <c r="O1428" s="276"/>
      <c r="P1428" s="276"/>
      <c r="Q1428" s="276"/>
      <c r="R1428" s="276"/>
      <c r="S1428" s="276"/>
      <c r="T1428" s="276"/>
      <c r="U1428" s="276"/>
      <c r="V1428" s="276"/>
      <c r="W1428" s="276"/>
      <c r="X1428" s="276"/>
    </row>
    <row r="1429" ht="15.75" customHeight="1">
      <c r="A1429" s="403"/>
      <c r="B1429" s="284">
        <f t="shared" si="32"/>
        <v>30</v>
      </c>
      <c r="C1429" s="284">
        <f t="shared" si="33"/>
        <v>12</v>
      </c>
      <c r="D1429" s="284">
        <f t="shared" si="34"/>
        <v>1899</v>
      </c>
      <c r="E1429" s="490"/>
      <c r="F1429" s="30"/>
      <c r="G1429" s="30"/>
      <c r="H1429" s="288">
        <f t="shared" si="35"/>
        <v>0</v>
      </c>
      <c r="I1429" s="490"/>
      <c r="J1429" s="276"/>
      <c r="K1429" s="276"/>
      <c r="L1429" s="276"/>
      <c r="M1429" s="276"/>
      <c r="N1429" s="276"/>
      <c r="O1429" s="276"/>
      <c r="P1429" s="276"/>
      <c r="Q1429" s="276"/>
      <c r="R1429" s="276"/>
      <c r="S1429" s="276"/>
      <c r="T1429" s="276"/>
      <c r="U1429" s="276"/>
      <c r="V1429" s="276"/>
      <c r="W1429" s="276"/>
      <c r="X1429" s="276"/>
    </row>
    <row r="1430" ht="15.75" customHeight="1">
      <c r="A1430" s="403"/>
      <c r="B1430" s="284">
        <f t="shared" si="32"/>
        <v>30</v>
      </c>
      <c r="C1430" s="284">
        <f t="shared" si="33"/>
        <v>12</v>
      </c>
      <c r="D1430" s="284">
        <f t="shared" si="34"/>
        <v>1899</v>
      </c>
      <c r="E1430" s="490"/>
      <c r="F1430" s="30"/>
      <c r="G1430" s="30"/>
      <c r="H1430" s="288">
        <f t="shared" si="35"/>
        <v>0</v>
      </c>
      <c r="I1430" s="490"/>
      <c r="J1430" s="276"/>
      <c r="K1430" s="276"/>
      <c r="L1430" s="276"/>
      <c r="M1430" s="276"/>
      <c r="N1430" s="276"/>
      <c r="O1430" s="276"/>
      <c r="P1430" s="276"/>
      <c r="Q1430" s="276"/>
      <c r="R1430" s="276"/>
      <c r="S1430" s="276"/>
      <c r="T1430" s="276"/>
      <c r="U1430" s="276"/>
      <c r="V1430" s="276"/>
      <c r="W1430" s="276"/>
      <c r="X1430" s="276"/>
    </row>
    <row r="1431" ht="15.75" customHeight="1">
      <c r="A1431" s="403"/>
      <c r="B1431" s="284">
        <f t="shared" si="32"/>
        <v>30</v>
      </c>
      <c r="C1431" s="284">
        <f t="shared" si="33"/>
        <v>12</v>
      </c>
      <c r="D1431" s="284">
        <f t="shared" si="34"/>
        <v>1899</v>
      </c>
      <c r="E1431" s="490"/>
      <c r="F1431" s="30"/>
      <c r="G1431" s="30"/>
      <c r="H1431" s="288">
        <f t="shared" si="35"/>
        <v>0</v>
      </c>
      <c r="I1431" s="490"/>
      <c r="J1431" s="276"/>
      <c r="K1431" s="276"/>
      <c r="L1431" s="276"/>
      <c r="M1431" s="276"/>
      <c r="N1431" s="276"/>
      <c r="O1431" s="276"/>
      <c r="P1431" s="276"/>
      <c r="Q1431" s="276"/>
      <c r="R1431" s="276"/>
      <c r="S1431" s="276"/>
      <c r="T1431" s="276"/>
      <c r="U1431" s="276"/>
      <c r="V1431" s="276"/>
      <c r="W1431" s="276"/>
      <c r="X1431" s="276"/>
    </row>
    <row r="1432" ht="15.75" customHeight="1">
      <c r="A1432" s="403"/>
      <c r="B1432" s="284">
        <f t="shared" si="32"/>
        <v>30</v>
      </c>
      <c r="C1432" s="284">
        <f t="shared" si="33"/>
        <v>12</v>
      </c>
      <c r="D1432" s="284">
        <f t="shared" si="34"/>
        <v>1899</v>
      </c>
      <c r="E1432" s="490"/>
      <c r="F1432" s="30"/>
      <c r="G1432" s="30"/>
      <c r="H1432" s="288">
        <f t="shared" si="35"/>
        <v>0</v>
      </c>
      <c r="I1432" s="490"/>
      <c r="J1432" s="276"/>
      <c r="K1432" s="276"/>
      <c r="L1432" s="276"/>
      <c r="M1432" s="276"/>
      <c r="N1432" s="276"/>
      <c r="O1432" s="276"/>
      <c r="P1432" s="276"/>
      <c r="Q1432" s="276"/>
      <c r="R1432" s="276"/>
      <c r="S1432" s="276"/>
      <c r="T1432" s="276"/>
      <c r="U1432" s="276"/>
      <c r="V1432" s="276"/>
      <c r="W1432" s="276"/>
      <c r="X1432" s="276"/>
    </row>
    <row r="1433" ht="15.75" customHeight="1">
      <c r="A1433" s="403"/>
      <c r="B1433" s="284">
        <f t="shared" si="32"/>
        <v>30</v>
      </c>
      <c r="C1433" s="284">
        <f t="shared" si="33"/>
        <v>12</v>
      </c>
      <c r="D1433" s="284">
        <f t="shared" si="34"/>
        <v>1899</v>
      </c>
      <c r="E1433" s="490"/>
      <c r="F1433" s="30"/>
      <c r="G1433" s="30"/>
      <c r="H1433" s="288">
        <f t="shared" si="35"/>
        <v>0</v>
      </c>
      <c r="I1433" s="490"/>
      <c r="J1433" s="276"/>
      <c r="K1433" s="276"/>
      <c r="L1433" s="276"/>
      <c r="M1433" s="276"/>
      <c r="N1433" s="276"/>
      <c r="O1433" s="276"/>
      <c r="P1433" s="276"/>
      <c r="Q1433" s="276"/>
      <c r="R1433" s="276"/>
      <c r="S1433" s="276"/>
      <c r="T1433" s="276"/>
      <c r="U1433" s="276"/>
      <c r="V1433" s="276"/>
      <c r="W1433" s="276"/>
      <c r="X1433" s="276"/>
    </row>
    <row r="1434" ht="15.75" customHeight="1">
      <c r="A1434" s="403"/>
      <c r="B1434" s="284">
        <f t="shared" si="32"/>
        <v>30</v>
      </c>
      <c r="C1434" s="284">
        <f t="shared" si="33"/>
        <v>12</v>
      </c>
      <c r="D1434" s="284">
        <f t="shared" si="34"/>
        <v>1899</v>
      </c>
      <c r="E1434" s="490"/>
      <c r="F1434" s="30"/>
      <c r="G1434" s="30"/>
      <c r="H1434" s="288">
        <f t="shared" si="35"/>
        <v>0</v>
      </c>
      <c r="I1434" s="490"/>
      <c r="J1434" s="276"/>
      <c r="K1434" s="276"/>
      <c r="L1434" s="276"/>
      <c r="M1434" s="276"/>
      <c r="N1434" s="276"/>
      <c r="O1434" s="276"/>
      <c r="P1434" s="276"/>
      <c r="Q1434" s="276"/>
      <c r="R1434" s="276"/>
      <c r="S1434" s="276"/>
      <c r="T1434" s="276"/>
      <c r="U1434" s="276"/>
      <c r="V1434" s="276"/>
      <c r="W1434" s="276"/>
      <c r="X1434" s="276"/>
    </row>
    <row r="1435" ht="15.75" customHeight="1">
      <c r="A1435" s="403"/>
      <c r="B1435" s="284">
        <f t="shared" si="32"/>
        <v>30</v>
      </c>
      <c r="C1435" s="284">
        <f t="shared" si="33"/>
        <v>12</v>
      </c>
      <c r="D1435" s="284">
        <f t="shared" si="34"/>
        <v>1899</v>
      </c>
      <c r="E1435" s="490"/>
      <c r="F1435" s="30"/>
      <c r="G1435" s="30"/>
      <c r="H1435" s="288">
        <f t="shared" si="35"/>
        <v>0</v>
      </c>
      <c r="I1435" s="490"/>
      <c r="J1435" s="276"/>
      <c r="K1435" s="276"/>
      <c r="L1435" s="276"/>
      <c r="M1435" s="276"/>
      <c r="N1435" s="276"/>
      <c r="O1435" s="276"/>
      <c r="P1435" s="276"/>
      <c r="Q1435" s="276"/>
      <c r="R1435" s="276"/>
      <c r="S1435" s="276"/>
      <c r="T1435" s="276"/>
      <c r="U1435" s="276"/>
      <c r="V1435" s="276"/>
      <c r="W1435" s="276"/>
      <c r="X1435" s="276"/>
    </row>
    <row r="1436" ht="15.75" customHeight="1">
      <c r="A1436" s="403"/>
      <c r="B1436" s="284">
        <f t="shared" si="32"/>
        <v>30</v>
      </c>
      <c r="C1436" s="284">
        <f t="shared" si="33"/>
        <v>12</v>
      </c>
      <c r="D1436" s="284">
        <f t="shared" si="34"/>
        <v>1899</v>
      </c>
      <c r="E1436" s="490"/>
      <c r="F1436" s="30"/>
      <c r="G1436" s="30"/>
      <c r="H1436" s="288">
        <f t="shared" si="35"/>
        <v>0</v>
      </c>
      <c r="I1436" s="490"/>
      <c r="J1436" s="276"/>
      <c r="K1436" s="276"/>
      <c r="L1436" s="276"/>
      <c r="M1436" s="276"/>
      <c r="N1436" s="276"/>
      <c r="O1436" s="276"/>
      <c r="P1436" s="276"/>
      <c r="Q1436" s="276"/>
      <c r="R1436" s="276"/>
      <c r="S1436" s="276"/>
      <c r="T1436" s="276"/>
      <c r="U1436" s="276"/>
      <c r="V1436" s="276"/>
      <c r="W1436" s="276"/>
      <c r="X1436" s="276"/>
    </row>
    <row r="1437" ht="15.75" customHeight="1">
      <c r="A1437" s="403"/>
      <c r="B1437" s="284">
        <f t="shared" si="32"/>
        <v>30</v>
      </c>
      <c r="C1437" s="284">
        <f t="shared" si="33"/>
        <v>12</v>
      </c>
      <c r="D1437" s="284">
        <f t="shared" si="34"/>
        <v>1899</v>
      </c>
      <c r="E1437" s="490"/>
      <c r="F1437" s="30"/>
      <c r="G1437" s="30"/>
      <c r="H1437" s="288">
        <f t="shared" si="35"/>
        <v>0</v>
      </c>
      <c r="I1437" s="490"/>
      <c r="J1437" s="276"/>
      <c r="K1437" s="276"/>
      <c r="L1437" s="276"/>
      <c r="M1437" s="276"/>
      <c r="N1437" s="276"/>
      <c r="O1437" s="276"/>
      <c r="P1437" s="276"/>
      <c r="Q1437" s="276"/>
      <c r="R1437" s="276"/>
      <c r="S1437" s="276"/>
      <c r="T1437" s="276"/>
      <c r="U1437" s="276"/>
      <c r="V1437" s="276"/>
      <c r="W1437" s="276"/>
      <c r="X1437" s="276"/>
    </row>
    <row r="1438" ht="15.75" customHeight="1">
      <c r="A1438" s="403"/>
      <c r="B1438" s="284">
        <f t="shared" si="32"/>
        <v>30</v>
      </c>
      <c r="C1438" s="284">
        <f t="shared" si="33"/>
        <v>12</v>
      </c>
      <c r="D1438" s="284">
        <f t="shared" si="34"/>
        <v>1899</v>
      </c>
      <c r="E1438" s="490"/>
      <c r="F1438" s="30"/>
      <c r="G1438" s="30"/>
      <c r="H1438" s="288">
        <f t="shared" si="35"/>
        <v>0</v>
      </c>
      <c r="I1438" s="490"/>
      <c r="J1438" s="276"/>
      <c r="K1438" s="276"/>
      <c r="L1438" s="276"/>
      <c r="M1438" s="276"/>
      <c r="N1438" s="276"/>
      <c r="O1438" s="276"/>
      <c r="P1438" s="276"/>
      <c r="Q1438" s="276"/>
      <c r="R1438" s="276"/>
      <c r="S1438" s="276"/>
      <c r="T1438" s="276"/>
      <c r="U1438" s="276"/>
      <c r="V1438" s="276"/>
      <c r="W1438" s="276"/>
      <c r="X1438" s="276"/>
    </row>
    <row r="1439" ht="15.75" customHeight="1">
      <c r="A1439" s="403"/>
      <c r="B1439" s="284">
        <f t="shared" si="32"/>
        <v>30</v>
      </c>
      <c r="C1439" s="284">
        <f t="shared" si="33"/>
        <v>12</v>
      </c>
      <c r="D1439" s="284">
        <f t="shared" si="34"/>
        <v>1899</v>
      </c>
      <c r="E1439" s="490"/>
      <c r="F1439" s="30"/>
      <c r="G1439" s="30"/>
      <c r="H1439" s="288">
        <f t="shared" si="35"/>
        <v>0</v>
      </c>
      <c r="I1439" s="490"/>
      <c r="J1439" s="276"/>
      <c r="K1439" s="276"/>
      <c r="L1439" s="276"/>
      <c r="M1439" s="276"/>
      <c r="N1439" s="276"/>
      <c r="O1439" s="276"/>
      <c r="P1439" s="276"/>
      <c r="Q1439" s="276"/>
      <c r="R1439" s="276"/>
      <c r="S1439" s="276"/>
      <c r="T1439" s="276"/>
      <c r="U1439" s="276"/>
      <c r="V1439" s="276"/>
      <c r="W1439" s="276"/>
      <c r="X1439" s="276"/>
    </row>
    <row r="1440" ht="15.75" customHeight="1">
      <c r="A1440" s="403"/>
      <c r="B1440" s="284">
        <f t="shared" si="32"/>
        <v>30</v>
      </c>
      <c r="C1440" s="284">
        <f t="shared" si="33"/>
        <v>12</v>
      </c>
      <c r="D1440" s="284">
        <f t="shared" si="34"/>
        <v>1899</v>
      </c>
      <c r="E1440" s="490"/>
      <c r="F1440" s="30"/>
      <c r="G1440" s="30"/>
      <c r="H1440" s="288">
        <f t="shared" si="35"/>
        <v>0</v>
      </c>
      <c r="I1440" s="490"/>
      <c r="J1440" s="276"/>
      <c r="K1440" s="276"/>
      <c r="L1440" s="276"/>
      <c r="M1440" s="276"/>
      <c r="N1440" s="276"/>
      <c r="O1440" s="276"/>
      <c r="P1440" s="276"/>
      <c r="Q1440" s="276"/>
      <c r="R1440" s="276"/>
      <c r="S1440" s="276"/>
      <c r="T1440" s="276"/>
      <c r="U1440" s="276"/>
      <c r="V1440" s="276"/>
      <c r="W1440" s="276"/>
      <c r="X1440" s="276"/>
    </row>
    <row r="1441" ht="15.75" customHeight="1">
      <c r="A1441" s="403"/>
      <c r="B1441" s="284">
        <f t="shared" si="32"/>
        <v>30</v>
      </c>
      <c r="C1441" s="284">
        <f t="shared" si="33"/>
        <v>12</v>
      </c>
      <c r="D1441" s="284">
        <f t="shared" si="34"/>
        <v>1899</v>
      </c>
      <c r="E1441" s="490"/>
      <c r="F1441" s="30"/>
      <c r="G1441" s="30"/>
      <c r="H1441" s="288">
        <f t="shared" si="35"/>
        <v>0</v>
      </c>
      <c r="I1441" s="490"/>
      <c r="J1441" s="276"/>
      <c r="K1441" s="276"/>
      <c r="L1441" s="276"/>
      <c r="M1441" s="276"/>
      <c r="N1441" s="276"/>
      <c r="O1441" s="276"/>
      <c r="P1441" s="276"/>
      <c r="Q1441" s="276"/>
      <c r="R1441" s="276"/>
      <c r="S1441" s="276"/>
      <c r="T1441" s="276"/>
      <c r="U1441" s="276"/>
      <c r="V1441" s="276"/>
      <c r="W1441" s="276"/>
      <c r="X1441" s="276"/>
    </row>
    <row r="1442" ht="15.75" customHeight="1">
      <c r="A1442" s="403"/>
      <c r="B1442" s="284">
        <f t="shared" si="32"/>
        <v>30</v>
      </c>
      <c r="C1442" s="284">
        <f t="shared" si="33"/>
        <v>12</v>
      </c>
      <c r="D1442" s="284">
        <f t="shared" si="34"/>
        <v>1899</v>
      </c>
      <c r="E1442" s="490"/>
      <c r="F1442" s="30"/>
      <c r="G1442" s="30"/>
      <c r="H1442" s="288">
        <f t="shared" si="35"/>
        <v>0</v>
      </c>
      <c r="I1442" s="490"/>
      <c r="J1442" s="276"/>
      <c r="K1442" s="276"/>
      <c r="L1442" s="276"/>
      <c r="M1442" s="276"/>
      <c r="N1442" s="276"/>
      <c r="O1442" s="276"/>
      <c r="P1442" s="276"/>
      <c r="Q1442" s="276"/>
      <c r="R1442" s="276"/>
      <c r="S1442" s="276"/>
      <c r="T1442" s="276"/>
      <c r="U1442" s="276"/>
      <c r="V1442" s="276"/>
      <c r="W1442" s="276"/>
      <c r="X1442" s="276"/>
    </row>
    <row r="1443" ht="15.75" customHeight="1">
      <c r="A1443" s="403"/>
      <c r="B1443" s="284">
        <f t="shared" si="32"/>
        <v>30</v>
      </c>
      <c r="C1443" s="284">
        <f t="shared" si="33"/>
        <v>12</v>
      </c>
      <c r="D1443" s="284">
        <f t="shared" si="34"/>
        <v>1899</v>
      </c>
      <c r="E1443" s="490"/>
      <c r="F1443" s="30"/>
      <c r="G1443" s="30"/>
      <c r="H1443" s="288">
        <f t="shared" si="35"/>
        <v>0</v>
      </c>
      <c r="I1443" s="490"/>
      <c r="J1443" s="276"/>
      <c r="K1443" s="276"/>
      <c r="L1443" s="276"/>
      <c r="M1443" s="276"/>
      <c r="N1443" s="276"/>
      <c r="O1443" s="276"/>
      <c r="P1443" s="276"/>
      <c r="Q1443" s="276"/>
      <c r="R1443" s="276"/>
      <c r="S1443" s="276"/>
      <c r="T1443" s="276"/>
      <c r="U1443" s="276"/>
      <c r="V1443" s="276"/>
      <c r="W1443" s="276"/>
      <c r="X1443" s="276"/>
    </row>
    <row r="1444" ht="15.75" customHeight="1">
      <c r="A1444" s="403"/>
      <c r="B1444" s="284">
        <f t="shared" si="32"/>
        <v>30</v>
      </c>
      <c r="C1444" s="284">
        <f t="shared" si="33"/>
        <v>12</v>
      </c>
      <c r="D1444" s="284">
        <f t="shared" si="34"/>
        <v>1899</v>
      </c>
      <c r="E1444" s="490"/>
      <c r="F1444" s="30"/>
      <c r="G1444" s="30"/>
      <c r="H1444" s="288">
        <f t="shared" si="35"/>
        <v>0</v>
      </c>
      <c r="I1444" s="490"/>
      <c r="J1444" s="276"/>
      <c r="K1444" s="276"/>
      <c r="L1444" s="276"/>
      <c r="M1444" s="276"/>
      <c r="N1444" s="276"/>
      <c r="O1444" s="276"/>
      <c r="P1444" s="276"/>
      <c r="Q1444" s="276"/>
      <c r="R1444" s="276"/>
      <c r="S1444" s="276"/>
      <c r="T1444" s="276"/>
      <c r="U1444" s="276"/>
      <c r="V1444" s="276"/>
      <c r="W1444" s="276"/>
      <c r="X1444" s="276"/>
    </row>
    <row r="1445" ht="15.75" customHeight="1">
      <c r="A1445" s="403"/>
      <c r="B1445" s="284">
        <f t="shared" si="32"/>
        <v>30</v>
      </c>
      <c r="C1445" s="284">
        <f t="shared" si="33"/>
        <v>12</v>
      </c>
      <c r="D1445" s="284">
        <f t="shared" si="34"/>
        <v>1899</v>
      </c>
      <c r="E1445" s="490"/>
      <c r="F1445" s="30"/>
      <c r="G1445" s="30"/>
      <c r="H1445" s="288">
        <f t="shared" si="35"/>
        <v>0</v>
      </c>
      <c r="I1445" s="490"/>
      <c r="J1445" s="276"/>
      <c r="K1445" s="276"/>
      <c r="L1445" s="276"/>
      <c r="M1445" s="276"/>
      <c r="N1445" s="276"/>
      <c r="O1445" s="276"/>
      <c r="P1445" s="276"/>
      <c r="Q1445" s="276"/>
      <c r="R1445" s="276"/>
      <c r="S1445" s="276"/>
      <c r="T1445" s="276"/>
      <c r="U1445" s="276"/>
      <c r="V1445" s="276"/>
      <c r="W1445" s="276"/>
      <c r="X1445" s="276"/>
    </row>
    <row r="1446" ht="15.75" customHeight="1">
      <c r="A1446" s="403"/>
      <c r="B1446" s="284">
        <f t="shared" si="32"/>
        <v>30</v>
      </c>
      <c r="C1446" s="284">
        <f t="shared" si="33"/>
        <v>12</v>
      </c>
      <c r="D1446" s="284">
        <f t="shared" si="34"/>
        <v>1899</v>
      </c>
      <c r="E1446" s="490"/>
      <c r="F1446" s="30"/>
      <c r="G1446" s="30"/>
      <c r="H1446" s="288">
        <f t="shared" si="35"/>
        <v>0</v>
      </c>
      <c r="I1446" s="490"/>
      <c r="J1446" s="276"/>
      <c r="K1446" s="276"/>
      <c r="L1446" s="276"/>
      <c r="M1446" s="276"/>
      <c r="N1446" s="276"/>
      <c r="O1446" s="276"/>
      <c r="P1446" s="276"/>
      <c r="Q1446" s="276"/>
      <c r="R1446" s="276"/>
      <c r="S1446" s="276"/>
      <c r="T1446" s="276"/>
      <c r="U1446" s="276"/>
      <c r="V1446" s="276"/>
      <c r="W1446" s="276"/>
      <c r="X1446" s="276"/>
    </row>
    <row r="1447" ht="15.75" customHeight="1">
      <c r="A1447" s="403"/>
      <c r="B1447" s="284">
        <f t="shared" si="32"/>
        <v>30</v>
      </c>
      <c r="C1447" s="284">
        <f t="shared" si="33"/>
        <v>12</v>
      </c>
      <c r="D1447" s="284">
        <f t="shared" si="34"/>
        <v>1899</v>
      </c>
      <c r="E1447" s="490"/>
      <c r="F1447" s="30"/>
      <c r="G1447" s="30"/>
      <c r="H1447" s="288">
        <f t="shared" si="35"/>
        <v>0</v>
      </c>
      <c r="I1447" s="490"/>
      <c r="J1447" s="276"/>
      <c r="K1447" s="276"/>
      <c r="L1447" s="276"/>
      <c r="M1447" s="276"/>
      <c r="N1447" s="276"/>
      <c r="O1447" s="276"/>
      <c r="P1447" s="276"/>
      <c r="Q1447" s="276"/>
      <c r="R1447" s="276"/>
      <c r="S1447" s="276"/>
      <c r="T1447" s="276"/>
      <c r="U1447" s="276"/>
      <c r="V1447" s="276"/>
      <c r="W1447" s="276"/>
      <c r="X1447" s="276"/>
    </row>
    <row r="1448" ht="15.75" customHeight="1">
      <c r="A1448" s="403"/>
      <c r="B1448" s="284">
        <f t="shared" si="32"/>
        <v>30</v>
      </c>
      <c r="C1448" s="284">
        <f t="shared" si="33"/>
        <v>12</v>
      </c>
      <c r="D1448" s="284">
        <f t="shared" si="34"/>
        <v>1899</v>
      </c>
      <c r="E1448" s="490"/>
      <c r="F1448" s="30"/>
      <c r="G1448" s="30"/>
      <c r="H1448" s="288">
        <f t="shared" si="35"/>
        <v>0</v>
      </c>
      <c r="I1448" s="490"/>
      <c r="J1448" s="276"/>
      <c r="K1448" s="276"/>
      <c r="L1448" s="276"/>
      <c r="M1448" s="276"/>
      <c r="N1448" s="276"/>
      <c r="O1448" s="276"/>
      <c r="P1448" s="276"/>
      <c r="Q1448" s="276"/>
      <c r="R1448" s="276"/>
      <c r="S1448" s="276"/>
      <c r="T1448" s="276"/>
      <c r="U1448" s="276"/>
      <c r="V1448" s="276"/>
      <c r="W1448" s="276"/>
      <c r="X1448" s="276"/>
    </row>
    <row r="1449" ht="15.75" customHeight="1">
      <c r="A1449" s="403"/>
      <c r="B1449" s="284">
        <f t="shared" si="32"/>
        <v>30</v>
      </c>
      <c r="C1449" s="284">
        <f t="shared" si="33"/>
        <v>12</v>
      </c>
      <c r="D1449" s="284">
        <f t="shared" si="34"/>
        <v>1899</v>
      </c>
      <c r="E1449" s="490"/>
      <c r="F1449" s="30"/>
      <c r="G1449" s="30"/>
      <c r="H1449" s="288">
        <f t="shared" si="35"/>
        <v>0</v>
      </c>
      <c r="I1449" s="490"/>
      <c r="J1449" s="276"/>
      <c r="K1449" s="276"/>
      <c r="L1449" s="276"/>
      <c r="M1449" s="276"/>
      <c r="N1449" s="276"/>
      <c r="O1449" s="276"/>
      <c r="P1449" s="276"/>
      <c r="Q1449" s="276"/>
      <c r="R1449" s="276"/>
      <c r="S1449" s="276"/>
      <c r="T1449" s="276"/>
      <c r="U1449" s="276"/>
      <c r="V1449" s="276"/>
      <c r="W1449" s="276"/>
      <c r="X1449" s="276"/>
    </row>
    <row r="1450" ht="15.75" customHeight="1">
      <c r="A1450" s="403"/>
      <c r="B1450" s="284">
        <f t="shared" si="32"/>
        <v>30</v>
      </c>
      <c r="C1450" s="284">
        <f t="shared" si="33"/>
        <v>12</v>
      </c>
      <c r="D1450" s="284">
        <f t="shared" si="34"/>
        <v>1899</v>
      </c>
      <c r="E1450" s="490"/>
      <c r="F1450" s="30"/>
      <c r="G1450" s="30"/>
      <c r="H1450" s="288">
        <f t="shared" si="35"/>
        <v>0</v>
      </c>
      <c r="I1450" s="490"/>
      <c r="J1450" s="276"/>
      <c r="K1450" s="276"/>
      <c r="L1450" s="276"/>
      <c r="M1450" s="276"/>
      <c r="N1450" s="276"/>
      <c r="O1450" s="276"/>
      <c r="P1450" s="276"/>
      <c r="Q1450" s="276"/>
      <c r="R1450" s="276"/>
      <c r="S1450" s="276"/>
      <c r="T1450" s="276"/>
      <c r="U1450" s="276"/>
      <c r="V1450" s="276"/>
      <c r="W1450" s="276"/>
      <c r="X1450" s="276"/>
    </row>
    <row r="1451" ht="15.75" customHeight="1">
      <c r="A1451" s="403"/>
      <c r="B1451" s="284">
        <f t="shared" si="32"/>
        <v>30</v>
      </c>
      <c r="C1451" s="284">
        <f t="shared" si="33"/>
        <v>12</v>
      </c>
      <c r="D1451" s="284">
        <f t="shared" si="34"/>
        <v>1899</v>
      </c>
      <c r="E1451" s="490"/>
      <c r="F1451" s="30"/>
      <c r="G1451" s="30"/>
      <c r="H1451" s="288">
        <f t="shared" si="35"/>
        <v>0</v>
      </c>
      <c r="I1451" s="490"/>
      <c r="J1451" s="276"/>
      <c r="K1451" s="276"/>
      <c r="L1451" s="276"/>
      <c r="M1451" s="276"/>
      <c r="N1451" s="276"/>
      <c r="O1451" s="276"/>
      <c r="P1451" s="276"/>
      <c r="Q1451" s="276"/>
      <c r="R1451" s="276"/>
      <c r="S1451" s="276"/>
      <c r="T1451" s="276"/>
      <c r="U1451" s="276"/>
      <c r="V1451" s="276"/>
      <c r="W1451" s="276"/>
      <c r="X1451" s="276"/>
    </row>
    <row r="1452" ht="15.75" customHeight="1">
      <c r="A1452" s="403"/>
      <c r="B1452" s="284">
        <f t="shared" si="32"/>
        <v>30</v>
      </c>
      <c r="C1452" s="284">
        <f t="shared" si="33"/>
        <v>12</v>
      </c>
      <c r="D1452" s="284">
        <f t="shared" si="34"/>
        <v>1899</v>
      </c>
      <c r="E1452" s="490"/>
      <c r="F1452" s="30"/>
      <c r="G1452" s="30"/>
      <c r="H1452" s="288">
        <f t="shared" si="35"/>
        <v>0</v>
      </c>
      <c r="I1452" s="490"/>
      <c r="J1452" s="276"/>
      <c r="K1452" s="276"/>
      <c r="L1452" s="276"/>
      <c r="M1452" s="276"/>
      <c r="N1452" s="276"/>
      <c r="O1452" s="276"/>
      <c r="P1452" s="276"/>
      <c r="Q1452" s="276"/>
      <c r="R1452" s="276"/>
      <c r="S1452" s="276"/>
      <c r="T1452" s="276"/>
      <c r="U1452" s="276"/>
      <c r="V1452" s="276"/>
      <c r="W1452" s="276"/>
      <c r="X1452" s="276"/>
    </row>
    <row r="1453" ht="15.75" customHeight="1">
      <c r="A1453" s="403"/>
      <c r="B1453" s="284">
        <f t="shared" si="32"/>
        <v>30</v>
      </c>
      <c r="C1453" s="284">
        <f t="shared" si="33"/>
        <v>12</v>
      </c>
      <c r="D1453" s="284">
        <f t="shared" si="34"/>
        <v>1899</v>
      </c>
      <c r="E1453" s="490"/>
      <c r="F1453" s="30"/>
      <c r="G1453" s="30"/>
      <c r="H1453" s="288">
        <f t="shared" si="35"/>
        <v>0</v>
      </c>
      <c r="I1453" s="490"/>
      <c r="J1453" s="276"/>
      <c r="K1453" s="276"/>
      <c r="L1453" s="276"/>
      <c r="M1453" s="276"/>
      <c r="N1453" s="276"/>
      <c r="O1453" s="276"/>
      <c r="P1453" s="276"/>
      <c r="Q1453" s="276"/>
      <c r="R1453" s="276"/>
      <c r="S1453" s="276"/>
      <c r="T1453" s="276"/>
      <c r="U1453" s="276"/>
      <c r="V1453" s="276"/>
      <c r="W1453" s="276"/>
      <c r="X1453" s="276"/>
    </row>
    <row r="1454" ht="15.75" customHeight="1">
      <c r="A1454" s="403"/>
      <c r="B1454" s="284">
        <f t="shared" si="32"/>
        <v>30</v>
      </c>
      <c r="C1454" s="284">
        <f t="shared" si="33"/>
        <v>12</v>
      </c>
      <c r="D1454" s="284">
        <f t="shared" si="34"/>
        <v>1899</v>
      </c>
      <c r="E1454" s="490"/>
      <c r="F1454" s="30"/>
      <c r="G1454" s="30"/>
      <c r="H1454" s="288">
        <f t="shared" si="35"/>
        <v>0</v>
      </c>
      <c r="I1454" s="490"/>
      <c r="J1454" s="276"/>
      <c r="K1454" s="276"/>
      <c r="L1454" s="276"/>
      <c r="M1454" s="276"/>
      <c r="N1454" s="276"/>
      <c r="O1454" s="276"/>
      <c r="P1454" s="276"/>
      <c r="Q1454" s="276"/>
      <c r="R1454" s="276"/>
      <c r="S1454" s="276"/>
      <c r="T1454" s="276"/>
      <c r="U1454" s="276"/>
      <c r="V1454" s="276"/>
      <c r="W1454" s="276"/>
      <c r="X1454" s="276"/>
    </row>
    <row r="1455" ht="15.75" customHeight="1">
      <c r="A1455" s="403"/>
      <c r="B1455" s="284">
        <f t="shared" si="32"/>
        <v>30</v>
      </c>
      <c r="C1455" s="284">
        <f t="shared" si="33"/>
        <v>12</v>
      </c>
      <c r="D1455" s="284">
        <f t="shared" si="34"/>
        <v>1899</v>
      </c>
      <c r="E1455" s="490"/>
      <c r="F1455" s="30"/>
      <c r="G1455" s="30"/>
      <c r="H1455" s="288">
        <f t="shared" si="35"/>
        <v>0</v>
      </c>
      <c r="I1455" s="490"/>
      <c r="J1455" s="276"/>
      <c r="K1455" s="276"/>
      <c r="L1455" s="276"/>
      <c r="M1455" s="276"/>
      <c r="N1455" s="276"/>
      <c r="O1455" s="276"/>
      <c r="P1455" s="276"/>
      <c r="Q1455" s="276"/>
      <c r="R1455" s="276"/>
      <c r="S1455" s="276"/>
      <c r="T1455" s="276"/>
      <c r="U1455" s="276"/>
      <c r="V1455" s="276"/>
      <c r="W1455" s="276"/>
      <c r="X1455" s="276"/>
    </row>
    <row r="1456" ht="15.75" customHeight="1">
      <c r="A1456" s="403"/>
      <c r="B1456" s="284">
        <f t="shared" si="32"/>
        <v>30</v>
      </c>
      <c r="C1456" s="284">
        <f t="shared" si="33"/>
        <v>12</v>
      </c>
      <c r="D1456" s="284">
        <f t="shared" si="34"/>
        <v>1899</v>
      </c>
      <c r="E1456" s="490"/>
      <c r="F1456" s="30"/>
      <c r="G1456" s="30"/>
      <c r="H1456" s="288">
        <f t="shared" si="35"/>
        <v>0</v>
      </c>
      <c r="I1456" s="490"/>
      <c r="J1456" s="276"/>
      <c r="K1456" s="276"/>
      <c r="L1456" s="276"/>
      <c r="M1456" s="276"/>
      <c r="N1456" s="276"/>
      <c r="O1456" s="276"/>
      <c r="P1456" s="276"/>
      <c r="Q1456" s="276"/>
      <c r="R1456" s="276"/>
      <c r="S1456" s="276"/>
      <c r="T1456" s="276"/>
      <c r="U1456" s="276"/>
      <c r="V1456" s="276"/>
      <c r="W1456" s="276"/>
      <c r="X1456" s="276"/>
    </row>
    <row r="1457" ht="15.75" customHeight="1">
      <c r="A1457" s="403"/>
      <c r="B1457" s="284">
        <f t="shared" si="32"/>
        <v>30</v>
      </c>
      <c r="C1457" s="284">
        <f t="shared" si="33"/>
        <v>12</v>
      </c>
      <c r="D1457" s="284">
        <f t="shared" si="34"/>
        <v>1899</v>
      </c>
      <c r="E1457" s="490"/>
      <c r="F1457" s="30"/>
      <c r="G1457" s="30"/>
      <c r="H1457" s="288">
        <f t="shared" si="35"/>
        <v>0</v>
      </c>
      <c r="I1457" s="490"/>
      <c r="J1457" s="276"/>
      <c r="K1457" s="276"/>
      <c r="L1457" s="276"/>
      <c r="M1457" s="276"/>
      <c r="N1457" s="276"/>
      <c r="O1457" s="276"/>
      <c r="P1457" s="276"/>
      <c r="Q1457" s="276"/>
      <c r="R1457" s="276"/>
      <c r="S1457" s="276"/>
      <c r="T1457" s="276"/>
      <c r="U1457" s="276"/>
      <c r="V1457" s="276"/>
      <c r="W1457" s="276"/>
      <c r="X1457" s="276"/>
    </row>
    <row r="1458" ht="15.75" customHeight="1">
      <c r="A1458" s="403"/>
      <c r="B1458" s="284">
        <f t="shared" si="32"/>
        <v>30</v>
      </c>
      <c r="C1458" s="284">
        <f t="shared" si="33"/>
        <v>12</v>
      </c>
      <c r="D1458" s="284">
        <f t="shared" si="34"/>
        <v>1899</v>
      </c>
      <c r="E1458" s="490"/>
      <c r="F1458" s="30"/>
      <c r="G1458" s="30"/>
      <c r="H1458" s="288">
        <f t="shared" si="35"/>
        <v>0</v>
      </c>
      <c r="I1458" s="490"/>
      <c r="J1458" s="276"/>
      <c r="K1458" s="276"/>
      <c r="L1458" s="276"/>
      <c r="M1458" s="276"/>
      <c r="N1458" s="276"/>
      <c r="O1458" s="276"/>
      <c r="P1458" s="276"/>
      <c r="Q1458" s="276"/>
      <c r="R1458" s="276"/>
      <c r="S1458" s="276"/>
      <c r="T1458" s="276"/>
      <c r="U1458" s="276"/>
      <c r="V1458" s="276"/>
      <c r="W1458" s="276"/>
      <c r="X1458" s="276"/>
    </row>
    <row r="1459" ht="15.75" customHeight="1">
      <c r="A1459" s="403"/>
      <c r="B1459" s="284">
        <f t="shared" si="32"/>
        <v>30</v>
      </c>
      <c r="C1459" s="284">
        <f t="shared" si="33"/>
        <v>12</v>
      </c>
      <c r="D1459" s="284">
        <f t="shared" si="34"/>
        <v>1899</v>
      </c>
      <c r="E1459" s="490"/>
      <c r="F1459" s="30"/>
      <c r="G1459" s="30"/>
      <c r="H1459" s="288">
        <f t="shared" si="35"/>
        <v>0</v>
      </c>
      <c r="I1459" s="490"/>
      <c r="J1459" s="276"/>
      <c r="K1459" s="276"/>
      <c r="L1459" s="276"/>
      <c r="M1459" s="276"/>
      <c r="N1459" s="276"/>
      <c r="O1459" s="276"/>
      <c r="P1459" s="276"/>
      <c r="Q1459" s="276"/>
      <c r="R1459" s="276"/>
      <c r="S1459" s="276"/>
      <c r="T1459" s="276"/>
      <c r="U1459" s="276"/>
      <c r="V1459" s="276"/>
      <c r="W1459" s="276"/>
      <c r="X1459" s="276"/>
    </row>
    <row r="1460" ht="15.75" customHeight="1">
      <c r="A1460" s="403"/>
      <c r="B1460" s="284">
        <f t="shared" si="32"/>
        <v>30</v>
      </c>
      <c r="C1460" s="284">
        <f t="shared" si="33"/>
        <v>12</v>
      </c>
      <c r="D1460" s="284">
        <f t="shared" si="34"/>
        <v>1899</v>
      </c>
      <c r="E1460" s="490"/>
      <c r="F1460" s="30"/>
      <c r="G1460" s="30"/>
      <c r="H1460" s="288">
        <f t="shared" si="35"/>
        <v>0</v>
      </c>
      <c r="I1460" s="490"/>
      <c r="J1460" s="276"/>
      <c r="K1460" s="276"/>
      <c r="L1460" s="276"/>
      <c r="M1460" s="276"/>
      <c r="N1460" s="276"/>
      <c r="O1460" s="276"/>
      <c r="P1460" s="276"/>
      <c r="Q1460" s="276"/>
      <c r="R1460" s="276"/>
      <c r="S1460" s="276"/>
      <c r="T1460" s="276"/>
      <c r="U1460" s="276"/>
      <c r="V1460" s="276"/>
      <c r="W1460" s="276"/>
      <c r="X1460" s="276"/>
    </row>
    <row r="1461" ht="15.75" customHeight="1">
      <c r="A1461" s="403"/>
      <c r="B1461" s="284">
        <f t="shared" si="32"/>
        <v>30</v>
      </c>
      <c r="C1461" s="284">
        <f t="shared" si="33"/>
        <v>12</v>
      </c>
      <c r="D1461" s="284">
        <f t="shared" si="34"/>
        <v>1899</v>
      </c>
      <c r="E1461" s="490"/>
      <c r="F1461" s="30"/>
      <c r="G1461" s="30"/>
      <c r="H1461" s="288">
        <f t="shared" si="35"/>
        <v>0</v>
      </c>
      <c r="I1461" s="490"/>
      <c r="J1461" s="276"/>
      <c r="K1461" s="276"/>
      <c r="L1461" s="276"/>
      <c r="M1461" s="276"/>
      <c r="N1461" s="276"/>
      <c r="O1461" s="276"/>
      <c r="P1461" s="276"/>
      <c r="Q1461" s="276"/>
      <c r="R1461" s="276"/>
      <c r="S1461" s="276"/>
      <c r="T1461" s="276"/>
      <c r="U1461" s="276"/>
      <c r="V1461" s="276"/>
      <c r="W1461" s="276"/>
      <c r="X1461" s="276"/>
    </row>
    <row r="1462" ht="15.75" customHeight="1">
      <c r="A1462" s="403"/>
      <c r="B1462" s="284">
        <f t="shared" si="32"/>
        <v>30</v>
      </c>
      <c r="C1462" s="284">
        <f t="shared" si="33"/>
        <v>12</v>
      </c>
      <c r="D1462" s="284">
        <f t="shared" si="34"/>
        <v>1899</v>
      </c>
      <c r="E1462" s="490"/>
      <c r="F1462" s="30"/>
      <c r="G1462" s="30"/>
      <c r="H1462" s="288">
        <f t="shared" si="35"/>
        <v>0</v>
      </c>
      <c r="I1462" s="490"/>
      <c r="J1462" s="276"/>
      <c r="K1462" s="276"/>
      <c r="L1462" s="276"/>
      <c r="M1462" s="276"/>
      <c r="N1462" s="276"/>
      <c r="O1462" s="276"/>
      <c r="P1462" s="276"/>
      <c r="Q1462" s="276"/>
      <c r="R1462" s="276"/>
      <c r="S1462" s="276"/>
      <c r="T1462" s="276"/>
      <c r="U1462" s="276"/>
      <c r="V1462" s="276"/>
      <c r="W1462" s="276"/>
      <c r="X1462" s="276"/>
    </row>
    <row r="1463" ht="15.75" customHeight="1">
      <c r="A1463" s="403"/>
      <c r="B1463" s="284">
        <f t="shared" si="32"/>
        <v>30</v>
      </c>
      <c r="C1463" s="284">
        <f t="shared" si="33"/>
        <v>12</v>
      </c>
      <c r="D1463" s="284">
        <f t="shared" si="34"/>
        <v>1899</v>
      </c>
      <c r="E1463" s="490"/>
      <c r="F1463" s="30"/>
      <c r="G1463" s="30"/>
      <c r="H1463" s="288">
        <f t="shared" si="35"/>
        <v>0</v>
      </c>
      <c r="I1463" s="490"/>
      <c r="J1463" s="276"/>
      <c r="K1463" s="276"/>
      <c r="L1463" s="276"/>
      <c r="M1463" s="276"/>
      <c r="N1463" s="276"/>
      <c r="O1463" s="276"/>
      <c r="P1463" s="276"/>
      <c r="Q1463" s="276"/>
      <c r="R1463" s="276"/>
      <c r="S1463" s="276"/>
      <c r="T1463" s="276"/>
      <c r="U1463" s="276"/>
      <c r="V1463" s="276"/>
      <c r="W1463" s="276"/>
      <c r="X1463" s="276"/>
    </row>
    <row r="1464" ht="15.75" customHeight="1">
      <c r="A1464" s="403"/>
      <c r="B1464" s="284">
        <f t="shared" si="32"/>
        <v>30</v>
      </c>
      <c r="C1464" s="284">
        <f t="shared" si="33"/>
        <v>12</v>
      </c>
      <c r="D1464" s="284">
        <f t="shared" si="34"/>
        <v>1899</v>
      </c>
      <c r="E1464" s="490"/>
      <c r="F1464" s="30"/>
      <c r="G1464" s="30"/>
      <c r="H1464" s="288">
        <f t="shared" si="35"/>
        <v>0</v>
      </c>
      <c r="I1464" s="490"/>
      <c r="J1464" s="276"/>
      <c r="K1464" s="276"/>
      <c r="L1464" s="276"/>
      <c r="M1464" s="276"/>
      <c r="N1464" s="276"/>
      <c r="O1464" s="276"/>
      <c r="P1464" s="276"/>
      <c r="Q1464" s="276"/>
      <c r="R1464" s="276"/>
      <c r="S1464" s="276"/>
      <c r="T1464" s="276"/>
      <c r="U1464" s="276"/>
      <c r="V1464" s="276"/>
      <c r="W1464" s="276"/>
      <c r="X1464" s="276"/>
    </row>
    <row r="1465" ht="15.75" customHeight="1">
      <c r="A1465" s="403"/>
      <c r="B1465" s="284">
        <f t="shared" si="32"/>
        <v>30</v>
      </c>
      <c r="C1465" s="284">
        <f t="shared" si="33"/>
        <v>12</v>
      </c>
      <c r="D1465" s="284">
        <f t="shared" si="34"/>
        <v>1899</v>
      </c>
      <c r="E1465" s="490"/>
      <c r="F1465" s="30"/>
      <c r="G1465" s="30"/>
      <c r="H1465" s="288">
        <f t="shared" si="35"/>
        <v>0</v>
      </c>
      <c r="I1465" s="490"/>
      <c r="J1465" s="276"/>
      <c r="K1465" s="276"/>
      <c r="L1465" s="276"/>
      <c r="M1465" s="276"/>
      <c r="N1465" s="276"/>
      <c r="O1465" s="276"/>
      <c r="P1465" s="276"/>
      <c r="Q1465" s="276"/>
      <c r="R1465" s="276"/>
      <c r="S1465" s="276"/>
      <c r="T1465" s="276"/>
      <c r="U1465" s="276"/>
      <c r="V1465" s="276"/>
      <c r="W1465" s="276"/>
      <c r="X1465" s="276"/>
    </row>
    <row r="1466" ht="15.75" customHeight="1">
      <c r="A1466" s="403"/>
      <c r="B1466" s="284">
        <f t="shared" si="32"/>
        <v>30</v>
      </c>
      <c r="C1466" s="284">
        <f t="shared" si="33"/>
        <v>12</v>
      </c>
      <c r="D1466" s="284">
        <f t="shared" si="34"/>
        <v>1899</v>
      </c>
      <c r="E1466" s="490"/>
      <c r="F1466" s="30"/>
      <c r="G1466" s="30"/>
      <c r="H1466" s="288">
        <f t="shared" si="35"/>
        <v>0</v>
      </c>
      <c r="I1466" s="490"/>
      <c r="J1466" s="276"/>
      <c r="K1466" s="276"/>
      <c r="L1466" s="276"/>
      <c r="M1466" s="276"/>
      <c r="N1466" s="276"/>
      <c r="O1466" s="276"/>
      <c r="P1466" s="276"/>
      <c r="Q1466" s="276"/>
      <c r="R1466" s="276"/>
      <c r="S1466" s="276"/>
      <c r="T1466" s="276"/>
      <c r="U1466" s="276"/>
      <c r="V1466" s="276"/>
      <c r="W1466" s="276"/>
      <c r="X1466" s="276"/>
    </row>
    <row r="1467" ht="15.75" customHeight="1">
      <c r="A1467" s="403"/>
      <c r="B1467" s="284">
        <f t="shared" si="32"/>
        <v>30</v>
      </c>
      <c r="C1467" s="284">
        <f t="shared" si="33"/>
        <v>12</v>
      </c>
      <c r="D1467" s="284">
        <f t="shared" si="34"/>
        <v>1899</v>
      </c>
      <c r="E1467" s="490"/>
      <c r="F1467" s="30"/>
      <c r="G1467" s="30"/>
      <c r="H1467" s="288">
        <f t="shared" si="35"/>
        <v>0</v>
      </c>
      <c r="I1467" s="490"/>
      <c r="J1467" s="276"/>
      <c r="K1467" s="276"/>
      <c r="L1467" s="276"/>
      <c r="M1467" s="276"/>
      <c r="N1467" s="276"/>
      <c r="O1467" s="276"/>
      <c r="P1467" s="276"/>
      <c r="Q1467" s="276"/>
      <c r="R1467" s="276"/>
      <c r="S1467" s="276"/>
      <c r="T1467" s="276"/>
      <c r="U1467" s="276"/>
      <c r="V1467" s="276"/>
      <c r="W1467" s="276"/>
      <c r="X1467" s="276"/>
    </row>
    <row r="1468" ht="15.75" customHeight="1">
      <c r="A1468" s="403"/>
      <c r="B1468" s="284">
        <f t="shared" si="32"/>
        <v>30</v>
      </c>
      <c r="C1468" s="284">
        <f t="shared" si="33"/>
        <v>12</v>
      </c>
      <c r="D1468" s="284">
        <f t="shared" si="34"/>
        <v>1899</v>
      </c>
      <c r="E1468" s="490"/>
      <c r="F1468" s="30"/>
      <c r="G1468" s="30"/>
      <c r="H1468" s="288">
        <f t="shared" si="35"/>
        <v>0</v>
      </c>
      <c r="I1468" s="490"/>
      <c r="J1468" s="276"/>
      <c r="K1468" s="276"/>
      <c r="L1468" s="276"/>
      <c r="M1468" s="276"/>
      <c r="N1468" s="276"/>
      <c r="O1468" s="276"/>
      <c r="P1468" s="276"/>
      <c r="Q1468" s="276"/>
      <c r="R1468" s="276"/>
      <c r="S1468" s="276"/>
      <c r="T1468" s="276"/>
      <c r="U1468" s="276"/>
      <c r="V1468" s="276"/>
      <c r="W1468" s="276"/>
      <c r="X1468" s="276"/>
    </row>
    <row r="1469" ht="15.75" customHeight="1">
      <c r="A1469" s="403"/>
      <c r="B1469" s="284">
        <f t="shared" si="32"/>
        <v>30</v>
      </c>
      <c r="C1469" s="284">
        <f t="shared" si="33"/>
        <v>12</v>
      </c>
      <c r="D1469" s="284">
        <f t="shared" si="34"/>
        <v>1899</v>
      </c>
      <c r="E1469" s="490"/>
      <c r="F1469" s="30"/>
      <c r="G1469" s="30"/>
      <c r="H1469" s="288">
        <f t="shared" si="35"/>
        <v>0</v>
      </c>
      <c r="I1469" s="490"/>
      <c r="J1469" s="276"/>
      <c r="K1469" s="276"/>
      <c r="L1469" s="276"/>
      <c r="M1469" s="276"/>
      <c r="N1469" s="276"/>
      <c r="O1469" s="276"/>
      <c r="P1469" s="276"/>
      <c r="Q1469" s="276"/>
      <c r="R1469" s="276"/>
      <c r="S1469" s="276"/>
      <c r="T1469" s="276"/>
      <c r="U1469" s="276"/>
      <c r="V1469" s="276"/>
      <c r="W1469" s="276"/>
      <c r="X1469" s="276"/>
    </row>
    <row r="1470" ht="15.75" customHeight="1">
      <c r="A1470" s="403"/>
      <c r="B1470" s="284">
        <f t="shared" si="32"/>
        <v>30</v>
      </c>
      <c r="C1470" s="284">
        <f t="shared" si="33"/>
        <v>12</v>
      </c>
      <c r="D1470" s="284">
        <f t="shared" si="34"/>
        <v>1899</v>
      </c>
      <c r="E1470" s="490"/>
      <c r="F1470" s="30"/>
      <c r="G1470" s="30"/>
      <c r="H1470" s="288">
        <f t="shared" si="35"/>
        <v>0</v>
      </c>
      <c r="I1470" s="490"/>
      <c r="J1470" s="276"/>
      <c r="K1470" s="276"/>
      <c r="L1470" s="276"/>
      <c r="M1470" s="276"/>
      <c r="N1470" s="276"/>
      <c r="O1470" s="276"/>
      <c r="P1470" s="276"/>
      <c r="Q1470" s="276"/>
      <c r="R1470" s="276"/>
      <c r="S1470" s="276"/>
      <c r="T1470" s="276"/>
      <c r="U1470" s="276"/>
      <c r="V1470" s="276"/>
      <c r="W1470" s="276"/>
      <c r="X1470" s="276"/>
    </row>
    <row r="1471" ht="15.75" customHeight="1">
      <c r="A1471" s="403"/>
      <c r="B1471" s="284">
        <f t="shared" si="32"/>
        <v>30</v>
      </c>
      <c r="C1471" s="284">
        <f t="shared" si="33"/>
        <v>12</v>
      </c>
      <c r="D1471" s="284">
        <f t="shared" si="34"/>
        <v>1899</v>
      </c>
      <c r="E1471" s="490"/>
      <c r="F1471" s="30"/>
      <c r="G1471" s="30"/>
      <c r="H1471" s="288">
        <f t="shared" si="35"/>
        <v>0</v>
      </c>
      <c r="I1471" s="490"/>
      <c r="J1471" s="276"/>
      <c r="K1471" s="276"/>
      <c r="L1471" s="276"/>
      <c r="M1471" s="276"/>
      <c r="N1471" s="276"/>
      <c r="O1471" s="276"/>
      <c r="P1471" s="276"/>
      <c r="Q1471" s="276"/>
      <c r="R1471" s="276"/>
      <c r="S1471" s="276"/>
      <c r="T1471" s="276"/>
      <c r="U1471" s="276"/>
      <c r="V1471" s="276"/>
      <c r="W1471" s="276"/>
      <c r="X1471" s="276"/>
    </row>
    <row r="1472" ht="15.75" customHeight="1">
      <c r="A1472" s="403"/>
      <c r="B1472" s="284">
        <f t="shared" si="32"/>
        <v>30</v>
      </c>
      <c r="C1472" s="284">
        <f t="shared" si="33"/>
        <v>12</v>
      </c>
      <c r="D1472" s="284">
        <f t="shared" si="34"/>
        <v>1899</v>
      </c>
      <c r="E1472" s="490"/>
      <c r="F1472" s="30"/>
      <c r="G1472" s="30"/>
      <c r="H1472" s="288">
        <f t="shared" si="35"/>
        <v>0</v>
      </c>
      <c r="I1472" s="490"/>
      <c r="J1472" s="276"/>
      <c r="K1472" s="276"/>
      <c r="L1472" s="276"/>
      <c r="M1472" s="276"/>
      <c r="N1472" s="276"/>
      <c r="O1472" s="276"/>
      <c r="P1472" s="276"/>
      <c r="Q1472" s="276"/>
      <c r="R1472" s="276"/>
      <c r="S1472" s="276"/>
      <c r="T1472" s="276"/>
      <c r="U1472" s="276"/>
      <c r="V1472" s="276"/>
      <c r="W1472" s="276"/>
      <c r="X1472" s="276"/>
    </row>
    <row r="1473" ht="15.75" customHeight="1">
      <c r="A1473" s="403"/>
      <c r="B1473" s="284">
        <f t="shared" si="32"/>
        <v>30</v>
      </c>
      <c r="C1473" s="284">
        <f t="shared" si="33"/>
        <v>12</v>
      </c>
      <c r="D1473" s="284">
        <f t="shared" si="34"/>
        <v>1899</v>
      </c>
      <c r="E1473" s="490"/>
      <c r="F1473" s="30"/>
      <c r="G1473" s="30"/>
      <c r="H1473" s="288">
        <f t="shared" si="35"/>
        <v>0</v>
      </c>
      <c r="I1473" s="490"/>
      <c r="J1473" s="276"/>
      <c r="K1473" s="276"/>
      <c r="L1473" s="276"/>
      <c r="M1473" s="276"/>
      <c r="N1473" s="276"/>
      <c r="O1473" s="276"/>
      <c r="P1473" s="276"/>
      <c r="Q1473" s="276"/>
      <c r="R1473" s="276"/>
      <c r="S1473" s="276"/>
      <c r="T1473" s="276"/>
      <c r="U1473" s="276"/>
      <c r="V1473" s="276"/>
      <c r="W1473" s="276"/>
      <c r="X1473" s="276"/>
    </row>
    <row r="1474" ht="15.75" customHeight="1">
      <c r="A1474" s="403"/>
      <c r="B1474" s="284">
        <f t="shared" si="32"/>
        <v>30</v>
      </c>
      <c r="C1474" s="284">
        <f t="shared" si="33"/>
        <v>12</v>
      </c>
      <c r="D1474" s="284">
        <f t="shared" si="34"/>
        <v>1899</v>
      </c>
      <c r="E1474" s="490"/>
      <c r="F1474" s="30"/>
      <c r="G1474" s="30"/>
      <c r="H1474" s="288">
        <f t="shared" si="35"/>
        <v>0</v>
      </c>
      <c r="I1474" s="490"/>
      <c r="J1474" s="276"/>
      <c r="K1474" s="276"/>
      <c r="L1474" s="276"/>
      <c r="M1474" s="276"/>
      <c r="N1474" s="276"/>
      <c r="O1474" s="276"/>
      <c r="P1474" s="276"/>
      <c r="Q1474" s="276"/>
      <c r="R1474" s="276"/>
      <c r="S1474" s="276"/>
      <c r="T1474" s="276"/>
      <c r="U1474" s="276"/>
      <c r="V1474" s="276"/>
      <c r="W1474" s="276"/>
      <c r="X1474" s="276"/>
    </row>
    <row r="1475" ht="15.75" customHeight="1">
      <c r="A1475" s="403"/>
      <c r="B1475" s="284">
        <f t="shared" si="32"/>
        <v>30</v>
      </c>
      <c r="C1475" s="284">
        <f t="shared" si="33"/>
        <v>12</v>
      </c>
      <c r="D1475" s="284">
        <f t="shared" si="34"/>
        <v>1899</v>
      </c>
      <c r="E1475" s="490"/>
      <c r="F1475" s="30"/>
      <c r="G1475" s="30"/>
      <c r="H1475" s="288">
        <f t="shared" si="35"/>
        <v>0</v>
      </c>
      <c r="I1475" s="490"/>
      <c r="J1475" s="276"/>
      <c r="K1475" s="276"/>
      <c r="L1475" s="276"/>
      <c r="M1475" s="276"/>
      <c r="N1475" s="276"/>
      <c r="O1475" s="276"/>
      <c r="P1475" s="276"/>
      <c r="Q1475" s="276"/>
      <c r="R1475" s="276"/>
      <c r="S1475" s="276"/>
      <c r="T1475" s="276"/>
      <c r="U1475" s="276"/>
      <c r="V1475" s="276"/>
      <c r="W1475" s="276"/>
      <c r="X1475" s="276"/>
    </row>
    <row r="1476" ht="15.75" customHeight="1">
      <c r="A1476" s="403"/>
      <c r="B1476" s="284">
        <f t="shared" si="32"/>
        <v>30</v>
      </c>
      <c r="C1476" s="284">
        <f t="shared" si="33"/>
        <v>12</v>
      </c>
      <c r="D1476" s="284">
        <f t="shared" si="34"/>
        <v>1899</v>
      </c>
      <c r="E1476" s="490"/>
      <c r="F1476" s="30"/>
      <c r="G1476" s="30"/>
      <c r="H1476" s="288">
        <f t="shared" si="35"/>
        <v>0</v>
      </c>
      <c r="I1476" s="490"/>
      <c r="J1476" s="276"/>
      <c r="K1476" s="276"/>
      <c r="L1476" s="276"/>
      <c r="M1476" s="276"/>
      <c r="N1476" s="276"/>
      <c r="O1476" s="276"/>
      <c r="P1476" s="276"/>
      <c r="Q1476" s="276"/>
      <c r="R1476" s="276"/>
      <c r="S1476" s="276"/>
      <c r="T1476" s="276"/>
      <c r="U1476" s="276"/>
      <c r="V1476" s="276"/>
      <c r="W1476" s="276"/>
      <c r="X1476" s="276"/>
    </row>
    <row r="1477" ht="15.75" customHeight="1">
      <c r="A1477" s="403"/>
      <c r="B1477" s="284">
        <f t="shared" si="32"/>
        <v>30</v>
      </c>
      <c r="C1477" s="284">
        <f t="shared" si="33"/>
        <v>12</v>
      </c>
      <c r="D1477" s="284">
        <f t="shared" si="34"/>
        <v>1899</v>
      </c>
      <c r="E1477" s="490"/>
      <c r="F1477" s="30"/>
      <c r="G1477" s="30"/>
      <c r="H1477" s="288">
        <f t="shared" si="35"/>
        <v>0</v>
      </c>
      <c r="I1477" s="490"/>
      <c r="J1477" s="276"/>
      <c r="K1477" s="276"/>
      <c r="L1477" s="276"/>
      <c r="M1477" s="276"/>
      <c r="N1477" s="276"/>
      <c r="O1477" s="276"/>
      <c r="P1477" s="276"/>
      <c r="Q1477" s="276"/>
      <c r="R1477" s="276"/>
      <c r="S1477" s="276"/>
      <c r="T1477" s="276"/>
      <c r="U1477" s="276"/>
      <c r="V1477" s="276"/>
      <c r="W1477" s="276"/>
      <c r="X1477" s="276"/>
    </row>
    <row r="1478" ht="15.75" customHeight="1">
      <c r="A1478" s="403"/>
      <c r="B1478" s="284">
        <f t="shared" si="32"/>
        <v>30</v>
      </c>
      <c r="C1478" s="284">
        <f t="shared" si="33"/>
        <v>12</v>
      </c>
      <c r="D1478" s="284">
        <f t="shared" si="34"/>
        <v>1899</v>
      </c>
      <c r="E1478" s="490"/>
      <c r="F1478" s="30"/>
      <c r="G1478" s="30"/>
      <c r="H1478" s="288">
        <f t="shared" si="35"/>
        <v>0</v>
      </c>
      <c r="I1478" s="490"/>
      <c r="J1478" s="276"/>
      <c r="K1478" s="276"/>
      <c r="L1478" s="276"/>
      <c r="M1478" s="276"/>
      <c r="N1478" s="276"/>
      <c r="O1478" s="276"/>
      <c r="P1478" s="276"/>
      <c r="Q1478" s="276"/>
      <c r="R1478" s="276"/>
      <c r="S1478" s="276"/>
      <c r="T1478" s="276"/>
      <c r="U1478" s="276"/>
      <c r="V1478" s="276"/>
      <c r="W1478" s="276"/>
      <c r="X1478" s="276"/>
    </row>
    <row r="1479" ht="15.75" customHeight="1">
      <c r="A1479" s="403"/>
      <c r="B1479" s="284">
        <f t="shared" si="32"/>
        <v>30</v>
      </c>
      <c r="C1479" s="284">
        <f t="shared" si="33"/>
        <v>12</v>
      </c>
      <c r="D1479" s="284">
        <f t="shared" si="34"/>
        <v>1899</v>
      </c>
      <c r="E1479" s="490"/>
      <c r="F1479" s="30"/>
      <c r="G1479" s="30"/>
      <c r="H1479" s="288">
        <f t="shared" si="35"/>
        <v>0</v>
      </c>
      <c r="I1479" s="490"/>
      <c r="J1479" s="276"/>
      <c r="K1479" s="276"/>
      <c r="L1479" s="276"/>
      <c r="M1479" s="276"/>
      <c r="N1479" s="276"/>
      <c r="O1479" s="276"/>
      <c r="P1479" s="276"/>
      <c r="Q1479" s="276"/>
      <c r="R1479" s="276"/>
      <c r="S1479" s="276"/>
      <c r="T1479" s="276"/>
      <c r="U1479" s="276"/>
      <c r="V1479" s="276"/>
      <c r="W1479" s="276"/>
      <c r="X1479" s="276"/>
    </row>
    <row r="1480" ht="15.75" customHeight="1">
      <c r="A1480" s="403"/>
      <c r="B1480" s="284">
        <f t="shared" si="32"/>
        <v>30</v>
      </c>
      <c r="C1480" s="284">
        <f t="shared" si="33"/>
        <v>12</v>
      </c>
      <c r="D1480" s="284">
        <f t="shared" si="34"/>
        <v>1899</v>
      </c>
      <c r="E1480" s="490"/>
      <c r="F1480" s="30"/>
      <c r="G1480" s="30"/>
      <c r="H1480" s="288">
        <f t="shared" si="35"/>
        <v>0</v>
      </c>
      <c r="I1480" s="490"/>
      <c r="J1480" s="276"/>
      <c r="K1480" s="276"/>
      <c r="L1480" s="276"/>
      <c r="M1480" s="276"/>
      <c r="N1480" s="276"/>
      <c r="O1480" s="276"/>
      <c r="P1480" s="276"/>
      <c r="Q1480" s="276"/>
      <c r="R1480" s="276"/>
      <c r="S1480" s="276"/>
      <c r="T1480" s="276"/>
      <c r="U1480" s="276"/>
      <c r="V1480" s="276"/>
      <c r="W1480" s="276"/>
      <c r="X1480" s="276"/>
    </row>
    <row r="1481" ht="15.75" customHeight="1">
      <c r="A1481" s="403"/>
      <c r="B1481" s="284">
        <f t="shared" si="32"/>
        <v>30</v>
      </c>
      <c r="C1481" s="284">
        <f t="shared" si="33"/>
        <v>12</v>
      </c>
      <c r="D1481" s="284">
        <f t="shared" si="34"/>
        <v>1899</v>
      </c>
      <c r="E1481" s="490"/>
      <c r="F1481" s="30"/>
      <c r="G1481" s="30"/>
      <c r="H1481" s="288">
        <f t="shared" si="35"/>
        <v>0</v>
      </c>
      <c r="I1481" s="490"/>
      <c r="J1481" s="276"/>
      <c r="K1481" s="276"/>
      <c r="L1481" s="276"/>
      <c r="M1481" s="276"/>
      <c r="N1481" s="276"/>
      <c r="O1481" s="276"/>
      <c r="P1481" s="276"/>
      <c r="Q1481" s="276"/>
      <c r="R1481" s="276"/>
      <c r="S1481" s="276"/>
      <c r="T1481" s="276"/>
      <c r="U1481" s="276"/>
      <c r="V1481" s="276"/>
      <c r="W1481" s="276"/>
      <c r="X1481" s="276"/>
    </row>
    <row r="1482" ht="15.75" customHeight="1">
      <c r="A1482" s="403"/>
      <c r="B1482" s="284">
        <f t="shared" si="32"/>
        <v>30</v>
      </c>
      <c r="C1482" s="284">
        <f t="shared" si="33"/>
        <v>12</v>
      </c>
      <c r="D1482" s="284">
        <f t="shared" si="34"/>
        <v>1899</v>
      </c>
      <c r="E1482" s="490"/>
      <c r="F1482" s="30"/>
      <c r="G1482" s="30"/>
      <c r="H1482" s="288">
        <f t="shared" si="35"/>
        <v>0</v>
      </c>
      <c r="I1482" s="490"/>
      <c r="J1482" s="276"/>
      <c r="K1482" s="276"/>
      <c r="L1482" s="276"/>
      <c r="M1482" s="276"/>
      <c r="N1482" s="276"/>
      <c r="O1482" s="276"/>
      <c r="P1482" s="276"/>
      <c r="Q1482" s="276"/>
      <c r="R1482" s="276"/>
      <c r="S1482" s="276"/>
      <c r="T1482" s="276"/>
      <c r="U1482" s="276"/>
      <c r="V1482" s="276"/>
      <c r="W1482" s="276"/>
      <c r="X1482" s="276"/>
    </row>
    <row r="1483" ht="15.75" customHeight="1">
      <c r="A1483" s="403"/>
      <c r="B1483" s="284">
        <f t="shared" si="32"/>
        <v>30</v>
      </c>
      <c r="C1483" s="284">
        <f t="shared" si="33"/>
        <v>12</v>
      </c>
      <c r="D1483" s="284">
        <f t="shared" si="34"/>
        <v>1899</v>
      </c>
      <c r="E1483" s="490"/>
      <c r="F1483" s="30"/>
      <c r="G1483" s="30"/>
      <c r="H1483" s="288">
        <f t="shared" si="35"/>
        <v>0</v>
      </c>
      <c r="I1483" s="490"/>
      <c r="J1483" s="276"/>
      <c r="K1483" s="276"/>
      <c r="L1483" s="276"/>
      <c r="M1483" s="276"/>
      <c r="N1483" s="276"/>
      <c r="O1483" s="276"/>
      <c r="P1483" s="276"/>
      <c r="Q1483" s="276"/>
      <c r="R1483" s="276"/>
      <c r="S1483" s="276"/>
      <c r="T1483" s="276"/>
      <c r="U1483" s="276"/>
      <c r="V1483" s="276"/>
      <c r="W1483" s="276"/>
      <c r="X1483" s="276"/>
    </row>
    <row r="1484" ht="15.75" customHeight="1">
      <c r="A1484" s="403"/>
      <c r="B1484" s="284">
        <f t="shared" si="32"/>
        <v>30</v>
      </c>
      <c r="C1484" s="284">
        <f t="shared" si="33"/>
        <v>12</v>
      </c>
      <c r="D1484" s="284">
        <f t="shared" si="34"/>
        <v>1899</v>
      </c>
      <c r="E1484" s="490"/>
      <c r="F1484" s="30"/>
      <c r="G1484" s="30"/>
      <c r="H1484" s="288">
        <f t="shared" si="35"/>
        <v>0</v>
      </c>
      <c r="I1484" s="490"/>
      <c r="J1484" s="276"/>
      <c r="K1484" s="276"/>
      <c r="L1484" s="276"/>
      <c r="M1484" s="276"/>
      <c r="N1484" s="276"/>
      <c r="O1484" s="276"/>
      <c r="P1484" s="276"/>
      <c r="Q1484" s="276"/>
      <c r="R1484" s="276"/>
      <c r="S1484" s="276"/>
      <c r="T1484" s="276"/>
      <c r="U1484" s="276"/>
      <c r="V1484" s="276"/>
      <c r="W1484" s="276"/>
      <c r="X1484" s="276"/>
    </row>
    <row r="1485" ht="15.75" customHeight="1">
      <c r="A1485" s="403"/>
      <c r="B1485" s="284">
        <f t="shared" si="32"/>
        <v>30</v>
      </c>
      <c r="C1485" s="284">
        <f t="shared" si="33"/>
        <v>12</v>
      </c>
      <c r="D1485" s="284">
        <f t="shared" si="34"/>
        <v>1899</v>
      </c>
      <c r="E1485" s="490"/>
      <c r="F1485" s="30"/>
      <c r="G1485" s="30"/>
      <c r="H1485" s="288">
        <f t="shared" si="35"/>
        <v>0</v>
      </c>
      <c r="I1485" s="490"/>
      <c r="J1485" s="276"/>
      <c r="K1485" s="276"/>
      <c r="L1485" s="276"/>
      <c r="M1485" s="276"/>
      <c r="N1485" s="276"/>
      <c r="O1485" s="276"/>
      <c r="P1485" s="276"/>
      <c r="Q1485" s="276"/>
      <c r="R1485" s="276"/>
      <c r="S1485" s="276"/>
      <c r="T1485" s="276"/>
      <c r="U1485" s="276"/>
      <c r="V1485" s="276"/>
      <c r="W1485" s="276"/>
      <c r="X1485" s="276"/>
    </row>
    <row r="1486" ht="15.75" customHeight="1">
      <c r="A1486" s="403"/>
      <c r="B1486" s="284">
        <f t="shared" si="32"/>
        <v>30</v>
      </c>
      <c r="C1486" s="284">
        <f t="shared" si="33"/>
        <v>12</v>
      </c>
      <c r="D1486" s="284">
        <f t="shared" si="34"/>
        <v>1899</v>
      </c>
      <c r="E1486" s="490"/>
      <c r="F1486" s="30"/>
      <c r="G1486" s="30"/>
      <c r="H1486" s="288">
        <f t="shared" si="35"/>
        <v>0</v>
      </c>
      <c r="I1486" s="490"/>
      <c r="J1486" s="276"/>
      <c r="K1486" s="276"/>
      <c r="L1486" s="276"/>
      <c r="M1486" s="276"/>
      <c r="N1486" s="276"/>
      <c r="O1486" s="276"/>
      <c r="P1486" s="276"/>
      <c r="Q1486" s="276"/>
      <c r="R1486" s="276"/>
      <c r="S1486" s="276"/>
      <c r="T1486" s="276"/>
      <c r="U1486" s="276"/>
      <c r="V1486" s="276"/>
      <c r="W1486" s="276"/>
      <c r="X1486" s="276"/>
    </row>
    <row r="1487" ht="15.75" customHeight="1">
      <c r="A1487" s="403"/>
      <c r="B1487" s="284">
        <f t="shared" si="32"/>
        <v>30</v>
      </c>
      <c r="C1487" s="284">
        <f t="shared" si="33"/>
        <v>12</v>
      </c>
      <c r="D1487" s="284">
        <f t="shared" si="34"/>
        <v>1899</v>
      </c>
      <c r="E1487" s="490"/>
      <c r="F1487" s="30"/>
      <c r="G1487" s="30"/>
      <c r="H1487" s="288">
        <f t="shared" si="35"/>
        <v>0</v>
      </c>
      <c r="I1487" s="490"/>
      <c r="J1487" s="276"/>
      <c r="K1487" s="276"/>
      <c r="L1487" s="276"/>
      <c r="M1487" s="276"/>
      <c r="N1487" s="276"/>
      <c r="O1487" s="276"/>
      <c r="P1487" s="276"/>
      <c r="Q1487" s="276"/>
      <c r="R1487" s="276"/>
      <c r="S1487" s="276"/>
      <c r="T1487" s="276"/>
      <c r="U1487" s="276"/>
      <c r="V1487" s="276"/>
      <c r="W1487" s="276"/>
      <c r="X1487" s="276"/>
    </row>
    <row r="1488" ht="15.75" customHeight="1">
      <c r="A1488" s="403"/>
      <c r="B1488" s="284">
        <f t="shared" si="32"/>
        <v>30</v>
      </c>
      <c r="C1488" s="284">
        <f t="shared" si="33"/>
        <v>12</v>
      </c>
      <c r="D1488" s="284">
        <f t="shared" si="34"/>
        <v>1899</v>
      </c>
      <c r="E1488" s="490"/>
      <c r="F1488" s="30"/>
      <c r="G1488" s="30"/>
      <c r="H1488" s="288">
        <f t="shared" si="35"/>
        <v>0</v>
      </c>
      <c r="I1488" s="490"/>
      <c r="J1488" s="276"/>
      <c r="K1488" s="276"/>
      <c r="L1488" s="276"/>
      <c r="M1488" s="276"/>
      <c r="N1488" s="276"/>
      <c r="O1488" s="276"/>
      <c r="P1488" s="276"/>
      <c r="Q1488" s="276"/>
      <c r="R1488" s="276"/>
      <c r="S1488" s="276"/>
      <c r="T1488" s="276"/>
      <c r="U1488" s="276"/>
      <c r="V1488" s="276"/>
      <c r="W1488" s="276"/>
      <c r="X1488" s="276"/>
    </row>
    <row r="1489" ht="15.75" customHeight="1">
      <c r="A1489" s="403"/>
      <c r="B1489" s="284">
        <f t="shared" si="32"/>
        <v>30</v>
      </c>
      <c r="C1489" s="284">
        <f t="shared" si="33"/>
        <v>12</v>
      </c>
      <c r="D1489" s="284">
        <f t="shared" si="34"/>
        <v>1899</v>
      </c>
      <c r="E1489" s="490"/>
      <c r="F1489" s="30"/>
      <c r="G1489" s="30"/>
      <c r="H1489" s="288">
        <f t="shared" si="35"/>
        <v>0</v>
      </c>
      <c r="I1489" s="490"/>
      <c r="J1489" s="276"/>
      <c r="K1489" s="276"/>
      <c r="L1489" s="276"/>
      <c r="M1489" s="276"/>
      <c r="N1489" s="276"/>
      <c r="O1489" s="276"/>
      <c r="P1489" s="276"/>
      <c r="Q1489" s="276"/>
      <c r="R1489" s="276"/>
      <c r="S1489" s="276"/>
      <c r="T1489" s="276"/>
      <c r="U1489" s="276"/>
      <c r="V1489" s="276"/>
      <c r="W1489" s="276"/>
      <c r="X1489" s="276"/>
    </row>
    <row r="1490" ht="15.75" customHeight="1">
      <c r="A1490" s="403"/>
      <c r="B1490" s="284">
        <f t="shared" si="32"/>
        <v>30</v>
      </c>
      <c r="C1490" s="284">
        <f t="shared" si="33"/>
        <v>12</v>
      </c>
      <c r="D1490" s="284">
        <f t="shared" si="34"/>
        <v>1899</v>
      </c>
      <c r="E1490" s="490"/>
      <c r="F1490" s="30"/>
      <c r="G1490" s="30"/>
      <c r="H1490" s="288">
        <f t="shared" si="35"/>
        <v>0</v>
      </c>
      <c r="I1490" s="490"/>
      <c r="J1490" s="276"/>
      <c r="K1490" s="276"/>
      <c r="L1490" s="276"/>
      <c r="M1490" s="276"/>
      <c r="N1490" s="276"/>
      <c r="O1490" s="276"/>
      <c r="P1490" s="276"/>
      <c r="Q1490" s="276"/>
      <c r="R1490" s="276"/>
      <c r="S1490" s="276"/>
      <c r="T1490" s="276"/>
      <c r="U1490" s="276"/>
      <c r="V1490" s="276"/>
      <c r="W1490" s="276"/>
      <c r="X1490" s="276"/>
    </row>
    <row r="1491" ht="15.75" customHeight="1">
      <c r="A1491" s="403"/>
      <c r="B1491" s="284">
        <f t="shared" si="32"/>
        <v>30</v>
      </c>
      <c r="C1491" s="284">
        <f t="shared" si="33"/>
        <v>12</v>
      </c>
      <c r="D1491" s="284">
        <f t="shared" si="34"/>
        <v>1899</v>
      </c>
      <c r="E1491" s="490"/>
      <c r="F1491" s="30"/>
      <c r="G1491" s="30"/>
      <c r="H1491" s="288">
        <f t="shared" si="35"/>
        <v>0</v>
      </c>
      <c r="I1491" s="490"/>
      <c r="J1491" s="276"/>
      <c r="K1491" s="276"/>
      <c r="L1491" s="276"/>
      <c r="M1491" s="276"/>
      <c r="N1491" s="276"/>
      <c r="O1491" s="276"/>
      <c r="P1491" s="276"/>
      <c r="Q1491" s="276"/>
      <c r="R1491" s="276"/>
      <c r="S1491" s="276"/>
      <c r="T1491" s="276"/>
      <c r="U1491" s="276"/>
      <c r="V1491" s="276"/>
      <c r="W1491" s="276"/>
      <c r="X1491" s="276"/>
    </row>
    <row r="1492" ht="15.75" customHeight="1">
      <c r="A1492" s="403"/>
      <c r="B1492" s="284">
        <f t="shared" si="32"/>
        <v>30</v>
      </c>
      <c r="C1492" s="284">
        <f t="shared" si="33"/>
        <v>12</v>
      </c>
      <c r="D1492" s="284">
        <f t="shared" si="34"/>
        <v>1899</v>
      </c>
      <c r="E1492" s="490"/>
      <c r="F1492" s="30"/>
      <c r="G1492" s="30"/>
      <c r="H1492" s="288">
        <f t="shared" si="35"/>
        <v>0</v>
      </c>
      <c r="I1492" s="490"/>
      <c r="J1492" s="276"/>
      <c r="K1492" s="276"/>
      <c r="L1492" s="276"/>
      <c r="M1492" s="276"/>
      <c r="N1492" s="276"/>
      <c r="O1492" s="276"/>
      <c r="P1492" s="276"/>
      <c r="Q1492" s="276"/>
      <c r="R1492" s="276"/>
      <c r="S1492" s="276"/>
      <c r="T1492" s="276"/>
      <c r="U1492" s="276"/>
      <c r="V1492" s="276"/>
      <c r="W1492" s="276"/>
      <c r="X1492" s="276"/>
    </row>
    <row r="1493" ht="15.75" customHeight="1">
      <c r="A1493" s="403"/>
      <c r="B1493" s="284">
        <f t="shared" si="32"/>
        <v>30</v>
      </c>
      <c r="C1493" s="284">
        <f t="shared" si="33"/>
        <v>12</v>
      </c>
      <c r="D1493" s="284">
        <f t="shared" si="34"/>
        <v>1899</v>
      </c>
      <c r="E1493" s="490"/>
      <c r="F1493" s="30"/>
      <c r="G1493" s="30"/>
      <c r="H1493" s="288">
        <f t="shared" si="35"/>
        <v>0</v>
      </c>
      <c r="I1493" s="490"/>
      <c r="J1493" s="276"/>
      <c r="K1493" s="276"/>
      <c r="L1493" s="276"/>
      <c r="M1493" s="276"/>
      <c r="N1493" s="276"/>
      <c r="O1493" s="276"/>
      <c r="P1493" s="276"/>
      <c r="Q1493" s="276"/>
      <c r="R1493" s="276"/>
      <c r="S1493" s="276"/>
      <c r="T1493" s="276"/>
      <c r="U1493" s="276"/>
      <c r="V1493" s="276"/>
      <c r="W1493" s="276"/>
      <c r="X1493" s="276"/>
    </row>
    <row r="1494" ht="15.75" customHeight="1">
      <c r="A1494" s="403"/>
      <c r="B1494" s="284">
        <f t="shared" si="32"/>
        <v>30</v>
      </c>
      <c r="C1494" s="284">
        <f t="shared" si="33"/>
        <v>12</v>
      </c>
      <c r="D1494" s="284">
        <f t="shared" si="34"/>
        <v>1899</v>
      </c>
      <c r="E1494" s="490"/>
      <c r="F1494" s="30"/>
      <c r="G1494" s="30"/>
      <c r="H1494" s="288">
        <f t="shared" si="35"/>
        <v>0</v>
      </c>
      <c r="I1494" s="490"/>
      <c r="J1494" s="276"/>
      <c r="K1494" s="276"/>
      <c r="L1494" s="276"/>
      <c r="M1494" s="276"/>
      <c r="N1494" s="276"/>
      <c r="O1494" s="276"/>
      <c r="P1494" s="276"/>
      <c r="Q1494" s="276"/>
      <c r="R1494" s="276"/>
      <c r="S1494" s="276"/>
      <c r="T1494" s="276"/>
      <c r="U1494" s="276"/>
      <c r="V1494" s="276"/>
      <c r="W1494" s="276"/>
      <c r="X1494" s="276"/>
    </row>
    <row r="1495" ht="15.75" customHeight="1">
      <c r="A1495" s="403"/>
      <c r="B1495" s="284">
        <f t="shared" si="32"/>
        <v>30</v>
      </c>
      <c r="C1495" s="284">
        <f t="shared" si="33"/>
        <v>12</v>
      </c>
      <c r="D1495" s="284">
        <f t="shared" si="34"/>
        <v>1899</v>
      </c>
      <c r="E1495" s="490"/>
      <c r="F1495" s="30"/>
      <c r="G1495" s="30"/>
      <c r="H1495" s="288">
        <f t="shared" si="35"/>
        <v>0</v>
      </c>
      <c r="I1495" s="490"/>
      <c r="J1495" s="276"/>
      <c r="K1495" s="276"/>
      <c r="L1495" s="276"/>
      <c r="M1495" s="276"/>
      <c r="N1495" s="276"/>
      <c r="O1495" s="276"/>
      <c r="P1495" s="276"/>
      <c r="Q1495" s="276"/>
      <c r="R1495" s="276"/>
      <c r="S1495" s="276"/>
      <c r="T1495" s="276"/>
      <c r="U1495" s="276"/>
      <c r="V1495" s="276"/>
      <c r="W1495" s="276"/>
      <c r="X1495" s="276"/>
    </row>
    <row r="1496" ht="15.75" customHeight="1">
      <c r="A1496" s="403"/>
      <c r="B1496" s="284">
        <f t="shared" si="32"/>
        <v>30</v>
      </c>
      <c r="C1496" s="284">
        <f t="shared" si="33"/>
        <v>12</v>
      </c>
      <c r="D1496" s="284">
        <f t="shared" si="34"/>
        <v>1899</v>
      </c>
      <c r="E1496" s="490"/>
      <c r="F1496" s="30"/>
      <c r="G1496" s="30"/>
      <c r="H1496" s="288">
        <f t="shared" si="35"/>
        <v>0</v>
      </c>
      <c r="I1496" s="490"/>
      <c r="J1496" s="276"/>
      <c r="K1496" s="276"/>
      <c r="L1496" s="276"/>
      <c r="M1496" s="276"/>
      <c r="N1496" s="276"/>
      <c r="O1496" s="276"/>
      <c r="P1496" s="276"/>
      <c r="Q1496" s="276"/>
      <c r="R1496" s="276"/>
      <c r="S1496" s="276"/>
      <c r="T1496" s="276"/>
      <c r="U1496" s="276"/>
      <c r="V1496" s="276"/>
      <c r="W1496" s="276"/>
      <c r="X1496" s="276"/>
    </row>
    <row r="1497" ht="15.75" customHeight="1">
      <c r="A1497" s="403"/>
      <c r="B1497" s="284">
        <f t="shared" si="32"/>
        <v>30</v>
      </c>
      <c r="C1497" s="284">
        <f t="shared" si="33"/>
        <v>12</v>
      </c>
      <c r="D1497" s="284">
        <f t="shared" si="34"/>
        <v>1899</v>
      </c>
      <c r="E1497" s="490"/>
      <c r="F1497" s="30"/>
      <c r="G1497" s="30"/>
      <c r="H1497" s="288">
        <f t="shared" si="35"/>
        <v>0</v>
      </c>
      <c r="I1497" s="490"/>
      <c r="J1497" s="276"/>
      <c r="K1497" s="276"/>
      <c r="L1497" s="276"/>
      <c r="M1497" s="276"/>
      <c r="N1497" s="276"/>
      <c r="O1497" s="276"/>
      <c r="P1497" s="276"/>
      <c r="Q1497" s="276"/>
      <c r="R1497" s="276"/>
      <c r="S1497" s="276"/>
      <c r="T1497" s="276"/>
      <c r="U1497" s="276"/>
      <c r="V1497" s="276"/>
      <c r="W1497" s="276"/>
      <c r="X1497" s="276"/>
    </row>
    <row r="1498" ht="15.75" customHeight="1">
      <c r="A1498" s="403"/>
      <c r="B1498" s="284">
        <f t="shared" si="32"/>
        <v>30</v>
      </c>
      <c r="C1498" s="284">
        <f t="shared" si="33"/>
        <v>12</v>
      </c>
      <c r="D1498" s="284">
        <f t="shared" si="34"/>
        <v>1899</v>
      </c>
      <c r="E1498" s="490"/>
      <c r="F1498" s="30"/>
      <c r="G1498" s="30"/>
      <c r="H1498" s="288">
        <f t="shared" si="35"/>
        <v>0</v>
      </c>
      <c r="I1498" s="490"/>
      <c r="J1498" s="276"/>
      <c r="K1498" s="276"/>
      <c r="L1498" s="276"/>
      <c r="M1498" s="276"/>
      <c r="N1498" s="276"/>
      <c r="O1498" s="276"/>
      <c r="P1498" s="276"/>
      <c r="Q1498" s="276"/>
      <c r="R1498" s="276"/>
      <c r="S1498" s="276"/>
      <c r="T1498" s="276"/>
      <c r="U1498" s="276"/>
      <c r="V1498" s="276"/>
      <c r="W1498" s="276"/>
      <c r="X1498" s="276"/>
    </row>
    <row r="1499" ht="15.75" customHeight="1">
      <c r="A1499" s="403"/>
      <c r="B1499" s="284">
        <f t="shared" si="32"/>
        <v>30</v>
      </c>
      <c r="C1499" s="284">
        <f t="shared" si="33"/>
        <v>12</v>
      </c>
      <c r="D1499" s="284">
        <f t="shared" si="34"/>
        <v>1899</v>
      </c>
      <c r="E1499" s="490"/>
      <c r="F1499" s="30"/>
      <c r="G1499" s="30"/>
      <c r="H1499" s="288">
        <f t="shared" si="35"/>
        <v>0</v>
      </c>
      <c r="I1499" s="490"/>
      <c r="J1499" s="276"/>
      <c r="K1499" s="276"/>
      <c r="L1499" s="276"/>
      <c r="M1499" s="276"/>
      <c r="N1499" s="276"/>
      <c r="O1499" s="276"/>
      <c r="P1499" s="276"/>
      <c r="Q1499" s="276"/>
      <c r="R1499" s="276"/>
      <c r="S1499" s="276"/>
      <c r="T1499" s="276"/>
      <c r="U1499" s="276"/>
      <c r="V1499" s="276"/>
      <c r="W1499" s="276"/>
      <c r="X1499" s="276"/>
    </row>
    <row r="1500" ht="15.75" customHeight="1">
      <c r="A1500" s="403"/>
      <c r="B1500" s="284">
        <f t="shared" si="32"/>
        <v>30</v>
      </c>
      <c r="C1500" s="284">
        <f t="shared" si="33"/>
        <v>12</v>
      </c>
      <c r="D1500" s="284">
        <f t="shared" si="34"/>
        <v>1899</v>
      </c>
      <c r="E1500" s="490"/>
      <c r="F1500" s="30"/>
      <c r="G1500" s="30"/>
      <c r="H1500" s="288">
        <f t="shared" si="35"/>
        <v>0</v>
      </c>
      <c r="I1500" s="490"/>
      <c r="J1500" s="276"/>
      <c r="K1500" s="276"/>
      <c r="L1500" s="276"/>
      <c r="M1500" s="276"/>
      <c r="N1500" s="276"/>
      <c r="O1500" s="276"/>
      <c r="P1500" s="276"/>
      <c r="Q1500" s="276"/>
      <c r="R1500" s="276"/>
      <c r="S1500" s="276"/>
      <c r="T1500" s="276"/>
      <c r="U1500" s="276"/>
      <c r="V1500" s="276"/>
      <c r="W1500" s="276"/>
      <c r="X1500" s="276"/>
    </row>
    <row r="1501" ht="15.75" customHeight="1">
      <c r="A1501" s="403"/>
      <c r="B1501" s="284">
        <f t="shared" si="32"/>
        <v>30</v>
      </c>
      <c r="C1501" s="284">
        <f t="shared" si="33"/>
        <v>12</v>
      </c>
      <c r="D1501" s="284">
        <f t="shared" si="34"/>
        <v>1899</v>
      </c>
      <c r="E1501" s="490"/>
      <c r="F1501" s="30"/>
      <c r="G1501" s="30"/>
      <c r="H1501" s="288">
        <f t="shared" si="35"/>
        <v>0</v>
      </c>
      <c r="I1501" s="490"/>
      <c r="J1501" s="276"/>
      <c r="K1501" s="276"/>
      <c r="L1501" s="276"/>
      <c r="M1501" s="276"/>
      <c r="N1501" s="276"/>
      <c r="O1501" s="276"/>
      <c r="P1501" s="276"/>
      <c r="Q1501" s="276"/>
      <c r="R1501" s="276"/>
      <c r="S1501" s="276"/>
      <c r="T1501" s="276"/>
      <c r="U1501" s="276"/>
      <c r="V1501" s="276"/>
      <c r="W1501" s="276"/>
      <c r="X1501" s="276"/>
    </row>
    <row r="1502" ht="15.75" customHeight="1">
      <c r="A1502" s="403"/>
      <c r="B1502" s="284">
        <f t="shared" si="32"/>
        <v>30</v>
      </c>
      <c r="C1502" s="284">
        <f t="shared" si="33"/>
        <v>12</v>
      </c>
      <c r="D1502" s="284">
        <f t="shared" si="34"/>
        <v>1899</v>
      </c>
      <c r="E1502" s="490"/>
      <c r="F1502" s="30"/>
      <c r="G1502" s="30"/>
      <c r="H1502" s="288">
        <f t="shared" si="35"/>
        <v>0</v>
      </c>
      <c r="I1502" s="490"/>
      <c r="J1502" s="276"/>
      <c r="K1502" s="276"/>
      <c r="L1502" s="276"/>
      <c r="M1502" s="276"/>
      <c r="N1502" s="276"/>
      <c r="O1502" s="276"/>
      <c r="P1502" s="276"/>
      <c r="Q1502" s="276"/>
      <c r="R1502" s="276"/>
      <c r="S1502" s="276"/>
      <c r="T1502" s="276"/>
      <c r="U1502" s="276"/>
      <c r="V1502" s="276"/>
      <c r="W1502" s="276"/>
      <c r="X1502" s="276"/>
    </row>
    <row r="1503" ht="15.75" customHeight="1">
      <c r="A1503" s="403"/>
      <c r="B1503" s="284">
        <f t="shared" si="32"/>
        <v>30</v>
      </c>
      <c r="C1503" s="284">
        <f t="shared" si="33"/>
        <v>12</v>
      </c>
      <c r="D1503" s="284">
        <f t="shared" si="34"/>
        <v>1899</v>
      </c>
      <c r="E1503" s="490"/>
      <c r="F1503" s="30"/>
      <c r="G1503" s="30"/>
      <c r="H1503" s="288">
        <f t="shared" si="35"/>
        <v>0</v>
      </c>
      <c r="I1503" s="490"/>
      <c r="J1503" s="276"/>
      <c r="K1503" s="276"/>
      <c r="L1503" s="276"/>
      <c r="M1503" s="276"/>
      <c r="N1503" s="276"/>
      <c r="O1503" s="276"/>
      <c r="P1503" s="276"/>
      <c r="Q1503" s="276"/>
      <c r="R1503" s="276"/>
      <c r="S1503" s="276"/>
      <c r="T1503" s="276"/>
      <c r="U1503" s="276"/>
      <c r="V1503" s="276"/>
      <c r="W1503" s="276"/>
      <c r="X1503" s="276"/>
    </row>
    <row r="1504" ht="15.75" customHeight="1">
      <c r="A1504" s="403"/>
      <c r="B1504" s="284">
        <f t="shared" si="32"/>
        <v>30</v>
      </c>
      <c r="C1504" s="284">
        <f t="shared" si="33"/>
        <v>12</v>
      </c>
      <c r="D1504" s="284">
        <f t="shared" si="34"/>
        <v>1899</v>
      </c>
      <c r="E1504" s="490"/>
      <c r="F1504" s="30"/>
      <c r="G1504" s="30"/>
      <c r="H1504" s="288">
        <f t="shared" si="35"/>
        <v>0</v>
      </c>
      <c r="I1504" s="490"/>
      <c r="J1504" s="276"/>
      <c r="K1504" s="276"/>
      <c r="L1504" s="276"/>
      <c r="M1504" s="276"/>
      <c r="N1504" s="276"/>
      <c r="O1504" s="276"/>
      <c r="P1504" s="276"/>
      <c r="Q1504" s="276"/>
      <c r="R1504" s="276"/>
      <c r="S1504" s="276"/>
      <c r="T1504" s="276"/>
      <c r="U1504" s="276"/>
      <c r="V1504" s="276"/>
      <c r="W1504" s="276"/>
      <c r="X1504" s="276"/>
    </row>
    <row r="1505" ht="15.75" customHeight="1">
      <c r="A1505" s="403"/>
      <c r="B1505" s="284">
        <f t="shared" si="32"/>
        <v>30</v>
      </c>
      <c r="C1505" s="284">
        <f t="shared" si="33"/>
        <v>12</v>
      </c>
      <c r="D1505" s="284">
        <f t="shared" si="34"/>
        <v>1899</v>
      </c>
      <c r="E1505" s="490"/>
      <c r="F1505" s="30"/>
      <c r="G1505" s="30"/>
      <c r="H1505" s="288">
        <f t="shared" si="35"/>
        <v>0</v>
      </c>
      <c r="I1505" s="490"/>
      <c r="J1505" s="276"/>
      <c r="K1505" s="276"/>
      <c r="L1505" s="276"/>
      <c r="M1505" s="276"/>
      <c r="N1505" s="276"/>
      <c r="O1505" s="276"/>
      <c r="P1505" s="276"/>
      <c r="Q1505" s="276"/>
      <c r="R1505" s="276"/>
      <c r="S1505" s="276"/>
      <c r="T1505" s="276"/>
      <c r="U1505" s="276"/>
      <c r="V1505" s="276"/>
      <c r="W1505" s="276"/>
      <c r="X1505" s="276"/>
    </row>
    <row r="1506" ht="15.75" customHeight="1">
      <c r="A1506" s="403"/>
      <c r="B1506" s="284">
        <f t="shared" si="32"/>
        <v>30</v>
      </c>
      <c r="C1506" s="284">
        <f t="shared" si="33"/>
        <v>12</v>
      </c>
      <c r="D1506" s="284">
        <f t="shared" si="34"/>
        <v>1899</v>
      </c>
      <c r="E1506" s="490"/>
      <c r="F1506" s="30"/>
      <c r="G1506" s="30"/>
      <c r="H1506" s="288">
        <f t="shared" si="35"/>
        <v>0</v>
      </c>
      <c r="I1506" s="490"/>
      <c r="J1506" s="276"/>
      <c r="K1506" s="276"/>
      <c r="L1506" s="276"/>
      <c r="M1506" s="276"/>
      <c r="N1506" s="276"/>
      <c r="O1506" s="276"/>
      <c r="P1506" s="276"/>
      <c r="Q1506" s="276"/>
      <c r="R1506" s="276"/>
      <c r="S1506" s="276"/>
      <c r="T1506" s="276"/>
      <c r="U1506" s="276"/>
      <c r="V1506" s="276"/>
      <c r="W1506" s="276"/>
      <c r="X1506" s="276"/>
    </row>
    <row r="1507" ht="15.75" customHeight="1">
      <c r="A1507" s="403"/>
      <c r="B1507" s="284">
        <f t="shared" si="32"/>
        <v>30</v>
      </c>
      <c r="C1507" s="284">
        <f t="shared" si="33"/>
        <v>12</v>
      </c>
      <c r="D1507" s="284">
        <f t="shared" si="34"/>
        <v>1899</v>
      </c>
      <c r="E1507" s="490"/>
      <c r="F1507" s="30"/>
      <c r="G1507" s="30"/>
      <c r="H1507" s="288">
        <f t="shared" si="35"/>
        <v>0</v>
      </c>
      <c r="I1507" s="490"/>
      <c r="J1507" s="276"/>
      <c r="K1507" s="276"/>
      <c r="L1507" s="276"/>
      <c r="M1507" s="276"/>
      <c r="N1507" s="276"/>
      <c r="O1507" s="276"/>
      <c r="P1507" s="276"/>
      <c r="Q1507" s="276"/>
      <c r="R1507" s="276"/>
      <c r="S1507" s="276"/>
      <c r="T1507" s="276"/>
      <c r="U1507" s="276"/>
      <c r="V1507" s="276"/>
      <c r="W1507" s="276"/>
      <c r="X1507" s="276"/>
    </row>
    <row r="1508" ht="15.75" customHeight="1">
      <c r="A1508" s="403"/>
      <c r="B1508" s="284">
        <f t="shared" si="32"/>
        <v>30</v>
      </c>
      <c r="C1508" s="284">
        <f t="shared" si="33"/>
        <v>12</v>
      </c>
      <c r="D1508" s="284">
        <f t="shared" si="34"/>
        <v>1899</v>
      </c>
      <c r="E1508" s="490"/>
      <c r="F1508" s="30"/>
      <c r="G1508" s="30"/>
      <c r="H1508" s="288">
        <f t="shared" si="35"/>
        <v>0</v>
      </c>
      <c r="I1508" s="490"/>
      <c r="J1508" s="276"/>
      <c r="K1508" s="276"/>
      <c r="L1508" s="276"/>
      <c r="M1508" s="276"/>
      <c r="N1508" s="276"/>
      <c r="O1508" s="276"/>
      <c r="P1508" s="276"/>
      <c r="Q1508" s="276"/>
      <c r="R1508" s="276"/>
      <c r="S1508" s="276"/>
      <c r="T1508" s="276"/>
      <c r="U1508" s="276"/>
      <c r="V1508" s="276"/>
      <c r="W1508" s="276"/>
      <c r="X1508" s="276"/>
    </row>
    <row r="1509" ht="15.75" customHeight="1">
      <c r="A1509" s="403"/>
      <c r="B1509" s="284">
        <f t="shared" si="32"/>
        <v>30</v>
      </c>
      <c r="C1509" s="284">
        <f t="shared" si="33"/>
        <v>12</v>
      </c>
      <c r="D1509" s="284">
        <f t="shared" si="34"/>
        <v>1899</v>
      </c>
      <c r="E1509" s="490"/>
      <c r="F1509" s="30"/>
      <c r="G1509" s="30"/>
      <c r="H1509" s="288">
        <f t="shared" si="35"/>
        <v>0</v>
      </c>
      <c r="I1509" s="490"/>
      <c r="J1509" s="276"/>
      <c r="K1509" s="276"/>
      <c r="L1509" s="276"/>
      <c r="M1509" s="276"/>
      <c r="N1509" s="276"/>
      <c r="O1509" s="276"/>
      <c r="P1509" s="276"/>
      <c r="Q1509" s="276"/>
      <c r="R1509" s="276"/>
      <c r="S1509" s="276"/>
      <c r="T1509" s="276"/>
      <c r="U1509" s="276"/>
      <c r="V1509" s="276"/>
      <c r="W1509" s="276"/>
      <c r="X1509" s="276"/>
    </row>
    <row r="1510" ht="15.75" customHeight="1">
      <c r="A1510" s="403"/>
      <c r="B1510" s="284">
        <f t="shared" si="32"/>
        <v>30</v>
      </c>
      <c r="C1510" s="284">
        <f t="shared" si="33"/>
        <v>12</v>
      </c>
      <c r="D1510" s="284">
        <f t="shared" si="34"/>
        <v>1899</v>
      </c>
      <c r="E1510" s="490"/>
      <c r="F1510" s="30"/>
      <c r="G1510" s="30"/>
      <c r="H1510" s="288">
        <f t="shared" si="35"/>
        <v>0</v>
      </c>
      <c r="I1510" s="490"/>
      <c r="J1510" s="276"/>
      <c r="K1510" s="276"/>
      <c r="L1510" s="276"/>
      <c r="M1510" s="276"/>
      <c r="N1510" s="276"/>
      <c r="O1510" s="276"/>
      <c r="P1510" s="276"/>
      <c r="Q1510" s="276"/>
      <c r="R1510" s="276"/>
      <c r="S1510" s="276"/>
      <c r="T1510" s="276"/>
      <c r="U1510" s="276"/>
      <c r="V1510" s="276"/>
      <c r="W1510" s="276"/>
      <c r="X1510" s="276"/>
    </row>
    <row r="1511" ht="15.75" customHeight="1">
      <c r="A1511" s="403"/>
      <c r="B1511" s="284">
        <f t="shared" si="32"/>
        <v>30</v>
      </c>
      <c r="C1511" s="284">
        <f t="shared" si="33"/>
        <v>12</v>
      </c>
      <c r="D1511" s="284">
        <f t="shared" si="34"/>
        <v>1899</v>
      </c>
      <c r="E1511" s="490"/>
      <c r="F1511" s="30"/>
      <c r="G1511" s="30"/>
      <c r="H1511" s="288">
        <f t="shared" si="35"/>
        <v>0</v>
      </c>
      <c r="I1511" s="490"/>
      <c r="J1511" s="276"/>
      <c r="K1511" s="276"/>
      <c r="L1511" s="276"/>
      <c r="M1511" s="276"/>
      <c r="N1511" s="276"/>
      <c r="O1511" s="276"/>
      <c r="P1511" s="276"/>
      <c r="Q1511" s="276"/>
      <c r="R1511" s="276"/>
      <c r="S1511" s="276"/>
      <c r="T1511" s="276"/>
      <c r="U1511" s="276"/>
      <c r="V1511" s="276"/>
      <c r="W1511" s="276"/>
      <c r="X1511" s="276"/>
    </row>
    <row r="1512" ht="15.75" customHeight="1">
      <c r="A1512" s="403"/>
      <c r="B1512" s="284">
        <f t="shared" si="32"/>
        <v>30</v>
      </c>
      <c r="C1512" s="284">
        <f t="shared" si="33"/>
        <v>12</v>
      </c>
      <c r="D1512" s="284">
        <f t="shared" si="34"/>
        <v>1899</v>
      </c>
      <c r="E1512" s="490"/>
      <c r="F1512" s="30"/>
      <c r="G1512" s="30"/>
      <c r="H1512" s="288">
        <f t="shared" si="35"/>
        <v>0</v>
      </c>
      <c r="I1512" s="490"/>
      <c r="J1512" s="276"/>
      <c r="K1512" s="276"/>
      <c r="L1512" s="276"/>
      <c r="M1512" s="276"/>
      <c r="N1512" s="276"/>
      <c r="O1512" s="276"/>
      <c r="P1512" s="276"/>
      <c r="Q1512" s="276"/>
      <c r="R1512" s="276"/>
      <c r="S1512" s="276"/>
      <c r="T1512" s="276"/>
      <c r="U1512" s="276"/>
      <c r="V1512" s="276"/>
      <c r="W1512" s="276"/>
      <c r="X1512" s="276"/>
    </row>
    <row r="1513" ht="15.75" customHeight="1">
      <c r="A1513" s="403"/>
      <c r="B1513" s="284">
        <f t="shared" si="32"/>
        <v>30</v>
      </c>
      <c r="C1513" s="284">
        <f t="shared" si="33"/>
        <v>12</v>
      </c>
      <c r="D1513" s="284">
        <f t="shared" si="34"/>
        <v>1899</v>
      </c>
      <c r="E1513" s="490"/>
      <c r="F1513" s="30"/>
      <c r="G1513" s="30"/>
      <c r="H1513" s="288">
        <f t="shared" si="35"/>
        <v>0</v>
      </c>
      <c r="I1513" s="490"/>
      <c r="J1513" s="276"/>
      <c r="K1513" s="276"/>
      <c r="L1513" s="276"/>
      <c r="M1513" s="276"/>
      <c r="N1513" s="276"/>
      <c r="O1513" s="276"/>
      <c r="P1513" s="276"/>
      <c r="Q1513" s="276"/>
      <c r="R1513" s="276"/>
      <c r="S1513" s="276"/>
      <c r="T1513" s="276"/>
      <c r="U1513" s="276"/>
      <c r="V1513" s="276"/>
      <c r="W1513" s="276"/>
      <c r="X1513" s="276"/>
    </row>
    <row r="1514" ht="15.75" customHeight="1">
      <c r="A1514" s="403"/>
      <c r="B1514" s="284">
        <f t="shared" si="32"/>
        <v>30</v>
      </c>
      <c r="C1514" s="284">
        <f t="shared" si="33"/>
        <v>12</v>
      </c>
      <c r="D1514" s="284">
        <f t="shared" si="34"/>
        <v>1899</v>
      </c>
      <c r="E1514" s="490"/>
      <c r="F1514" s="30"/>
      <c r="G1514" s="30"/>
      <c r="H1514" s="288">
        <f t="shared" si="35"/>
        <v>0</v>
      </c>
      <c r="I1514" s="490"/>
      <c r="J1514" s="276"/>
      <c r="K1514" s="276"/>
      <c r="L1514" s="276"/>
      <c r="M1514" s="276"/>
      <c r="N1514" s="276"/>
      <c r="O1514" s="276"/>
      <c r="P1514" s="276"/>
      <c r="Q1514" s="276"/>
      <c r="R1514" s="276"/>
      <c r="S1514" s="276"/>
      <c r="T1514" s="276"/>
      <c r="U1514" s="276"/>
      <c r="V1514" s="276"/>
      <c r="W1514" s="276"/>
      <c r="X1514" s="276"/>
    </row>
    <row r="1515" ht="15.75" customHeight="1">
      <c r="A1515" s="403"/>
      <c r="B1515" s="284">
        <f t="shared" si="32"/>
        <v>30</v>
      </c>
      <c r="C1515" s="284">
        <f t="shared" si="33"/>
        <v>12</v>
      </c>
      <c r="D1515" s="284">
        <f t="shared" si="34"/>
        <v>1899</v>
      </c>
      <c r="E1515" s="490"/>
      <c r="F1515" s="30"/>
      <c r="G1515" s="30"/>
      <c r="H1515" s="288">
        <f t="shared" si="35"/>
        <v>0</v>
      </c>
      <c r="I1515" s="490"/>
      <c r="J1515" s="276"/>
      <c r="K1515" s="276"/>
      <c r="L1515" s="276"/>
      <c r="M1515" s="276"/>
      <c r="N1515" s="276"/>
      <c r="O1515" s="276"/>
      <c r="P1515" s="276"/>
      <c r="Q1515" s="276"/>
      <c r="R1515" s="276"/>
      <c r="S1515" s="276"/>
      <c r="T1515" s="276"/>
      <c r="U1515" s="276"/>
      <c r="V1515" s="276"/>
      <c r="W1515" s="276"/>
      <c r="X1515" s="276"/>
    </row>
    <row r="1516" ht="15.75" customHeight="1">
      <c r="A1516" s="403"/>
      <c r="B1516" s="284">
        <f t="shared" si="32"/>
        <v>30</v>
      </c>
      <c r="C1516" s="284">
        <f t="shared" si="33"/>
        <v>12</v>
      </c>
      <c r="D1516" s="284">
        <f t="shared" si="34"/>
        <v>1899</v>
      </c>
      <c r="E1516" s="490"/>
      <c r="F1516" s="30"/>
      <c r="G1516" s="30"/>
      <c r="H1516" s="288">
        <f t="shared" si="35"/>
        <v>0</v>
      </c>
      <c r="I1516" s="490"/>
      <c r="J1516" s="276"/>
      <c r="K1516" s="276"/>
      <c r="L1516" s="276"/>
      <c r="M1516" s="276"/>
      <c r="N1516" s="276"/>
      <c r="O1516" s="276"/>
      <c r="P1516" s="276"/>
      <c r="Q1516" s="276"/>
      <c r="R1516" s="276"/>
      <c r="S1516" s="276"/>
      <c r="T1516" s="276"/>
      <c r="U1516" s="276"/>
      <c r="V1516" s="276"/>
      <c r="W1516" s="276"/>
      <c r="X1516" s="276"/>
    </row>
    <row r="1517" ht="15.75" customHeight="1">
      <c r="A1517" s="403"/>
      <c r="B1517" s="284">
        <f t="shared" si="32"/>
        <v>30</v>
      </c>
      <c r="C1517" s="284">
        <f t="shared" si="33"/>
        <v>12</v>
      </c>
      <c r="D1517" s="284">
        <f t="shared" si="34"/>
        <v>1899</v>
      </c>
      <c r="E1517" s="490"/>
      <c r="F1517" s="30"/>
      <c r="G1517" s="30"/>
      <c r="H1517" s="288">
        <f t="shared" si="35"/>
        <v>0</v>
      </c>
      <c r="I1517" s="490"/>
      <c r="J1517" s="276"/>
      <c r="K1517" s="276"/>
      <c r="L1517" s="276"/>
      <c r="M1517" s="276"/>
      <c r="N1517" s="276"/>
      <c r="O1517" s="276"/>
      <c r="P1517" s="276"/>
      <c r="Q1517" s="276"/>
      <c r="R1517" s="276"/>
      <c r="S1517" s="276"/>
      <c r="T1517" s="276"/>
      <c r="U1517" s="276"/>
      <c r="V1517" s="276"/>
      <c r="W1517" s="276"/>
      <c r="X1517" s="276"/>
    </row>
    <row r="1518" ht="15.75" customHeight="1">
      <c r="A1518" s="403"/>
      <c r="B1518" s="284">
        <f t="shared" si="32"/>
        <v>30</v>
      </c>
      <c r="C1518" s="284">
        <f t="shared" si="33"/>
        <v>12</v>
      </c>
      <c r="D1518" s="284">
        <f t="shared" si="34"/>
        <v>1899</v>
      </c>
      <c r="E1518" s="490"/>
      <c r="F1518" s="30"/>
      <c r="G1518" s="30"/>
      <c r="H1518" s="288">
        <f t="shared" si="35"/>
        <v>0</v>
      </c>
      <c r="I1518" s="490"/>
      <c r="J1518" s="276"/>
      <c r="K1518" s="276"/>
      <c r="L1518" s="276"/>
      <c r="M1518" s="276"/>
      <c r="N1518" s="276"/>
      <c r="O1518" s="276"/>
      <c r="P1518" s="276"/>
      <c r="Q1518" s="276"/>
      <c r="R1518" s="276"/>
      <c r="S1518" s="276"/>
      <c r="T1518" s="276"/>
      <c r="U1518" s="276"/>
      <c r="V1518" s="276"/>
      <c r="W1518" s="276"/>
      <c r="X1518" s="276"/>
    </row>
    <row r="1519" ht="15.75" customHeight="1">
      <c r="A1519" s="403"/>
      <c r="B1519" s="284">
        <f t="shared" si="32"/>
        <v>30</v>
      </c>
      <c r="C1519" s="284">
        <f t="shared" si="33"/>
        <v>12</v>
      </c>
      <c r="D1519" s="284">
        <f t="shared" si="34"/>
        <v>1899</v>
      </c>
      <c r="E1519" s="490"/>
      <c r="F1519" s="30"/>
      <c r="G1519" s="30"/>
      <c r="H1519" s="288">
        <f t="shared" si="35"/>
        <v>0</v>
      </c>
      <c r="I1519" s="490"/>
      <c r="J1519" s="276"/>
      <c r="K1519" s="276"/>
      <c r="L1519" s="276"/>
      <c r="M1519" s="276"/>
      <c r="N1519" s="276"/>
      <c r="O1519" s="276"/>
      <c r="P1519" s="276"/>
      <c r="Q1519" s="276"/>
      <c r="R1519" s="276"/>
      <c r="S1519" s="276"/>
      <c r="T1519" s="276"/>
      <c r="U1519" s="276"/>
      <c r="V1519" s="276"/>
      <c r="W1519" s="276"/>
      <c r="X1519" s="276"/>
    </row>
    <row r="1520" ht="15.75" customHeight="1">
      <c r="A1520" s="403"/>
      <c r="B1520" s="284">
        <f t="shared" si="32"/>
        <v>30</v>
      </c>
      <c r="C1520" s="284">
        <f t="shared" si="33"/>
        <v>12</v>
      </c>
      <c r="D1520" s="284">
        <f t="shared" si="34"/>
        <v>1899</v>
      </c>
      <c r="E1520" s="490"/>
      <c r="F1520" s="30"/>
      <c r="G1520" s="30"/>
      <c r="H1520" s="288">
        <f t="shared" si="35"/>
        <v>0</v>
      </c>
      <c r="I1520" s="490"/>
      <c r="J1520" s="276"/>
      <c r="K1520" s="276"/>
      <c r="L1520" s="276"/>
      <c r="M1520" s="276"/>
      <c r="N1520" s="276"/>
      <c r="O1520" s="276"/>
      <c r="P1520" s="276"/>
      <c r="Q1520" s="276"/>
      <c r="R1520" s="276"/>
      <c r="S1520" s="276"/>
      <c r="T1520" s="276"/>
      <c r="U1520" s="276"/>
      <c r="V1520" s="276"/>
      <c r="W1520" s="276"/>
      <c r="X1520" s="276"/>
    </row>
    <row r="1521" ht="15.75" customHeight="1">
      <c r="A1521" s="403"/>
      <c r="B1521" s="284">
        <f t="shared" si="32"/>
        <v>30</v>
      </c>
      <c r="C1521" s="284">
        <f t="shared" si="33"/>
        <v>12</v>
      </c>
      <c r="D1521" s="284">
        <f t="shared" si="34"/>
        <v>1899</v>
      </c>
      <c r="E1521" s="490"/>
      <c r="F1521" s="30"/>
      <c r="G1521" s="30"/>
      <c r="H1521" s="288">
        <f t="shared" si="35"/>
        <v>0</v>
      </c>
      <c r="I1521" s="490"/>
      <c r="J1521" s="276"/>
      <c r="K1521" s="276"/>
      <c r="L1521" s="276"/>
      <c r="M1521" s="276"/>
      <c r="N1521" s="276"/>
      <c r="O1521" s="276"/>
      <c r="P1521" s="276"/>
      <c r="Q1521" s="276"/>
      <c r="R1521" s="276"/>
      <c r="S1521" s="276"/>
      <c r="T1521" s="276"/>
      <c r="U1521" s="276"/>
      <c r="V1521" s="276"/>
      <c r="W1521" s="276"/>
      <c r="X1521" s="276"/>
    </row>
    <row r="1522" ht="15.75" customHeight="1">
      <c r="A1522" s="403"/>
      <c r="B1522" s="284">
        <f t="shared" si="32"/>
        <v>30</v>
      </c>
      <c r="C1522" s="284">
        <f t="shared" si="33"/>
        <v>12</v>
      </c>
      <c r="D1522" s="284">
        <f t="shared" si="34"/>
        <v>1899</v>
      </c>
      <c r="E1522" s="490"/>
      <c r="F1522" s="30"/>
      <c r="G1522" s="30"/>
      <c r="H1522" s="288">
        <f t="shared" si="35"/>
        <v>0</v>
      </c>
      <c r="I1522" s="490"/>
      <c r="J1522" s="276"/>
      <c r="K1522" s="276"/>
      <c r="L1522" s="276"/>
      <c r="M1522" s="276"/>
      <c r="N1522" s="276"/>
      <c r="O1522" s="276"/>
      <c r="P1522" s="276"/>
      <c r="Q1522" s="276"/>
      <c r="R1522" s="276"/>
      <c r="S1522" s="276"/>
      <c r="T1522" s="276"/>
      <c r="U1522" s="276"/>
      <c r="V1522" s="276"/>
      <c r="W1522" s="276"/>
      <c r="X1522" s="276"/>
    </row>
    <row r="1523" ht="15.75" customHeight="1">
      <c r="A1523" s="403"/>
      <c r="B1523" s="284">
        <f t="shared" si="32"/>
        <v>30</v>
      </c>
      <c r="C1523" s="284">
        <f t="shared" si="33"/>
        <v>12</v>
      </c>
      <c r="D1523" s="284">
        <f t="shared" si="34"/>
        <v>1899</v>
      </c>
      <c r="E1523" s="490"/>
      <c r="F1523" s="30"/>
      <c r="G1523" s="30"/>
      <c r="H1523" s="288">
        <f t="shared" si="35"/>
        <v>0</v>
      </c>
      <c r="I1523" s="490"/>
      <c r="J1523" s="276"/>
      <c r="K1523" s="276"/>
      <c r="L1523" s="276"/>
      <c r="M1523" s="276"/>
      <c r="N1523" s="276"/>
      <c r="O1523" s="276"/>
      <c r="P1523" s="276"/>
      <c r="Q1523" s="276"/>
      <c r="R1523" s="276"/>
      <c r="S1523" s="276"/>
      <c r="T1523" s="276"/>
      <c r="U1523" s="276"/>
      <c r="V1523" s="276"/>
      <c r="W1523" s="276"/>
      <c r="X1523" s="276"/>
    </row>
    <row r="1524" ht="15.75" customHeight="1">
      <c r="A1524" s="403"/>
      <c r="B1524" s="284">
        <f t="shared" si="32"/>
        <v>30</v>
      </c>
      <c r="C1524" s="284">
        <f t="shared" si="33"/>
        <v>12</v>
      </c>
      <c r="D1524" s="284">
        <f t="shared" si="34"/>
        <v>1899</v>
      </c>
      <c r="E1524" s="490"/>
      <c r="F1524" s="30"/>
      <c r="G1524" s="30"/>
      <c r="H1524" s="288">
        <f t="shared" si="35"/>
        <v>0</v>
      </c>
      <c r="I1524" s="490"/>
      <c r="J1524" s="276"/>
      <c r="K1524" s="276"/>
      <c r="L1524" s="276"/>
      <c r="M1524" s="276"/>
      <c r="N1524" s="276"/>
      <c r="O1524" s="276"/>
      <c r="P1524" s="276"/>
      <c r="Q1524" s="276"/>
      <c r="R1524" s="276"/>
      <c r="S1524" s="276"/>
      <c r="T1524" s="276"/>
      <c r="U1524" s="276"/>
      <c r="V1524" s="276"/>
      <c r="W1524" s="276"/>
      <c r="X1524" s="276"/>
    </row>
    <row r="1525" ht="15.75" customHeight="1">
      <c r="A1525" s="403"/>
      <c r="B1525" s="284">
        <f t="shared" si="32"/>
        <v>30</v>
      </c>
      <c r="C1525" s="284">
        <f t="shared" si="33"/>
        <v>12</v>
      </c>
      <c r="D1525" s="284">
        <f t="shared" si="34"/>
        <v>1899</v>
      </c>
      <c r="E1525" s="490"/>
      <c r="F1525" s="30"/>
      <c r="G1525" s="30"/>
      <c r="H1525" s="288">
        <f t="shared" si="35"/>
        <v>0</v>
      </c>
      <c r="I1525" s="490"/>
      <c r="J1525" s="276"/>
      <c r="K1525" s="276"/>
      <c r="L1525" s="276"/>
      <c r="M1525" s="276"/>
      <c r="N1525" s="276"/>
      <c r="O1525" s="276"/>
      <c r="P1525" s="276"/>
      <c r="Q1525" s="276"/>
      <c r="R1525" s="276"/>
      <c r="S1525" s="276"/>
      <c r="T1525" s="276"/>
      <c r="U1525" s="276"/>
      <c r="V1525" s="276"/>
      <c r="W1525" s="276"/>
      <c r="X1525" s="276"/>
    </row>
    <row r="1526" ht="15.75" customHeight="1">
      <c r="A1526" s="403"/>
      <c r="B1526" s="284">
        <f t="shared" si="32"/>
        <v>30</v>
      </c>
      <c r="C1526" s="284">
        <f t="shared" si="33"/>
        <v>12</v>
      </c>
      <c r="D1526" s="284">
        <f t="shared" si="34"/>
        <v>1899</v>
      </c>
      <c r="E1526" s="490"/>
      <c r="F1526" s="30"/>
      <c r="G1526" s="30"/>
      <c r="H1526" s="288">
        <f t="shared" si="35"/>
        <v>0</v>
      </c>
      <c r="I1526" s="490"/>
      <c r="J1526" s="276"/>
      <c r="K1526" s="276"/>
      <c r="L1526" s="276"/>
      <c r="M1526" s="276"/>
      <c r="N1526" s="276"/>
      <c r="O1526" s="276"/>
      <c r="P1526" s="276"/>
      <c r="Q1526" s="276"/>
      <c r="R1526" s="276"/>
      <c r="S1526" s="276"/>
      <c r="T1526" s="276"/>
      <c r="U1526" s="276"/>
      <c r="V1526" s="276"/>
      <c r="W1526" s="276"/>
      <c r="X1526" s="276"/>
    </row>
    <row r="1527" ht="15.75" customHeight="1">
      <c r="A1527" s="403"/>
      <c r="B1527" s="284">
        <f t="shared" si="32"/>
        <v>30</v>
      </c>
      <c r="C1527" s="284">
        <f t="shared" si="33"/>
        <v>12</v>
      </c>
      <c r="D1527" s="284">
        <f t="shared" si="34"/>
        <v>1899</v>
      </c>
      <c r="E1527" s="490"/>
      <c r="F1527" s="30"/>
      <c r="G1527" s="30"/>
      <c r="H1527" s="288">
        <f t="shared" si="35"/>
        <v>0</v>
      </c>
      <c r="I1527" s="490"/>
      <c r="J1527" s="276"/>
      <c r="K1527" s="276"/>
      <c r="L1527" s="276"/>
      <c r="M1527" s="276"/>
      <c r="N1527" s="276"/>
      <c r="O1527" s="276"/>
      <c r="P1527" s="276"/>
      <c r="Q1527" s="276"/>
      <c r="R1527" s="276"/>
      <c r="S1527" s="276"/>
      <c r="T1527" s="276"/>
      <c r="U1527" s="276"/>
      <c r="V1527" s="276"/>
      <c r="W1527" s="276"/>
      <c r="X1527" s="276"/>
    </row>
    <row r="1528" ht="15.75" customHeight="1">
      <c r="A1528" s="403"/>
      <c r="B1528" s="284">
        <f t="shared" si="32"/>
        <v>30</v>
      </c>
      <c r="C1528" s="284">
        <f t="shared" si="33"/>
        <v>12</v>
      </c>
      <c r="D1528" s="284">
        <f t="shared" si="34"/>
        <v>1899</v>
      </c>
      <c r="E1528" s="490"/>
      <c r="F1528" s="30"/>
      <c r="G1528" s="30"/>
      <c r="H1528" s="288">
        <f t="shared" si="35"/>
        <v>0</v>
      </c>
      <c r="I1528" s="490"/>
      <c r="J1528" s="276"/>
      <c r="K1528" s="276"/>
      <c r="L1528" s="276"/>
      <c r="M1528" s="276"/>
      <c r="N1528" s="276"/>
      <c r="O1528" s="276"/>
      <c r="P1528" s="276"/>
      <c r="Q1528" s="276"/>
      <c r="R1528" s="276"/>
      <c r="S1528" s="276"/>
      <c r="T1528" s="276"/>
      <c r="U1528" s="276"/>
      <c r="V1528" s="276"/>
      <c r="W1528" s="276"/>
      <c r="X1528" s="276"/>
    </row>
    <row r="1529" ht="15.75" customHeight="1">
      <c r="A1529" s="403"/>
      <c r="B1529" s="284">
        <f t="shared" si="32"/>
        <v>30</v>
      </c>
      <c r="C1529" s="284">
        <f t="shared" si="33"/>
        <v>12</v>
      </c>
      <c r="D1529" s="284">
        <f t="shared" si="34"/>
        <v>1899</v>
      </c>
      <c r="E1529" s="490"/>
      <c r="F1529" s="30"/>
      <c r="G1529" s="30"/>
      <c r="H1529" s="288">
        <f t="shared" si="35"/>
        <v>0</v>
      </c>
      <c r="I1529" s="490"/>
      <c r="J1529" s="276"/>
      <c r="K1529" s="276"/>
      <c r="L1529" s="276"/>
      <c r="M1529" s="276"/>
      <c r="N1529" s="276"/>
      <c r="O1529" s="276"/>
      <c r="P1529" s="276"/>
      <c r="Q1529" s="276"/>
      <c r="R1529" s="276"/>
      <c r="S1529" s="276"/>
      <c r="T1529" s="276"/>
      <c r="U1529" s="276"/>
      <c r="V1529" s="276"/>
      <c r="W1529" s="276"/>
      <c r="X1529" s="276"/>
    </row>
    <row r="1530" ht="15.75" customHeight="1">
      <c r="A1530" s="403"/>
      <c r="B1530" s="284">
        <f t="shared" si="32"/>
        <v>30</v>
      </c>
      <c r="C1530" s="284">
        <f t="shared" si="33"/>
        <v>12</v>
      </c>
      <c r="D1530" s="284">
        <f t="shared" si="34"/>
        <v>1899</v>
      </c>
      <c r="E1530" s="490"/>
      <c r="F1530" s="30"/>
      <c r="G1530" s="30"/>
      <c r="H1530" s="288">
        <f t="shared" si="35"/>
        <v>0</v>
      </c>
      <c r="I1530" s="490"/>
      <c r="J1530" s="276"/>
      <c r="K1530" s="276"/>
      <c r="L1530" s="276"/>
      <c r="M1530" s="276"/>
      <c r="N1530" s="276"/>
      <c r="O1530" s="276"/>
      <c r="P1530" s="276"/>
      <c r="Q1530" s="276"/>
      <c r="R1530" s="276"/>
      <c r="S1530" s="276"/>
      <c r="T1530" s="276"/>
      <c r="U1530" s="276"/>
      <c r="V1530" s="276"/>
      <c r="W1530" s="276"/>
      <c r="X1530" s="276"/>
    </row>
    <row r="1531" ht="15.75" customHeight="1">
      <c r="A1531" s="403"/>
      <c r="B1531" s="284">
        <f t="shared" si="32"/>
        <v>30</v>
      </c>
      <c r="C1531" s="284">
        <f t="shared" si="33"/>
        <v>12</v>
      </c>
      <c r="D1531" s="284">
        <f t="shared" si="34"/>
        <v>1899</v>
      </c>
      <c r="E1531" s="490"/>
      <c r="F1531" s="30"/>
      <c r="G1531" s="30"/>
      <c r="H1531" s="288">
        <f t="shared" si="35"/>
        <v>0</v>
      </c>
      <c r="I1531" s="490"/>
      <c r="J1531" s="276"/>
      <c r="K1531" s="276"/>
      <c r="L1531" s="276"/>
      <c r="M1531" s="276"/>
      <c r="N1531" s="276"/>
      <c r="O1531" s="276"/>
      <c r="P1531" s="276"/>
      <c r="Q1531" s="276"/>
      <c r="R1531" s="276"/>
      <c r="S1531" s="276"/>
      <c r="T1531" s="276"/>
      <c r="U1531" s="276"/>
      <c r="V1531" s="276"/>
      <c r="W1531" s="276"/>
      <c r="X1531" s="276"/>
    </row>
    <row r="1532" ht="15.75" customHeight="1">
      <c r="A1532" s="403"/>
      <c r="B1532" s="284">
        <f t="shared" si="32"/>
        <v>30</v>
      </c>
      <c r="C1532" s="284">
        <f t="shared" si="33"/>
        <v>12</v>
      </c>
      <c r="D1532" s="284">
        <f t="shared" si="34"/>
        <v>1899</v>
      </c>
      <c r="E1532" s="490"/>
      <c r="F1532" s="30"/>
      <c r="G1532" s="30"/>
      <c r="H1532" s="288">
        <f t="shared" si="35"/>
        <v>0</v>
      </c>
      <c r="I1532" s="490"/>
      <c r="J1532" s="276"/>
      <c r="K1532" s="276"/>
      <c r="L1532" s="276"/>
      <c r="M1532" s="276"/>
      <c r="N1532" s="276"/>
      <c r="O1532" s="276"/>
      <c r="P1532" s="276"/>
      <c r="Q1532" s="276"/>
      <c r="R1532" s="276"/>
      <c r="S1532" s="276"/>
      <c r="T1532" s="276"/>
      <c r="U1532" s="276"/>
      <c r="V1532" s="276"/>
      <c r="W1532" s="276"/>
      <c r="X1532" s="276"/>
    </row>
    <row r="1533" ht="15.75" customHeight="1">
      <c r="A1533" s="403"/>
      <c r="B1533" s="284">
        <f t="shared" si="32"/>
        <v>30</v>
      </c>
      <c r="C1533" s="284">
        <f t="shared" si="33"/>
        <v>12</v>
      </c>
      <c r="D1533" s="284">
        <f t="shared" si="34"/>
        <v>1899</v>
      </c>
      <c r="E1533" s="490"/>
      <c r="F1533" s="30"/>
      <c r="G1533" s="30"/>
      <c r="H1533" s="288">
        <f t="shared" si="35"/>
        <v>0</v>
      </c>
      <c r="I1533" s="490"/>
      <c r="J1533" s="276"/>
      <c r="K1533" s="276"/>
      <c r="L1533" s="276"/>
      <c r="M1533" s="276"/>
      <c r="N1533" s="276"/>
      <c r="O1533" s="276"/>
      <c r="P1533" s="276"/>
      <c r="Q1533" s="276"/>
      <c r="R1533" s="276"/>
      <c r="S1533" s="276"/>
      <c r="T1533" s="276"/>
      <c r="U1533" s="276"/>
      <c r="V1533" s="276"/>
      <c r="W1533" s="276"/>
      <c r="X1533" s="276"/>
    </row>
    <row r="1534" ht="15.75" customHeight="1">
      <c r="A1534" s="403"/>
      <c r="B1534" s="284">
        <f t="shared" si="32"/>
        <v>30</v>
      </c>
      <c r="C1534" s="284">
        <f t="shared" si="33"/>
        <v>12</v>
      </c>
      <c r="D1534" s="284">
        <f t="shared" si="34"/>
        <v>1899</v>
      </c>
      <c r="E1534" s="490"/>
      <c r="F1534" s="30"/>
      <c r="G1534" s="30"/>
      <c r="H1534" s="288">
        <f t="shared" si="35"/>
        <v>0</v>
      </c>
      <c r="I1534" s="490"/>
      <c r="J1534" s="276"/>
      <c r="K1534" s="276"/>
      <c r="L1534" s="276"/>
      <c r="M1534" s="276"/>
      <c r="N1534" s="276"/>
      <c r="O1534" s="276"/>
      <c r="P1534" s="276"/>
      <c r="Q1534" s="276"/>
      <c r="R1534" s="276"/>
      <c r="S1534" s="276"/>
      <c r="T1534" s="276"/>
      <c r="U1534" s="276"/>
      <c r="V1534" s="276"/>
      <c r="W1534" s="276"/>
      <c r="X1534" s="276"/>
    </row>
    <row r="1535" ht="15.75" customHeight="1">
      <c r="A1535" s="403"/>
      <c r="B1535" s="284">
        <f t="shared" si="32"/>
        <v>30</v>
      </c>
      <c r="C1535" s="284">
        <f t="shared" si="33"/>
        <v>12</v>
      </c>
      <c r="D1535" s="284">
        <f t="shared" si="34"/>
        <v>1899</v>
      </c>
      <c r="E1535" s="490"/>
      <c r="F1535" s="30"/>
      <c r="G1535" s="30"/>
      <c r="H1535" s="288">
        <f t="shared" si="35"/>
        <v>0</v>
      </c>
      <c r="I1535" s="490"/>
      <c r="J1535" s="276"/>
      <c r="K1535" s="276"/>
      <c r="L1535" s="276"/>
      <c r="M1535" s="276"/>
      <c r="N1535" s="276"/>
      <c r="O1535" s="276"/>
      <c r="P1535" s="276"/>
      <c r="Q1535" s="276"/>
      <c r="R1535" s="276"/>
      <c r="S1535" s="276"/>
      <c r="T1535" s="276"/>
      <c r="U1535" s="276"/>
      <c r="V1535" s="276"/>
      <c r="W1535" s="276"/>
      <c r="X1535" s="276"/>
    </row>
    <row r="1536" ht="15.75" customHeight="1">
      <c r="A1536" s="403"/>
      <c r="B1536" s="284">
        <f t="shared" si="32"/>
        <v>30</v>
      </c>
      <c r="C1536" s="284">
        <f t="shared" si="33"/>
        <v>12</v>
      </c>
      <c r="D1536" s="284">
        <f t="shared" si="34"/>
        <v>1899</v>
      </c>
      <c r="E1536" s="490"/>
      <c r="F1536" s="30"/>
      <c r="G1536" s="30"/>
      <c r="H1536" s="288">
        <f t="shared" si="35"/>
        <v>0</v>
      </c>
      <c r="I1536" s="490"/>
      <c r="J1536" s="276"/>
      <c r="K1536" s="276"/>
      <c r="L1536" s="276"/>
      <c r="M1536" s="276"/>
      <c r="N1536" s="276"/>
      <c r="O1536" s="276"/>
      <c r="P1536" s="276"/>
      <c r="Q1536" s="276"/>
      <c r="R1536" s="276"/>
      <c r="S1536" s="276"/>
      <c r="T1536" s="276"/>
      <c r="U1536" s="276"/>
      <c r="V1536" s="276"/>
      <c r="W1536" s="276"/>
      <c r="X1536" s="276"/>
    </row>
    <row r="1537" ht="15.75" customHeight="1">
      <c r="A1537" s="403"/>
      <c r="B1537" s="284">
        <f t="shared" si="32"/>
        <v>30</v>
      </c>
      <c r="C1537" s="284">
        <f t="shared" si="33"/>
        <v>12</v>
      </c>
      <c r="D1537" s="284">
        <f t="shared" si="34"/>
        <v>1899</v>
      </c>
      <c r="E1537" s="490"/>
      <c r="F1537" s="30"/>
      <c r="G1537" s="30"/>
      <c r="H1537" s="288">
        <f t="shared" si="35"/>
        <v>0</v>
      </c>
      <c r="I1537" s="490"/>
      <c r="J1537" s="276"/>
      <c r="K1537" s="276"/>
      <c r="L1537" s="276"/>
      <c r="M1537" s="276"/>
      <c r="N1537" s="276"/>
      <c r="O1537" s="276"/>
      <c r="P1537" s="276"/>
      <c r="Q1537" s="276"/>
      <c r="R1537" s="276"/>
      <c r="S1537" s="276"/>
      <c r="T1537" s="276"/>
      <c r="U1537" s="276"/>
      <c r="V1537" s="276"/>
      <c r="W1537" s="276"/>
      <c r="X1537" s="276"/>
    </row>
    <row r="1538" ht="15.75" customHeight="1">
      <c r="A1538" s="403"/>
      <c r="B1538" s="284">
        <f t="shared" si="32"/>
        <v>30</v>
      </c>
      <c r="C1538" s="284">
        <f t="shared" si="33"/>
        <v>12</v>
      </c>
      <c r="D1538" s="284">
        <f t="shared" si="34"/>
        <v>1899</v>
      </c>
      <c r="E1538" s="490"/>
      <c r="F1538" s="30"/>
      <c r="G1538" s="30"/>
      <c r="H1538" s="288">
        <f t="shared" si="35"/>
        <v>0</v>
      </c>
      <c r="I1538" s="490"/>
      <c r="J1538" s="276"/>
      <c r="K1538" s="276"/>
      <c r="L1538" s="276"/>
      <c r="M1538" s="276"/>
      <c r="N1538" s="276"/>
      <c r="O1538" s="276"/>
      <c r="P1538" s="276"/>
      <c r="Q1538" s="276"/>
      <c r="R1538" s="276"/>
      <c r="S1538" s="276"/>
      <c r="T1538" s="276"/>
      <c r="U1538" s="276"/>
      <c r="V1538" s="276"/>
      <c r="W1538" s="276"/>
      <c r="X1538" s="276"/>
    </row>
    <row r="1539" ht="15.75" customHeight="1">
      <c r="A1539" s="403"/>
      <c r="B1539" s="284">
        <f t="shared" si="32"/>
        <v>30</v>
      </c>
      <c r="C1539" s="284">
        <f t="shared" si="33"/>
        <v>12</v>
      </c>
      <c r="D1539" s="284">
        <f t="shared" si="34"/>
        <v>1899</v>
      </c>
      <c r="E1539" s="490"/>
      <c r="F1539" s="30"/>
      <c r="G1539" s="30"/>
      <c r="H1539" s="288">
        <f t="shared" si="35"/>
        <v>0</v>
      </c>
      <c r="I1539" s="490"/>
      <c r="J1539" s="276"/>
      <c r="K1539" s="276"/>
      <c r="L1539" s="276"/>
      <c r="M1539" s="276"/>
      <c r="N1539" s="276"/>
      <c r="O1539" s="276"/>
      <c r="P1539" s="276"/>
      <c r="Q1539" s="276"/>
      <c r="R1539" s="276"/>
      <c r="S1539" s="276"/>
      <c r="T1539" s="276"/>
      <c r="U1539" s="276"/>
      <c r="V1539" s="276"/>
      <c r="W1539" s="276"/>
      <c r="X1539" s="276"/>
    </row>
    <row r="1540" ht="15.75" customHeight="1">
      <c r="A1540" s="403"/>
      <c r="B1540" s="284">
        <f t="shared" si="32"/>
        <v>30</v>
      </c>
      <c r="C1540" s="284">
        <f t="shared" si="33"/>
        <v>12</v>
      </c>
      <c r="D1540" s="284">
        <f t="shared" si="34"/>
        <v>1899</v>
      </c>
      <c r="E1540" s="490"/>
      <c r="F1540" s="30"/>
      <c r="G1540" s="30"/>
      <c r="H1540" s="288">
        <f t="shared" si="35"/>
        <v>0</v>
      </c>
      <c r="I1540" s="490"/>
      <c r="J1540" s="276"/>
      <c r="K1540" s="276"/>
      <c r="L1540" s="276"/>
      <c r="M1540" s="276"/>
      <c r="N1540" s="276"/>
      <c r="O1540" s="276"/>
      <c r="P1540" s="276"/>
      <c r="Q1540" s="276"/>
      <c r="R1540" s="276"/>
      <c r="S1540" s="276"/>
      <c r="T1540" s="276"/>
      <c r="U1540" s="276"/>
      <c r="V1540" s="276"/>
      <c r="W1540" s="276"/>
      <c r="X1540" s="276"/>
    </row>
    <row r="1541" ht="15.75" customHeight="1">
      <c r="A1541" s="403"/>
      <c r="B1541" s="284">
        <f t="shared" si="32"/>
        <v>30</v>
      </c>
      <c r="C1541" s="284">
        <f t="shared" si="33"/>
        <v>12</v>
      </c>
      <c r="D1541" s="284">
        <f t="shared" si="34"/>
        <v>1899</v>
      </c>
      <c r="E1541" s="490"/>
      <c r="F1541" s="30"/>
      <c r="G1541" s="30"/>
      <c r="H1541" s="288">
        <f t="shared" si="35"/>
        <v>0</v>
      </c>
      <c r="I1541" s="490"/>
      <c r="J1541" s="276"/>
      <c r="K1541" s="276"/>
      <c r="L1541" s="276"/>
      <c r="M1541" s="276"/>
      <c r="N1541" s="276"/>
      <c r="O1541" s="276"/>
      <c r="P1541" s="276"/>
      <c r="Q1541" s="276"/>
      <c r="R1541" s="276"/>
      <c r="S1541" s="276"/>
      <c r="T1541" s="276"/>
      <c r="U1541" s="276"/>
      <c r="V1541" s="276"/>
      <c r="W1541" s="276"/>
      <c r="X1541" s="276"/>
    </row>
    <row r="1542" ht="15.75" customHeight="1">
      <c r="A1542" s="403"/>
      <c r="B1542" s="284">
        <f t="shared" si="32"/>
        <v>30</v>
      </c>
      <c r="C1542" s="284">
        <f t="shared" si="33"/>
        <v>12</v>
      </c>
      <c r="D1542" s="284">
        <f t="shared" si="34"/>
        <v>1899</v>
      </c>
      <c r="E1542" s="490"/>
      <c r="F1542" s="30"/>
      <c r="G1542" s="30"/>
      <c r="H1542" s="288">
        <f t="shared" si="35"/>
        <v>0</v>
      </c>
      <c r="I1542" s="490"/>
      <c r="J1542" s="276"/>
      <c r="K1542" s="276"/>
      <c r="L1542" s="276"/>
      <c r="M1542" s="276"/>
      <c r="N1542" s="276"/>
      <c r="O1542" s="276"/>
      <c r="P1542" s="276"/>
      <c r="Q1542" s="276"/>
      <c r="R1542" s="276"/>
      <c r="S1542" s="276"/>
      <c r="T1542" s="276"/>
      <c r="U1542" s="276"/>
      <c r="V1542" s="276"/>
      <c r="W1542" s="276"/>
      <c r="X1542" s="276"/>
    </row>
    <row r="1543" ht="15.75" customHeight="1">
      <c r="A1543" s="403"/>
      <c r="B1543" s="284">
        <f t="shared" si="32"/>
        <v>30</v>
      </c>
      <c r="C1543" s="284">
        <f t="shared" si="33"/>
        <v>12</v>
      </c>
      <c r="D1543" s="284">
        <f t="shared" si="34"/>
        <v>1899</v>
      </c>
      <c r="E1543" s="490"/>
      <c r="F1543" s="30"/>
      <c r="G1543" s="30"/>
      <c r="H1543" s="288">
        <f t="shared" si="35"/>
        <v>0</v>
      </c>
      <c r="I1543" s="490"/>
      <c r="J1543" s="276"/>
      <c r="K1543" s="276"/>
      <c r="L1543" s="276"/>
      <c r="M1543" s="276"/>
      <c r="N1543" s="276"/>
      <c r="O1543" s="276"/>
      <c r="P1543" s="276"/>
      <c r="Q1543" s="276"/>
      <c r="R1543" s="276"/>
      <c r="S1543" s="276"/>
      <c r="T1543" s="276"/>
      <c r="U1543" s="276"/>
      <c r="V1543" s="276"/>
      <c r="W1543" s="276"/>
      <c r="X1543" s="276"/>
    </row>
    <row r="1544" ht="15.75" customHeight="1">
      <c r="A1544" s="403"/>
      <c r="B1544" s="284">
        <f t="shared" si="32"/>
        <v>30</v>
      </c>
      <c r="C1544" s="284">
        <f t="shared" si="33"/>
        <v>12</v>
      </c>
      <c r="D1544" s="284">
        <f t="shared" si="34"/>
        <v>1899</v>
      </c>
      <c r="E1544" s="490"/>
      <c r="F1544" s="30"/>
      <c r="G1544" s="30"/>
      <c r="H1544" s="288">
        <f t="shared" si="35"/>
        <v>0</v>
      </c>
      <c r="I1544" s="490"/>
      <c r="J1544" s="276"/>
      <c r="K1544" s="276"/>
      <c r="L1544" s="276"/>
      <c r="M1544" s="276"/>
      <c r="N1544" s="276"/>
      <c r="O1544" s="276"/>
      <c r="P1544" s="276"/>
      <c r="Q1544" s="276"/>
      <c r="R1544" s="276"/>
      <c r="S1544" s="276"/>
      <c r="T1544" s="276"/>
      <c r="U1544" s="276"/>
      <c r="V1544" s="276"/>
      <c r="W1544" s="276"/>
      <c r="X1544" s="276"/>
    </row>
    <row r="1545" ht="15.75" customHeight="1">
      <c r="A1545" s="403"/>
      <c r="B1545" s="284">
        <f t="shared" si="32"/>
        <v>30</v>
      </c>
      <c r="C1545" s="284">
        <f t="shared" si="33"/>
        <v>12</v>
      </c>
      <c r="D1545" s="284">
        <f t="shared" si="34"/>
        <v>1899</v>
      </c>
      <c r="E1545" s="490"/>
      <c r="F1545" s="30"/>
      <c r="G1545" s="30"/>
      <c r="H1545" s="288">
        <f t="shared" si="35"/>
        <v>0</v>
      </c>
      <c r="I1545" s="490"/>
      <c r="J1545" s="276"/>
      <c r="K1545" s="276"/>
      <c r="L1545" s="276"/>
      <c r="M1545" s="276"/>
      <c r="N1545" s="276"/>
      <c r="O1545" s="276"/>
      <c r="P1545" s="276"/>
      <c r="Q1545" s="276"/>
      <c r="R1545" s="276"/>
      <c r="S1545" s="276"/>
      <c r="T1545" s="276"/>
      <c r="U1545" s="276"/>
      <c r="V1545" s="276"/>
      <c r="W1545" s="276"/>
      <c r="X1545" s="276"/>
    </row>
    <row r="1546" ht="15.75" customHeight="1">
      <c r="A1546" s="403"/>
      <c r="B1546" s="284">
        <f t="shared" si="32"/>
        <v>30</v>
      </c>
      <c r="C1546" s="284">
        <f t="shared" si="33"/>
        <v>12</v>
      </c>
      <c r="D1546" s="284">
        <f t="shared" si="34"/>
        <v>1899</v>
      </c>
      <c r="E1546" s="490"/>
      <c r="F1546" s="30"/>
      <c r="G1546" s="30"/>
      <c r="H1546" s="288">
        <f t="shared" si="35"/>
        <v>0</v>
      </c>
      <c r="I1546" s="490"/>
      <c r="J1546" s="276"/>
      <c r="K1546" s="276"/>
      <c r="L1546" s="276"/>
      <c r="M1546" s="276"/>
      <c r="N1546" s="276"/>
      <c r="O1546" s="276"/>
      <c r="P1546" s="276"/>
      <c r="Q1546" s="276"/>
      <c r="R1546" s="276"/>
      <c r="S1546" s="276"/>
      <c r="T1546" s="276"/>
      <c r="U1546" s="276"/>
      <c r="V1546" s="276"/>
      <c r="W1546" s="276"/>
      <c r="X1546" s="276"/>
    </row>
    <row r="1547" ht="15.75" customHeight="1">
      <c r="A1547" s="403"/>
      <c r="B1547" s="284">
        <f t="shared" si="32"/>
        <v>30</v>
      </c>
      <c r="C1547" s="284">
        <f t="shared" si="33"/>
        <v>12</v>
      </c>
      <c r="D1547" s="284">
        <f t="shared" si="34"/>
        <v>1899</v>
      </c>
      <c r="E1547" s="490"/>
      <c r="F1547" s="30"/>
      <c r="G1547" s="30"/>
      <c r="H1547" s="288">
        <f t="shared" si="35"/>
        <v>0</v>
      </c>
      <c r="I1547" s="490"/>
      <c r="J1547" s="276"/>
      <c r="K1547" s="276"/>
      <c r="L1547" s="276"/>
      <c r="M1547" s="276"/>
      <c r="N1547" s="276"/>
      <c r="O1547" s="276"/>
      <c r="P1547" s="276"/>
      <c r="Q1547" s="276"/>
      <c r="R1547" s="276"/>
      <c r="S1547" s="276"/>
      <c r="T1547" s="276"/>
      <c r="U1547" s="276"/>
      <c r="V1547" s="276"/>
      <c r="W1547" s="276"/>
      <c r="X1547" s="276"/>
    </row>
    <row r="1548" ht="15.75" customHeight="1">
      <c r="A1548" s="403"/>
      <c r="B1548" s="284">
        <f t="shared" si="32"/>
        <v>30</v>
      </c>
      <c r="C1548" s="284">
        <f t="shared" si="33"/>
        <v>12</v>
      </c>
      <c r="D1548" s="284">
        <f t="shared" si="34"/>
        <v>1899</v>
      </c>
      <c r="E1548" s="490"/>
      <c r="F1548" s="30"/>
      <c r="G1548" s="30"/>
      <c r="H1548" s="288">
        <f t="shared" si="35"/>
        <v>0</v>
      </c>
      <c r="I1548" s="490"/>
      <c r="J1548" s="276"/>
      <c r="K1548" s="276"/>
      <c r="L1548" s="276"/>
      <c r="M1548" s="276"/>
      <c r="N1548" s="276"/>
      <c r="O1548" s="276"/>
      <c r="P1548" s="276"/>
      <c r="Q1548" s="276"/>
      <c r="R1548" s="276"/>
      <c r="S1548" s="276"/>
      <c r="T1548" s="276"/>
      <c r="U1548" s="276"/>
      <c r="V1548" s="276"/>
      <c r="W1548" s="276"/>
      <c r="X1548" s="276"/>
    </row>
    <row r="1549" ht="15.75" customHeight="1">
      <c r="A1549" s="403"/>
      <c r="B1549" s="284">
        <f t="shared" si="32"/>
        <v>30</v>
      </c>
      <c r="C1549" s="284">
        <f t="shared" si="33"/>
        <v>12</v>
      </c>
      <c r="D1549" s="284">
        <f t="shared" si="34"/>
        <v>1899</v>
      </c>
      <c r="E1549" s="490"/>
      <c r="F1549" s="30"/>
      <c r="G1549" s="30"/>
      <c r="H1549" s="288">
        <f t="shared" si="35"/>
        <v>0</v>
      </c>
      <c r="I1549" s="490"/>
      <c r="J1549" s="276"/>
      <c r="K1549" s="276"/>
      <c r="L1549" s="276"/>
      <c r="M1549" s="276"/>
      <c r="N1549" s="276"/>
      <c r="O1549" s="276"/>
      <c r="P1549" s="276"/>
      <c r="Q1549" s="276"/>
      <c r="R1549" s="276"/>
      <c r="S1549" s="276"/>
      <c r="T1549" s="276"/>
      <c r="U1549" s="276"/>
      <c r="V1549" s="276"/>
      <c r="W1549" s="276"/>
      <c r="X1549" s="276"/>
    </row>
    <row r="1550" ht="15.75" customHeight="1">
      <c r="A1550" s="403"/>
      <c r="B1550" s="284">
        <f t="shared" si="32"/>
        <v>30</v>
      </c>
      <c r="C1550" s="284">
        <f t="shared" si="33"/>
        <v>12</v>
      </c>
      <c r="D1550" s="284">
        <f t="shared" si="34"/>
        <v>1899</v>
      </c>
      <c r="E1550" s="490"/>
      <c r="F1550" s="30"/>
      <c r="G1550" s="30"/>
      <c r="H1550" s="288">
        <f t="shared" si="35"/>
        <v>0</v>
      </c>
      <c r="I1550" s="490"/>
      <c r="J1550" s="276"/>
      <c r="K1550" s="276"/>
      <c r="L1550" s="276"/>
      <c r="M1550" s="276"/>
      <c r="N1550" s="276"/>
      <c r="O1550" s="276"/>
      <c r="P1550" s="276"/>
      <c r="Q1550" s="276"/>
      <c r="R1550" s="276"/>
      <c r="S1550" s="276"/>
      <c r="T1550" s="276"/>
      <c r="U1550" s="276"/>
      <c r="V1550" s="276"/>
      <c r="W1550" s="276"/>
      <c r="X1550" s="276"/>
    </row>
    <row r="1551" ht="15.75" customHeight="1">
      <c r="A1551" s="403"/>
      <c r="B1551" s="284">
        <f t="shared" si="32"/>
        <v>30</v>
      </c>
      <c r="C1551" s="284">
        <f t="shared" si="33"/>
        <v>12</v>
      </c>
      <c r="D1551" s="284">
        <f t="shared" si="34"/>
        <v>1899</v>
      </c>
      <c r="E1551" s="490"/>
      <c r="F1551" s="30"/>
      <c r="G1551" s="30"/>
      <c r="H1551" s="288">
        <f t="shared" si="35"/>
        <v>0</v>
      </c>
      <c r="I1551" s="490"/>
      <c r="J1551" s="276"/>
      <c r="K1551" s="276"/>
      <c r="L1551" s="276"/>
      <c r="M1551" s="276"/>
      <c r="N1551" s="276"/>
      <c r="O1551" s="276"/>
      <c r="P1551" s="276"/>
      <c r="Q1551" s="276"/>
      <c r="R1551" s="276"/>
      <c r="S1551" s="276"/>
      <c r="T1551" s="276"/>
      <c r="U1551" s="276"/>
      <c r="V1551" s="276"/>
      <c r="W1551" s="276"/>
      <c r="X1551" s="276"/>
    </row>
    <row r="1552" ht="15.75" customHeight="1">
      <c r="A1552" s="403"/>
      <c r="B1552" s="284">
        <f t="shared" si="32"/>
        <v>30</v>
      </c>
      <c r="C1552" s="284">
        <f t="shared" si="33"/>
        <v>12</v>
      </c>
      <c r="D1552" s="284">
        <f t="shared" si="34"/>
        <v>1899</v>
      </c>
      <c r="E1552" s="490"/>
      <c r="F1552" s="30"/>
      <c r="G1552" s="30"/>
      <c r="H1552" s="288">
        <f t="shared" si="35"/>
        <v>0</v>
      </c>
      <c r="I1552" s="490"/>
      <c r="J1552" s="276"/>
      <c r="K1552" s="276"/>
      <c r="L1552" s="276"/>
      <c r="M1552" s="276"/>
      <c r="N1552" s="276"/>
      <c r="O1552" s="276"/>
      <c r="P1552" s="276"/>
      <c r="Q1552" s="276"/>
      <c r="R1552" s="276"/>
      <c r="S1552" s="276"/>
      <c r="T1552" s="276"/>
      <c r="U1552" s="276"/>
      <c r="V1552" s="276"/>
      <c r="W1552" s="276"/>
      <c r="X1552" s="276"/>
    </row>
    <row r="1553" ht="15.75" customHeight="1">
      <c r="A1553" s="403"/>
      <c r="B1553" s="284">
        <f t="shared" si="32"/>
        <v>30</v>
      </c>
      <c r="C1553" s="284">
        <f t="shared" si="33"/>
        <v>12</v>
      </c>
      <c r="D1553" s="284">
        <f t="shared" si="34"/>
        <v>1899</v>
      </c>
      <c r="E1553" s="490"/>
      <c r="F1553" s="30"/>
      <c r="G1553" s="30"/>
      <c r="H1553" s="288">
        <f t="shared" si="35"/>
        <v>0</v>
      </c>
      <c r="I1553" s="490"/>
      <c r="J1553" s="276"/>
      <c r="K1553" s="276"/>
      <c r="L1553" s="276"/>
      <c r="M1553" s="276"/>
      <c r="N1553" s="276"/>
      <c r="O1553" s="276"/>
      <c r="P1553" s="276"/>
      <c r="Q1553" s="276"/>
      <c r="R1553" s="276"/>
      <c r="S1553" s="276"/>
      <c r="T1553" s="276"/>
      <c r="U1553" s="276"/>
      <c r="V1553" s="276"/>
      <c r="W1553" s="276"/>
      <c r="X1553" s="276"/>
    </row>
    <row r="1554" ht="15.75" customHeight="1">
      <c r="A1554" s="403"/>
      <c r="B1554" s="284">
        <f t="shared" si="32"/>
        <v>30</v>
      </c>
      <c r="C1554" s="284">
        <f t="shared" si="33"/>
        <v>12</v>
      </c>
      <c r="D1554" s="284">
        <f t="shared" si="34"/>
        <v>1899</v>
      </c>
      <c r="E1554" s="490"/>
      <c r="F1554" s="30"/>
      <c r="G1554" s="30"/>
      <c r="H1554" s="288">
        <f t="shared" si="35"/>
        <v>0</v>
      </c>
      <c r="I1554" s="490"/>
      <c r="J1554" s="276"/>
      <c r="K1554" s="276"/>
      <c r="L1554" s="276"/>
      <c r="M1554" s="276"/>
      <c r="N1554" s="276"/>
      <c r="O1554" s="276"/>
      <c r="P1554" s="276"/>
      <c r="Q1554" s="276"/>
      <c r="R1554" s="276"/>
      <c r="S1554" s="276"/>
      <c r="T1554" s="276"/>
      <c r="U1554" s="276"/>
      <c r="V1554" s="276"/>
      <c r="W1554" s="276"/>
      <c r="X1554" s="276"/>
    </row>
    <row r="1555" ht="15.75" customHeight="1">
      <c r="A1555" s="403"/>
      <c r="B1555" s="284">
        <f t="shared" si="32"/>
        <v>30</v>
      </c>
      <c r="C1555" s="284">
        <f t="shared" si="33"/>
        <v>12</v>
      </c>
      <c r="D1555" s="284">
        <f t="shared" si="34"/>
        <v>1899</v>
      </c>
      <c r="E1555" s="490"/>
      <c r="F1555" s="30"/>
      <c r="G1555" s="30"/>
      <c r="H1555" s="288">
        <f t="shared" si="35"/>
        <v>0</v>
      </c>
      <c r="I1555" s="490"/>
      <c r="J1555" s="276"/>
      <c r="K1555" s="276"/>
      <c r="L1555" s="276"/>
      <c r="M1555" s="276"/>
      <c r="N1555" s="276"/>
      <c r="O1555" s="276"/>
      <c r="P1555" s="276"/>
      <c r="Q1555" s="276"/>
      <c r="R1555" s="276"/>
      <c r="S1555" s="276"/>
      <c r="T1555" s="276"/>
      <c r="U1555" s="276"/>
      <c r="V1555" s="276"/>
      <c r="W1555" s="276"/>
      <c r="X1555" s="276"/>
    </row>
    <row r="1556" ht="15.75" customHeight="1">
      <c r="A1556" s="403"/>
      <c r="B1556" s="284">
        <f t="shared" si="32"/>
        <v>30</v>
      </c>
      <c r="C1556" s="284">
        <f t="shared" si="33"/>
        <v>12</v>
      </c>
      <c r="D1556" s="284">
        <f t="shared" si="34"/>
        <v>1899</v>
      </c>
      <c r="E1556" s="490"/>
      <c r="F1556" s="30"/>
      <c r="G1556" s="30"/>
      <c r="H1556" s="288">
        <f t="shared" si="35"/>
        <v>0</v>
      </c>
      <c r="I1556" s="490"/>
      <c r="J1556" s="276"/>
      <c r="K1556" s="276"/>
      <c r="L1556" s="276"/>
      <c r="M1556" s="276"/>
      <c r="N1556" s="276"/>
      <c r="O1556" s="276"/>
      <c r="P1556" s="276"/>
      <c r="Q1556" s="276"/>
      <c r="R1556" s="276"/>
      <c r="S1556" s="276"/>
      <c r="T1556" s="276"/>
      <c r="U1556" s="276"/>
      <c r="V1556" s="276"/>
      <c r="W1556" s="276"/>
      <c r="X1556" s="276"/>
    </row>
    <row r="1557" ht="15.75" customHeight="1">
      <c r="A1557" s="403"/>
      <c r="B1557" s="284">
        <f t="shared" si="32"/>
        <v>30</v>
      </c>
      <c r="C1557" s="284">
        <f t="shared" si="33"/>
        <v>12</v>
      </c>
      <c r="D1557" s="284">
        <f t="shared" si="34"/>
        <v>1899</v>
      </c>
      <c r="E1557" s="490"/>
      <c r="F1557" s="30"/>
      <c r="G1557" s="30"/>
      <c r="H1557" s="288">
        <f t="shared" si="35"/>
        <v>0</v>
      </c>
      <c r="I1557" s="490"/>
      <c r="J1557" s="276"/>
      <c r="K1557" s="276"/>
      <c r="L1557" s="276"/>
      <c r="M1557" s="276"/>
      <c r="N1557" s="276"/>
      <c r="O1557" s="276"/>
      <c r="P1557" s="276"/>
      <c r="Q1557" s="276"/>
      <c r="R1557" s="276"/>
      <c r="S1557" s="276"/>
      <c r="T1557" s="276"/>
      <c r="U1557" s="276"/>
      <c r="V1557" s="276"/>
      <c r="W1557" s="276"/>
      <c r="X1557" s="276"/>
    </row>
    <row r="1558" ht="15.75" customHeight="1">
      <c r="A1558" s="403"/>
      <c r="B1558" s="284">
        <f t="shared" si="32"/>
        <v>30</v>
      </c>
      <c r="C1558" s="284">
        <f t="shared" si="33"/>
        <v>12</v>
      </c>
      <c r="D1558" s="284">
        <f t="shared" si="34"/>
        <v>1899</v>
      </c>
      <c r="E1558" s="490"/>
      <c r="F1558" s="30"/>
      <c r="G1558" s="30"/>
      <c r="H1558" s="288">
        <f t="shared" si="35"/>
        <v>0</v>
      </c>
      <c r="I1558" s="490"/>
      <c r="J1558" s="276"/>
      <c r="K1558" s="276"/>
      <c r="L1558" s="276"/>
      <c r="M1558" s="276"/>
      <c r="N1558" s="276"/>
      <c r="O1558" s="276"/>
      <c r="P1558" s="276"/>
      <c r="Q1558" s="276"/>
      <c r="R1558" s="276"/>
      <c r="S1558" s="276"/>
      <c r="T1558" s="276"/>
      <c r="U1558" s="276"/>
      <c r="V1558" s="276"/>
      <c r="W1558" s="276"/>
      <c r="X1558" s="276"/>
    </row>
    <row r="1559" ht="15.75" customHeight="1">
      <c r="A1559" s="403"/>
      <c r="B1559" s="284">
        <f t="shared" si="32"/>
        <v>30</v>
      </c>
      <c r="C1559" s="284">
        <f t="shared" si="33"/>
        <v>12</v>
      </c>
      <c r="D1559" s="284">
        <f t="shared" si="34"/>
        <v>1899</v>
      </c>
      <c r="E1559" s="490"/>
      <c r="F1559" s="30"/>
      <c r="G1559" s="30"/>
      <c r="H1559" s="288">
        <f t="shared" si="35"/>
        <v>0</v>
      </c>
      <c r="I1559" s="490"/>
      <c r="J1559" s="276"/>
      <c r="K1559" s="276"/>
      <c r="L1559" s="276"/>
      <c r="M1559" s="276"/>
      <c r="N1559" s="276"/>
      <c r="O1559" s="276"/>
      <c r="P1559" s="276"/>
      <c r="Q1559" s="276"/>
      <c r="R1559" s="276"/>
      <c r="S1559" s="276"/>
      <c r="T1559" s="276"/>
      <c r="U1559" s="276"/>
      <c r="V1559" s="276"/>
      <c r="W1559" s="276"/>
      <c r="X1559" s="276"/>
    </row>
    <row r="1560" ht="15.75" customHeight="1">
      <c r="A1560" s="403"/>
      <c r="B1560" s="284">
        <f t="shared" si="32"/>
        <v>30</v>
      </c>
      <c r="C1560" s="284">
        <f t="shared" si="33"/>
        <v>12</v>
      </c>
      <c r="D1560" s="284">
        <f t="shared" si="34"/>
        <v>1899</v>
      </c>
      <c r="E1560" s="490"/>
      <c r="F1560" s="30"/>
      <c r="G1560" s="30"/>
      <c r="H1560" s="288">
        <f t="shared" si="35"/>
        <v>0</v>
      </c>
      <c r="I1560" s="490"/>
      <c r="J1560" s="276"/>
      <c r="K1560" s="276"/>
      <c r="L1560" s="276"/>
      <c r="M1560" s="276"/>
      <c r="N1560" s="276"/>
      <c r="O1560" s="276"/>
      <c r="P1560" s="276"/>
      <c r="Q1560" s="276"/>
      <c r="R1560" s="276"/>
      <c r="S1560" s="276"/>
      <c r="T1560" s="276"/>
      <c r="U1560" s="276"/>
      <c r="V1560" s="276"/>
      <c r="W1560" s="276"/>
      <c r="X1560" s="276"/>
    </row>
    <row r="1561" ht="15.75" customHeight="1">
      <c r="A1561" s="403"/>
      <c r="B1561" s="284">
        <f t="shared" si="32"/>
        <v>30</v>
      </c>
      <c r="C1561" s="284">
        <f t="shared" si="33"/>
        <v>12</v>
      </c>
      <c r="D1561" s="284">
        <f t="shared" si="34"/>
        <v>1899</v>
      </c>
      <c r="E1561" s="490"/>
      <c r="F1561" s="30"/>
      <c r="G1561" s="30"/>
      <c r="H1561" s="288">
        <f t="shared" si="35"/>
        <v>0</v>
      </c>
      <c r="I1561" s="490"/>
      <c r="J1561" s="276"/>
      <c r="K1561" s="276"/>
      <c r="L1561" s="276"/>
      <c r="M1561" s="276"/>
      <c r="N1561" s="276"/>
      <c r="O1561" s="276"/>
      <c r="P1561" s="276"/>
      <c r="Q1561" s="276"/>
      <c r="R1561" s="276"/>
      <c r="S1561" s="276"/>
      <c r="T1561" s="276"/>
      <c r="U1561" s="276"/>
      <c r="V1561" s="276"/>
      <c r="W1561" s="276"/>
      <c r="X1561" s="276"/>
    </row>
    <row r="1562" ht="15.75" customHeight="1">
      <c r="A1562" s="403"/>
      <c r="B1562" s="284">
        <f t="shared" si="32"/>
        <v>30</v>
      </c>
      <c r="C1562" s="284">
        <f t="shared" si="33"/>
        <v>12</v>
      </c>
      <c r="D1562" s="284">
        <f t="shared" si="34"/>
        <v>1899</v>
      </c>
      <c r="E1562" s="490"/>
      <c r="F1562" s="30"/>
      <c r="G1562" s="30"/>
      <c r="H1562" s="288">
        <f t="shared" si="35"/>
        <v>0</v>
      </c>
      <c r="I1562" s="490"/>
      <c r="J1562" s="276"/>
      <c r="K1562" s="276"/>
      <c r="L1562" s="276"/>
      <c r="M1562" s="276"/>
      <c r="N1562" s="276"/>
      <c r="O1562" s="276"/>
      <c r="P1562" s="276"/>
      <c r="Q1562" s="276"/>
      <c r="R1562" s="276"/>
      <c r="S1562" s="276"/>
      <c r="T1562" s="276"/>
      <c r="U1562" s="276"/>
      <c r="V1562" s="276"/>
      <c r="W1562" s="276"/>
      <c r="X1562" s="276"/>
    </row>
    <row r="1563" ht="15.75" customHeight="1">
      <c r="A1563" s="403"/>
      <c r="B1563" s="284">
        <f t="shared" si="32"/>
        <v>30</v>
      </c>
      <c r="C1563" s="284">
        <f t="shared" si="33"/>
        <v>12</v>
      </c>
      <c r="D1563" s="284">
        <f t="shared" si="34"/>
        <v>1899</v>
      </c>
      <c r="E1563" s="490"/>
      <c r="F1563" s="30"/>
      <c r="G1563" s="30"/>
      <c r="H1563" s="288">
        <f t="shared" si="35"/>
        <v>0</v>
      </c>
      <c r="I1563" s="490"/>
      <c r="J1563" s="276"/>
      <c r="K1563" s="276"/>
      <c r="L1563" s="276"/>
      <c r="M1563" s="276"/>
      <c r="N1563" s="276"/>
      <c r="O1563" s="276"/>
      <c r="P1563" s="276"/>
      <c r="Q1563" s="276"/>
      <c r="R1563" s="276"/>
      <c r="S1563" s="276"/>
      <c r="T1563" s="276"/>
      <c r="U1563" s="276"/>
      <c r="V1563" s="276"/>
      <c r="W1563" s="276"/>
      <c r="X1563" s="276"/>
    </row>
    <row r="1564" ht="15.75" customHeight="1">
      <c r="A1564" s="403"/>
      <c r="B1564" s="284">
        <f t="shared" si="32"/>
        <v>30</v>
      </c>
      <c r="C1564" s="284">
        <f t="shared" si="33"/>
        <v>12</v>
      </c>
      <c r="D1564" s="284">
        <f t="shared" si="34"/>
        <v>1899</v>
      </c>
      <c r="E1564" s="490"/>
      <c r="F1564" s="30"/>
      <c r="G1564" s="30"/>
      <c r="H1564" s="288">
        <f t="shared" si="35"/>
        <v>0</v>
      </c>
      <c r="I1564" s="490"/>
      <c r="J1564" s="276"/>
      <c r="K1564" s="276"/>
      <c r="L1564" s="276"/>
      <c r="M1564" s="276"/>
      <c r="N1564" s="276"/>
      <c r="O1564" s="276"/>
      <c r="P1564" s="276"/>
      <c r="Q1564" s="276"/>
      <c r="R1564" s="276"/>
      <c r="S1564" s="276"/>
      <c r="T1564" s="276"/>
      <c r="U1564" s="276"/>
      <c r="V1564" s="276"/>
      <c r="W1564" s="276"/>
      <c r="X1564" s="276"/>
    </row>
    <row r="1565" ht="15.75" customHeight="1">
      <c r="A1565" s="403"/>
      <c r="B1565" s="284">
        <f t="shared" si="32"/>
        <v>30</v>
      </c>
      <c r="C1565" s="284">
        <f t="shared" si="33"/>
        <v>12</v>
      </c>
      <c r="D1565" s="284">
        <f t="shared" si="34"/>
        <v>1899</v>
      </c>
      <c r="E1565" s="490"/>
      <c r="F1565" s="30"/>
      <c r="G1565" s="30"/>
      <c r="H1565" s="288">
        <f t="shared" si="35"/>
        <v>0</v>
      </c>
      <c r="I1565" s="490"/>
      <c r="J1565" s="276"/>
      <c r="K1565" s="276"/>
      <c r="L1565" s="276"/>
      <c r="M1565" s="276"/>
      <c r="N1565" s="276"/>
      <c r="O1565" s="276"/>
      <c r="P1565" s="276"/>
      <c r="Q1565" s="276"/>
      <c r="R1565" s="276"/>
      <c r="S1565" s="276"/>
      <c r="T1565" s="276"/>
      <c r="U1565" s="276"/>
      <c r="V1565" s="276"/>
      <c r="W1565" s="276"/>
      <c r="X1565" s="276"/>
    </row>
    <row r="1566" ht="15.75" customHeight="1">
      <c r="A1566" s="403"/>
      <c r="B1566" s="284">
        <f t="shared" si="32"/>
        <v>30</v>
      </c>
      <c r="C1566" s="284">
        <f t="shared" si="33"/>
        <v>12</v>
      </c>
      <c r="D1566" s="284">
        <f t="shared" si="34"/>
        <v>1899</v>
      </c>
      <c r="E1566" s="490"/>
      <c r="F1566" s="30"/>
      <c r="G1566" s="30"/>
      <c r="H1566" s="288">
        <f t="shared" si="35"/>
        <v>0</v>
      </c>
      <c r="I1566" s="490"/>
      <c r="J1566" s="276"/>
      <c r="K1566" s="276"/>
      <c r="L1566" s="276"/>
      <c r="M1566" s="276"/>
      <c r="N1566" s="276"/>
      <c r="O1566" s="276"/>
      <c r="P1566" s="276"/>
      <c r="Q1566" s="276"/>
      <c r="R1566" s="276"/>
      <c r="S1566" s="276"/>
      <c r="T1566" s="276"/>
      <c r="U1566" s="276"/>
      <c r="V1566" s="276"/>
      <c r="W1566" s="276"/>
      <c r="X1566" s="276"/>
    </row>
    <row r="1567" ht="15.75" customHeight="1">
      <c r="A1567" s="403"/>
      <c r="B1567" s="284">
        <f t="shared" si="32"/>
        <v>30</v>
      </c>
      <c r="C1567" s="284">
        <f t="shared" si="33"/>
        <v>12</v>
      </c>
      <c r="D1567" s="284">
        <f t="shared" si="34"/>
        <v>1899</v>
      </c>
      <c r="E1567" s="490"/>
      <c r="F1567" s="30"/>
      <c r="G1567" s="30"/>
      <c r="H1567" s="288">
        <f t="shared" si="35"/>
        <v>0</v>
      </c>
      <c r="I1567" s="490"/>
      <c r="J1567" s="276"/>
      <c r="K1567" s="276"/>
      <c r="L1567" s="276"/>
      <c r="M1567" s="276"/>
      <c r="N1567" s="276"/>
      <c r="O1567" s="276"/>
      <c r="P1567" s="276"/>
      <c r="Q1567" s="276"/>
      <c r="R1567" s="276"/>
      <c r="S1567" s="276"/>
      <c r="T1567" s="276"/>
      <c r="U1567" s="276"/>
      <c r="V1567" s="276"/>
      <c r="W1567" s="276"/>
      <c r="X1567" s="276"/>
    </row>
    <row r="1568" ht="15.75" customHeight="1">
      <c r="A1568" s="403"/>
      <c r="B1568" s="284">
        <f t="shared" si="32"/>
        <v>30</v>
      </c>
      <c r="C1568" s="284">
        <f t="shared" si="33"/>
        <v>12</v>
      </c>
      <c r="D1568" s="284">
        <f t="shared" si="34"/>
        <v>1899</v>
      </c>
      <c r="E1568" s="490"/>
      <c r="F1568" s="30"/>
      <c r="G1568" s="30"/>
      <c r="H1568" s="288">
        <f t="shared" si="35"/>
        <v>0</v>
      </c>
      <c r="I1568" s="490"/>
      <c r="J1568" s="276"/>
      <c r="K1568" s="276"/>
      <c r="L1568" s="276"/>
      <c r="M1568" s="276"/>
      <c r="N1568" s="276"/>
      <c r="O1568" s="276"/>
      <c r="P1568" s="276"/>
      <c r="Q1568" s="276"/>
      <c r="R1568" s="276"/>
      <c r="S1568" s="276"/>
      <c r="T1568" s="276"/>
      <c r="U1568" s="276"/>
      <c r="V1568" s="276"/>
      <c r="W1568" s="276"/>
      <c r="X1568" s="276"/>
    </row>
    <row r="1569" ht="15.75" customHeight="1">
      <c r="A1569" s="403"/>
      <c r="B1569" s="284">
        <f t="shared" si="32"/>
        <v>30</v>
      </c>
      <c r="C1569" s="284">
        <f t="shared" si="33"/>
        <v>12</v>
      </c>
      <c r="D1569" s="284">
        <f t="shared" si="34"/>
        <v>1899</v>
      </c>
      <c r="E1569" s="490"/>
      <c r="F1569" s="30"/>
      <c r="G1569" s="30"/>
      <c r="H1569" s="288">
        <f t="shared" si="35"/>
        <v>0</v>
      </c>
      <c r="I1569" s="490"/>
      <c r="J1569" s="276"/>
      <c r="K1569" s="276"/>
      <c r="L1569" s="276"/>
      <c r="M1569" s="276"/>
      <c r="N1569" s="276"/>
      <c r="O1569" s="276"/>
      <c r="P1569" s="276"/>
      <c r="Q1569" s="276"/>
      <c r="R1569" s="276"/>
      <c r="S1569" s="276"/>
      <c r="T1569" s="276"/>
      <c r="U1569" s="276"/>
      <c r="V1569" s="276"/>
      <c r="W1569" s="276"/>
      <c r="X1569" s="276"/>
    </row>
    <row r="1570" ht="15.75" customHeight="1">
      <c r="A1570" s="403"/>
      <c r="B1570" s="284">
        <f t="shared" si="32"/>
        <v>30</v>
      </c>
      <c r="C1570" s="284">
        <f t="shared" si="33"/>
        <v>12</v>
      </c>
      <c r="D1570" s="284">
        <f t="shared" si="34"/>
        <v>1899</v>
      </c>
      <c r="E1570" s="490"/>
      <c r="F1570" s="30"/>
      <c r="G1570" s="30"/>
      <c r="H1570" s="288">
        <f t="shared" si="35"/>
        <v>0</v>
      </c>
      <c r="I1570" s="490"/>
      <c r="J1570" s="276"/>
      <c r="K1570" s="276"/>
      <c r="L1570" s="276"/>
      <c r="M1570" s="276"/>
      <c r="N1570" s="276"/>
      <c r="O1570" s="276"/>
      <c r="P1570" s="276"/>
      <c r="Q1570" s="276"/>
      <c r="R1570" s="276"/>
      <c r="S1570" s="276"/>
      <c r="T1570" s="276"/>
      <c r="U1570" s="276"/>
      <c r="V1570" s="276"/>
      <c r="W1570" s="276"/>
      <c r="X1570" s="276"/>
    </row>
    <row r="1571" ht="15.75" customHeight="1">
      <c r="A1571" s="403"/>
      <c r="B1571" s="284">
        <f t="shared" si="32"/>
        <v>30</v>
      </c>
      <c r="C1571" s="284">
        <f t="shared" si="33"/>
        <v>12</v>
      </c>
      <c r="D1571" s="284">
        <f t="shared" si="34"/>
        <v>1899</v>
      </c>
      <c r="E1571" s="490"/>
      <c r="F1571" s="30"/>
      <c r="G1571" s="30"/>
      <c r="H1571" s="288">
        <f t="shared" si="35"/>
        <v>0</v>
      </c>
      <c r="I1571" s="490"/>
      <c r="J1571" s="276"/>
      <c r="K1571" s="276"/>
      <c r="L1571" s="276"/>
      <c r="M1571" s="276"/>
      <c r="N1571" s="276"/>
      <c r="O1571" s="276"/>
      <c r="P1571" s="276"/>
      <c r="Q1571" s="276"/>
      <c r="R1571" s="276"/>
      <c r="S1571" s="276"/>
      <c r="T1571" s="276"/>
      <c r="U1571" s="276"/>
      <c r="V1571" s="276"/>
      <c r="W1571" s="276"/>
      <c r="X1571" s="276"/>
    </row>
    <row r="1572" ht="15.75" customHeight="1">
      <c r="A1572" s="403"/>
      <c r="B1572" s="284">
        <f t="shared" si="32"/>
        <v>30</v>
      </c>
      <c r="C1572" s="284">
        <f t="shared" si="33"/>
        <v>12</v>
      </c>
      <c r="D1572" s="284">
        <f t="shared" si="34"/>
        <v>1899</v>
      </c>
      <c r="E1572" s="490"/>
      <c r="F1572" s="30"/>
      <c r="G1572" s="30"/>
      <c r="H1572" s="288">
        <f t="shared" si="35"/>
        <v>0</v>
      </c>
      <c r="I1572" s="490"/>
      <c r="J1572" s="276"/>
      <c r="K1572" s="276"/>
      <c r="L1572" s="276"/>
      <c r="M1572" s="276"/>
      <c r="N1572" s="276"/>
      <c r="O1572" s="276"/>
      <c r="P1572" s="276"/>
      <c r="Q1572" s="276"/>
      <c r="R1572" s="276"/>
      <c r="S1572" s="276"/>
      <c r="T1572" s="276"/>
      <c r="U1572" s="276"/>
      <c r="V1572" s="276"/>
      <c r="W1572" s="276"/>
      <c r="X1572" s="276"/>
    </row>
    <row r="1573" ht="15.75" customHeight="1">
      <c r="A1573" s="403"/>
      <c r="B1573" s="284">
        <f t="shared" si="32"/>
        <v>30</v>
      </c>
      <c r="C1573" s="284">
        <f t="shared" si="33"/>
        <v>12</v>
      </c>
      <c r="D1573" s="284">
        <f t="shared" si="34"/>
        <v>1899</v>
      </c>
      <c r="E1573" s="490"/>
      <c r="F1573" s="30"/>
      <c r="G1573" s="30"/>
      <c r="H1573" s="288">
        <f t="shared" si="35"/>
        <v>0</v>
      </c>
      <c r="I1573" s="490"/>
      <c r="J1573" s="276"/>
      <c r="K1573" s="276"/>
      <c r="L1573" s="276"/>
      <c r="M1573" s="276"/>
      <c r="N1573" s="276"/>
      <c r="O1573" s="276"/>
      <c r="P1573" s="276"/>
      <c r="Q1573" s="276"/>
      <c r="R1573" s="276"/>
      <c r="S1573" s="276"/>
      <c r="T1573" s="276"/>
      <c r="U1573" s="276"/>
      <c r="V1573" s="276"/>
      <c r="W1573" s="276"/>
      <c r="X1573" s="276"/>
    </row>
    <row r="1574" ht="15.75" customHeight="1">
      <c r="A1574" s="403"/>
      <c r="B1574" s="284">
        <f t="shared" si="32"/>
        <v>30</v>
      </c>
      <c r="C1574" s="284">
        <f t="shared" si="33"/>
        <v>12</v>
      </c>
      <c r="D1574" s="284">
        <f t="shared" si="34"/>
        <v>1899</v>
      </c>
      <c r="E1574" s="490"/>
      <c r="F1574" s="30"/>
      <c r="G1574" s="30"/>
      <c r="H1574" s="288">
        <f t="shared" si="35"/>
        <v>0</v>
      </c>
      <c r="I1574" s="490"/>
      <c r="J1574" s="276"/>
      <c r="K1574" s="276"/>
      <c r="L1574" s="276"/>
      <c r="M1574" s="276"/>
      <c r="N1574" s="276"/>
      <c r="O1574" s="276"/>
      <c r="P1574" s="276"/>
      <c r="Q1574" s="276"/>
      <c r="R1574" s="276"/>
      <c r="S1574" s="276"/>
      <c r="T1574" s="276"/>
      <c r="U1574" s="276"/>
      <c r="V1574" s="276"/>
      <c r="W1574" s="276"/>
      <c r="X1574" s="276"/>
    </row>
    <row r="1575" ht="15.75" customHeight="1">
      <c r="A1575" s="403"/>
      <c r="B1575" s="284">
        <f t="shared" si="32"/>
        <v>30</v>
      </c>
      <c r="C1575" s="284">
        <f t="shared" si="33"/>
        <v>12</v>
      </c>
      <c r="D1575" s="284">
        <f t="shared" si="34"/>
        <v>1899</v>
      </c>
      <c r="E1575" s="490"/>
      <c r="F1575" s="30"/>
      <c r="G1575" s="30"/>
      <c r="H1575" s="288">
        <f t="shared" si="35"/>
        <v>0</v>
      </c>
      <c r="I1575" s="490"/>
      <c r="J1575" s="276"/>
      <c r="K1575" s="276"/>
      <c r="L1575" s="276"/>
      <c r="M1575" s="276"/>
      <c r="N1575" s="276"/>
      <c r="O1575" s="276"/>
      <c r="P1575" s="276"/>
      <c r="Q1575" s="276"/>
      <c r="R1575" s="276"/>
      <c r="S1575" s="276"/>
      <c r="T1575" s="276"/>
      <c r="U1575" s="276"/>
      <c r="V1575" s="276"/>
      <c r="W1575" s="276"/>
      <c r="X1575" s="276"/>
    </row>
    <row r="1576" ht="15.75" customHeight="1">
      <c r="A1576" s="403"/>
      <c r="B1576" s="284">
        <f t="shared" si="32"/>
        <v>30</v>
      </c>
      <c r="C1576" s="284">
        <f t="shared" si="33"/>
        <v>12</v>
      </c>
      <c r="D1576" s="284">
        <f t="shared" si="34"/>
        <v>1899</v>
      </c>
      <c r="E1576" s="490"/>
      <c r="F1576" s="30"/>
      <c r="G1576" s="30"/>
      <c r="H1576" s="288">
        <f t="shared" si="35"/>
        <v>0</v>
      </c>
      <c r="I1576" s="490"/>
      <c r="J1576" s="276"/>
      <c r="K1576" s="276"/>
      <c r="L1576" s="276"/>
      <c r="M1576" s="276"/>
      <c r="N1576" s="276"/>
      <c r="O1576" s="276"/>
      <c r="P1576" s="276"/>
      <c r="Q1576" s="276"/>
      <c r="R1576" s="276"/>
      <c r="S1576" s="276"/>
      <c r="T1576" s="276"/>
      <c r="U1576" s="276"/>
      <c r="V1576" s="276"/>
      <c r="W1576" s="276"/>
      <c r="X1576" s="276"/>
    </row>
    <row r="1577" ht="15.75" customHeight="1">
      <c r="A1577" s="403"/>
      <c r="B1577" s="284">
        <f t="shared" si="32"/>
        <v>30</v>
      </c>
      <c r="C1577" s="284">
        <f t="shared" si="33"/>
        <v>12</v>
      </c>
      <c r="D1577" s="284">
        <f t="shared" si="34"/>
        <v>1899</v>
      </c>
      <c r="E1577" s="490"/>
      <c r="F1577" s="30"/>
      <c r="G1577" s="30"/>
      <c r="H1577" s="288">
        <f t="shared" si="35"/>
        <v>0</v>
      </c>
      <c r="I1577" s="490"/>
      <c r="J1577" s="276"/>
      <c r="K1577" s="276"/>
      <c r="L1577" s="276"/>
      <c r="M1577" s="276"/>
      <c r="N1577" s="276"/>
      <c r="O1577" s="276"/>
      <c r="P1577" s="276"/>
      <c r="Q1577" s="276"/>
      <c r="R1577" s="276"/>
      <c r="S1577" s="276"/>
      <c r="T1577" s="276"/>
      <c r="U1577" s="276"/>
      <c r="V1577" s="276"/>
      <c r="W1577" s="276"/>
      <c r="X1577" s="276"/>
    </row>
    <row r="1578" ht="15.75" customHeight="1">
      <c r="A1578" s="403"/>
      <c r="B1578" s="284">
        <f t="shared" si="32"/>
        <v>30</v>
      </c>
      <c r="C1578" s="284">
        <f t="shared" si="33"/>
        <v>12</v>
      </c>
      <c r="D1578" s="284">
        <f t="shared" si="34"/>
        <v>1899</v>
      </c>
      <c r="E1578" s="490"/>
      <c r="F1578" s="30"/>
      <c r="G1578" s="30"/>
      <c r="H1578" s="288">
        <f t="shared" si="35"/>
        <v>0</v>
      </c>
      <c r="I1578" s="490"/>
      <c r="J1578" s="276"/>
      <c r="K1578" s="276"/>
      <c r="L1578" s="276"/>
      <c r="M1578" s="276"/>
      <c r="N1578" s="276"/>
      <c r="O1578" s="276"/>
      <c r="P1578" s="276"/>
      <c r="Q1578" s="276"/>
      <c r="R1578" s="276"/>
      <c r="S1578" s="276"/>
      <c r="T1578" s="276"/>
      <c r="U1578" s="276"/>
      <c r="V1578" s="276"/>
      <c r="W1578" s="276"/>
      <c r="X1578" s="276"/>
    </row>
    <row r="1579" ht="15.75" customHeight="1">
      <c r="A1579" s="403"/>
      <c r="B1579" s="284">
        <f t="shared" si="32"/>
        <v>30</v>
      </c>
      <c r="C1579" s="284">
        <f t="shared" si="33"/>
        <v>12</v>
      </c>
      <c r="D1579" s="284">
        <f t="shared" si="34"/>
        <v>1899</v>
      </c>
      <c r="E1579" s="490"/>
      <c r="F1579" s="30"/>
      <c r="G1579" s="30"/>
      <c r="H1579" s="288">
        <f t="shared" si="35"/>
        <v>0</v>
      </c>
      <c r="I1579" s="490"/>
      <c r="J1579" s="276"/>
      <c r="K1579" s="276"/>
      <c r="L1579" s="276"/>
      <c r="M1579" s="276"/>
      <c r="N1579" s="276"/>
      <c r="O1579" s="276"/>
      <c r="P1579" s="276"/>
      <c r="Q1579" s="276"/>
      <c r="R1579" s="276"/>
      <c r="S1579" s="276"/>
      <c r="T1579" s="276"/>
      <c r="U1579" s="276"/>
      <c r="V1579" s="276"/>
      <c r="W1579" s="276"/>
      <c r="X1579" s="276"/>
    </row>
    <row r="1580" ht="15.75" customHeight="1">
      <c r="A1580" s="403"/>
      <c r="B1580" s="284">
        <f t="shared" si="32"/>
        <v>30</v>
      </c>
      <c r="C1580" s="284">
        <f t="shared" si="33"/>
        <v>12</v>
      </c>
      <c r="D1580" s="284">
        <f t="shared" si="34"/>
        <v>1899</v>
      </c>
      <c r="E1580" s="490"/>
      <c r="F1580" s="30"/>
      <c r="G1580" s="30"/>
      <c r="H1580" s="288">
        <f t="shared" si="35"/>
        <v>0</v>
      </c>
      <c r="I1580" s="490"/>
      <c r="J1580" s="276"/>
      <c r="K1580" s="276"/>
      <c r="L1580" s="276"/>
      <c r="M1580" s="276"/>
      <c r="N1580" s="276"/>
      <c r="O1580" s="276"/>
      <c r="P1580" s="276"/>
      <c r="Q1580" s="276"/>
      <c r="R1580" s="276"/>
      <c r="S1580" s="276"/>
      <c r="T1580" s="276"/>
      <c r="U1580" s="276"/>
      <c r="V1580" s="276"/>
      <c r="W1580" s="276"/>
      <c r="X1580" s="276"/>
    </row>
    <row r="1581" ht="15.75" customHeight="1">
      <c r="A1581" s="403"/>
      <c r="B1581" s="284">
        <f t="shared" si="32"/>
        <v>30</v>
      </c>
      <c r="C1581" s="284">
        <f t="shared" si="33"/>
        <v>12</v>
      </c>
      <c r="D1581" s="284">
        <f t="shared" si="34"/>
        <v>1899</v>
      </c>
      <c r="E1581" s="490"/>
      <c r="F1581" s="30"/>
      <c r="G1581" s="30"/>
      <c r="H1581" s="288">
        <f t="shared" si="35"/>
        <v>0</v>
      </c>
      <c r="I1581" s="490"/>
      <c r="J1581" s="276"/>
      <c r="K1581" s="276"/>
      <c r="L1581" s="276"/>
      <c r="M1581" s="276"/>
      <c r="N1581" s="276"/>
      <c r="O1581" s="276"/>
      <c r="P1581" s="276"/>
      <c r="Q1581" s="276"/>
      <c r="R1581" s="276"/>
      <c r="S1581" s="276"/>
      <c r="T1581" s="276"/>
      <c r="U1581" s="276"/>
      <c r="V1581" s="276"/>
      <c r="W1581" s="276"/>
      <c r="X1581" s="276"/>
    </row>
    <row r="1582" ht="15.75" customHeight="1">
      <c r="A1582" s="403"/>
      <c r="B1582" s="284">
        <f t="shared" si="32"/>
        <v>30</v>
      </c>
      <c r="C1582" s="284">
        <f t="shared" si="33"/>
        <v>12</v>
      </c>
      <c r="D1582" s="284">
        <f t="shared" si="34"/>
        <v>1899</v>
      </c>
      <c r="E1582" s="490"/>
      <c r="F1582" s="30"/>
      <c r="G1582" s="30"/>
      <c r="H1582" s="288">
        <f t="shared" si="35"/>
        <v>0</v>
      </c>
      <c r="I1582" s="490"/>
      <c r="J1582" s="276"/>
      <c r="K1582" s="276"/>
      <c r="L1582" s="276"/>
      <c r="M1582" s="276"/>
      <c r="N1582" s="276"/>
      <c r="O1582" s="276"/>
      <c r="P1582" s="276"/>
      <c r="Q1582" s="276"/>
      <c r="R1582" s="276"/>
      <c r="S1582" s="276"/>
      <c r="T1582" s="276"/>
      <c r="U1582" s="276"/>
      <c r="V1582" s="276"/>
      <c r="W1582" s="276"/>
      <c r="X1582" s="276"/>
    </row>
    <row r="1583" ht="15.75" customHeight="1">
      <c r="A1583" s="403"/>
      <c r="B1583" s="284">
        <f t="shared" si="32"/>
        <v>30</v>
      </c>
      <c r="C1583" s="284">
        <f t="shared" si="33"/>
        <v>12</v>
      </c>
      <c r="D1583" s="284">
        <f t="shared" si="34"/>
        <v>1899</v>
      </c>
      <c r="E1583" s="490"/>
      <c r="F1583" s="30"/>
      <c r="G1583" s="30"/>
      <c r="H1583" s="288">
        <f t="shared" si="35"/>
        <v>0</v>
      </c>
      <c r="I1583" s="490"/>
      <c r="J1583" s="276"/>
      <c r="K1583" s="276"/>
      <c r="L1583" s="276"/>
      <c r="M1583" s="276"/>
      <c r="N1583" s="276"/>
      <c r="O1583" s="276"/>
      <c r="P1583" s="276"/>
      <c r="Q1583" s="276"/>
      <c r="R1583" s="276"/>
      <c r="S1583" s="276"/>
      <c r="T1583" s="276"/>
      <c r="U1583" s="276"/>
      <c r="V1583" s="276"/>
      <c r="W1583" s="276"/>
      <c r="X1583" s="276"/>
    </row>
    <row r="1584" ht="15.75" customHeight="1">
      <c r="A1584" s="403"/>
      <c r="B1584" s="284">
        <f t="shared" si="32"/>
        <v>30</v>
      </c>
      <c r="C1584" s="284">
        <f t="shared" si="33"/>
        <v>12</v>
      </c>
      <c r="D1584" s="284">
        <f t="shared" si="34"/>
        <v>1899</v>
      </c>
      <c r="E1584" s="490"/>
      <c r="F1584" s="30"/>
      <c r="G1584" s="30"/>
      <c r="H1584" s="288">
        <f t="shared" si="35"/>
        <v>0</v>
      </c>
      <c r="I1584" s="490"/>
      <c r="J1584" s="276"/>
      <c r="K1584" s="276"/>
      <c r="L1584" s="276"/>
      <c r="M1584" s="276"/>
      <c r="N1584" s="276"/>
      <c r="O1584" s="276"/>
      <c r="P1584" s="276"/>
      <c r="Q1584" s="276"/>
      <c r="R1584" s="276"/>
      <c r="S1584" s="276"/>
      <c r="T1584" s="276"/>
      <c r="U1584" s="276"/>
      <c r="V1584" s="276"/>
      <c r="W1584" s="276"/>
      <c r="X1584" s="276"/>
    </row>
    <row r="1585" ht="15.75" customHeight="1">
      <c r="A1585" s="403"/>
      <c r="B1585" s="284">
        <f t="shared" si="32"/>
        <v>30</v>
      </c>
      <c r="C1585" s="284">
        <f t="shared" si="33"/>
        <v>12</v>
      </c>
      <c r="D1585" s="284">
        <f t="shared" si="34"/>
        <v>1899</v>
      </c>
      <c r="E1585" s="490"/>
      <c r="F1585" s="30"/>
      <c r="G1585" s="30"/>
      <c r="H1585" s="288">
        <f t="shared" si="35"/>
        <v>0</v>
      </c>
      <c r="I1585" s="490"/>
      <c r="J1585" s="276"/>
      <c r="K1585" s="276"/>
      <c r="L1585" s="276"/>
      <c r="M1585" s="276"/>
      <c r="N1585" s="276"/>
      <c r="O1585" s="276"/>
      <c r="P1585" s="276"/>
      <c r="Q1585" s="276"/>
      <c r="R1585" s="276"/>
      <c r="S1585" s="276"/>
      <c r="T1585" s="276"/>
      <c r="U1585" s="276"/>
      <c r="V1585" s="276"/>
      <c r="W1585" s="276"/>
      <c r="X1585" s="276"/>
    </row>
    <row r="1586" ht="15.75" customHeight="1">
      <c r="A1586" s="403"/>
      <c r="B1586" s="284">
        <f t="shared" si="32"/>
        <v>30</v>
      </c>
      <c r="C1586" s="284">
        <f t="shared" si="33"/>
        <v>12</v>
      </c>
      <c r="D1586" s="284">
        <f t="shared" si="34"/>
        <v>1899</v>
      </c>
      <c r="E1586" s="490"/>
      <c r="F1586" s="30"/>
      <c r="G1586" s="30"/>
      <c r="H1586" s="288">
        <f t="shared" si="35"/>
        <v>0</v>
      </c>
      <c r="I1586" s="490"/>
      <c r="J1586" s="276"/>
      <c r="K1586" s="276"/>
      <c r="L1586" s="276"/>
      <c r="M1586" s="276"/>
      <c r="N1586" s="276"/>
      <c r="O1586" s="276"/>
      <c r="P1586" s="276"/>
      <c r="Q1586" s="276"/>
      <c r="R1586" s="276"/>
      <c r="S1586" s="276"/>
      <c r="T1586" s="276"/>
      <c r="U1586" s="276"/>
      <c r="V1586" s="276"/>
      <c r="W1586" s="276"/>
      <c r="X1586" s="276"/>
    </row>
    <row r="1587" ht="15.75" customHeight="1">
      <c r="A1587" s="403"/>
      <c r="B1587" s="284">
        <f t="shared" si="32"/>
        <v>30</v>
      </c>
      <c r="C1587" s="284">
        <f t="shared" si="33"/>
        <v>12</v>
      </c>
      <c r="D1587" s="284">
        <f t="shared" si="34"/>
        <v>1899</v>
      </c>
      <c r="E1587" s="490"/>
      <c r="F1587" s="30"/>
      <c r="G1587" s="30"/>
      <c r="H1587" s="288">
        <f t="shared" si="35"/>
        <v>0</v>
      </c>
      <c r="I1587" s="490"/>
      <c r="J1587" s="276"/>
      <c r="K1587" s="276"/>
      <c r="L1587" s="276"/>
      <c r="M1587" s="276"/>
      <c r="N1587" s="276"/>
      <c r="O1587" s="276"/>
      <c r="P1587" s="276"/>
      <c r="Q1587" s="276"/>
      <c r="R1587" s="276"/>
      <c r="S1587" s="276"/>
      <c r="T1587" s="276"/>
      <c r="U1587" s="276"/>
      <c r="V1587" s="276"/>
      <c r="W1587" s="276"/>
      <c r="X1587" s="276"/>
    </row>
    <row r="1588" ht="15.75" customHeight="1">
      <c r="A1588" s="403"/>
      <c r="B1588" s="284">
        <f t="shared" si="32"/>
        <v>30</v>
      </c>
      <c r="C1588" s="284">
        <f t="shared" si="33"/>
        <v>12</v>
      </c>
      <c r="D1588" s="284">
        <f t="shared" si="34"/>
        <v>1899</v>
      </c>
      <c r="E1588" s="490"/>
      <c r="F1588" s="30"/>
      <c r="G1588" s="30"/>
      <c r="H1588" s="288">
        <f t="shared" si="35"/>
        <v>0</v>
      </c>
      <c r="I1588" s="490"/>
      <c r="J1588" s="276"/>
      <c r="K1588" s="276"/>
      <c r="L1588" s="276"/>
      <c r="M1588" s="276"/>
      <c r="N1588" s="276"/>
      <c r="O1588" s="276"/>
      <c r="P1588" s="276"/>
      <c r="Q1588" s="276"/>
      <c r="R1588" s="276"/>
      <c r="S1588" s="276"/>
      <c r="T1588" s="276"/>
      <c r="U1588" s="276"/>
      <c r="V1588" s="276"/>
      <c r="W1588" s="276"/>
      <c r="X1588" s="276"/>
    </row>
    <row r="1589" ht="15.75" customHeight="1">
      <c r="A1589" s="403"/>
      <c r="B1589" s="284">
        <f t="shared" si="32"/>
        <v>30</v>
      </c>
      <c r="C1589" s="284">
        <f t="shared" si="33"/>
        <v>12</v>
      </c>
      <c r="D1589" s="284">
        <f t="shared" si="34"/>
        <v>1899</v>
      </c>
      <c r="E1589" s="490"/>
      <c r="F1589" s="30"/>
      <c r="G1589" s="30"/>
      <c r="H1589" s="288">
        <f t="shared" si="35"/>
        <v>0</v>
      </c>
      <c r="I1589" s="490"/>
      <c r="J1589" s="276"/>
      <c r="K1589" s="276"/>
      <c r="L1589" s="276"/>
      <c r="M1589" s="276"/>
      <c r="N1589" s="276"/>
      <c r="O1589" s="276"/>
      <c r="P1589" s="276"/>
      <c r="Q1589" s="276"/>
      <c r="R1589" s="276"/>
      <c r="S1589" s="276"/>
      <c r="T1589" s="276"/>
      <c r="U1589" s="276"/>
      <c r="V1589" s="276"/>
      <c r="W1589" s="276"/>
      <c r="X1589" s="276"/>
    </row>
    <row r="1590" ht="15.75" customHeight="1">
      <c r="A1590" s="403"/>
      <c r="B1590" s="284">
        <f t="shared" si="32"/>
        <v>30</v>
      </c>
      <c r="C1590" s="284">
        <f t="shared" si="33"/>
        <v>12</v>
      </c>
      <c r="D1590" s="284">
        <f t="shared" si="34"/>
        <v>1899</v>
      </c>
      <c r="E1590" s="490"/>
      <c r="F1590" s="30"/>
      <c r="G1590" s="30"/>
      <c r="H1590" s="288">
        <f t="shared" si="35"/>
        <v>0</v>
      </c>
      <c r="I1590" s="490"/>
      <c r="J1590" s="276"/>
      <c r="K1590" s="276"/>
      <c r="L1590" s="276"/>
      <c r="M1590" s="276"/>
      <c r="N1590" s="276"/>
      <c r="O1590" s="276"/>
      <c r="P1590" s="276"/>
      <c r="Q1590" s="276"/>
      <c r="R1590" s="276"/>
      <c r="S1590" s="276"/>
      <c r="T1590" s="276"/>
      <c r="U1590" s="276"/>
      <c r="V1590" s="276"/>
      <c r="W1590" s="276"/>
      <c r="X1590" s="276"/>
    </row>
    <row r="1591" ht="15.75" customHeight="1">
      <c r="A1591" s="403"/>
      <c r="B1591" s="284">
        <f t="shared" si="32"/>
        <v>30</v>
      </c>
      <c r="C1591" s="284">
        <f t="shared" si="33"/>
        <v>12</v>
      </c>
      <c r="D1591" s="284">
        <f t="shared" si="34"/>
        <v>1899</v>
      </c>
      <c r="E1591" s="490"/>
      <c r="F1591" s="30"/>
      <c r="G1591" s="30"/>
      <c r="H1591" s="288">
        <f t="shared" si="35"/>
        <v>0</v>
      </c>
      <c r="I1591" s="490"/>
      <c r="J1591" s="276"/>
      <c r="K1591" s="276"/>
      <c r="L1591" s="276"/>
      <c r="M1591" s="276"/>
      <c r="N1591" s="276"/>
      <c r="O1591" s="276"/>
      <c r="P1591" s="276"/>
      <c r="Q1591" s="276"/>
      <c r="R1591" s="276"/>
      <c r="S1591" s="276"/>
      <c r="T1591" s="276"/>
      <c r="U1591" s="276"/>
      <c r="V1591" s="276"/>
      <c r="W1591" s="276"/>
      <c r="X1591" s="276"/>
    </row>
    <row r="1592" ht="15.75" customHeight="1">
      <c r="A1592" s="403"/>
      <c r="B1592" s="284">
        <f t="shared" si="32"/>
        <v>30</v>
      </c>
      <c r="C1592" s="284">
        <f t="shared" si="33"/>
        <v>12</v>
      </c>
      <c r="D1592" s="284">
        <f t="shared" si="34"/>
        <v>1899</v>
      </c>
      <c r="E1592" s="490"/>
      <c r="F1592" s="30"/>
      <c r="G1592" s="30"/>
      <c r="H1592" s="288">
        <f t="shared" si="35"/>
        <v>0</v>
      </c>
      <c r="I1592" s="490"/>
      <c r="J1592" s="276"/>
      <c r="K1592" s="276"/>
      <c r="L1592" s="276"/>
      <c r="M1592" s="276"/>
      <c r="N1592" s="276"/>
      <c r="O1592" s="276"/>
      <c r="P1592" s="276"/>
      <c r="Q1592" s="276"/>
      <c r="R1592" s="276"/>
      <c r="S1592" s="276"/>
      <c r="T1592" s="276"/>
      <c r="U1592" s="276"/>
      <c r="V1592" s="276"/>
      <c r="W1592" s="276"/>
      <c r="X1592" s="276"/>
    </row>
    <row r="1593" ht="15.75" customHeight="1">
      <c r="A1593" s="403"/>
      <c r="B1593" s="284">
        <f t="shared" si="32"/>
        <v>30</v>
      </c>
      <c r="C1593" s="284">
        <f t="shared" si="33"/>
        <v>12</v>
      </c>
      <c r="D1593" s="284">
        <f t="shared" si="34"/>
        <v>1899</v>
      </c>
      <c r="E1593" s="490"/>
      <c r="F1593" s="30"/>
      <c r="G1593" s="30"/>
      <c r="H1593" s="288">
        <f t="shared" si="35"/>
        <v>0</v>
      </c>
      <c r="I1593" s="490"/>
      <c r="J1593" s="276"/>
      <c r="K1593" s="276"/>
      <c r="L1593" s="276"/>
      <c r="M1593" s="276"/>
      <c r="N1593" s="276"/>
      <c r="O1593" s="276"/>
      <c r="P1593" s="276"/>
      <c r="Q1593" s="276"/>
      <c r="R1593" s="276"/>
      <c r="S1593" s="276"/>
      <c r="T1593" s="276"/>
      <c r="U1593" s="276"/>
      <c r="V1593" s="276"/>
      <c r="W1593" s="276"/>
      <c r="X1593" s="276"/>
    </row>
    <row r="1594" ht="15.75" customHeight="1">
      <c r="A1594" s="403"/>
      <c r="B1594" s="284">
        <f t="shared" si="32"/>
        <v>30</v>
      </c>
      <c r="C1594" s="284">
        <f t="shared" si="33"/>
        <v>12</v>
      </c>
      <c r="D1594" s="284">
        <f t="shared" si="34"/>
        <v>1899</v>
      </c>
      <c r="E1594" s="490"/>
      <c r="F1594" s="30"/>
      <c r="G1594" s="30"/>
      <c r="H1594" s="288">
        <f t="shared" si="35"/>
        <v>0</v>
      </c>
      <c r="I1594" s="490"/>
      <c r="J1594" s="276"/>
      <c r="K1594" s="276"/>
      <c r="L1594" s="276"/>
      <c r="M1594" s="276"/>
      <c r="N1594" s="276"/>
      <c r="O1594" s="276"/>
      <c r="P1594" s="276"/>
      <c r="Q1594" s="276"/>
      <c r="R1594" s="276"/>
      <c r="S1594" s="276"/>
      <c r="T1594" s="276"/>
      <c r="U1594" s="276"/>
      <c r="V1594" s="276"/>
      <c r="W1594" s="276"/>
      <c r="X1594" s="276"/>
    </row>
    <row r="1595" ht="15.75" customHeight="1">
      <c r="A1595" s="403"/>
      <c r="B1595" s="284">
        <f t="shared" si="32"/>
        <v>30</v>
      </c>
      <c r="C1595" s="284">
        <f t="shared" si="33"/>
        <v>12</v>
      </c>
      <c r="D1595" s="284">
        <f t="shared" si="34"/>
        <v>1899</v>
      </c>
      <c r="E1595" s="490"/>
      <c r="F1595" s="30"/>
      <c r="G1595" s="30"/>
      <c r="H1595" s="288">
        <f t="shared" si="35"/>
        <v>0</v>
      </c>
      <c r="I1595" s="490"/>
      <c r="J1595" s="276"/>
      <c r="K1595" s="276"/>
      <c r="L1595" s="276"/>
      <c r="M1595" s="276"/>
      <c r="N1595" s="276"/>
      <c r="O1595" s="276"/>
      <c r="P1595" s="276"/>
      <c r="Q1595" s="276"/>
      <c r="R1595" s="276"/>
      <c r="S1595" s="276"/>
      <c r="T1595" s="276"/>
      <c r="U1595" s="276"/>
      <c r="V1595" s="276"/>
      <c r="W1595" s="276"/>
      <c r="X1595" s="276"/>
    </row>
    <row r="1596" ht="15.75" customHeight="1">
      <c r="A1596" s="403"/>
      <c r="B1596" s="284">
        <f t="shared" si="32"/>
        <v>30</v>
      </c>
      <c r="C1596" s="284">
        <f t="shared" si="33"/>
        <v>12</v>
      </c>
      <c r="D1596" s="284">
        <f t="shared" si="34"/>
        <v>1899</v>
      </c>
      <c r="E1596" s="490"/>
      <c r="F1596" s="30"/>
      <c r="G1596" s="30"/>
      <c r="H1596" s="288">
        <f t="shared" si="35"/>
        <v>0</v>
      </c>
      <c r="I1596" s="490"/>
      <c r="J1596" s="276"/>
      <c r="K1596" s="276"/>
      <c r="L1596" s="276"/>
      <c r="M1596" s="276"/>
      <c r="N1596" s="276"/>
      <c r="O1596" s="276"/>
      <c r="P1596" s="276"/>
      <c r="Q1596" s="276"/>
      <c r="R1596" s="276"/>
      <c r="S1596" s="276"/>
      <c r="T1596" s="276"/>
      <c r="U1596" s="276"/>
      <c r="V1596" s="276"/>
      <c r="W1596" s="276"/>
      <c r="X1596" s="276"/>
    </row>
    <row r="1597" ht="15.75" customHeight="1">
      <c r="A1597" s="403"/>
      <c r="B1597" s="284">
        <f t="shared" si="32"/>
        <v>30</v>
      </c>
      <c r="C1597" s="284">
        <f t="shared" si="33"/>
        <v>12</v>
      </c>
      <c r="D1597" s="284">
        <f t="shared" si="34"/>
        <v>1899</v>
      </c>
      <c r="E1597" s="490"/>
      <c r="F1597" s="30"/>
      <c r="G1597" s="30"/>
      <c r="H1597" s="288">
        <f t="shared" si="35"/>
        <v>0</v>
      </c>
      <c r="I1597" s="490"/>
      <c r="J1597" s="276"/>
      <c r="K1597" s="276"/>
      <c r="L1597" s="276"/>
      <c r="M1597" s="276"/>
      <c r="N1597" s="276"/>
      <c r="O1597" s="276"/>
      <c r="P1597" s="276"/>
      <c r="Q1597" s="276"/>
      <c r="R1597" s="276"/>
      <c r="S1597" s="276"/>
      <c r="T1597" s="276"/>
      <c r="U1597" s="276"/>
      <c r="V1597" s="276"/>
      <c r="W1597" s="276"/>
      <c r="X1597" s="276"/>
    </row>
    <row r="1598" ht="15.75" customHeight="1">
      <c r="A1598" s="403"/>
      <c r="B1598" s="284">
        <f t="shared" si="32"/>
        <v>30</v>
      </c>
      <c r="C1598" s="284">
        <f t="shared" si="33"/>
        <v>12</v>
      </c>
      <c r="D1598" s="284">
        <f t="shared" si="34"/>
        <v>1899</v>
      </c>
      <c r="E1598" s="490"/>
      <c r="F1598" s="30"/>
      <c r="G1598" s="30"/>
      <c r="H1598" s="288">
        <f t="shared" si="35"/>
        <v>0</v>
      </c>
      <c r="I1598" s="490"/>
      <c r="J1598" s="276"/>
      <c r="K1598" s="276"/>
      <c r="L1598" s="276"/>
      <c r="M1598" s="276"/>
      <c r="N1598" s="276"/>
      <c r="O1598" s="276"/>
      <c r="P1598" s="276"/>
      <c r="Q1598" s="276"/>
      <c r="R1598" s="276"/>
      <c r="S1598" s="276"/>
      <c r="T1598" s="276"/>
      <c r="U1598" s="276"/>
      <c r="V1598" s="276"/>
      <c r="W1598" s="276"/>
      <c r="X1598" s="276"/>
    </row>
    <row r="1599" ht="15.75" customHeight="1">
      <c r="A1599" s="403"/>
      <c r="B1599" s="284">
        <f t="shared" si="32"/>
        <v>30</v>
      </c>
      <c r="C1599" s="284">
        <f t="shared" si="33"/>
        <v>12</v>
      </c>
      <c r="D1599" s="284">
        <f t="shared" si="34"/>
        <v>1899</v>
      </c>
      <c r="E1599" s="490"/>
      <c r="F1599" s="30"/>
      <c r="G1599" s="30"/>
      <c r="H1599" s="288">
        <f t="shared" si="35"/>
        <v>0</v>
      </c>
      <c r="I1599" s="490"/>
      <c r="J1599" s="276"/>
      <c r="K1599" s="276"/>
      <c r="L1599" s="276"/>
      <c r="M1599" s="276"/>
      <c r="N1599" s="276"/>
      <c r="O1599" s="276"/>
      <c r="P1599" s="276"/>
      <c r="Q1599" s="276"/>
      <c r="R1599" s="276"/>
      <c r="S1599" s="276"/>
      <c r="T1599" s="276"/>
      <c r="U1599" s="276"/>
      <c r="V1599" s="276"/>
      <c r="W1599" s="276"/>
      <c r="X1599" s="276"/>
    </row>
    <row r="1600" ht="15.75" customHeight="1">
      <c r="A1600" s="403"/>
      <c r="B1600" s="284">
        <f t="shared" si="32"/>
        <v>30</v>
      </c>
      <c r="C1600" s="284">
        <f t="shared" si="33"/>
        <v>12</v>
      </c>
      <c r="D1600" s="284">
        <f t="shared" si="34"/>
        <v>1899</v>
      </c>
      <c r="E1600" s="490"/>
      <c r="F1600" s="30"/>
      <c r="G1600" s="30"/>
      <c r="H1600" s="288">
        <f t="shared" si="35"/>
        <v>0</v>
      </c>
      <c r="I1600" s="490"/>
      <c r="J1600" s="276"/>
      <c r="K1600" s="276"/>
      <c r="L1600" s="276"/>
      <c r="M1600" s="276"/>
      <c r="N1600" s="276"/>
      <c r="O1600" s="276"/>
      <c r="P1600" s="276"/>
      <c r="Q1600" s="276"/>
      <c r="R1600" s="276"/>
      <c r="S1600" s="276"/>
      <c r="T1600" s="276"/>
      <c r="U1600" s="276"/>
      <c r="V1600" s="276"/>
      <c r="W1600" s="276"/>
      <c r="X1600" s="276"/>
    </row>
    <row r="1601" ht="15.75" customHeight="1">
      <c r="A1601" s="403"/>
      <c r="B1601" s="284">
        <f t="shared" si="32"/>
        <v>30</v>
      </c>
      <c r="C1601" s="284">
        <f t="shared" si="33"/>
        <v>12</v>
      </c>
      <c r="D1601" s="284">
        <f t="shared" si="34"/>
        <v>1899</v>
      </c>
      <c r="E1601" s="490"/>
      <c r="F1601" s="30"/>
      <c r="G1601" s="30"/>
      <c r="H1601" s="288">
        <f t="shared" si="35"/>
        <v>0</v>
      </c>
      <c r="I1601" s="490"/>
      <c r="J1601" s="276"/>
      <c r="K1601" s="276"/>
      <c r="L1601" s="276"/>
      <c r="M1601" s="276"/>
      <c r="N1601" s="276"/>
      <c r="O1601" s="276"/>
      <c r="P1601" s="276"/>
      <c r="Q1601" s="276"/>
      <c r="R1601" s="276"/>
      <c r="S1601" s="276"/>
      <c r="T1601" s="276"/>
      <c r="U1601" s="276"/>
      <c r="V1601" s="276"/>
      <c r="W1601" s="276"/>
      <c r="X1601" s="276"/>
    </row>
    <row r="1602" ht="15.75" customHeight="1">
      <c r="A1602" s="403"/>
      <c r="B1602" s="284">
        <f t="shared" si="32"/>
        <v>30</v>
      </c>
      <c r="C1602" s="284">
        <f t="shared" si="33"/>
        <v>12</v>
      </c>
      <c r="D1602" s="284">
        <f t="shared" si="34"/>
        <v>1899</v>
      </c>
      <c r="E1602" s="490"/>
      <c r="F1602" s="30"/>
      <c r="G1602" s="30"/>
      <c r="H1602" s="288">
        <f t="shared" si="35"/>
        <v>0</v>
      </c>
      <c r="I1602" s="490"/>
      <c r="J1602" s="276"/>
      <c r="K1602" s="276"/>
      <c r="L1602" s="276"/>
      <c r="M1602" s="276"/>
      <c r="N1602" s="276"/>
      <c r="O1602" s="276"/>
      <c r="P1602" s="276"/>
      <c r="Q1602" s="276"/>
      <c r="R1602" s="276"/>
      <c r="S1602" s="276"/>
      <c r="T1602" s="276"/>
      <c r="U1602" s="276"/>
      <c r="V1602" s="276"/>
      <c r="W1602" s="276"/>
      <c r="X1602" s="276"/>
    </row>
    <row r="1603" ht="15.75" customHeight="1">
      <c r="A1603" s="403"/>
      <c r="B1603" s="284">
        <f t="shared" si="32"/>
        <v>30</v>
      </c>
      <c r="C1603" s="284">
        <f t="shared" si="33"/>
        <v>12</v>
      </c>
      <c r="D1603" s="284">
        <f t="shared" si="34"/>
        <v>1899</v>
      </c>
      <c r="E1603" s="490"/>
      <c r="F1603" s="30"/>
      <c r="G1603" s="30"/>
      <c r="H1603" s="288">
        <f t="shared" si="35"/>
        <v>0</v>
      </c>
      <c r="I1603" s="490"/>
      <c r="J1603" s="276"/>
      <c r="K1603" s="276"/>
      <c r="L1603" s="276"/>
      <c r="M1603" s="276"/>
      <c r="N1603" s="276"/>
      <c r="O1603" s="276"/>
      <c r="P1603" s="276"/>
      <c r="Q1603" s="276"/>
      <c r="R1603" s="276"/>
      <c r="S1603" s="276"/>
      <c r="T1603" s="276"/>
      <c r="U1603" s="276"/>
      <c r="V1603" s="276"/>
      <c r="W1603" s="276"/>
      <c r="X1603" s="276"/>
    </row>
    <row r="1604" ht="15.75" customHeight="1">
      <c r="A1604" s="403"/>
      <c r="B1604" s="284">
        <f t="shared" si="32"/>
        <v>30</v>
      </c>
      <c r="C1604" s="284">
        <f t="shared" si="33"/>
        <v>12</v>
      </c>
      <c r="D1604" s="284">
        <f t="shared" si="34"/>
        <v>1899</v>
      </c>
      <c r="E1604" s="490"/>
      <c r="F1604" s="30"/>
      <c r="G1604" s="30"/>
      <c r="H1604" s="288">
        <f t="shared" si="35"/>
        <v>0</v>
      </c>
      <c r="I1604" s="490"/>
      <c r="J1604" s="276"/>
      <c r="K1604" s="276"/>
      <c r="L1604" s="276"/>
      <c r="M1604" s="276"/>
      <c r="N1604" s="276"/>
      <c r="O1604" s="276"/>
      <c r="P1604" s="276"/>
      <c r="Q1604" s="276"/>
      <c r="R1604" s="276"/>
      <c r="S1604" s="276"/>
      <c r="T1604" s="276"/>
      <c r="U1604" s="276"/>
      <c r="V1604" s="276"/>
      <c r="W1604" s="276"/>
      <c r="X1604" s="276"/>
    </row>
    <row r="1605" ht="15.75" customHeight="1">
      <c r="A1605" s="403"/>
      <c r="B1605" s="284">
        <f t="shared" si="32"/>
        <v>30</v>
      </c>
      <c r="C1605" s="284">
        <f t="shared" si="33"/>
        <v>12</v>
      </c>
      <c r="D1605" s="284">
        <f t="shared" si="34"/>
        <v>1899</v>
      </c>
      <c r="E1605" s="490"/>
      <c r="F1605" s="30"/>
      <c r="G1605" s="30"/>
      <c r="H1605" s="288">
        <f t="shared" si="35"/>
        <v>0</v>
      </c>
      <c r="I1605" s="490"/>
      <c r="J1605" s="276"/>
      <c r="K1605" s="276"/>
      <c r="L1605" s="276"/>
      <c r="M1605" s="276"/>
      <c r="N1605" s="276"/>
      <c r="O1605" s="276"/>
      <c r="P1605" s="276"/>
      <c r="Q1605" s="276"/>
      <c r="R1605" s="276"/>
      <c r="S1605" s="276"/>
      <c r="T1605" s="276"/>
      <c r="U1605" s="276"/>
      <c r="V1605" s="276"/>
      <c r="W1605" s="276"/>
      <c r="X1605" s="276"/>
    </row>
    <row r="1606" ht="15.75" customHeight="1">
      <c r="A1606" s="403"/>
      <c r="B1606" s="284">
        <f t="shared" si="32"/>
        <v>30</v>
      </c>
      <c r="C1606" s="284">
        <f t="shared" si="33"/>
        <v>12</v>
      </c>
      <c r="D1606" s="284">
        <f t="shared" si="34"/>
        <v>1899</v>
      </c>
      <c r="E1606" s="490"/>
      <c r="F1606" s="30"/>
      <c r="G1606" s="30"/>
      <c r="H1606" s="288">
        <f t="shared" si="35"/>
        <v>0</v>
      </c>
      <c r="I1606" s="490"/>
      <c r="J1606" s="276"/>
      <c r="K1606" s="276"/>
      <c r="L1606" s="276"/>
      <c r="M1606" s="276"/>
      <c r="N1606" s="276"/>
      <c r="O1606" s="276"/>
      <c r="P1606" s="276"/>
      <c r="Q1606" s="276"/>
      <c r="R1606" s="276"/>
      <c r="S1606" s="276"/>
      <c r="T1606" s="276"/>
      <c r="U1606" s="276"/>
      <c r="V1606" s="276"/>
      <c r="W1606" s="276"/>
      <c r="X1606" s="276"/>
    </row>
    <row r="1607" ht="15.75" customHeight="1">
      <c r="A1607" s="403"/>
      <c r="B1607" s="284">
        <f t="shared" si="32"/>
        <v>30</v>
      </c>
      <c r="C1607" s="284">
        <f t="shared" si="33"/>
        <v>12</v>
      </c>
      <c r="D1607" s="284">
        <f t="shared" si="34"/>
        <v>1899</v>
      </c>
      <c r="E1607" s="490"/>
      <c r="F1607" s="30"/>
      <c r="G1607" s="30"/>
      <c r="H1607" s="288">
        <f t="shared" si="35"/>
        <v>0</v>
      </c>
      <c r="I1607" s="490"/>
      <c r="J1607" s="276"/>
      <c r="K1607" s="276"/>
      <c r="L1607" s="276"/>
      <c r="M1607" s="276"/>
      <c r="N1607" s="276"/>
      <c r="O1607" s="276"/>
      <c r="P1607" s="276"/>
      <c r="Q1607" s="276"/>
      <c r="R1607" s="276"/>
      <c r="S1607" s="276"/>
      <c r="T1607" s="276"/>
      <c r="U1607" s="276"/>
      <c r="V1607" s="276"/>
      <c r="W1607" s="276"/>
      <c r="X1607" s="276"/>
    </row>
    <row r="1608" ht="15.75" customHeight="1">
      <c r="A1608" s="403"/>
      <c r="B1608" s="284">
        <f t="shared" si="32"/>
        <v>30</v>
      </c>
      <c r="C1608" s="284">
        <f t="shared" si="33"/>
        <v>12</v>
      </c>
      <c r="D1608" s="284">
        <f t="shared" si="34"/>
        <v>1899</v>
      </c>
      <c r="E1608" s="490"/>
      <c r="F1608" s="30"/>
      <c r="G1608" s="30"/>
      <c r="H1608" s="288">
        <f t="shared" si="35"/>
        <v>0</v>
      </c>
      <c r="I1608" s="490"/>
      <c r="J1608" s="276"/>
      <c r="K1608" s="276"/>
      <c r="L1608" s="276"/>
      <c r="M1608" s="276"/>
      <c r="N1608" s="276"/>
      <c r="O1608" s="276"/>
      <c r="P1608" s="276"/>
      <c r="Q1608" s="276"/>
      <c r="R1608" s="276"/>
      <c r="S1608" s="276"/>
      <c r="T1608" s="276"/>
      <c r="U1608" s="276"/>
      <c r="V1608" s="276"/>
      <c r="W1608" s="276"/>
      <c r="X1608" s="276"/>
    </row>
    <row r="1609" ht="15.75" customHeight="1">
      <c r="A1609" s="403"/>
      <c r="B1609" s="284">
        <f t="shared" si="32"/>
        <v>30</v>
      </c>
      <c r="C1609" s="284">
        <f t="shared" si="33"/>
        <v>12</v>
      </c>
      <c r="D1609" s="284">
        <f t="shared" si="34"/>
        <v>1899</v>
      </c>
      <c r="E1609" s="490"/>
      <c r="F1609" s="30"/>
      <c r="G1609" s="30"/>
      <c r="H1609" s="288">
        <f t="shared" si="35"/>
        <v>0</v>
      </c>
      <c r="I1609" s="490"/>
      <c r="J1609" s="276"/>
      <c r="K1609" s="276"/>
      <c r="L1609" s="276"/>
      <c r="M1609" s="276"/>
      <c r="N1609" s="276"/>
      <c r="O1609" s="276"/>
      <c r="P1609" s="276"/>
      <c r="Q1609" s="276"/>
      <c r="R1609" s="276"/>
      <c r="S1609" s="276"/>
      <c r="T1609" s="276"/>
      <c r="U1609" s="276"/>
      <c r="V1609" s="276"/>
      <c r="W1609" s="276"/>
      <c r="X1609" s="276"/>
    </row>
    <row r="1610" ht="15.75" customHeight="1">
      <c r="A1610" s="403"/>
      <c r="B1610" s="284">
        <f t="shared" si="32"/>
        <v>30</v>
      </c>
      <c r="C1610" s="284">
        <f t="shared" si="33"/>
        <v>12</v>
      </c>
      <c r="D1610" s="284">
        <f t="shared" si="34"/>
        <v>1899</v>
      </c>
      <c r="E1610" s="490"/>
      <c r="F1610" s="30"/>
      <c r="G1610" s="30"/>
      <c r="H1610" s="288">
        <f t="shared" si="35"/>
        <v>0</v>
      </c>
      <c r="I1610" s="490"/>
      <c r="J1610" s="276"/>
      <c r="K1610" s="276"/>
      <c r="L1610" s="276"/>
      <c r="M1610" s="276"/>
      <c r="N1610" s="276"/>
      <c r="O1610" s="276"/>
      <c r="P1610" s="276"/>
      <c r="Q1610" s="276"/>
      <c r="R1610" s="276"/>
      <c r="S1610" s="276"/>
      <c r="T1610" s="276"/>
      <c r="U1610" s="276"/>
      <c r="V1610" s="276"/>
      <c r="W1610" s="276"/>
      <c r="X1610" s="276"/>
    </row>
    <row r="1611" ht="15.75" customHeight="1">
      <c r="A1611" s="403"/>
      <c r="B1611" s="284">
        <f t="shared" si="32"/>
        <v>30</v>
      </c>
      <c r="C1611" s="284">
        <f t="shared" si="33"/>
        <v>12</v>
      </c>
      <c r="D1611" s="284">
        <f t="shared" si="34"/>
        <v>1899</v>
      </c>
      <c r="E1611" s="490"/>
      <c r="F1611" s="30"/>
      <c r="G1611" s="30"/>
      <c r="H1611" s="288">
        <f t="shared" si="35"/>
        <v>0</v>
      </c>
      <c r="I1611" s="490"/>
      <c r="J1611" s="276"/>
      <c r="K1611" s="276"/>
      <c r="L1611" s="276"/>
      <c r="M1611" s="276"/>
      <c r="N1611" s="276"/>
      <c r="O1611" s="276"/>
      <c r="P1611" s="276"/>
      <c r="Q1611" s="276"/>
      <c r="R1611" s="276"/>
      <c r="S1611" s="276"/>
      <c r="T1611" s="276"/>
      <c r="U1611" s="276"/>
      <c r="V1611" s="276"/>
      <c r="W1611" s="276"/>
      <c r="X1611" s="276"/>
    </row>
    <row r="1612" ht="15.75" customHeight="1">
      <c r="A1612" s="403"/>
      <c r="B1612" s="284">
        <f t="shared" si="32"/>
        <v>30</v>
      </c>
      <c r="C1612" s="284">
        <f t="shared" si="33"/>
        <v>12</v>
      </c>
      <c r="D1612" s="284">
        <f t="shared" si="34"/>
        <v>1899</v>
      </c>
      <c r="E1612" s="490"/>
      <c r="F1612" s="30"/>
      <c r="G1612" s="30"/>
      <c r="H1612" s="288">
        <f t="shared" si="35"/>
        <v>0</v>
      </c>
      <c r="I1612" s="490"/>
      <c r="J1612" s="276"/>
      <c r="K1612" s="276"/>
      <c r="L1612" s="276"/>
      <c r="M1612" s="276"/>
      <c r="N1612" s="276"/>
      <c r="O1612" s="276"/>
      <c r="P1612" s="276"/>
      <c r="Q1612" s="276"/>
      <c r="R1612" s="276"/>
      <c r="S1612" s="276"/>
      <c r="T1612" s="276"/>
      <c r="U1612" s="276"/>
      <c r="V1612" s="276"/>
      <c r="W1612" s="276"/>
      <c r="X1612" s="276"/>
    </row>
    <row r="1613" ht="15.75" customHeight="1">
      <c r="A1613" s="403"/>
      <c r="B1613" s="284">
        <f t="shared" si="32"/>
        <v>30</v>
      </c>
      <c r="C1613" s="284">
        <f t="shared" si="33"/>
        <v>12</v>
      </c>
      <c r="D1613" s="284">
        <f t="shared" si="34"/>
        <v>1899</v>
      </c>
      <c r="E1613" s="490"/>
      <c r="F1613" s="30"/>
      <c r="G1613" s="30"/>
      <c r="H1613" s="288">
        <f t="shared" si="35"/>
        <v>0</v>
      </c>
      <c r="I1613" s="490"/>
      <c r="J1613" s="276"/>
      <c r="K1613" s="276"/>
      <c r="L1613" s="276"/>
      <c r="M1613" s="276"/>
      <c r="N1613" s="276"/>
      <c r="O1613" s="276"/>
      <c r="P1613" s="276"/>
      <c r="Q1613" s="276"/>
      <c r="R1613" s="276"/>
      <c r="S1613" s="276"/>
      <c r="T1613" s="276"/>
      <c r="U1613" s="276"/>
      <c r="V1613" s="276"/>
      <c r="W1613" s="276"/>
      <c r="X1613" s="276"/>
    </row>
    <row r="1614" ht="15.75" customHeight="1">
      <c r="A1614" s="403"/>
      <c r="B1614" s="284">
        <f t="shared" si="32"/>
        <v>30</v>
      </c>
      <c r="C1614" s="284">
        <f t="shared" si="33"/>
        <v>12</v>
      </c>
      <c r="D1614" s="284">
        <f t="shared" si="34"/>
        <v>1899</v>
      </c>
      <c r="E1614" s="490"/>
      <c r="F1614" s="30"/>
      <c r="G1614" s="30"/>
      <c r="H1614" s="288">
        <f t="shared" si="35"/>
        <v>0</v>
      </c>
      <c r="I1614" s="490"/>
      <c r="J1614" s="276"/>
      <c r="K1614" s="276"/>
      <c r="L1614" s="276"/>
      <c r="M1614" s="276"/>
      <c r="N1614" s="276"/>
      <c r="O1614" s="276"/>
      <c r="P1614" s="276"/>
      <c r="Q1614" s="276"/>
      <c r="R1614" s="276"/>
      <c r="S1614" s="276"/>
      <c r="T1614" s="276"/>
      <c r="U1614" s="276"/>
      <c r="V1614" s="276"/>
      <c r="W1614" s="276"/>
      <c r="X1614" s="276"/>
    </row>
    <row r="1615" ht="15.75" customHeight="1">
      <c r="A1615" s="403"/>
      <c r="B1615" s="284">
        <f t="shared" si="32"/>
        <v>30</v>
      </c>
      <c r="C1615" s="284">
        <f t="shared" si="33"/>
        <v>12</v>
      </c>
      <c r="D1615" s="284">
        <f t="shared" si="34"/>
        <v>1899</v>
      </c>
      <c r="E1615" s="490"/>
      <c r="F1615" s="30"/>
      <c r="G1615" s="30"/>
      <c r="H1615" s="288">
        <f t="shared" si="35"/>
        <v>0</v>
      </c>
      <c r="I1615" s="490"/>
      <c r="J1615" s="276"/>
      <c r="K1615" s="276"/>
      <c r="L1615" s="276"/>
      <c r="M1615" s="276"/>
      <c r="N1615" s="276"/>
      <c r="O1615" s="276"/>
      <c r="P1615" s="276"/>
      <c r="Q1615" s="276"/>
      <c r="R1615" s="276"/>
      <c r="S1615" s="276"/>
      <c r="T1615" s="276"/>
      <c r="U1615" s="276"/>
      <c r="V1615" s="276"/>
      <c r="W1615" s="276"/>
      <c r="X1615" s="276"/>
    </row>
    <row r="1616" ht="15.75" customHeight="1">
      <c r="A1616" s="403"/>
      <c r="B1616" s="284">
        <f t="shared" si="32"/>
        <v>30</v>
      </c>
      <c r="C1616" s="284">
        <f t="shared" si="33"/>
        <v>12</v>
      </c>
      <c r="D1616" s="284">
        <f t="shared" si="34"/>
        <v>1899</v>
      </c>
      <c r="E1616" s="490"/>
      <c r="F1616" s="30"/>
      <c r="G1616" s="30"/>
      <c r="H1616" s="288">
        <f t="shared" si="35"/>
        <v>0</v>
      </c>
      <c r="I1616" s="490"/>
      <c r="J1616" s="276"/>
      <c r="K1616" s="276"/>
      <c r="L1616" s="276"/>
      <c r="M1616" s="276"/>
      <c r="N1616" s="276"/>
      <c r="O1616" s="276"/>
      <c r="P1616" s="276"/>
      <c r="Q1616" s="276"/>
      <c r="R1616" s="276"/>
      <c r="S1616" s="276"/>
      <c r="T1616" s="276"/>
      <c r="U1616" s="276"/>
      <c r="V1616" s="276"/>
      <c r="W1616" s="276"/>
      <c r="X1616" s="276"/>
    </row>
    <row r="1617" ht="15.75" customHeight="1">
      <c r="A1617" s="403"/>
      <c r="B1617" s="284">
        <f t="shared" si="32"/>
        <v>30</v>
      </c>
      <c r="C1617" s="284">
        <f t="shared" si="33"/>
        <v>12</v>
      </c>
      <c r="D1617" s="284">
        <f t="shared" si="34"/>
        <v>1899</v>
      </c>
      <c r="E1617" s="490"/>
      <c r="F1617" s="30"/>
      <c r="G1617" s="30"/>
      <c r="H1617" s="288">
        <f t="shared" si="35"/>
        <v>0</v>
      </c>
      <c r="I1617" s="490"/>
      <c r="J1617" s="276"/>
      <c r="K1617" s="276"/>
      <c r="L1617" s="276"/>
      <c r="M1617" s="276"/>
      <c r="N1617" s="276"/>
      <c r="O1617" s="276"/>
      <c r="P1617" s="276"/>
      <c r="Q1617" s="276"/>
      <c r="R1617" s="276"/>
      <c r="S1617" s="276"/>
      <c r="T1617" s="276"/>
      <c r="U1617" s="276"/>
      <c r="V1617" s="276"/>
      <c r="W1617" s="276"/>
      <c r="X1617" s="276"/>
    </row>
    <row r="1618" ht="15.75" customHeight="1">
      <c r="A1618" s="403"/>
      <c r="B1618" s="284">
        <f t="shared" si="32"/>
        <v>30</v>
      </c>
      <c r="C1618" s="284">
        <f t="shared" si="33"/>
        <v>12</v>
      </c>
      <c r="D1618" s="284">
        <f t="shared" si="34"/>
        <v>1899</v>
      </c>
      <c r="E1618" s="490"/>
      <c r="F1618" s="30"/>
      <c r="G1618" s="30"/>
      <c r="H1618" s="288">
        <f t="shared" si="35"/>
        <v>0</v>
      </c>
      <c r="I1618" s="490"/>
      <c r="J1618" s="276"/>
      <c r="K1618" s="276"/>
      <c r="L1618" s="276"/>
      <c r="M1618" s="276"/>
      <c r="N1618" s="276"/>
      <c r="O1618" s="276"/>
      <c r="P1618" s="276"/>
      <c r="Q1618" s="276"/>
      <c r="R1618" s="276"/>
      <c r="S1618" s="276"/>
      <c r="T1618" s="276"/>
      <c r="U1618" s="276"/>
      <c r="V1618" s="276"/>
      <c r="W1618" s="276"/>
      <c r="X1618" s="276"/>
    </row>
    <row r="1619" ht="15.75" customHeight="1">
      <c r="A1619" s="403"/>
      <c r="B1619" s="284">
        <f t="shared" si="32"/>
        <v>30</v>
      </c>
      <c r="C1619" s="284">
        <f t="shared" si="33"/>
        <v>12</v>
      </c>
      <c r="D1619" s="284">
        <f t="shared" si="34"/>
        <v>1899</v>
      </c>
      <c r="E1619" s="490"/>
      <c r="F1619" s="30"/>
      <c r="G1619" s="30"/>
      <c r="H1619" s="288">
        <f t="shared" si="35"/>
        <v>0</v>
      </c>
      <c r="I1619" s="490"/>
      <c r="J1619" s="276"/>
      <c r="K1619" s="276"/>
      <c r="L1619" s="276"/>
      <c r="M1619" s="276"/>
      <c r="N1619" s="276"/>
      <c r="O1619" s="276"/>
      <c r="P1619" s="276"/>
      <c r="Q1619" s="276"/>
      <c r="R1619" s="276"/>
      <c r="S1619" s="276"/>
      <c r="T1619" s="276"/>
      <c r="U1619" s="276"/>
      <c r="V1619" s="276"/>
      <c r="W1619" s="276"/>
      <c r="X1619" s="276"/>
    </row>
    <row r="1620" ht="15.75" customHeight="1">
      <c r="A1620" s="403"/>
      <c r="B1620" s="284">
        <f t="shared" si="32"/>
        <v>30</v>
      </c>
      <c r="C1620" s="284">
        <f t="shared" si="33"/>
        <v>12</v>
      </c>
      <c r="D1620" s="284">
        <f t="shared" si="34"/>
        <v>1899</v>
      </c>
      <c r="E1620" s="490"/>
      <c r="F1620" s="30"/>
      <c r="G1620" s="30"/>
      <c r="H1620" s="288">
        <f t="shared" si="35"/>
        <v>0</v>
      </c>
      <c r="I1620" s="490"/>
      <c r="J1620" s="276"/>
      <c r="K1620" s="276"/>
      <c r="L1620" s="276"/>
      <c r="M1620" s="276"/>
      <c r="N1620" s="276"/>
      <c r="O1620" s="276"/>
      <c r="P1620" s="276"/>
      <c r="Q1620" s="276"/>
      <c r="R1620" s="276"/>
      <c r="S1620" s="276"/>
      <c r="T1620" s="276"/>
      <c r="U1620" s="276"/>
      <c r="V1620" s="276"/>
      <c r="W1620" s="276"/>
      <c r="X1620" s="276"/>
    </row>
    <row r="1621" ht="15.75" customHeight="1">
      <c r="A1621" s="403"/>
      <c r="B1621" s="284">
        <f t="shared" si="32"/>
        <v>30</v>
      </c>
      <c r="C1621" s="284">
        <f t="shared" si="33"/>
        <v>12</v>
      </c>
      <c r="D1621" s="284">
        <f t="shared" si="34"/>
        <v>1899</v>
      </c>
      <c r="E1621" s="490"/>
      <c r="F1621" s="30"/>
      <c r="G1621" s="30"/>
      <c r="H1621" s="288">
        <f t="shared" si="35"/>
        <v>0</v>
      </c>
      <c r="I1621" s="490"/>
      <c r="J1621" s="276"/>
      <c r="K1621" s="276"/>
      <c r="L1621" s="276"/>
      <c r="M1621" s="276"/>
      <c r="N1621" s="276"/>
      <c r="O1621" s="276"/>
      <c r="P1621" s="276"/>
      <c r="Q1621" s="276"/>
      <c r="R1621" s="276"/>
      <c r="S1621" s="276"/>
      <c r="T1621" s="276"/>
      <c r="U1621" s="276"/>
      <c r="V1621" s="276"/>
      <c r="W1621" s="276"/>
      <c r="X1621" s="276"/>
    </row>
    <row r="1622" ht="15.75" customHeight="1">
      <c r="A1622" s="403"/>
      <c r="B1622" s="284">
        <f t="shared" si="32"/>
        <v>30</v>
      </c>
      <c r="C1622" s="284">
        <f t="shared" si="33"/>
        <v>12</v>
      </c>
      <c r="D1622" s="284">
        <f t="shared" si="34"/>
        <v>1899</v>
      </c>
      <c r="E1622" s="490"/>
      <c r="F1622" s="30"/>
      <c r="G1622" s="30"/>
      <c r="H1622" s="288">
        <f t="shared" si="35"/>
        <v>0</v>
      </c>
      <c r="I1622" s="490"/>
      <c r="J1622" s="276"/>
      <c r="K1622" s="276"/>
      <c r="L1622" s="276"/>
      <c r="M1622" s="276"/>
      <c r="N1622" s="276"/>
      <c r="O1622" s="276"/>
      <c r="P1622" s="276"/>
      <c r="Q1622" s="276"/>
      <c r="R1622" s="276"/>
      <c r="S1622" s="276"/>
      <c r="T1622" s="276"/>
      <c r="U1622" s="276"/>
      <c r="V1622" s="276"/>
      <c r="W1622" s="276"/>
      <c r="X1622" s="276"/>
    </row>
    <row r="1623" ht="15.75" customHeight="1">
      <c r="A1623" s="403"/>
      <c r="B1623" s="284">
        <f t="shared" si="32"/>
        <v>30</v>
      </c>
      <c r="C1623" s="284">
        <f t="shared" si="33"/>
        <v>12</v>
      </c>
      <c r="D1623" s="284">
        <f t="shared" si="34"/>
        <v>1899</v>
      </c>
      <c r="E1623" s="490"/>
      <c r="F1623" s="30"/>
      <c r="G1623" s="30"/>
      <c r="H1623" s="288">
        <f t="shared" si="35"/>
        <v>0</v>
      </c>
      <c r="I1623" s="490"/>
      <c r="J1623" s="276"/>
      <c r="K1623" s="276"/>
      <c r="L1623" s="276"/>
      <c r="M1623" s="276"/>
      <c r="N1623" s="276"/>
      <c r="O1623" s="276"/>
      <c r="P1623" s="276"/>
      <c r="Q1623" s="276"/>
      <c r="R1623" s="276"/>
      <c r="S1623" s="276"/>
      <c r="T1623" s="276"/>
      <c r="U1623" s="276"/>
      <c r="V1623" s="276"/>
      <c r="W1623" s="276"/>
      <c r="X1623" s="276"/>
    </row>
    <row r="1624" ht="15.75" customHeight="1">
      <c r="A1624" s="403"/>
      <c r="B1624" s="284">
        <f t="shared" si="32"/>
        <v>30</v>
      </c>
      <c r="C1624" s="284">
        <f t="shared" si="33"/>
        <v>12</v>
      </c>
      <c r="D1624" s="284">
        <f t="shared" si="34"/>
        <v>1899</v>
      </c>
      <c r="E1624" s="490"/>
      <c r="F1624" s="30"/>
      <c r="G1624" s="30"/>
      <c r="H1624" s="288">
        <f t="shared" si="35"/>
        <v>0</v>
      </c>
      <c r="I1624" s="490"/>
      <c r="J1624" s="276"/>
      <c r="K1624" s="276"/>
      <c r="L1624" s="276"/>
      <c r="M1624" s="276"/>
      <c r="N1624" s="276"/>
      <c r="O1624" s="276"/>
      <c r="P1624" s="276"/>
      <c r="Q1624" s="276"/>
      <c r="R1624" s="276"/>
      <c r="S1624" s="276"/>
      <c r="T1624" s="276"/>
      <c r="U1624" s="276"/>
      <c r="V1624" s="276"/>
      <c r="W1624" s="276"/>
      <c r="X1624" s="276"/>
    </row>
    <row r="1625" ht="15.75" customHeight="1">
      <c r="A1625" s="403"/>
      <c r="B1625" s="284">
        <f t="shared" si="32"/>
        <v>30</v>
      </c>
      <c r="C1625" s="284">
        <f t="shared" si="33"/>
        <v>12</v>
      </c>
      <c r="D1625" s="284">
        <f t="shared" si="34"/>
        <v>1899</v>
      </c>
      <c r="E1625" s="490"/>
      <c r="F1625" s="30"/>
      <c r="G1625" s="30"/>
      <c r="H1625" s="288">
        <f t="shared" si="35"/>
        <v>0</v>
      </c>
      <c r="I1625" s="490"/>
      <c r="J1625" s="276"/>
      <c r="K1625" s="276"/>
      <c r="L1625" s="276"/>
      <c r="M1625" s="276"/>
      <c r="N1625" s="276"/>
      <c r="O1625" s="276"/>
      <c r="P1625" s="276"/>
      <c r="Q1625" s="276"/>
      <c r="R1625" s="276"/>
      <c r="S1625" s="276"/>
      <c r="T1625" s="276"/>
      <c r="U1625" s="276"/>
      <c r="V1625" s="276"/>
      <c r="W1625" s="276"/>
      <c r="X1625" s="276"/>
    </row>
    <row r="1626" ht="15.75" customHeight="1">
      <c r="A1626" s="403"/>
      <c r="B1626" s="284">
        <f t="shared" si="32"/>
        <v>30</v>
      </c>
      <c r="C1626" s="284">
        <f t="shared" si="33"/>
        <v>12</v>
      </c>
      <c r="D1626" s="284">
        <f t="shared" si="34"/>
        <v>1899</v>
      </c>
      <c r="E1626" s="490"/>
      <c r="F1626" s="30"/>
      <c r="G1626" s="30"/>
      <c r="H1626" s="288">
        <f t="shared" si="35"/>
        <v>0</v>
      </c>
      <c r="I1626" s="490"/>
      <c r="J1626" s="276"/>
      <c r="K1626" s="276"/>
      <c r="L1626" s="276"/>
      <c r="M1626" s="276"/>
      <c r="N1626" s="276"/>
      <c r="O1626" s="276"/>
      <c r="P1626" s="276"/>
      <c r="Q1626" s="276"/>
      <c r="R1626" s="276"/>
      <c r="S1626" s="276"/>
      <c r="T1626" s="276"/>
      <c r="U1626" s="276"/>
      <c r="V1626" s="276"/>
      <c r="W1626" s="276"/>
      <c r="X1626" s="276"/>
    </row>
    <row r="1627" ht="15.75" customHeight="1">
      <c r="A1627" s="403"/>
      <c r="B1627" s="284">
        <f t="shared" si="32"/>
        <v>30</v>
      </c>
      <c r="C1627" s="284">
        <f t="shared" si="33"/>
        <v>12</v>
      </c>
      <c r="D1627" s="284">
        <f t="shared" si="34"/>
        <v>1899</v>
      </c>
      <c r="E1627" s="490"/>
      <c r="F1627" s="30"/>
      <c r="G1627" s="30"/>
      <c r="H1627" s="288">
        <f t="shared" si="35"/>
        <v>0</v>
      </c>
      <c r="I1627" s="490"/>
      <c r="J1627" s="276"/>
      <c r="K1627" s="276"/>
      <c r="L1627" s="276"/>
      <c r="M1627" s="276"/>
      <c r="N1627" s="276"/>
      <c r="O1627" s="276"/>
      <c r="P1627" s="276"/>
      <c r="Q1627" s="276"/>
      <c r="R1627" s="276"/>
      <c r="S1627" s="276"/>
      <c r="T1627" s="276"/>
      <c r="U1627" s="276"/>
      <c r="V1627" s="276"/>
      <c r="W1627" s="276"/>
      <c r="X1627" s="276"/>
    </row>
    <row r="1628" ht="15.75" customHeight="1">
      <c r="A1628" s="403"/>
      <c r="B1628" s="284">
        <f t="shared" si="32"/>
        <v>30</v>
      </c>
      <c r="C1628" s="284">
        <f t="shared" si="33"/>
        <v>12</v>
      </c>
      <c r="D1628" s="284">
        <f t="shared" si="34"/>
        <v>1899</v>
      </c>
      <c r="E1628" s="490"/>
      <c r="F1628" s="30"/>
      <c r="G1628" s="30"/>
      <c r="H1628" s="288">
        <f t="shared" si="35"/>
        <v>0</v>
      </c>
      <c r="I1628" s="490"/>
      <c r="J1628" s="276"/>
      <c r="K1628" s="276"/>
      <c r="L1628" s="276"/>
      <c r="M1628" s="276"/>
      <c r="N1628" s="276"/>
      <c r="O1628" s="276"/>
      <c r="P1628" s="276"/>
      <c r="Q1628" s="276"/>
      <c r="R1628" s="276"/>
      <c r="S1628" s="276"/>
      <c r="T1628" s="276"/>
      <c r="U1628" s="276"/>
      <c r="V1628" s="276"/>
      <c r="W1628" s="276"/>
      <c r="X1628" s="276"/>
    </row>
    <row r="1629" ht="15.75" customHeight="1">
      <c r="A1629" s="403"/>
      <c r="B1629" s="284">
        <f t="shared" si="32"/>
        <v>30</v>
      </c>
      <c r="C1629" s="284">
        <f t="shared" si="33"/>
        <v>12</v>
      </c>
      <c r="D1629" s="284">
        <f t="shared" si="34"/>
        <v>1899</v>
      </c>
      <c r="E1629" s="490"/>
      <c r="F1629" s="30"/>
      <c r="G1629" s="30"/>
      <c r="H1629" s="288">
        <f t="shared" si="35"/>
        <v>0</v>
      </c>
      <c r="I1629" s="490"/>
      <c r="J1629" s="276"/>
      <c r="K1629" s="276"/>
      <c r="L1629" s="276"/>
      <c r="M1629" s="276"/>
      <c r="N1629" s="276"/>
      <c r="O1629" s="276"/>
      <c r="P1629" s="276"/>
      <c r="Q1629" s="276"/>
      <c r="R1629" s="276"/>
      <c r="S1629" s="276"/>
      <c r="T1629" s="276"/>
      <c r="U1629" s="276"/>
      <c r="V1629" s="276"/>
      <c r="W1629" s="276"/>
      <c r="X1629" s="276"/>
    </row>
    <row r="1630" ht="15.75" customHeight="1">
      <c r="A1630" s="403"/>
      <c r="B1630" s="284">
        <f t="shared" si="32"/>
        <v>30</v>
      </c>
      <c r="C1630" s="284">
        <f t="shared" si="33"/>
        <v>12</v>
      </c>
      <c r="D1630" s="284">
        <f t="shared" si="34"/>
        <v>1899</v>
      </c>
      <c r="E1630" s="490"/>
      <c r="F1630" s="30"/>
      <c r="G1630" s="30"/>
      <c r="H1630" s="288">
        <f t="shared" si="35"/>
        <v>0</v>
      </c>
      <c r="I1630" s="490"/>
      <c r="J1630" s="276"/>
      <c r="K1630" s="276"/>
      <c r="L1630" s="276"/>
      <c r="M1630" s="276"/>
      <c r="N1630" s="276"/>
      <c r="O1630" s="276"/>
      <c r="P1630" s="276"/>
      <c r="Q1630" s="276"/>
      <c r="R1630" s="276"/>
      <c r="S1630" s="276"/>
      <c r="T1630" s="276"/>
      <c r="U1630" s="276"/>
      <c r="V1630" s="276"/>
      <c r="W1630" s="276"/>
      <c r="X1630" s="276"/>
    </row>
    <row r="1631" ht="15.75" customHeight="1">
      <c r="A1631" s="403"/>
      <c r="B1631" s="284">
        <f t="shared" si="32"/>
        <v>30</v>
      </c>
      <c r="C1631" s="284">
        <f t="shared" si="33"/>
        <v>12</v>
      </c>
      <c r="D1631" s="284">
        <f t="shared" si="34"/>
        <v>1899</v>
      </c>
      <c r="E1631" s="490"/>
      <c r="F1631" s="30"/>
      <c r="G1631" s="30"/>
      <c r="H1631" s="288">
        <f t="shared" si="35"/>
        <v>0</v>
      </c>
      <c r="I1631" s="490"/>
      <c r="J1631" s="276"/>
      <c r="K1631" s="276"/>
      <c r="L1631" s="276"/>
      <c r="M1631" s="276"/>
      <c r="N1631" s="276"/>
      <c r="O1631" s="276"/>
      <c r="P1631" s="276"/>
      <c r="Q1631" s="276"/>
      <c r="R1631" s="276"/>
      <c r="S1631" s="276"/>
      <c r="T1631" s="276"/>
      <c r="U1631" s="276"/>
      <c r="V1631" s="276"/>
      <c r="W1631" s="276"/>
      <c r="X1631" s="276"/>
    </row>
    <row r="1632" ht="15.75" customHeight="1">
      <c r="A1632" s="403"/>
      <c r="B1632" s="284">
        <f t="shared" si="32"/>
        <v>30</v>
      </c>
      <c r="C1632" s="284">
        <f t="shared" si="33"/>
        <v>12</v>
      </c>
      <c r="D1632" s="284">
        <f t="shared" si="34"/>
        <v>1899</v>
      </c>
      <c r="E1632" s="490"/>
      <c r="F1632" s="30"/>
      <c r="G1632" s="30"/>
      <c r="H1632" s="288">
        <f t="shared" si="35"/>
        <v>0</v>
      </c>
      <c r="I1632" s="490"/>
      <c r="J1632" s="276"/>
      <c r="K1632" s="276"/>
      <c r="L1632" s="276"/>
      <c r="M1632" s="276"/>
      <c r="N1632" s="276"/>
      <c r="O1632" s="276"/>
      <c r="P1632" s="276"/>
      <c r="Q1632" s="276"/>
      <c r="R1632" s="276"/>
      <c r="S1632" s="276"/>
      <c r="T1632" s="276"/>
      <c r="U1632" s="276"/>
      <c r="V1632" s="276"/>
      <c r="W1632" s="276"/>
      <c r="X1632" s="276"/>
    </row>
    <row r="1633" ht="15.75" customHeight="1">
      <c r="A1633" s="403"/>
      <c r="B1633" s="284">
        <f t="shared" si="32"/>
        <v>30</v>
      </c>
      <c r="C1633" s="284">
        <f t="shared" si="33"/>
        <v>12</v>
      </c>
      <c r="D1633" s="284">
        <f t="shared" si="34"/>
        <v>1899</v>
      </c>
      <c r="E1633" s="490"/>
      <c r="F1633" s="30"/>
      <c r="G1633" s="30"/>
      <c r="H1633" s="288">
        <f t="shared" si="35"/>
        <v>0</v>
      </c>
      <c r="I1633" s="490"/>
      <c r="J1633" s="276"/>
      <c r="K1633" s="276"/>
      <c r="L1633" s="276"/>
      <c r="M1633" s="276"/>
      <c r="N1633" s="276"/>
      <c r="O1633" s="276"/>
      <c r="P1633" s="276"/>
      <c r="Q1633" s="276"/>
      <c r="R1633" s="276"/>
      <c r="S1633" s="276"/>
      <c r="T1633" s="276"/>
      <c r="U1633" s="276"/>
      <c r="V1633" s="276"/>
      <c r="W1633" s="276"/>
      <c r="X1633" s="276"/>
    </row>
    <row r="1634" ht="15.75" customHeight="1">
      <c r="A1634" s="403"/>
      <c r="B1634" s="284">
        <f t="shared" si="32"/>
        <v>30</v>
      </c>
      <c r="C1634" s="284">
        <f t="shared" si="33"/>
        <v>12</v>
      </c>
      <c r="D1634" s="284">
        <f t="shared" si="34"/>
        <v>1899</v>
      </c>
      <c r="E1634" s="490"/>
      <c r="F1634" s="30"/>
      <c r="G1634" s="30"/>
      <c r="H1634" s="288">
        <f t="shared" si="35"/>
        <v>0</v>
      </c>
      <c r="I1634" s="490"/>
      <c r="J1634" s="276"/>
      <c r="K1634" s="276"/>
      <c r="L1634" s="276"/>
      <c r="M1634" s="276"/>
      <c r="N1634" s="276"/>
      <c r="O1634" s="276"/>
      <c r="P1634" s="276"/>
      <c r="Q1634" s="276"/>
      <c r="R1634" s="276"/>
      <c r="S1634" s="276"/>
      <c r="T1634" s="276"/>
      <c r="U1634" s="276"/>
      <c r="V1634" s="276"/>
      <c r="W1634" s="276"/>
      <c r="X1634" s="276"/>
    </row>
    <row r="1635" ht="15.75" customHeight="1">
      <c r="A1635" s="403"/>
      <c r="B1635" s="284">
        <f t="shared" si="32"/>
        <v>30</v>
      </c>
      <c r="C1635" s="284">
        <f t="shared" si="33"/>
        <v>12</v>
      </c>
      <c r="D1635" s="284">
        <f t="shared" si="34"/>
        <v>1899</v>
      </c>
      <c r="E1635" s="490"/>
      <c r="F1635" s="30"/>
      <c r="G1635" s="30"/>
      <c r="H1635" s="288">
        <f t="shared" si="35"/>
        <v>0</v>
      </c>
      <c r="I1635" s="490"/>
      <c r="J1635" s="276"/>
      <c r="K1635" s="276"/>
      <c r="L1635" s="276"/>
      <c r="M1635" s="276"/>
      <c r="N1635" s="276"/>
      <c r="O1635" s="276"/>
      <c r="P1635" s="276"/>
      <c r="Q1635" s="276"/>
      <c r="R1635" s="276"/>
      <c r="S1635" s="276"/>
      <c r="T1635" s="276"/>
      <c r="U1635" s="276"/>
      <c r="V1635" s="276"/>
      <c r="W1635" s="276"/>
      <c r="X1635" s="276"/>
    </row>
    <row r="1636" ht="15.75" customHeight="1">
      <c r="A1636" s="403"/>
      <c r="B1636" s="284">
        <f t="shared" si="32"/>
        <v>30</v>
      </c>
      <c r="C1636" s="284">
        <f t="shared" si="33"/>
        <v>12</v>
      </c>
      <c r="D1636" s="284">
        <f t="shared" si="34"/>
        <v>1899</v>
      </c>
      <c r="E1636" s="490"/>
      <c r="F1636" s="30"/>
      <c r="G1636" s="30"/>
      <c r="H1636" s="288">
        <f t="shared" si="35"/>
        <v>0</v>
      </c>
      <c r="I1636" s="490"/>
      <c r="J1636" s="276"/>
      <c r="K1636" s="276"/>
      <c r="L1636" s="276"/>
      <c r="M1636" s="276"/>
      <c r="N1636" s="276"/>
      <c r="O1636" s="276"/>
      <c r="P1636" s="276"/>
      <c r="Q1636" s="276"/>
      <c r="R1636" s="276"/>
      <c r="S1636" s="276"/>
      <c r="T1636" s="276"/>
      <c r="U1636" s="276"/>
      <c r="V1636" s="276"/>
      <c r="W1636" s="276"/>
      <c r="X1636" s="276"/>
    </row>
    <row r="1637" ht="15.75" customHeight="1">
      <c r="A1637" s="403"/>
      <c r="B1637" s="284">
        <f t="shared" si="32"/>
        <v>30</v>
      </c>
      <c r="C1637" s="284">
        <f t="shared" si="33"/>
        <v>12</v>
      </c>
      <c r="D1637" s="284">
        <f t="shared" si="34"/>
        <v>1899</v>
      </c>
      <c r="E1637" s="490"/>
      <c r="F1637" s="30"/>
      <c r="G1637" s="30"/>
      <c r="H1637" s="288">
        <f t="shared" si="35"/>
        <v>0</v>
      </c>
      <c r="I1637" s="490"/>
      <c r="J1637" s="276"/>
      <c r="K1637" s="276"/>
      <c r="L1637" s="276"/>
      <c r="M1637" s="276"/>
      <c r="N1637" s="276"/>
      <c r="O1637" s="276"/>
      <c r="P1637" s="276"/>
      <c r="Q1637" s="276"/>
      <c r="R1637" s="276"/>
      <c r="S1637" s="276"/>
      <c r="T1637" s="276"/>
      <c r="U1637" s="276"/>
      <c r="V1637" s="276"/>
      <c r="W1637" s="276"/>
      <c r="X1637" s="276"/>
    </row>
    <row r="1638" ht="15.75" customHeight="1">
      <c r="A1638" s="403"/>
      <c r="B1638" s="284">
        <f t="shared" si="32"/>
        <v>30</v>
      </c>
      <c r="C1638" s="284">
        <f t="shared" si="33"/>
        <v>12</v>
      </c>
      <c r="D1638" s="284">
        <f t="shared" si="34"/>
        <v>1899</v>
      </c>
      <c r="E1638" s="490"/>
      <c r="F1638" s="30"/>
      <c r="G1638" s="30"/>
      <c r="H1638" s="288">
        <f t="shared" si="35"/>
        <v>0</v>
      </c>
      <c r="I1638" s="490"/>
      <c r="J1638" s="276"/>
      <c r="K1638" s="276"/>
      <c r="L1638" s="276"/>
      <c r="M1638" s="276"/>
      <c r="N1638" s="276"/>
      <c r="O1638" s="276"/>
      <c r="P1638" s="276"/>
      <c r="Q1638" s="276"/>
      <c r="R1638" s="276"/>
      <c r="S1638" s="276"/>
      <c r="T1638" s="276"/>
      <c r="U1638" s="276"/>
      <c r="V1638" s="276"/>
      <c r="W1638" s="276"/>
      <c r="X1638" s="276"/>
    </row>
    <row r="1639" ht="15.75" customHeight="1">
      <c r="A1639" s="403"/>
      <c r="B1639" s="284">
        <f t="shared" si="32"/>
        <v>30</v>
      </c>
      <c r="C1639" s="284">
        <f t="shared" si="33"/>
        <v>12</v>
      </c>
      <c r="D1639" s="284">
        <f t="shared" si="34"/>
        <v>1899</v>
      </c>
      <c r="E1639" s="490"/>
      <c r="F1639" s="30"/>
      <c r="G1639" s="30"/>
      <c r="H1639" s="288">
        <f t="shared" si="35"/>
        <v>0</v>
      </c>
      <c r="I1639" s="490"/>
      <c r="J1639" s="276"/>
      <c r="K1639" s="276"/>
      <c r="L1639" s="276"/>
      <c r="M1639" s="276"/>
      <c r="N1639" s="276"/>
      <c r="O1639" s="276"/>
      <c r="P1639" s="276"/>
      <c r="Q1639" s="276"/>
      <c r="R1639" s="276"/>
      <c r="S1639" s="276"/>
      <c r="T1639" s="276"/>
      <c r="U1639" s="276"/>
      <c r="V1639" s="276"/>
      <c r="W1639" s="276"/>
      <c r="X1639" s="276"/>
    </row>
    <row r="1640" ht="15.75" customHeight="1">
      <c r="A1640" s="403"/>
      <c r="B1640" s="284">
        <f t="shared" si="32"/>
        <v>30</v>
      </c>
      <c r="C1640" s="284">
        <f t="shared" si="33"/>
        <v>12</v>
      </c>
      <c r="D1640" s="284">
        <f t="shared" si="34"/>
        <v>1899</v>
      </c>
      <c r="E1640" s="490"/>
      <c r="F1640" s="30"/>
      <c r="G1640" s="30"/>
      <c r="H1640" s="288">
        <f t="shared" si="35"/>
        <v>0</v>
      </c>
      <c r="I1640" s="490"/>
      <c r="J1640" s="276"/>
      <c r="K1640" s="276"/>
      <c r="L1640" s="276"/>
      <c r="M1640" s="276"/>
      <c r="N1640" s="276"/>
      <c r="O1640" s="276"/>
      <c r="P1640" s="276"/>
      <c r="Q1640" s="276"/>
      <c r="R1640" s="276"/>
      <c r="S1640" s="276"/>
      <c r="T1640" s="276"/>
      <c r="U1640" s="276"/>
      <c r="V1640" s="276"/>
      <c r="W1640" s="276"/>
      <c r="X1640" s="276"/>
    </row>
    <row r="1641" ht="15.75" customHeight="1">
      <c r="A1641" s="403"/>
      <c r="B1641" s="284">
        <f t="shared" si="32"/>
        <v>30</v>
      </c>
      <c r="C1641" s="284">
        <f t="shared" si="33"/>
        <v>12</v>
      </c>
      <c r="D1641" s="284">
        <f t="shared" si="34"/>
        <v>1899</v>
      </c>
      <c r="E1641" s="490"/>
      <c r="F1641" s="30"/>
      <c r="G1641" s="30"/>
      <c r="H1641" s="288">
        <f t="shared" si="35"/>
        <v>0</v>
      </c>
      <c r="I1641" s="490"/>
      <c r="J1641" s="276"/>
      <c r="K1641" s="276"/>
      <c r="L1641" s="276"/>
      <c r="M1641" s="276"/>
      <c r="N1641" s="276"/>
      <c r="O1641" s="276"/>
      <c r="P1641" s="276"/>
      <c r="Q1641" s="276"/>
      <c r="R1641" s="276"/>
      <c r="S1641" s="276"/>
      <c r="T1641" s="276"/>
      <c r="U1641" s="276"/>
      <c r="V1641" s="276"/>
      <c r="W1641" s="276"/>
      <c r="X1641" s="276"/>
    </row>
    <row r="1642" ht="15.75" customHeight="1">
      <c r="A1642" s="403"/>
      <c r="B1642" s="284">
        <f t="shared" si="32"/>
        <v>30</v>
      </c>
      <c r="C1642" s="284">
        <f t="shared" si="33"/>
        <v>12</v>
      </c>
      <c r="D1642" s="284">
        <f t="shared" si="34"/>
        <v>1899</v>
      </c>
      <c r="E1642" s="490"/>
      <c r="F1642" s="30"/>
      <c r="G1642" s="30"/>
      <c r="H1642" s="288">
        <f t="shared" si="35"/>
        <v>0</v>
      </c>
      <c r="I1642" s="490"/>
      <c r="J1642" s="276"/>
      <c r="K1642" s="276"/>
      <c r="L1642" s="276"/>
      <c r="M1642" s="276"/>
      <c r="N1642" s="276"/>
      <c r="O1642" s="276"/>
      <c r="P1642" s="276"/>
      <c r="Q1642" s="276"/>
      <c r="R1642" s="276"/>
      <c r="S1642" s="276"/>
      <c r="T1642" s="276"/>
      <c r="U1642" s="276"/>
      <c r="V1642" s="276"/>
      <c r="W1642" s="276"/>
      <c r="X1642" s="276"/>
    </row>
    <row r="1643" ht="15.75" customHeight="1">
      <c r="A1643" s="403"/>
      <c r="B1643" s="284">
        <f t="shared" si="32"/>
        <v>30</v>
      </c>
      <c r="C1643" s="284">
        <f t="shared" si="33"/>
        <v>12</v>
      </c>
      <c r="D1643" s="284">
        <f t="shared" si="34"/>
        <v>1899</v>
      </c>
      <c r="E1643" s="490"/>
      <c r="F1643" s="30"/>
      <c r="G1643" s="30"/>
      <c r="H1643" s="288">
        <f t="shared" si="35"/>
        <v>0</v>
      </c>
      <c r="I1643" s="490"/>
      <c r="J1643" s="276"/>
      <c r="K1643" s="276"/>
      <c r="L1643" s="276"/>
      <c r="M1643" s="276"/>
      <c r="N1643" s="276"/>
      <c r="O1643" s="276"/>
      <c r="P1643" s="276"/>
      <c r="Q1643" s="276"/>
      <c r="R1643" s="276"/>
      <c r="S1643" s="276"/>
      <c r="T1643" s="276"/>
      <c r="U1643" s="276"/>
      <c r="V1643" s="276"/>
      <c r="W1643" s="276"/>
      <c r="X1643" s="276"/>
    </row>
    <row r="1644" ht="15.75" customHeight="1">
      <c r="A1644" s="403"/>
      <c r="B1644" s="284">
        <f t="shared" si="32"/>
        <v>30</v>
      </c>
      <c r="C1644" s="284">
        <f t="shared" si="33"/>
        <v>12</v>
      </c>
      <c r="D1644" s="284">
        <f t="shared" si="34"/>
        <v>1899</v>
      </c>
      <c r="E1644" s="490"/>
      <c r="F1644" s="30"/>
      <c r="G1644" s="30"/>
      <c r="H1644" s="288">
        <f t="shared" si="35"/>
        <v>0</v>
      </c>
      <c r="I1644" s="490"/>
      <c r="J1644" s="276"/>
      <c r="K1644" s="276"/>
      <c r="L1644" s="276"/>
      <c r="M1644" s="276"/>
      <c r="N1644" s="276"/>
      <c r="O1644" s="276"/>
      <c r="P1644" s="276"/>
      <c r="Q1644" s="276"/>
      <c r="R1644" s="276"/>
      <c r="S1644" s="276"/>
      <c r="T1644" s="276"/>
      <c r="U1644" s="276"/>
      <c r="V1644" s="276"/>
      <c r="W1644" s="276"/>
      <c r="X1644" s="276"/>
    </row>
    <row r="1645" ht="15.75" customHeight="1">
      <c r="A1645" s="403"/>
      <c r="B1645" s="284">
        <f t="shared" si="32"/>
        <v>30</v>
      </c>
      <c r="C1645" s="284">
        <f t="shared" si="33"/>
        <v>12</v>
      </c>
      <c r="D1645" s="284">
        <f t="shared" si="34"/>
        <v>1899</v>
      </c>
      <c r="E1645" s="490"/>
      <c r="F1645" s="30"/>
      <c r="G1645" s="30"/>
      <c r="H1645" s="288">
        <f t="shared" si="35"/>
        <v>0</v>
      </c>
      <c r="I1645" s="490"/>
      <c r="J1645" s="276"/>
      <c r="K1645" s="276"/>
      <c r="L1645" s="276"/>
      <c r="M1645" s="276"/>
      <c r="N1645" s="276"/>
      <c r="O1645" s="276"/>
      <c r="P1645" s="276"/>
      <c r="Q1645" s="276"/>
      <c r="R1645" s="276"/>
      <c r="S1645" s="276"/>
      <c r="T1645" s="276"/>
      <c r="U1645" s="276"/>
      <c r="V1645" s="276"/>
      <c r="W1645" s="276"/>
      <c r="X1645" s="276"/>
    </row>
    <row r="1646" ht="15.75" customHeight="1">
      <c r="A1646" s="403"/>
      <c r="B1646" s="284">
        <f t="shared" si="32"/>
        <v>30</v>
      </c>
      <c r="C1646" s="284">
        <f t="shared" si="33"/>
        <v>12</v>
      </c>
      <c r="D1646" s="284">
        <f t="shared" si="34"/>
        <v>1899</v>
      </c>
      <c r="E1646" s="490"/>
      <c r="F1646" s="30"/>
      <c r="G1646" s="30"/>
      <c r="H1646" s="288">
        <f t="shared" si="35"/>
        <v>0</v>
      </c>
      <c r="I1646" s="490"/>
      <c r="J1646" s="276"/>
      <c r="K1646" s="276"/>
      <c r="L1646" s="276"/>
      <c r="M1646" s="276"/>
      <c r="N1646" s="276"/>
      <c r="O1646" s="276"/>
      <c r="P1646" s="276"/>
      <c r="Q1646" s="276"/>
      <c r="R1646" s="276"/>
      <c r="S1646" s="276"/>
      <c r="T1646" s="276"/>
      <c r="U1646" s="276"/>
      <c r="V1646" s="276"/>
      <c r="W1646" s="276"/>
      <c r="X1646" s="276"/>
    </row>
    <row r="1647" ht="15.75" customHeight="1">
      <c r="A1647" s="403"/>
      <c r="B1647" s="284">
        <f t="shared" si="32"/>
        <v>30</v>
      </c>
      <c r="C1647" s="284">
        <f t="shared" si="33"/>
        <v>12</v>
      </c>
      <c r="D1647" s="284">
        <f t="shared" si="34"/>
        <v>1899</v>
      </c>
      <c r="E1647" s="490"/>
      <c r="F1647" s="30"/>
      <c r="G1647" s="30"/>
      <c r="H1647" s="288">
        <f t="shared" si="35"/>
        <v>0</v>
      </c>
      <c r="I1647" s="490"/>
      <c r="J1647" s="276"/>
      <c r="K1647" s="276"/>
      <c r="L1647" s="276"/>
      <c r="M1647" s="276"/>
      <c r="N1647" s="276"/>
      <c r="O1647" s="276"/>
      <c r="P1647" s="276"/>
      <c r="Q1647" s="276"/>
      <c r="R1647" s="276"/>
      <c r="S1647" s="276"/>
      <c r="T1647" s="276"/>
      <c r="U1647" s="276"/>
      <c r="V1647" s="276"/>
      <c r="W1647" s="276"/>
      <c r="X1647" s="276"/>
    </row>
    <row r="1648" ht="15.75" customHeight="1">
      <c r="A1648" s="403"/>
      <c r="B1648" s="284">
        <f t="shared" si="32"/>
        <v>30</v>
      </c>
      <c r="C1648" s="284">
        <f t="shared" si="33"/>
        <v>12</v>
      </c>
      <c r="D1648" s="284">
        <f t="shared" si="34"/>
        <v>1899</v>
      </c>
      <c r="E1648" s="490"/>
      <c r="F1648" s="30"/>
      <c r="G1648" s="30"/>
      <c r="H1648" s="288">
        <f t="shared" si="35"/>
        <v>0</v>
      </c>
      <c r="I1648" s="490"/>
      <c r="J1648" s="276"/>
      <c r="K1648" s="276"/>
      <c r="L1648" s="276"/>
      <c r="M1648" s="276"/>
      <c r="N1648" s="276"/>
      <c r="O1648" s="276"/>
      <c r="P1648" s="276"/>
      <c r="Q1648" s="276"/>
      <c r="R1648" s="276"/>
      <c r="S1648" s="276"/>
      <c r="T1648" s="276"/>
      <c r="U1648" s="276"/>
      <c r="V1648" s="276"/>
      <c r="W1648" s="276"/>
      <c r="X1648" s="276"/>
    </row>
    <row r="1649" ht="15.75" customHeight="1">
      <c r="A1649" s="403"/>
      <c r="B1649" s="284">
        <f t="shared" si="32"/>
        <v>30</v>
      </c>
      <c r="C1649" s="284">
        <f t="shared" si="33"/>
        <v>12</v>
      </c>
      <c r="D1649" s="284">
        <f t="shared" si="34"/>
        <v>1899</v>
      </c>
      <c r="E1649" s="490"/>
      <c r="F1649" s="30"/>
      <c r="G1649" s="30"/>
      <c r="H1649" s="288">
        <f t="shared" si="35"/>
        <v>0</v>
      </c>
      <c r="I1649" s="490"/>
      <c r="J1649" s="276"/>
      <c r="K1649" s="276"/>
      <c r="L1649" s="276"/>
      <c r="M1649" s="276"/>
      <c r="N1649" s="276"/>
      <c r="O1649" s="276"/>
      <c r="P1649" s="276"/>
      <c r="Q1649" s="276"/>
      <c r="R1649" s="276"/>
      <c r="S1649" s="276"/>
      <c r="T1649" s="276"/>
      <c r="U1649" s="276"/>
      <c r="V1649" s="276"/>
      <c r="W1649" s="276"/>
      <c r="X1649" s="276"/>
    </row>
    <row r="1650" ht="15.75" customHeight="1">
      <c r="A1650" s="403"/>
      <c r="B1650" s="284">
        <f t="shared" si="32"/>
        <v>30</v>
      </c>
      <c r="C1650" s="284">
        <f t="shared" si="33"/>
        <v>12</v>
      </c>
      <c r="D1650" s="284">
        <f t="shared" si="34"/>
        <v>1899</v>
      </c>
      <c r="E1650" s="490"/>
      <c r="F1650" s="30"/>
      <c r="G1650" s="30"/>
      <c r="H1650" s="288">
        <f t="shared" si="35"/>
        <v>0</v>
      </c>
      <c r="I1650" s="490"/>
      <c r="J1650" s="276"/>
      <c r="K1650" s="276"/>
      <c r="L1650" s="276"/>
      <c r="M1650" s="276"/>
      <c r="N1650" s="276"/>
      <c r="O1650" s="276"/>
      <c r="P1650" s="276"/>
      <c r="Q1650" s="276"/>
      <c r="R1650" s="276"/>
      <c r="S1650" s="276"/>
      <c r="T1650" s="276"/>
      <c r="U1650" s="276"/>
      <c r="V1650" s="276"/>
      <c r="W1650" s="276"/>
      <c r="X1650" s="276"/>
    </row>
    <row r="1651" ht="15.75" customHeight="1">
      <c r="A1651" s="403"/>
      <c r="B1651" s="284">
        <f t="shared" si="32"/>
        <v>30</v>
      </c>
      <c r="C1651" s="284">
        <f t="shared" si="33"/>
        <v>12</v>
      </c>
      <c r="D1651" s="284">
        <f t="shared" si="34"/>
        <v>1899</v>
      </c>
      <c r="E1651" s="490"/>
      <c r="F1651" s="30"/>
      <c r="G1651" s="30"/>
      <c r="H1651" s="288">
        <f t="shared" si="35"/>
        <v>0</v>
      </c>
      <c r="I1651" s="490"/>
      <c r="J1651" s="276"/>
      <c r="K1651" s="276"/>
      <c r="L1651" s="276"/>
      <c r="M1651" s="276"/>
      <c r="N1651" s="276"/>
      <c r="O1651" s="276"/>
      <c r="P1651" s="276"/>
      <c r="Q1651" s="276"/>
      <c r="R1651" s="276"/>
      <c r="S1651" s="276"/>
      <c r="T1651" s="276"/>
      <c r="U1651" s="276"/>
      <c r="V1651" s="276"/>
      <c r="W1651" s="276"/>
      <c r="X1651" s="276"/>
    </row>
    <row r="1652" ht="15.75" customHeight="1">
      <c r="A1652" s="403"/>
      <c r="B1652" s="284">
        <f t="shared" si="32"/>
        <v>30</v>
      </c>
      <c r="C1652" s="284">
        <f t="shared" si="33"/>
        <v>12</v>
      </c>
      <c r="D1652" s="284">
        <f t="shared" si="34"/>
        <v>1899</v>
      </c>
      <c r="E1652" s="490"/>
      <c r="F1652" s="30"/>
      <c r="G1652" s="30"/>
      <c r="H1652" s="288">
        <f t="shared" si="35"/>
        <v>0</v>
      </c>
      <c r="I1652" s="490"/>
      <c r="J1652" s="276"/>
      <c r="K1652" s="276"/>
      <c r="L1652" s="276"/>
      <c r="M1652" s="276"/>
      <c r="N1652" s="276"/>
      <c r="O1652" s="276"/>
      <c r="P1652" s="276"/>
      <c r="Q1652" s="276"/>
      <c r="R1652" s="276"/>
      <c r="S1652" s="276"/>
      <c r="T1652" s="276"/>
      <c r="U1652" s="276"/>
      <c r="V1652" s="276"/>
      <c r="W1652" s="276"/>
      <c r="X1652" s="276"/>
    </row>
    <row r="1653" ht="15.75" customHeight="1">
      <c r="A1653" s="403"/>
      <c r="B1653" s="284">
        <f t="shared" si="32"/>
        <v>30</v>
      </c>
      <c r="C1653" s="284">
        <f t="shared" si="33"/>
        <v>12</v>
      </c>
      <c r="D1653" s="284">
        <f t="shared" si="34"/>
        <v>1899</v>
      </c>
      <c r="E1653" s="490"/>
      <c r="F1653" s="30"/>
      <c r="G1653" s="30"/>
      <c r="H1653" s="288">
        <f t="shared" si="35"/>
        <v>0</v>
      </c>
      <c r="I1653" s="490"/>
      <c r="J1653" s="276"/>
      <c r="K1653" s="276"/>
      <c r="L1653" s="276"/>
      <c r="M1653" s="276"/>
      <c r="N1653" s="276"/>
      <c r="O1653" s="276"/>
      <c r="P1653" s="276"/>
      <c r="Q1653" s="276"/>
      <c r="R1653" s="276"/>
      <c r="S1653" s="276"/>
      <c r="T1653" s="276"/>
      <c r="U1653" s="276"/>
      <c r="V1653" s="276"/>
      <c r="W1653" s="276"/>
      <c r="X1653" s="276"/>
    </row>
    <row r="1654" ht="15.75" customHeight="1">
      <c r="A1654" s="403"/>
      <c r="B1654" s="284">
        <f t="shared" si="32"/>
        <v>30</v>
      </c>
      <c r="C1654" s="284">
        <f t="shared" si="33"/>
        <v>12</v>
      </c>
      <c r="D1654" s="284">
        <f t="shared" si="34"/>
        <v>1899</v>
      </c>
      <c r="E1654" s="490"/>
      <c r="F1654" s="30"/>
      <c r="G1654" s="30"/>
      <c r="H1654" s="288">
        <f t="shared" si="35"/>
        <v>0</v>
      </c>
      <c r="I1654" s="490"/>
      <c r="J1654" s="276"/>
      <c r="K1654" s="276"/>
      <c r="L1654" s="276"/>
      <c r="M1654" s="276"/>
      <c r="N1654" s="276"/>
      <c r="O1654" s="276"/>
      <c r="P1654" s="276"/>
      <c r="Q1654" s="276"/>
      <c r="R1654" s="276"/>
      <c r="S1654" s="276"/>
      <c r="T1654" s="276"/>
      <c r="U1654" s="276"/>
      <c r="V1654" s="276"/>
      <c r="W1654" s="276"/>
      <c r="X1654" s="276"/>
    </row>
    <row r="1655" ht="15.75" customHeight="1">
      <c r="A1655" s="403"/>
      <c r="B1655" s="284">
        <f t="shared" si="32"/>
        <v>30</v>
      </c>
      <c r="C1655" s="284">
        <f t="shared" si="33"/>
        <v>12</v>
      </c>
      <c r="D1655" s="284">
        <f t="shared" si="34"/>
        <v>1899</v>
      </c>
      <c r="E1655" s="490"/>
      <c r="F1655" s="30"/>
      <c r="G1655" s="30"/>
      <c r="H1655" s="288">
        <f t="shared" si="35"/>
        <v>0</v>
      </c>
      <c r="I1655" s="490"/>
      <c r="J1655" s="276"/>
      <c r="K1655" s="276"/>
      <c r="L1655" s="276"/>
      <c r="M1655" s="276"/>
      <c r="N1655" s="276"/>
      <c r="O1655" s="276"/>
      <c r="P1655" s="276"/>
      <c r="Q1655" s="276"/>
      <c r="R1655" s="276"/>
      <c r="S1655" s="276"/>
      <c r="T1655" s="276"/>
      <c r="U1655" s="276"/>
      <c r="V1655" s="276"/>
      <c r="W1655" s="276"/>
      <c r="X1655" s="276"/>
    </row>
    <row r="1656" ht="15.75" customHeight="1">
      <c r="A1656" s="403"/>
      <c r="B1656" s="284">
        <f t="shared" si="32"/>
        <v>30</v>
      </c>
      <c r="C1656" s="284">
        <f t="shared" si="33"/>
        <v>12</v>
      </c>
      <c r="D1656" s="284">
        <f t="shared" si="34"/>
        <v>1899</v>
      </c>
      <c r="E1656" s="490"/>
      <c r="F1656" s="30"/>
      <c r="G1656" s="30"/>
      <c r="H1656" s="288">
        <f t="shared" si="35"/>
        <v>0</v>
      </c>
      <c r="I1656" s="490"/>
      <c r="J1656" s="276"/>
      <c r="K1656" s="276"/>
      <c r="L1656" s="276"/>
      <c r="M1656" s="276"/>
      <c r="N1656" s="276"/>
      <c r="O1656" s="276"/>
      <c r="P1656" s="276"/>
      <c r="Q1656" s="276"/>
      <c r="R1656" s="276"/>
      <c r="S1656" s="276"/>
      <c r="T1656" s="276"/>
      <c r="U1656" s="276"/>
      <c r="V1656" s="276"/>
      <c r="W1656" s="276"/>
      <c r="X1656" s="276"/>
    </row>
    <row r="1657" ht="15.75" customHeight="1">
      <c r="A1657" s="403"/>
      <c r="B1657" s="284">
        <f t="shared" si="32"/>
        <v>30</v>
      </c>
      <c r="C1657" s="284">
        <f t="shared" si="33"/>
        <v>12</v>
      </c>
      <c r="D1657" s="284">
        <f t="shared" si="34"/>
        <v>1899</v>
      </c>
      <c r="E1657" s="490"/>
      <c r="F1657" s="30"/>
      <c r="G1657" s="30"/>
      <c r="H1657" s="288">
        <f t="shared" si="35"/>
        <v>0</v>
      </c>
      <c r="I1657" s="490"/>
      <c r="J1657" s="276"/>
      <c r="K1657" s="276"/>
      <c r="L1657" s="276"/>
      <c r="M1657" s="276"/>
      <c r="N1657" s="276"/>
      <c r="O1657" s="276"/>
      <c r="P1657" s="276"/>
      <c r="Q1657" s="276"/>
      <c r="R1657" s="276"/>
      <c r="S1657" s="276"/>
      <c r="T1657" s="276"/>
      <c r="U1657" s="276"/>
      <c r="V1657" s="276"/>
      <c r="W1657" s="276"/>
      <c r="X1657" s="276"/>
    </row>
    <row r="1658" ht="15.75" customHeight="1">
      <c r="A1658" s="403"/>
      <c r="B1658" s="284">
        <f t="shared" si="32"/>
        <v>30</v>
      </c>
      <c r="C1658" s="284">
        <f t="shared" si="33"/>
        <v>12</v>
      </c>
      <c r="D1658" s="284">
        <f t="shared" si="34"/>
        <v>1899</v>
      </c>
      <c r="E1658" s="490"/>
      <c r="F1658" s="30"/>
      <c r="G1658" s="30"/>
      <c r="H1658" s="288">
        <f t="shared" si="35"/>
        <v>0</v>
      </c>
      <c r="I1658" s="490"/>
      <c r="J1658" s="276"/>
      <c r="K1658" s="276"/>
      <c r="L1658" s="276"/>
      <c r="M1658" s="276"/>
      <c r="N1658" s="276"/>
      <c r="O1658" s="276"/>
      <c r="P1658" s="276"/>
      <c r="Q1658" s="276"/>
      <c r="R1658" s="276"/>
      <c r="S1658" s="276"/>
      <c r="T1658" s="276"/>
      <c r="U1658" s="276"/>
      <c r="V1658" s="276"/>
      <c r="W1658" s="276"/>
      <c r="X1658" s="276"/>
    </row>
    <row r="1659" ht="15.75" customHeight="1">
      <c r="A1659" s="403"/>
      <c r="B1659" s="284">
        <f t="shared" si="32"/>
        <v>30</v>
      </c>
      <c r="C1659" s="284">
        <f t="shared" si="33"/>
        <v>12</v>
      </c>
      <c r="D1659" s="284">
        <f t="shared" si="34"/>
        <v>1899</v>
      </c>
      <c r="E1659" s="490"/>
      <c r="F1659" s="30"/>
      <c r="G1659" s="30"/>
      <c r="H1659" s="288">
        <f t="shared" si="35"/>
        <v>0</v>
      </c>
      <c r="I1659" s="490"/>
      <c r="J1659" s="276"/>
      <c r="K1659" s="276"/>
      <c r="L1659" s="276"/>
      <c r="M1659" s="276"/>
      <c r="N1659" s="276"/>
      <c r="O1659" s="276"/>
      <c r="P1659" s="276"/>
      <c r="Q1659" s="276"/>
      <c r="R1659" s="276"/>
      <c r="S1659" s="276"/>
      <c r="T1659" s="276"/>
      <c r="U1659" s="276"/>
      <c r="V1659" s="276"/>
      <c r="W1659" s="276"/>
      <c r="X1659" s="276"/>
    </row>
    <row r="1660" ht="15.75" customHeight="1">
      <c r="A1660" s="403"/>
      <c r="B1660" s="284">
        <f t="shared" si="32"/>
        <v>30</v>
      </c>
      <c r="C1660" s="284">
        <f t="shared" si="33"/>
        <v>12</v>
      </c>
      <c r="D1660" s="284">
        <f t="shared" si="34"/>
        <v>1899</v>
      </c>
      <c r="E1660" s="490"/>
      <c r="F1660" s="30"/>
      <c r="G1660" s="30"/>
      <c r="H1660" s="288">
        <f t="shared" si="35"/>
        <v>0</v>
      </c>
      <c r="I1660" s="490"/>
      <c r="J1660" s="276"/>
      <c r="K1660" s="276"/>
      <c r="L1660" s="276"/>
      <c r="M1660" s="276"/>
      <c r="N1660" s="276"/>
      <c r="O1660" s="276"/>
      <c r="P1660" s="276"/>
      <c r="Q1660" s="276"/>
      <c r="R1660" s="276"/>
      <c r="S1660" s="276"/>
      <c r="T1660" s="276"/>
      <c r="U1660" s="276"/>
      <c r="V1660" s="276"/>
      <c r="W1660" s="276"/>
      <c r="X1660" s="276"/>
    </row>
    <row r="1661" ht="15.75" customHeight="1">
      <c r="A1661" s="403"/>
      <c r="B1661" s="284">
        <f t="shared" si="32"/>
        <v>30</v>
      </c>
      <c r="C1661" s="284">
        <f t="shared" si="33"/>
        <v>12</v>
      </c>
      <c r="D1661" s="284">
        <f t="shared" si="34"/>
        <v>1899</v>
      </c>
      <c r="E1661" s="490"/>
      <c r="F1661" s="30"/>
      <c r="G1661" s="30"/>
      <c r="H1661" s="288">
        <f t="shared" si="35"/>
        <v>0</v>
      </c>
      <c r="I1661" s="490"/>
      <c r="J1661" s="276"/>
      <c r="K1661" s="276"/>
      <c r="L1661" s="276"/>
      <c r="M1661" s="276"/>
      <c r="N1661" s="276"/>
      <c r="O1661" s="276"/>
      <c r="P1661" s="276"/>
      <c r="Q1661" s="276"/>
      <c r="R1661" s="276"/>
      <c r="S1661" s="276"/>
      <c r="T1661" s="276"/>
      <c r="U1661" s="276"/>
      <c r="V1661" s="276"/>
      <c r="W1661" s="276"/>
      <c r="X1661" s="276"/>
    </row>
    <row r="1662" ht="15.75" customHeight="1">
      <c r="A1662" s="403"/>
      <c r="B1662" s="284">
        <f t="shared" si="32"/>
        <v>30</v>
      </c>
      <c r="C1662" s="284">
        <f t="shared" si="33"/>
        <v>12</v>
      </c>
      <c r="D1662" s="284">
        <f t="shared" si="34"/>
        <v>1899</v>
      </c>
      <c r="E1662" s="490"/>
      <c r="F1662" s="30"/>
      <c r="G1662" s="30"/>
      <c r="H1662" s="288">
        <f t="shared" si="35"/>
        <v>0</v>
      </c>
      <c r="I1662" s="490"/>
      <c r="J1662" s="276"/>
      <c r="K1662" s="276"/>
      <c r="L1662" s="276"/>
      <c r="M1662" s="276"/>
      <c r="N1662" s="276"/>
      <c r="O1662" s="276"/>
      <c r="P1662" s="276"/>
      <c r="Q1662" s="276"/>
      <c r="R1662" s="276"/>
      <c r="S1662" s="276"/>
      <c r="T1662" s="276"/>
      <c r="U1662" s="276"/>
      <c r="V1662" s="276"/>
      <c r="W1662" s="276"/>
      <c r="X1662" s="276"/>
    </row>
    <row r="1663" ht="15.75" customHeight="1">
      <c r="A1663" s="403"/>
      <c r="B1663" s="284">
        <f t="shared" si="32"/>
        <v>30</v>
      </c>
      <c r="C1663" s="284">
        <f t="shared" si="33"/>
        <v>12</v>
      </c>
      <c r="D1663" s="284">
        <f t="shared" si="34"/>
        <v>1899</v>
      </c>
      <c r="E1663" s="490"/>
      <c r="F1663" s="30"/>
      <c r="G1663" s="30"/>
      <c r="H1663" s="288">
        <f t="shared" si="35"/>
        <v>0</v>
      </c>
      <c r="I1663" s="490"/>
      <c r="J1663" s="276"/>
      <c r="K1663" s="276"/>
      <c r="L1663" s="276"/>
      <c r="M1663" s="276"/>
      <c r="N1663" s="276"/>
      <c r="O1663" s="276"/>
      <c r="P1663" s="276"/>
      <c r="Q1663" s="276"/>
      <c r="R1663" s="276"/>
      <c r="S1663" s="276"/>
      <c r="T1663" s="276"/>
      <c r="U1663" s="276"/>
      <c r="V1663" s="276"/>
      <c r="W1663" s="276"/>
      <c r="X1663" s="276"/>
    </row>
    <row r="1664" ht="15.75" customHeight="1">
      <c r="A1664" s="403"/>
      <c r="B1664" s="284">
        <f t="shared" si="32"/>
        <v>30</v>
      </c>
      <c r="C1664" s="284">
        <f t="shared" si="33"/>
        <v>12</v>
      </c>
      <c r="D1664" s="284">
        <f t="shared" si="34"/>
        <v>1899</v>
      </c>
      <c r="E1664" s="490"/>
      <c r="F1664" s="30"/>
      <c r="G1664" s="30"/>
      <c r="H1664" s="288">
        <f t="shared" si="35"/>
        <v>0</v>
      </c>
      <c r="I1664" s="490"/>
      <c r="J1664" s="276"/>
      <c r="K1664" s="276"/>
      <c r="L1664" s="276"/>
      <c r="M1664" s="276"/>
      <c r="N1664" s="276"/>
      <c r="O1664" s="276"/>
      <c r="P1664" s="276"/>
      <c r="Q1664" s="276"/>
      <c r="R1664" s="276"/>
      <c r="S1664" s="276"/>
      <c r="T1664" s="276"/>
      <c r="U1664" s="276"/>
      <c r="V1664" s="276"/>
      <c r="W1664" s="276"/>
      <c r="X1664" s="276"/>
    </row>
    <row r="1665" ht="15.75" customHeight="1">
      <c r="A1665" s="403"/>
      <c r="B1665" s="284">
        <f t="shared" si="32"/>
        <v>30</v>
      </c>
      <c r="C1665" s="284">
        <f t="shared" si="33"/>
        <v>12</v>
      </c>
      <c r="D1665" s="284">
        <f t="shared" si="34"/>
        <v>1899</v>
      </c>
      <c r="E1665" s="490"/>
      <c r="F1665" s="30"/>
      <c r="G1665" s="30"/>
      <c r="H1665" s="288">
        <f t="shared" si="35"/>
        <v>0</v>
      </c>
      <c r="I1665" s="490"/>
      <c r="J1665" s="276"/>
      <c r="K1665" s="276"/>
      <c r="L1665" s="276"/>
      <c r="M1665" s="276"/>
      <c r="N1665" s="276"/>
      <c r="O1665" s="276"/>
      <c r="P1665" s="276"/>
      <c r="Q1665" s="276"/>
      <c r="R1665" s="276"/>
      <c r="S1665" s="276"/>
      <c r="T1665" s="276"/>
      <c r="U1665" s="276"/>
      <c r="V1665" s="276"/>
      <c r="W1665" s="276"/>
      <c r="X1665" s="276"/>
    </row>
    <row r="1666" ht="15.75" customHeight="1">
      <c r="A1666" s="403"/>
      <c r="B1666" s="284">
        <f t="shared" si="32"/>
        <v>30</v>
      </c>
      <c r="C1666" s="284">
        <f t="shared" si="33"/>
        <v>12</v>
      </c>
      <c r="D1666" s="284">
        <f t="shared" si="34"/>
        <v>1899</v>
      </c>
      <c r="E1666" s="490"/>
      <c r="F1666" s="30"/>
      <c r="G1666" s="30"/>
      <c r="H1666" s="288">
        <f t="shared" si="35"/>
        <v>0</v>
      </c>
      <c r="I1666" s="490"/>
      <c r="J1666" s="276"/>
      <c r="K1666" s="276"/>
      <c r="L1666" s="276"/>
      <c r="M1666" s="276"/>
      <c r="N1666" s="276"/>
      <c r="O1666" s="276"/>
      <c r="P1666" s="276"/>
      <c r="Q1666" s="276"/>
      <c r="R1666" s="276"/>
      <c r="S1666" s="276"/>
      <c r="T1666" s="276"/>
      <c r="U1666" s="276"/>
      <c r="V1666" s="276"/>
      <c r="W1666" s="276"/>
      <c r="X1666" s="276"/>
    </row>
    <row r="1667" ht="15.75" customHeight="1">
      <c r="A1667" s="403"/>
      <c r="B1667" s="284">
        <f t="shared" si="32"/>
        <v>30</v>
      </c>
      <c r="C1667" s="284">
        <f t="shared" si="33"/>
        <v>12</v>
      </c>
      <c r="D1667" s="284">
        <f t="shared" si="34"/>
        <v>1899</v>
      </c>
      <c r="E1667" s="490"/>
      <c r="F1667" s="30"/>
      <c r="G1667" s="30"/>
      <c r="H1667" s="288">
        <f t="shared" si="35"/>
        <v>0</v>
      </c>
      <c r="I1667" s="490"/>
      <c r="J1667" s="276"/>
      <c r="K1667" s="276"/>
      <c r="L1667" s="276"/>
      <c r="M1667" s="276"/>
      <c r="N1667" s="276"/>
      <c r="O1667" s="276"/>
      <c r="P1667" s="276"/>
      <c r="Q1667" s="276"/>
      <c r="R1667" s="276"/>
      <c r="S1667" s="276"/>
      <c r="T1667" s="276"/>
      <c r="U1667" s="276"/>
      <c r="V1667" s="276"/>
      <c r="W1667" s="276"/>
      <c r="X1667" s="276"/>
    </row>
    <row r="1668" ht="15.75" customHeight="1">
      <c r="A1668" s="403"/>
      <c r="B1668" s="284">
        <f t="shared" si="32"/>
        <v>30</v>
      </c>
      <c r="C1668" s="284">
        <f t="shared" si="33"/>
        <v>12</v>
      </c>
      <c r="D1668" s="284">
        <f t="shared" si="34"/>
        <v>1899</v>
      </c>
      <c r="E1668" s="490"/>
      <c r="F1668" s="30"/>
      <c r="G1668" s="30"/>
      <c r="H1668" s="288">
        <f t="shared" si="35"/>
        <v>0</v>
      </c>
      <c r="I1668" s="490"/>
      <c r="J1668" s="276"/>
      <c r="K1668" s="276"/>
      <c r="L1668" s="276"/>
      <c r="M1668" s="276"/>
      <c r="N1668" s="276"/>
      <c r="O1668" s="276"/>
      <c r="P1668" s="276"/>
      <c r="Q1668" s="276"/>
      <c r="R1668" s="276"/>
      <c r="S1668" s="276"/>
      <c r="T1668" s="276"/>
      <c r="U1668" s="276"/>
      <c r="V1668" s="276"/>
      <c r="W1668" s="276"/>
      <c r="X1668" s="276"/>
    </row>
    <row r="1669" ht="15.75" customHeight="1">
      <c r="A1669" s="403"/>
      <c r="B1669" s="284">
        <f t="shared" si="32"/>
        <v>30</v>
      </c>
      <c r="C1669" s="284">
        <f t="shared" si="33"/>
        <v>12</v>
      </c>
      <c r="D1669" s="284">
        <f t="shared" si="34"/>
        <v>1899</v>
      </c>
      <c r="E1669" s="490"/>
      <c r="F1669" s="30"/>
      <c r="G1669" s="30"/>
      <c r="H1669" s="288">
        <f t="shared" si="35"/>
        <v>0</v>
      </c>
      <c r="I1669" s="490"/>
      <c r="J1669" s="276"/>
      <c r="K1669" s="276"/>
      <c r="L1669" s="276"/>
      <c r="M1669" s="276"/>
      <c r="N1669" s="276"/>
      <c r="O1669" s="276"/>
      <c r="P1669" s="276"/>
      <c r="Q1669" s="276"/>
      <c r="R1669" s="276"/>
      <c r="S1669" s="276"/>
      <c r="T1669" s="276"/>
      <c r="U1669" s="276"/>
      <c r="V1669" s="276"/>
      <c r="W1669" s="276"/>
      <c r="X1669" s="276"/>
    </row>
    <row r="1670" ht="15.75" customHeight="1">
      <c r="A1670" s="403"/>
      <c r="B1670" s="284">
        <f t="shared" si="32"/>
        <v>30</v>
      </c>
      <c r="C1670" s="284">
        <f t="shared" si="33"/>
        <v>12</v>
      </c>
      <c r="D1670" s="284">
        <f t="shared" si="34"/>
        <v>1899</v>
      </c>
      <c r="E1670" s="490"/>
      <c r="F1670" s="30"/>
      <c r="G1670" s="30"/>
      <c r="H1670" s="288">
        <f t="shared" si="35"/>
        <v>0</v>
      </c>
      <c r="I1670" s="490"/>
      <c r="J1670" s="276"/>
      <c r="K1670" s="276"/>
      <c r="L1670" s="276"/>
      <c r="M1670" s="276"/>
      <c r="N1670" s="276"/>
      <c r="O1670" s="276"/>
      <c r="P1670" s="276"/>
      <c r="Q1670" s="276"/>
      <c r="R1670" s="276"/>
      <c r="S1670" s="276"/>
      <c r="T1670" s="276"/>
      <c r="U1670" s="276"/>
      <c r="V1670" s="276"/>
      <c r="W1670" s="276"/>
      <c r="X1670" s="276"/>
    </row>
    <row r="1671" ht="15.75" customHeight="1">
      <c r="A1671" s="403"/>
      <c r="B1671" s="284">
        <f t="shared" si="32"/>
        <v>30</v>
      </c>
      <c r="C1671" s="284">
        <f t="shared" si="33"/>
        <v>12</v>
      </c>
      <c r="D1671" s="284">
        <f t="shared" si="34"/>
        <v>1899</v>
      </c>
      <c r="E1671" s="490"/>
      <c r="F1671" s="30"/>
      <c r="G1671" s="30"/>
      <c r="H1671" s="288">
        <f t="shared" si="35"/>
        <v>0</v>
      </c>
      <c r="I1671" s="490"/>
      <c r="J1671" s="276"/>
      <c r="K1671" s="276"/>
      <c r="L1671" s="276"/>
      <c r="M1671" s="276"/>
      <c r="N1671" s="276"/>
      <c r="O1671" s="276"/>
      <c r="P1671" s="276"/>
      <c r="Q1671" s="276"/>
      <c r="R1671" s="276"/>
      <c r="S1671" s="276"/>
      <c r="T1671" s="276"/>
      <c r="U1671" s="276"/>
      <c r="V1671" s="276"/>
      <c r="W1671" s="276"/>
      <c r="X1671" s="276"/>
    </row>
    <row r="1672" ht="15.75" customHeight="1">
      <c r="A1672" s="403"/>
      <c r="B1672" s="284">
        <f t="shared" si="32"/>
        <v>30</v>
      </c>
      <c r="C1672" s="284">
        <f t="shared" si="33"/>
        <v>12</v>
      </c>
      <c r="D1672" s="284">
        <f t="shared" si="34"/>
        <v>1899</v>
      </c>
      <c r="E1672" s="490"/>
      <c r="F1672" s="30"/>
      <c r="G1672" s="30"/>
      <c r="H1672" s="288">
        <f t="shared" si="35"/>
        <v>0</v>
      </c>
      <c r="I1672" s="490"/>
      <c r="J1672" s="276"/>
      <c r="K1672" s="276"/>
      <c r="L1672" s="276"/>
      <c r="M1672" s="276"/>
      <c r="N1672" s="276"/>
      <c r="O1672" s="276"/>
      <c r="P1672" s="276"/>
      <c r="Q1672" s="276"/>
      <c r="R1672" s="276"/>
      <c r="S1672" s="276"/>
      <c r="T1672" s="276"/>
      <c r="U1672" s="276"/>
      <c r="V1672" s="276"/>
      <c r="W1672" s="276"/>
      <c r="X1672" s="276"/>
    </row>
    <row r="1673" ht="15.75" customHeight="1">
      <c r="A1673" s="403"/>
      <c r="B1673" s="284">
        <f t="shared" si="32"/>
        <v>30</v>
      </c>
      <c r="C1673" s="284">
        <f t="shared" si="33"/>
        <v>12</v>
      </c>
      <c r="D1673" s="284">
        <f t="shared" si="34"/>
        <v>1899</v>
      </c>
      <c r="E1673" s="490"/>
      <c r="F1673" s="30"/>
      <c r="G1673" s="30"/>
      <c r="H1673" s="288">
        <f t="shared" si="35"/>
        <v>0</v>
      </c>
      <c r="I1673" s="490"/>
      <c r="J1673" s="276"/>
      <c r="K1673" s="276"/>
      <c r="L1673" s="276"/>
      <c r="M1673" s="276"/>
      <c r="N1673" s="276"/>
      <c r="O1673" s="276"/>
      <c r="P1673" s="276"/>
      <c r="Q1673" s="276"/>
      <c r="R1673" s="276"/>
      <c r="S1673" s="276"/>
      <c r="T1673" s="276"/>
      <c r="U1673" s="276"/>
      <c r="V1673" s="276"/>
      <c r="W1673" s="276"/>
      <c r="X1673" s="276"/>
    </row>
    <row r="1674" ht="15.75" customHeight="1">
      <c r="A1674" s="403"/>
      <c r="B1674" s="284">
        <f t="shared" si="32"/>
        <v>30</v>
      </c>
      <c r="C1674" s="284">
        <f t="shared" si="33"/>
        <v>12</v>
      </c>
      <c r="D1674" s="284">
        <f t="shared" si="34"/>
        <v>1899</v>
      </c>
      <c r="E1674" s="490"/>
      <c r="F1674" s="30"/>
      <c r="G1674" s="30"/>
      <c r="H1674" s="288">
        <f t="shared" si="35"/>
        <v>0</v>
      </c>
      <c r="I1674" s="490"/>
      <c r="J1674" s="276"/>
      <c r="K1674" s="276"/>
      <c r="L1674" s="276"/>
      <c r="M1674" s="276"/>
      <c r="N1674" s="276"/>
      <c r="O1674" s="276"/>
      <c r="P1674" s="276"/>
      <c r="Q1674" s="276"/>
      <c r="R1674" s="276"/>
      <c r="S1674" s="276"/>
      <c r="T1674" s="276"/>
      <c r="U1674" s="276"/>
      <c r="V1674" s="276"/>
      <c r="W1674" s="276"/>
      <c r="X1674" s="276"/>
    </row>
    <row r="1675" ht="15.75" customHeight="1">
      <c r="A1675" s="403"/>
      <c r="B1675" s="284">
        <f t="shared" si="32"/>
        <v>30</v>
      </c>
      <c r="C1675" s="284">
        <f t="shared" si="33"/>
        <v>12</v>
      </c>
      <c r="D1675" s="284">
        <f t="shared" si="34"/>
        <v>1899</v>
      </c>
      <c r="E1675" s="490"/>
      <c r="F1675" s="30"/>
      <c r="G1675" s="30"/>
      <c r="H1675" s="288">
        <f t="shared" si="35"/>
        <v>0</v>
      </c>
      <c r="I1675" s="490"/>
      <c r="J1675" s="276"/>
      <c r="K1675" s="276"/>
      <c r="L1675" s="276"/>
      <c r="M1675" s="276"/>
      <c r="N1675" s="276"/>
      <c r="O1675" s="276"/>
      <c r="P1675" s="276"/>
      <c r="Q1675" s="276"/>
      <c r="R1675" s="276"/>
      <c r="S1675" s="276"/>
      <c r="T1675" s="276"/>
      <c r="U1675" s="276"/>
      <c r="V1675" s="276"/>
      <c r="W1675" s="276"/>
      <c r="X1675" s="276"/>
    </row>
    <row r="1676" ht="15.75" customHeight="1">
      <c r="A1676" s="403"/>
      <c r="B1676" s="284">
        <f t="shared" si="32"/>
        <v>30</v>
      </c>
      <c r="C1676" s="284">
        <f t="shared" si="33"/>
        <v>12</v>
      </c>
      <c r="D1676" s="284">
        <f t="shared" si="34"/>
        <v>1899</v>
      </c>
      <c r="E1676" s="490"/>
      <c r="F1676" s="30"/>
      <c r="G1676" s="30"/>
      <c r="H1676" s="288">
        <f t="shared" si="35"/>
        <v>0</v>
      </c>
      <c r="I1676" s="490"/>
      <c r="J1676" s="276"/>
      <c r="K1676" s="276"/>
      <c r="L1676" s="276"/>
      <c r="M1676" s="276"/>
      <c r="N1676" s="276"/>
      <c r="O1676" s="276"/>
      <c r="P1676" s="276"/>
      <c r="Q1676" s="276"/>
      <c r="R1676" s="276"/>
      <c r="S1676" s="276"/>
      <c r="T1676" s="276"/>
      <c r="U1676" s="276"/>
      <c r="V1676" s="276"/>
      <c r="W1676" s="276"/>
      <c r="X1676" s="276"/>
    </row>
    <row r="1677" ht="15.75" customHeight="1">
      <c r="A1677" s="403"/>
      <c r="B1677" s="284">
        <f t="shared" si="32"/>
        <v>30</v>
      </c>
      <c r="C1677" s="284">
        <f t="shared" si="33"/>
        <v>12</v>
      </c>
      <c r="D1677" s="284">
        <f t="shared" si="34"/>
        <v>1899</v>
      </c>
      <c r="E1677" s="490"/>
      <c r="F1677" s="30"/>
      <c r="G1677" s="30"/>
      <c r="H1677" s="288">
        <f t="shared" si="35"/>
        <v>0</v>
      </c>
      <c r="I1677" s="490"/>
      <c r="J1677" s="276"/>
      <c r="K1677" s="276"/>
      <c r="L1677" s="276"/>
      <c r="M1677" s="276"/>
      <c r="N1677" s="276"/>
      <c r="O1677" s="276"/>
      <c r="P1677" s="276"/>
      <c r="Q1677" s="276"/>
      <c r="R1677" s="276"/>
      <c r="S1677" s="276"/>
      <c r="T1677" s="276"/>
      <c r="U1677" s="276"/>
      <c r="V1677" s="276"/>
      <c r="W1677" s="276"/>
      <c r="X1677" s="276"/>
    </row>
    <row r="1678" ht="15.75" customHeight="1">
      <c r="A1678" s="403"/>
      <c r="B1678" s="284">
        <f t="shared" si="32"/>
        <v>30</v>
      </c>
      <c r="C1678" s="284">
        <f t="shared" si="33"/>
        <v>12</v>
      </c>
      <c r="D1678" s="284">
        <f t="shared" si="34"/>
        <v>1899</v>
      </c>
      <c r="E1678" s="490"/>
      <c r="F1678" s="30"/>
      <c r="G1678" s="30"/>
      <c r="H1678" s="288">
        <f t="shared" si="35"/>
        <v>0</v>
      </c>
      <c r="I1678" s="490"/>
      <c r="J1678" s="276"/>
      <c r="K1678" s="276"/>
      <c r="L1678" s="276"/>
      <c r="M1678" s="276"/>
      <c r="N1678" s="276"/>
      <c r="O1678" s="276"/>
      <c r="P1678" s="276"/>
      <c r="Q1678" s="276"/>
      <c r="R1678" s="276"/>
      <c r="S1678" s="276"/>
      <c r="T1678" s="276"/>
      <c r="U1678" s="276"/>
      <c r="V1678" s="276"/>
      <c r="W1678" s="276"/>
      <c r="X1678" s="276"/>
    </row>
    <row r="1679" ht="15.75" customHeight="1">
      <c r="A1679" s="403"/>
      <c r="B1679" s="284">
        <f t="shared" si="32"/>
        <v>30</v>
      </c>
      <c r="C1679" s="284">
        <f t="shared" si="33"/>
        <v>12</v>
      </c>
      <c r="D1679" s="284">
        <f t="shared" si="34"/>
        <v>1899</v>
      </c>
      <c r="E1679" s="490"/>
      <c r="F1679" s="30"/>
      <c r="G1679" s="30"/>
      <c r="H1679" s="288">
        <f t="shared" si="35"/>
        <v>0</v>
      </c>
      <c r="I1679" s="490"/>
      <c r="J1679" s="276"/>
      <c r="K1679" s="276"/>
      <c r="L1679" s="276"/>
      <c r="M1679" s="276"/>
      <c r="N1679" s="276"/>
      <c r="O1679" s="276"/>
      <c r="P1679" s="276"/>
      <c r="Q1679" s="276"/>
      <c r="R1679" s="276"/>
      <c r="S1679" s="276"/>
      <c r="T1679" s="276"/>
      <c r="U1679" s="276"/>
      <c r="V1679" s="276"/>
      <c r="W1679" s="276"/>
      <c r="X1679" s="276"/>
    </row>
    <row r="1680" ht="15.75" customHeight="1">
      <c r="A1680" s="403"/>
      <c r="B1680" s="284">
        <f t="shared" si="32"/>
        <v>30</v>
      </c>
      <c r="C1680" s="284">
        <f t="shared" si="33"/>
        <v>12</v>
      </c>
      <c r="D1680" s="284">
        <f t="shared" si="34"/>
        <v>1899</v>
      </c>
      <c r="E1680" s="490"/>
      <c r="F1680" s="30"/>
      <c r="G1680" s="30"/>
      <c r="H1680" s="288">
        <f t="shared" si="35"/>
        <v>0</v>
      </c>
      <c r="I1680" s="490"/>
      <c r="J1680" s="276"/>
      <c r="K1680" s="276"/>
      <c r="L1680" s="276"/>
      <c r="M1680" s="276"/>
      <c r="N1680" s="276"/>
      <c r="O1680" s="276"/>
      <c r="P1680" s="276"/>
      <c r="Q1680" s="276"/>
      <c r="R1680" s="276"/>
      <c r="S1680" s="276"/>
      <c r="T1680" s="276"/>
      <c r="U1680" s="276"/>
      <c r="V1680" s="276"/>
      <c r="W1680" s="276"/>
      <c r="X1680" s="276"/>
    </row>
    <row r="1681" ht="15.75" customHeight="1">
      <c r="A1681" s="403"/>
      <c r="B1681" s="284">
        <f t="shared" si="32"/>
        <v>30</v>
      </c>
      <c r="C1681" s="284">
        <f t="shared" si="33"/>
        <v>12</v>
      </c>
      <c r="D1681" s="284">
        <f t="shared" si="34"/>
        <v>1899</v>
      </c>
      <c r="E1681" s="490"/>
      <c r="F1681" s="30"/>
      <c r="G1681" s="30"/>
      <c r="H1681" s="288">
        <f t="shared" si="35"/>
        <v>0</v>
      </c>
      <c r="I1681" s="490"/>
      <c r="J1681" s="276"/>
      <c r="K1681" s="276"/>
      <c r="L1681" s="276"/>
      <c r="M1681" s="276"/>
      <c r="N1681" s="276"/>
      <c r="O1681" s="276"/>
      <c r="P1681" s="276"/>
      <c r="Q1681" s="276"/>
      <c r="R1681" s="276"/>
      <c r="S1681" s="276"/>
      <c r="T1681" s="276"/>
      <c r="U1681" s="276"/>
      <c r="V1681" s="276"/>
      <c r="W1681" s="276"/>
      <c r="X1681" s="276"/>
    </row>
    <row r="1682" ht="15.75" customHeight="1">
      <c r="A1682" s="403"/>
      <c r="B1682" s="284">
        <f t="shared" si="32"/>
        <v>30</v>
      </c>
      <c r="C1682" s="284">
        <f t="shared" si="33"/>
        <v>12</v>
      </c>
      <c r="D1682" s="284">
        <f t="shared" si="34"/>
        <v>1899</v>
      </c>
      <c r="E1682" s="490"/>
      <c r="F1682" s="30"/>
      <c r="G1682" s="30"/>
      <c r="H1682" s="288">
        <f t="shared" si="35"/>
        <v>0</v>
      </c>
      <c r="I1682" s="490"/>
      <c r="J1682" s="276"/>
      <c r="K1682" s="276"/>
      <c r="L1682" s="276"/>
      <c r="M1682" s="276"/>
      <c r="N1682" s="276"/>
      <c r="O1682" s="276"/>
      <c r="P1682" s="276"/>
      <c r="Q1682" s="276"/>
      <c r="R1682" s="276"/>
      <c r="S1682" s="276"/>
      <c r="T1682" s="276"/>
      <c r="U1682" s="276"/>
      <c r="V1682" s="276"/>
      <c r="W1682" s="276"/>
      <c r="X1682" s="276"/>
    </row>
    <row r="1683" ht="15.75" customHeight="1">
      <c r="A1683" s="403"/>
      <c r="B1683" s="284">
        <f t="shared" si="32"/>
        <v>30</v>
      </c>
      <c r="C1683" s="284">
        <f t="shared" si="33"/>
        <v>12</v>
      </c>
      <c r="D1683" s="284">
        <f t="shared" si="34"/>
        <v>1899</v>
      </c>
      <c r="E1683" s="490"/>
      <c r="F1683" s="30"/>
      <c r="G1683" s="30"/>
      <c r="H1683" s="288">
        <f t="shared" si="35"/>
        <v>0</v>
      </c>
      <c r="I1683" s="490"/>
      <c r="J1683" s="276"/>
      <c r="K1683" s="276"/>
      <c r="L1683" s="276"/>
      <c r="M1683" s="276"/>
      <c r="N1683" s="276"/>
      <c r="O1683" s="276"/>
      <c r="P1683" s="276"/>
      <c r="Q1683" s="276"/>
      <c r="R1683" s="276"/>
      <c r="S1683" s="276"/>
      <c r="T1683" s="276"/>
      <c r="U1683" s="276"/>
      <c r="V1683" s="276"/>
      <c r="W1683" s="276"/>
      <c r="X1683" s="276"/>
    </row>
    <row r="1684" ht="15.75" customHeight="1">
      <c r="A1684" s="403"/>
      <c r="B1684" s="284">
        <f t="shared" si="32"/>
        <v>30</v>
      </c>
      <c r="C1684" s="284">
        <f t="shared" si="33"/>
        <v>12</v>
      </c>
      <c r="D1684" s="284">
        <f t="shared" si="34"/>
        <v>1899</v>
      </c>
      <c r="E1684" s="490"/>
      <c r="F1684" s="30"/>
      <c r="G1684" s="30"/>
      <c r="H1684" s="288">
        <f t="shared" si="35"/>
        <v>0</v>
      </c>
      <c r="I1684" s="490"/>
      <c r="J1684" s="276"/>
      <c r="K1684" s="276"/>
      <c r="L1684" s="276"/>
      <c r="M1684" s="276"/>
      <c r="N1684" s="276"/>
      <c r="O1684" s="276"/>
      <c r="P1684" s="276"/>
      <c r="Q1684" s="276"/>
      <c r="R1684" s="276"/>
      <c r="S1684" s="276"/>
      <c r="T1684" s="276"/>
      <c r="U1684" s="276"/>
      <c r="V1684" s="276"/>
      <c r="W1684" s="276"/>
      <c r="X1684" s="276"/>
    </row>
    <row r="1685" ht="15.75" customHeight="1">
      <c r="A1685" s="403"/>
      <c r="B1685" s="284">
        <f t="shared" si="32"/>
        <v>30</v>
      </c>
      <c r="C1685" s="284">
        <f t="shared" si="33"/>
        <v>12</v>
      </c>
      <c r="D1685" s="284">
        <f t="shared" si="34"/>
        <v>1899</v>
      </c>
      <c r="E1685" s="490"/>
      <c r="F1685" s="30"/>
      <c r="G1685" s="30"/>
      <c r="H1685" s="288">
        <f t="shared" si="35"/>
        <v>0</v>
      </c>
      <c r="I1685" s="490"/>
      <c r="J1685" s="276"/>
      <c r="K1685" s="276"/>
      <c r="L1685" s="276"/>
      <c r="M1685" s="276"/>
      <c r="N1685" s="276"/>
      <c r="O1685" s="276"/>
      <c r="P1685" s="276"/>
      <c r="Q1685" s="276"/>
      <c r="R1685" s="276"/>
      <c r="S1685" s="276"/>
      <c r="T1685" s="276"/>
      <c r="U1685" s="276"/>
      <c r="V1685" s="276"/>
      <c r="W1685" s="276"/>
      <c r="X1685" s="276"/>
    </row>
    <row r="1686" ht="15.75" customHeight="1">
      <c r="A1686" s="403"/>
      <c r="B1686" s="284">
        <f t="shared" si="32"/>
        <v>30</v>
      </c>
      <c r="C1686" s="284">
        <f t="shared" si="33"/>
        <v>12</v>
      </c>
      <c r="D1686" s="284">
        <f t="shared" si="34"/>
        <v>1899</v>
      </c>
      <c r="E1686" s="490"/>
      <c r="F1686" s="30"/>
      <c r="G1686" s="30"/>
      <c r="H1686" s="288">
        <f t="shared" si="35"/>
        <v>0</v>
      </c>
      <c r="I1686" s="490"/>
      <c r="J1686" s="276"/>
      <c r="K1686" s="276"/>
      <c r="L1686" s="276"/>
      <c r="M1686" s="276"/>
      <c r="N1686" s="276"/>
      <c r="O1686" s="276"/>
      <c r="P1686" s="276"/>
      <c r="Q1686" s="276"/>
      <c r="R1686" s="276"/>
      <c r="S1686" s="276"/>
      <c r="T1686" s="276"/>
      <c r="U1686" s="276"/>
      <c r="V1686" s="276"/>
      <c r="W1686" s="276"/>
      <c r="X1686" s="276"/>
    </row>
    <row r="1687" ht="15.75" customHeight="1">
      <c r="A1687" s="403"/>
      <c r="B1687" s="284">
        <f t="shared" si="32"/>
        <v>30</v>
      </c>
      <c r="C1687" s="284">
        <f t="shared" si="33"/>
        <v>12</v>
      </c>
      <c r="D1687" s="284">
        <f t="shared" si="34"/>
        <v>1899</v>
      </c>
      <c r="E1687" s="490"/>
      <c r="F1687" s="30"/>
      <c r="G1687" s="30"/>
      <c r="H1687" s="288">
        <f t="shared" si="35"/>
        <v>0</v>
      </c>
      <c r="I1687" s="490"/>
      <c r="J1687" s="276"/>
      <c r="K1687" s="276"/>
      <c r="L1687" s="276"/>
      <c r="M1687" s="276"/>
      <c r="N1687" s="276"/>
      <c r="O1687" s="276"/>
      <c r="P1687" s="276"/>
      <c r="Q1687" s="276"/>
      <c r="R1687" s="276"/>
      <c r="S1687" s="276"/>
      <c r="T1687" s="276"/>
      <c r="U1687" s="276"/>
      <c r="V1687" s="276"/>
      <c r="W1687" s="276"/>
      <c r="X1687" s="276"/>
    </row>
    <row r="1688" ht="15.75" customHeight="1">
      <c r="A1688" s="403"/>
      <c r="B1688" s="284">
        <f t="shared" si="32"/>
        <v>30</v>
      </c>
      <c r="C1688" s="284">
        <f t="shared" si="33"/>
        <v>12</v>
      </c>
      <c r="D1688" s="284">
        <f t="shared" si="34"/>
        <v>1899</v>
      </c>
      <c r="E1688" s="490"/>
      <c r="F1688" s="30"/>
      <c r="G1688" s="30"/>
      <c r="H1688" s="288">
        <f t="shared" si="35"/>
        <v>0</v>
      </c>
      <c r="I1688" s="490"/>
      <c r="J1688" s="276"/>
      <c r="K1688" s="276"/>
      <c r="L1688" s="276"/>
      <c r="M1688" s="276"/>
      <c r="N1688" s="276"/>
      <c r="O1688" s="276"/>
      <c r="P1688" s="276"/>
      <c r="Q1688" s="276"/>
      <c r="R1688" s="276"/>
      <c r="S1688" s="276"/>
      <c r="T1688" s="276"/>
      <c r="U1688" s="276"/>
      <c r="V1688" s="276"/>
      <c r="W1688" s="276"/>
      <c r="X1688" s="276"/>
    </row>
    <row r="1689" ht="15.75" customHeight="1">
      <c r="A1689" s="403"/>
      <c r="B1689" s="284">
        <f t="shared" si="32"/>
        <v>30</v>
      </c>
      <c r="C1689" s="284">
        <f t="shared" si="33"/>
        <v>12</v>
      </c>
      <c r="D1689" s="284">
        <f t="shared" si="34"/>
        <v>1899</v>
      </c>
      <c r="E1689" s="490"/>
      <c r="F1689" s="30"/>
      <c r="G1689" s="30"/>
      <c r="H1689" s="288">
        <f t="shared" si="35"/>
        <v>0</v>
      </c>
      <c r="I1689" s="490"/>
      <c r="J1689" s="276"/>
      <c r="K1689" s="276"/>
      <c r="L1689" s="276"/>
      <c r="M1689" s="276"/>
      <c r="N1689" s="276"/>
      <c r="O1689" s="276"/>
      <c r="P1689" s="276"/>
      <c r="Q1689" s="276"/>
      <c r="R1689" s="276"/>
      <c r="S1689" s="276"/>
      <c r="T1689" s="276"/>
      <c r="U1689" s="276"/>
      <c r="V1689" s="276"/>
      <c r="W1689" s="276"/>
      <c r="X1689" s="276"/>
    </row>
    <row r="1690" ht="15.75" customHeight="1">
      <c r="A1690" s="403"/>
      <c r="B1690" s="284">
        <f t="shared" si="32"/>
        <v>30</v>
      </c>
      <c r="C1690" s="284">
        <f t="shared" si="33"/>
        <v>12</v>
      </c>
      <c r="D1690" s="284">
        <f t="shared" si="34"/>
        <v>1899</v>
      </c>
      <c r="E1690" s="490"/>
      <c r="F1690" s="30"/>
      <c r="G1690" s="30"/>
      <c r="H1690" s="288">
        <f t="shared" si="35"/>
        <v>0</v>
      </c>
      <c r="I1690" s="490"/>
      <c r="J1690" s="276"/>
      <c r="K1690" s="276"/>
      <c r="L1690" s="276"/>
      <c r="M1690" s="276"/>
      <c r="N1690" s="276"/>
      <c r="O1690" s="276"/>
      <c r="P1690" s="276"/>
      <c r="Q1690" s="276"/>
      <c r="R1690" s="276"/>
      <c r="S1690" s="276"/>
      <c r="T1690" s="276"/>
      <c r="U1690" s="276"/>
      <c r="V1690" s="276"/>
      <c r="W1690" s="276"/>
      <c r="X1690" s="276"/>
    </row>
    <row r="1691" ht="15.75" customHeight="1">
      <c r="A1691" s="403"/>
      <c r="B1691" s="284">
        <f t="shared" si="32"/>
        <v>30</v>
      </c>
      <c r="C1691" s="284">
        <f t="shared" si="33"/>
        <v>12</v>
      </c>
      <c r="D1691" s="284">
        <f t="shared" si="34"/>
        <v>1899</v>
      </c>
      <c r="E1691" s="490"/>
      <c r="F1691" s="30"/>
      <c r="G1691" s="30"/>
      <c r="H1691" s="288">
        <f t="shared" si="35"/>
        <v>0</v>
      </c>
      <c r="I1691" s="490"/>
      <c r="J1691" s="276"/>
      <c r="K1691" s="276"/>
      <c r="L1691" s="276"/>
      <c r="M1691" s="276"/>
      <c r="N1691" s="276"/>
      <c r="O1691" s="276"/>
      <c r="P1691" s="276"/>
      <c r="Q1691" s="276"/>
      <c r="R1691" s="276"/>
      <c r="S1691" s="276"/>
      <c r="T1691" s="276"/>
      <c r="U1691" s="276"/>
      <c r="V1691" s="276"/>
      <c r="W1691" s="276"/>
      <c r="X1691" s="276"/>
    </row>
    <row r="1692" ht="15.75" customHeight="1">
      <c r="A1692" s="403"/>
      <c r="B1692" s="284">
        <f t="shared" si="32"/>
        <v>30</v>
      </c>
      <c r="C1692" s="284">
        <f t="shared" si="33"/>
        <v>12</v>
      </c>
      <c r="D1692" s="284">
        <f t="shared" si="34"/>
        <v>1899</v>
      </c>
      <c r="E1692" s="490"/>
      <c r="F1692" s="30"/>
      <c r="G1692" s="30"/>
      <c r="H1692" s="288">
        <f t="shared" si="35"/>
        <v>0</v>
      </c>
      <c r="I1692" s="490"/>
      <c r="J1692" s="276"/>
      <c r="K1692" s="276"/>
      <c r="L1692" s="276"/>
      <c r="M1692" s="276"/>
      <c r="N1692" s="276"/>
      <c r="O1692" s="276"/>
      <c r="P1692" s="276"/>
      <c r="Q1692" s="276"/>
      <c r="R1692" s="276"/>
      <c r="S1692" s="276"/>
      <c r="T1692" s="276"/>
      <c r="U1692" s="276"/>
      <c r="V1692" s="276"/>
      <c r="W1692" s="276"/>
      <c r="X1692" s="276"/>
    </row>
    <row r="1693" ht="15.75" customHeight="1">
      <c r="A1693" s="403"/>
      <c r="B1693" s="284">
        <f t="shared" si="32"/>
        <v>30</v>
      </c>
      <c r="C1693" s="284">
        <f t="shared" si="33"/>
        <v>12</v>
      </c>
      <c r="D1693" s="284">
        <f t="shared" si="34"/>
        <v>1899</v>
      </c>
      <c r="E1693" s="490"/>
      <c r="F1693" s="30"/>
      <c r="G1693" s="30"/>
      <c r="H1693" s="288">
        <f t="shared" si="35"/>
        <v>0</v>
      </c>
      <c r="I1693" s="490"/>
      <c r="J1693" s="276"/>
      <c r="K1693" s="276"/>
      <c r="L1693" s="276"/>
      <c r="M1693" s="276"/>
      <c r="N1693" s="276"/>
      <c r="O1693" s="276"/>
      <c r="P1693" s="276"/>
      <c r="Q1693" s="276"/>
      <c r="R1693" s="276"/>
      <c r="S1693" s="276"/>
      <c r="T1693" s="276"/>
      <c r="U1693" s="276"/>
      <c r="V1693" s="276"/>
      <c r="W1693" s="276"/>
      <c r="X1693" s="276"/>
    </row>
    <row r="1694" ht="15.75" customHeight="1">
      <c r="A1694" s="403"/>
      <c r="B1694" s="284">
        <f t="shared" si="32"/>
        <v>30</v>
      </c>
      <c r="C1694" s="284">
        <f t="shared" si="33"/>
        <v>12</v>
      </c>
      <c r="D1694" s="284">
        <f t="shared" si="34"/>
        <v>1899</v>
      </c>
      <c r="E1694" s="490"/>
      <c r="F1694" s="30"/>
      <c r="G1694" s="30"/>
      <c r="H1694" s="288">
        <f t="shared" si="35"/>
        <v>0</v>
      </c>
      <c r="I1694" s="490"/>
      <c r="J1694" s="276"/>
      <c r="K1694" s="276"/>
      <c r="L1694" s="276"/>
      <c r="M1694" s="276"/>
      <c r="N1694" s="276"/>
      <c r="O1694" s="276"/>
      <c r="P1694" s="276"/>
      <c r="Q1694" s="276"/>
      <c r="R1694" s="276"/>
      <c r="S1694" s="276"/>
      <c r="T1694" s="276"/>
      <c r="U1694" s="276"/>
      <c r="V1694" s="276"/>
      <c r="W1694" s="276"/>
      <c r="X1694" s="276"/>
    </row>
    <row r="1695" ht="15.75" customHeight="1">
      <c r="A1695" s="403"/>
      <c r="B1695" s="284">
        <f t="shared" si="32"/>
        <v>30</v>
      </c>
      <c r="C1695" s="284">
        <f t="shared" si="33"/>
        <v>12</v>
      </c>
      <c r="D1695" s="284">
        <f t="shared" si="34"/>
        <v>1899</v>
      </c>
      <c r="E1695" s="490"/>
      <c r="F1695" s="30"/>
      <c r="G1695" s="30"/>
      <c r="H1695" s="288">
        <f t="shared" si="35"/>
        <v>0</v>
      </c>
      <c r="I1695" s="490"/>
      <c r="J1695" s="276"/>
      <c r="K1695" s="276"/>
      <c r="L1695" s="276"/>
      <c r="M1695" s="276"/>
      <c r="N1695" s="276"/>
      <c r="O1695" s="276"/>
      <c r="P1695" s="276"/>
      <c r="Q1695" s="276"/>
      <c r="R1695" s="276"/>
      <c r="S1695" s="276"/>
      <c r="T1695" s="276"/>
      <c r="U1695" s="276"/>
      <c r="V1695" s="276"/>
      <c r="W1695" s="276"/>
      <c r="X1695" s="276"/>
    </row>
    <row r="1696" ht="15.75" customHeight="1">
      <c r="A1696" s="403"/>
      <c r="B1696" s="284">
        <f t="shared" si="32"/>
        <v>30</v>
      </c>
      <c r="C1696" s="284">
        <f t="shared" si="33"/>
        <v>12</v>
      </c>
      <c r="D1696" s="284">
        <f t="shared" si="34"/>
        <v>1899</v>
      </c>
      <c r="E1696" s="490"/>
      <c r="F1696" s="30"/>
      <c r="G1696" s="30"/>
      <c r="H1696" s="288">
        <f t="shared" si="35"/>
        <v>0</v>
      </c>
      <c r="I1696" s="490"/>
      <c r="J1696" s="276"/>
      <c r="K1696" s="276"/>
      <c r="L1696" s="276"/>
      <c r="M1696" s="276"/>
      <c r="N1696" s="276"/>
      <c r="O1696" s="276"/>
      <c r="P1696" s="276"/>
      <c r="Q1696" s="276"/>
      <c r="R1696" s="276"/>
      <c r="S1696" s="276"/>
      <c r="T1696" s="276"/>
      <c r="U1696" s="276"/>
      <c r="V1696" s="276"/>
      <c r="W1696" s="276"/>
      <c r="X1696" s="276"/>
    </row>
    <row r="1697" ht="15.75" customHeight="1">
      <c r="A1697" s="403"/>
      <c r="B1697" s="284">
        <f t="shared" si="32"/>
        <v>30</v>
      </c>
      <c r="C1697" s="284">
        <f t="shared" si="33"/>
        <v>12</v>
      </c>
      <c r="D1697" s="284">
        <f t="shared" si="34"/>
        <v>1899</v>
      </c>
      <c r="E1697" s="490"/>
      <c r="F1697" s="30"/>
      <c r="G1697" s="30"/>
      <c r="H1697" s="288">
        <f t="shared" si="35"/>
        <v>0</v>
      </c>
      <c r="I1697" s="490"/>
      <c r="J1697" s="276"/>
      <c r="K1697" s="276"/>
      <c r="L1697" s="276"/>
      <c r="M1697" s="276"/>
      <c r="N1697" s="276"/>
      <c r="O1697" s="276"/>
      <c r="P1697" s="276"/>
      <c r="Q1697" s="276"/>
      <c r="R1697" s="276"/>
      <c r="S1697" s="276"/>
      <c r="T1697" s="276"/>
      <c r="U1697" s="276"/>
      <c r="V1697" s="276"/>
      <c r="W1697" s="276"/>
      <c r="X1697" s="276"/>
    </row>
    <row r="1698" ht="15.75" customHeight="1">
      <c r="A1698" s="403"/>
      <c r="B1698" s="284">
        <f t="shared" si="32"/>
        <v>30</v>
      </c>
      <c r="C1698" s="284">
        <f t="shared" si="33"/>
        <v>12</v>
      </c>
      <c r="D1698" s="284">
        <f t="shared" si="34"/>
        <v>1899</v>
      </c>
      <c r="E1698" s="490"/>
      <c r="F1698" s="30"/>
      <c r="G1698" s="30"/>
      <c r="H1698" s="288">
        <f t="shared" si="35"/>
        <v>0</v>
      </c>
      <c r="I1698" s="490"/>
      <c r="J1698" s="276"/>
      <c r="K1698" s="276"/>
      <c r="L1698" s="276"/>
      <c r="M1698" s="276"/>
      <c r="N1698" s="276"/>
      <c r="O1698" s="276"/>
      <c r="P1698" s="276"/>
      <c r="Q1698" s="276"/>
      <c r="R1698" s="276"/>
      <c r="S1698" s="276"/>
      <c r="T1698" s="276"/>
      <c r="U1698" s="276"/>
      <c r="V1698" s="276"/>
      <c r="W1698" s="276"/>
      <c r="X1698" s="276"/>
    </row>
    <row r="1699" ht="15.75" customHeight="1">
      <c r="A1699" s="403"/>
      <c r="B1699" s="284">
        <f t="shared" si="32"/>
        <v>30</v>
      </c>
      <c r="C1699" s="284">
        <f t="shared" si="33"/>
        <v>12</v>
      </c>
      <c r="D1699" s="284">
        <f t="shared" si="34"/>
        <v>1899</v>
      </c>
      <c r="E1699" s="490"/>
      <c r="F1699" s="30"/>
      <c r="G1699" s="30"/>
      <c r="H1699" s="288">
        <f t="shared" si="35"/>
        <v>0</v>
      </c>
      <c r="I1699" s="490"/>
      <c r="J1699" s="276"/>
      <c r="K1699" s="276"/>
      <c r="L1699" s="276"/>
      <c r="M1699" s="276"/>
      <c r="N1699" s="276"/>
      <c r="O1699" s="276"/>
      <c r="P1699" s="276"/>
      <c r="Q1699" s="276"/>
      <c r="R1699" s="276"/>
      <c r="S1699" s="276"/>
      <c r="T1699" s="276"/>
      <c r="U1699" s="276"/>
      <c r="V1699" s="276"/>
      <c r="W1699" s="276"/>
      <c r="X1699" s="276"/>
    </row>
    <row r="1700" ht="15.75" customHeight="1">
      <c r="A1700" s="403"/>
      <c r="B1700" s="284">
        <f t="shared" si="32"/>
        <v>30</v>
      </c>
      <c r="C1700" s="284">
        <f t="shared" si="33"/>
        <v>12</v>
      </c>
      <c r="D1700" s="284">
        <f t="shared" si="34"/>
        <v>1899</v>
      </c>
      <c r="E1700" s="490"/>
      <c r="F1700" s="30"/>
      <c r="G1700" s="30"/>
      <c r="H1700" s="288">
        <f t="shared" si="35"/>
        <v>0</v>
      </c>
      <c r="I1700" s="490"/>
      <c r="J1700" s="276"/>
      <c r="K1700" s="276"/>
      <c r="L1700" s="276"/>
      <c r="M1700" s="276"/>
      <c r="N1700" s="276"/>
      <c r="O1700" s="276"/>
      <c r="P1700" s="276"/>
      <c r="Q1700" s="276"/>
      <c r="R1700" s="276"/>
      <c r="S1700" s="276"/>
      <c r="T1700" s="276"/>
      <c r="U1700" s="276"/>
      <c r="V1700" s="276"/>
      <c r="W1700" s="276"/>
      <c r="X1700" s="276"/>
    </row>
    <row r="1701" ht="15.75" customHeight="1">
      <c r="A1701" s="403"/>
      <c r="B1701" s="284">
        <f t="shared" si="32"/>
        <v>30</v>
      </c>
      <c r="C1701" s="284">
        <f t="shared" si="33"/>
        <v>12</v>
      </c>
      <c r="D1701" s="284">
        <f t="shared" si="34"/>
        <v>1899</v>
      </c>
      <c r="E1701" s="490"/>
      <c r="F1701" s="30"/>
      <c r="G1701" s="30"/>
      <c r="H1701" s="288">
        <f t="shared" si="35"/>
        <v>0</v>
      </c>
      <c r="I1701" s="490"/>
      <c r="J1701" s="276"/>
      <c r="K1701" s="276"/>
      <c r="L1701" s="276"/>
      <c r="M1701" s="276"/>
      <c r="N1701" s="276"/>
      <c r="O1701" s="276"/>
      <c r="P1701" s="276"/>
      <c r="Q1701" s="276"/>
      <c r="R1701" s="276"/>
      <c r="S1701" s="276"/>
      <c r="T1701" s="276"/>
      <c r="U1701" s="276"/>
      <c r="V1701" s="276"/>
      <c r="W1701" s="276"/>
      <c r="X1701" s="276"/>
    </row>
    <row r="1702" ht="15.75" customHeight="1">
      <c r="A1702" s="403"/>
      <c r="B1702" s="284">
        <f t="shared" si="32"/>
        <v>30</v>
      </c>
      <c r="C1702" s="284">
        <f t="shared" si="33"/>
        <v>12</v>
      </c>
      <c r="D1702" s="284">
        <f t="shared" si="34"/>
        <v>1899</v>
      </c>
      <c r="E1702" s="490"/>
      <c r="F1702" s="30"/>
      <c r="G1702" s="30"/>
      <c r="H1702" s="288">
        <f t="shared" si="35"/>
        <v>0</v>
      </c>
      <c r="I1702" s="490"/>
      <c r="J1702" s="276"/>
      <c r="K1702" s="276"/>
      <c r="L1702" s="276"/>
      <c r="M1702" s="276"/>
      <c r="N1702" s="276"/>
      <c r="O1702" s="276"/>
      <c r="P1702" s="276"/>
      <c r="Q1702" s="276"/>
      <c r="R1702" s="276"/>
      <c r="S1702" s="276"/>
      <c r="T1702" s="276"/>
      <c r="U1702" s="276"/>
      <c r="V1702" s="276"/>
      <c r="W1702" s="276"/>
      <c r="X1702" s="276"/>
    </row>
    <row r="1703" ht="15.75" customHeight="1">
      <c r="A1703" s="403"/>
      <c r="B1703" s="284">
        <f t="shared" si="32"/>
        <v>30</v>
      </c>
      <c r="C1703" s="284">
        <f t="shared" si="33"/>
        <v>12</v>
      </c>
      <c r="D1703" s="284">
        <f t="shared" si="34"/>
        <v>1899</v>
      </c>
      <c r="E1703" s="490"/>
      <c r="F1703" s="30"/>
      <c r="G1703" s="30"/>
      <c r="H1703" s="288">
        <f t="shared" si="35"/>
        <v>0</v>
      </c>
      <c r="I1703" s="490"/>
      <c r="J1703" s="276"/>
      <c r="K1703" s="276"/>
      <c r="L1703" s="276"/>
      <c r="M1703" s="276"/>
      <c r="N1703" s="276"/>
      <c r="O1703" s="276"/>
      <c r="P1703" s="276"/>
      <c r="Q1703" s="276"/>
      <c r="R1703" s="276"/>
      <c r="S1703" s="276"/>
      <c r="T1703" s="276"/>
      <c r="U1703" s="276"/>
      <c r="V1703" s="276"/>
      <c r="W1703" s="276"/>
      <c r="X1703" s="276"/>
    </row>
    <row r="1704" ht="15.75" customHeight="1">
      <c r="A1704" s="403"/>
      <c r="B1704" s="284">
        <f t="shared" si="32"/>
        <v>30</v>
      </c>
      <c r="C1704" s="284">
        <f t="shared" si="33"/>
        <v>12</v>
      </c>
      <c r="D1704" s="284">
        <f t="shared" si="34"/>
        <v>1899</v>
      </c>
      <c r="E1704" s="490"/>
      <c r="F1704" s="30"/>
      <c r="G1704" s="30"/>
      <c r="H1704" s="288">
        <f t="shared" si="35"/>
        <v>0</v>
      </c>
      <c r="I1704" s="490"/>
      <c r="J1704" s="276"/>
      <c r="K1704" s="276"/>
      <c r="L1704" s="276"/>
      <c r="M1704" s="276"/>
      <c r="N1704" s="276"/>
      <c r="O1704" s="276"/>
      <c r="P1704" s="276"/>
      <c r="Q1704" s="276"/>
      <c r="R1704" s="276"/>
      <c r="S1704" s="276"/>
      <c r="T1704" s="276"/>
      <c r="U1704" s="276"/>
      <c r="V1704" s="276"/>
      <c r="W1704" s="276"/>
      <c r="X1704" s="276"/>
    </row>
    <row r="1705" ht="15.75" customHeight="1">
      <c r="A1705" s="403"/>
      <c r="B1705" s="284">
        <f t="shared" si="32"/>
        <v>30</v>
      </c>
      <c r="C1705" s="284">
        <f t="shared" si="33"/>
        <v>12</v>
      </c>
      <c r="D1705" s="284">
        <f t="shared" si="34"/>
        <v>1899</v>
      </c>
      <c r="E1705" s="490"/>
      <c r="F1705" s="30"/>
      <c r="G1705" s="30"/>
      <c r="H1705" s="288">
        <f t="shared" si="35"/>
        <v>0</v>
      </c>
      <c r="I1705" s="490"/>
      <c r="J1705" s="276"/>
      <c r="K1705" s="276"/>
      <c r="L1705" s="276"/>
      <c r="M1705" s="276"/>
      <c r="N1705" s="276"/>
      <c r="O1705" s="276"/>
      <c r="P1705" s="276"/>
      <c r="Q1705" s="276"/>
      <c r="R1705" s="276"/>
      <c r="S1705" s="276"/>
      <c r="T1705" s="276"/>
      <c r="U1705" s="276"/>
      <c r="V1705" s="276"/>
      <c r="W1705" s="276"/>
      <c r="X1705" s="276"/>
    </row>
    <row r="1706" ht="15.75" customHeight="1">
      <c r="A1706" s="403"/>
      <c r="B1706" s="284">
        <f t="shared" si="32"/>
        <v>30</v>
      </c>
      <c r="C1706" s="284">
        <f t="shared" si="33"/>
        <v>12</v>
      </c>
      <c r="D1706" s="284">
        <f t="shared" si="34"/>
        <v>1899</v>
      </c>
      <c r="E1706" s="490"/>
      <c r="F1706" s="30"/>
      <c r="G1706" s="30"/>
      <c r="H1706" s="288">
        <f t="shared" si="35"/>
        <v>0</v>
      </c>
      <c r="I1706" s="490"/>
      <c r="J1706" s="276"/>
      <c r="K1706" s="276"/>
      <c r="L1706" s="276"/>
      <c r="M1706" s="276"/>
      <c r="N1706" s="276"/>
      <c r="O1706" s="276"/>
      <c r="P1706" s="276"/>
      <c r="Q1706" s="276"/>
      <c r="R1706" s="276"/>
      <c r="S1706" s="276"/>
      <c r="T1706" s="276"/>
      <c r="U1706" s="276"/>
      <c r="V1706" s="276"/>
      <c r="W1706" s="276"/>
      <c r="X1706" s="276"/>
    </row>
    <row r="1707" ht="15.75" customHeight="1">
      <c r="A1707" s="403"/>
      <c r="B1707" s="284">
        <f t="shared" si="32"/>
        <v>30</v>
      </c>
      <c r="C1707" s="284">
        <f t="shared" si="33"/>
        <v>12</v>
      </c>
      <c r="D1707" s="284">
        <f t="shared" si="34"/>
        <v>1899</v>
      </c>
      <c r="E1707" s="490"/>
      <c r="F1707" s="30"/>
      <c r="G1707" s="30"/>
      <c r="H1707" s="288">
        <f t="shared" si="35"/>
        <v>0</v>
      </c>
      <c r="I1707" s="490"/>
      <c r="J1707" s="276"/>
      <c r="K1707" s="276"/>
      <c r="L1707" s="276"/>
      <c r="M1707" s="276"/>
      <c r="N1707" s="276"/>
      <c r="O1707" s="276"/>
      <c r="P1707" s="276"/>
      <c r="Q1707" s="276"/>
      <c r="R1707" s="276"/>
      <c r="S1707" s="276"/>
      <c r="T1707" s="276"/>
      <c r="U1707" s="276"/>
      <c r="V1707" s="276"/>
      <c r="W1707" s="276"/>
      <c r="X1707" s="276"/>
    </row>
    <row r="1708" ht="15.75" customHeight="1">
      <c r="A1708" s="403"/>
      <c r="B1708" s="284">
        <f t="shared" si="32"/>
        <v>30</v>
      </c>
      <c r="C1708" s="284">
        <f t="shared" si="33"/>
        <v>12</v>
      </c>
      <c r="D1708" s="284">
        <f t="shared" si="34"/>
        <v>1899</v>
      </c>
      <c r="E1708" s="490"/>
      <c r="F1708" s="30"/>
      <c r="G1708" s="30"/>
      <c r="H1708" s="288">
        <f t="shared" si="35"/>
        <v>0</v>
      </c>
      <c r="I1708" s="490"/>
      <c r="J1708" s="276"/>
      <c r="K1708" s="276"/>
      <c r="L1708" s="276"/>
      <c r="M1708" s="276"/>
      <c r="N1708" s="276"/>
      <c r="O1708" s="276"/>
      <c r="P1708" s="276"/>
      <c r="Q1708" s="276"/>
      <c r="R1708" s="276"/>
      <c r="S1708" s="276"/>
      <c r="T1708" s="276"/>
      <c r="U1708" s="276"/>
      <c r="V1708" s="276"/>
      <c r="W1708" s="276"/>
      <c r="X1708" s="276"/>
    </row>
    <row r="1709" ht="15.75" customHeight="1">
      <c r="A1709" s="403"/>
      <c r="B1709" s="284">
        <f t="shared" si="32"/>
        <v>30</v>
      </c>
      <c r="C1709" s="284">
        <f t="shared" si="33"/>
        <v>12</v>
      </c>
      <c r="D1709" s="284">
        <f t="shared" si="34"/>
        <v>1899</v>
      </c>
      <c r="E1709" s="490"/>
      <c r="F1709" s="30"/>
      <c r="G1709" s="30"/>
      <c r="H1709" s="288">
        <f t="shared" si="35"/>
        <v>0</v>
      </c>
      <c r="I1709" s="490"/>
      <c r="J1709" s="276"/>
      <c r="K1709" s="276"/>
      <c r="L1709" s="276"/>
      <c r="M1709" s="276"/>
      <c r="N1709" s="276"/>
      <c r="O1709" s="276"/>
      <c r="P1709" s="276"/>
      <c r="Q1709" s="276"/>
      <c r="R1709" s="276"/>
      <c r="S1709" s="276"/>
      <c r="T1709" s="276"/>
      <c r="U1709" s="276"/>
      <c r="V1709" s="276"/>
      <c r="W1709" s="276"/>
      <c r="X1709" s="276"/>
    </row>
    <row r="1710" ht="15.75" customHeight="1">
      <c r="A1710" s="403"/>
      <c r="B1710" s="284">
        <f t="shared" si="32"/>
        <v>30</v>
      </c>
      <c r="C1710" s="284">
        <f t="shared" si="33"/>
        <v>12</v>
      </c>
      <c r="D1710" s="284">
        <f t="shared" si="34"/>
        <v>1899</v>
      </c>
      <c r="E1710" s="490"/>
      <c r="F1710" s="30"/>
      <c r="G1710" s="30"/>
      <c r="H1710" s="288">
        <f t="shared" si="35"/>
        <v>0</v>
      </c>
      <c r="I1710" s="490"/>
      <c r="J1710" s="276"/>
      <c r="K1710" s="276"/>
      <c r="L1710" s="276"/>
      <c r="M1710" s="276"/>
      <c r="N1710" s="276"/>
      <c r="O1710" s="276"/>
      <c r="P1710" s="276"/>
      <c r="Q1710" s="276"/>
      <c r="R1710" s="276"/>
      <c r="S1710" s="276"/>
      <c r="T1710" s="276"/>
      <c r="U1710" s="276"/>
      <c r="V1710" s="276"/>
      <c r="W1710" s="276"/>
      <c r="X1710" s="276"/>
    </row>
    <row r="1711" ht="15.75" customHeight="1">
      <c r="A1711" s="403"/>
      <c r="B1711" s="284">
        <f t="shared" si="32"/>
        <v>30</v>
      </c>
      <c r="C1711" s="284">
        <f t="shared" si="33"/>
        <v>12</v>
      </c>
      <c r="D1711" s="284">
        <f t="shared" si="34"/>
        <v>1899</v>
      </c>
      <c r="E1711" s="490"/>
      <c r="F1711" s="30"/>
      <c r="G1711" s="30"/>
      <c r="H1711" s="288">
        <f t="shared" si="35"/>
        <v>0</v>
      </c>
      <c r="I1711" s="490"/>
      <c r="J1711" s="276"/>
      <c r="K1711" s="276"/>
      <c r="L1711" s="276"/>
      <c r="M1711" s="276"/>
      <c r="N1711" s="276"/>
      <c r="O1711" s="276"/>
      <c r="P1711" s="276"/>
      <c r="Q1711" s="276"/>
      <c r="R1711" s="276"/>
      <c r="S1711" s="276"/>
      <c r="T1711" s="276"/>
      <c r="U1711" s="276"/>
      <c r="V1711" s="276"/>
      <c r="W1711" s="276"/>
      <c r="X1711" s="276"/>
    </row>
    <row r="1712" ht="15.75" customHeight="1">
      <c r="A1712" s="403"/>
      <c r="B1712" s="284">
        <f t="shared" si="32"/>
        <v>30</v>
      </c>
      <c r="C1712" s="284">
        <f t="shared" si="33"/>
        <v>12</v>
      </c>
      <c r="D1712" s="284">
        <f t="shared" si="34"/>
        <v>1899</v>
      </c>
      <c r="E1712" s="490"/>
      <c r="F1712" s="30"/>
      <c r="G1712" s="30"/>
      <c r="H1712" s="288">
        <f t="shared" si="35"/>
        <v>0</v>
      </c>
      <c r="I1712" s="490"/>
      <c r="J1712" s="276"/>
      <c r="K1712" s="276"/>
      <c r="L1712" s="276"/>
      <c r="M1712" s="276"/>
      <c r="N1712" s="276"/>
      <c r="O1712" s="276"/>
      <c r="P1712" s="276"/>
      <c r="Q1712" s="276"/>
      <c r="R1712" s="276"/>
      <c r="S1712" s="276"/>
      <c r="T1712" s="276"/>
      <c r="U1712" s="276"/>
      <c r="V1712" s="276"/>
      <c r="W1712" s="276"/>
      <c r="X1712" s="276"/>
    </row>
    <row r="1713" ht="15.75" customHeight="1">
      <c r="A1713" s="403"/>
      <c r="B1713" s="284">
        <f t="shared" si="32"/>
        <v>30</v>
      </c>
      <c r="C1713" s="284">
        <f t="shared" si="33"/>
        <v>12</v>
      </c>
      <c r="D1713" s="284">
        <f t="shared" si="34"/>
        <v>1899</v>
      </c>
      <c r="E1713" s="490"/>
      <c r="F1713" s="30"/>
      <c r="G1713" s="30"/>
      <c r="H1713" s="288">
        <f t="shared" si="35"/>
        <v>0</v>
      </c>
      <c r="I1713" s="490"/>
      <c r="J1713" s="276"/>
      <c r="K1713" s="276"/>
      <c r="L1713" s="276"/>
      <c r="M1713" s="276"/>
      <c r="N1713" s="276"/>
      <c r="O1713" s="276"/>
      <c r="P1713" s="276"/>
      <c r="Q1713" s="276"/>
      <c r="R1713" s="276"/>
      <c r="S1713" s="276"/>
      <c r="T1713" s="276"/>
      <c r="U1713" s="276"/>
      <c r="V1713" s="276"/>
      <c r="W1713" s="276"/>
      <c r="X1713" s="276"/>
    </row>
    <row r="1714" ht="15.75" customHeight="1">
      <c r="A1714" s="403"/>
      <c r="B1714" s="284">
        <f t="shared" si="32"/>
        <v>30</v>
      </c>
      <c r="C1714" s="284">
        <f t="shared" si="33"/>
        <v>12</v>
      </c>
      <c r="D1714" s="284">
        <f t="shared" si="34"/>
        <v>1899</v>
      </c>
      <c r="E1714" s="490"/>
      <c r="F1714" s="30"/>
      <c r="G1714" s="30"/>
      <c r="H1714" s="288">
        <f t="shared" si="35"/>
        <v>0</v>
      </c>
      <c r="I1714" s="490"/>
      <c r="J1714" s="276"/>
      <c r="K1714" s="276"/>
      <c r="L1714" s="276"/>
      <c r="M1714" s="276"/>
      <c r="N1714" s="276"/>
      <c r="O1714" s="276"/>
      <c r="P1714" s="276"/>
      <c r="Q1714" s="276"/>
      <c r="R1714" s="276"/>
      <c r="S1714" s="276"/>
      <c r="T1714" s="276"/>
      <c r="U1714" s="276"/>
      <c r="V1714" s="276"/>
      <c r="W1714" s="276"/>
      <c r="X1714" s="276"/>
    </row>
    <row r="1715" ht="15.75" customHeight="1">
      <c r="A1715" s="403"/>
      <c r="B1715" s="284">
        <f t="shared" si="32"/>
        <v>30</v>
      </c>
      <c r="C1715" s="284">
        <f t="shared" si="33"/>
        <v>12</v>
      </c>
      <c r="D1715" s="284">
        <f t="shared" si="34"/>
        <v>1899</v>
      </c>
      <c r="E1715" s="490"/>
      <c r="F1715" s="30"/>
      <c r="G1715" s="30"/>
      <c r="H1715" s="288">
        <f t="shared" si="35"/>
        <v>0</v>
      </c>
      <c r="I1715" s="490"/>
      <c r="J1715" s="276"/>
      <c r="K1715" s="276"/>
      <c r="L1715" s="276"/>
      <c r="M1715" s="276"/>
      <c r="N1715" s="276"/>
      <c r="O1715" s="276"/>
      <c r="P1715" s="276"/>
      <c r="Q1715" s="276"/>
      <c r="R1715" s="276"/>
      <c r="S1715" s="276"/>
      <c r="T1715" s="276"/>
      <c r="U1715" s="276"/>
      <c r="V1715" s="276"/>
      <c r="W1715" s="276"/>
      <c r="X1715" s="276"/>
    </row>
    <row r="1716" ht="15.75" customHeight="1">
      <c r="A1716" s="403"/>
      <c r="B1716" s="284">
        <f t="shared" si="32"/>
        <v>30</v>
      </c>
      <c r="C1716" s="284">
        <f t="shared" si="33"/>
        <v>12</v>
      </c>
      <c r="D1716" s="284">
        <f t="shared" si="34"/>
        <v>1899</v>
      </c>
      <c r="E1716" s="490"/>
      <c r="F1716" s="30"/>
      <c r="G1716" s="30"/>
      <c r="H1716" s="288">
        <f t="shared" si="35"/>
        <v>0</v>
      </c>
      <c r="I1716" s="490"/>
      <c r="J1716" s="276"/>
      <c r="K1716" s="276"/>
      <c r="L1716" s="276"/>
      <c r="M1716" s="276"/>
      <c r="N1716" s="276"/>
      <c r="O1716" s="276"/>
      <c r="P1716" s="276"/>
      <c r="Q1716" s="276"/>
      <c r="R1716" s="276"/>
      <c r="S1716" s="276"/>
      <c r="T1716" s="276"/>
      <c r="U1716" s="276"/>
      <c r="V1716" s="276"/>
      <c r="W1716" s="276"/>
      <c r="X1716" s="276"/>
    </row>
    <row r="1717" ht="15.75" customHeight="1">
      <c r="A1717" s="403"/>
      <c r="B1717" s="284">
        <f t="shared" si="32"/>
        <v>30</v>
      </c>
      <c r="C1717" s="284">
        <f t="shared" si="33"/>
        <v>12</v>
      </c>
      <c r="D1717" s="284">
        <f t="shared" si="34"/>
        <v>1899</v>
      </c>
      <c r="E1717" s="490"/>
      <c r="F1717" s="30"/>
      <c r="G1717" s="30"/>
      <c r="H1717" s="288">
        <f t="shared" si="35"/>
        <v>0</v>
      </c>
      <c r="I1717" s="490"/>
      <c r="J1717" s="276"/>
      <c r="K1717" s="276"/>
      <c r="L1717" s="276"/>
      <c r="M1717" s="276"/>
      <c r="N1717" s="276"/>
      <c r="O1717" s="276"/>
      <c r="P1717" s="276"/>
      <c r="Q1717" s="276"/>
      <c r="R1717" s="276"/>
      <c r="S1717" s="276"/>
      <c r="T1717" s="276"/>
      <c r="U1717" s="276"/>
      <c r="V1717" s="276"/>
      <c r="W1717" s="276"/>
      <c r="X1717" s="276"/>
    </row>
    <row r="1718" ht="15.75" customHeight="1">
      <c r="A1718" s="403"/>
      <c r="B1718" s="284">
        <f t="shared" si="32"/>
        <v>30</v>
      </c>
      <c r="C1718" s="284">
        <f t="shared" si="33"/>
        <v>12</v>
      </c>
      <c r="D1718" s="284">
        <f t="shared" si="34"/>
        <v>1899</v>
      </c>
      <c r="E1718" s="490"/>
      <c r="F1718" s="30"/>
      <c r="G1718" s="30"/>
      <c r="H1718" s="288">
        <f t="shared" si="35"/>
        <v>0</v>
      </c>
      <c r="I1718" s="490"/>
      <c r="J1718" s="276"/>
      <c r="K1718" s="276"/>
      <c r="L1718" s="276"/>
      <c r="M1718" s="276"/>
      <c r="N1718" s="276"/>
      <c r="O1718" s="276"/>
      <c r="P1718" s="276"/>
      <c r="Q1718" s="276"/>
      <c r="R1718" s="276"/>
      <c r="S1718" s="276"/>
      <c r="T1718" s="276"/>
      <c r="U1718" s="276"/>
      <c r="V1718" s="276"/>
      <c r="W1718" s="276"/>
      <c r="X1718" s="276"/>
    </row>
    <row r="1719" ht="15.75" customHeight="1">
      <c r="A1719" s="403"/>
      <c r="B1719" s="284">
        <f t="shared" si="32"/>
        <v>30</v>
      </c>
      <c r="C1719" s="284">
        <f t="shared" si="33"/>
        <v>12</v>
      </c>
      <c r="D1719" s="284">
        <f t="shared" si="34"/>
        <v>1899</v>
      </c>
      <c r="E1719" s="490"/>
      <c r="F1719" s="30"/>
      <c r="G1719" s="30"/>
      <c r="H1719" s="288">
        <f t="shared" si="35"/>
        <v>0</v>
      </c>
      <c r="I1719" s="490"/>
      <c r="J1719" s="276"/>
      <c r="K1719" s="276"/>
      <c r="L1719" s="276"/>
      <c r="M1719" s="276"/>
      <c r="N1719" s="276"/>
      <c r="O1719" s="276"/>
      <c r="P1719" s="276"/>
      <c r="Q1719" s="276"/>
      <c r="R1719" s="276"/>
      <c r="S1719" s="276"/>
      <c r="T1719" s="276"/>
      <c r="U1719" s="276"/>
      <c r="V1719" s="276"/>
      <c r="W1719" s="276"/>
      <c r="X1719" s="276"/>
    </row>
    <row r="1720" ht="15.75" customHeight="1">
      <c r="A1720" s="403"/>
      <c r="B1720" s="284">
        <f t="shared" si="32"/>
        <v>30</v>
      </c>
      <c r="C1720" s="284">
        <f t="shared" si="33"/>
        <v>12</v>
      </c>
      <c r="D1720" s="284">
        <f t="shared" si="34"/>
        <v>1899</v>
      </c>
      <c r="E1720" s="490"/>
      <c r="F1720" s="30"/>
      <c r="G1720" s="30"/>
      <c r="H1720" s="288">
        <f t="shared" si="35"/>
        <v>0</v>
      </c>
      <c r="I1720" s="490"/>
      <c r="J1720" s="276"/>
      <c r="K1720" s="276"/>
      <c r="L1720" s="276"/>
      <c r="M1720" s="276"/>
      <c r="N1720" s="276"/>
      <c r="O1720" s="276"/>
      <c r="P1720" s="276"/>
      <c r="Q1720" s="276"/>
      <c r="R1720" s="276"/>
      <c r="S1720" s="276"/>
      <c r="T1720" s="276"/>
      <c r="U1720" s="276"/>
      <c r="V1720" s="276"/>
      <c r="W1720" s="276"/>
      <c r="X1720" s="276"/>
    </row>
    <row r="1721" ht="15.75" customHeight="1">
      <c r="A1721" s="403"/>
      <c r="B1721" s="284">
        <f t="shared" si="32"/>
        <v>30</v>
      </c>
      <c r="C1721" s="284">
        <f t="shared" si="33"/>
        <v>12</v>
      </c>
      <c r="D1721" s="284">
        <f t="shared" si="34"/>
        <v>1899</v>
      </c>
      <c r="E1721" s="490"/>
      <c r="F1721" s="30"/>
      <c r="G1721" s="30"/>
      <c r="H1721" s="288">
        <f t="shared" si="35"/>
        <v>0</v>
      </c>
      <c r="I1721" s="490"/>
      <c r="J1721" s="276"/>
      <c r="K1721" s="276"/>
      <c r="L1721" s="276"/>
      <c r="M1721" s="276"/>
      <c r="N1721" s="276"/>
      <c r="O1721" s="276"/>
      <c r="P1721" s="276"/>
      <c r="Q1721" s="276"/>
      <c r="R1721" s="276"/>
      <c r="S1721" s="276"/>
      <c r="T1721" s="276"/>
      <c r="U1721" s="276"/>
      <c r="V1721" s="276"/>
      <c r="W1721" s="276"/>
      <c r="X1721" s="276"/>
    </row>
    <row r="1722" ht="15.75" customHeight="1">
      <c r="A1722" s="403"/>
      <c r="B1722" s="284">
        <f t="shared" si="32"/>
        <v>30</v>
      </c>
      <c r="C1722" s="284">
        <f t="shared" si="33"/>
        <v>12</v>
      </c>
      <c r="D1722" s="284">
        <f t="shared" si="34"/>
        <v>1899</v>
      </c>
      <c r="E1722" s="490"/>
      <c r="F1722" s="30"/>
      <c r="G1722" s="30"/>
      <c r="H1722" s="288">
        <f t="shared" si="35"/>
        <v>0</v>
      </c>
      <c r="I1722" s="490"/>
      <c r="J1722" s="276"/>
      <c r="K1722" s="276"/>
      <c r="L1722" s="276"/>
      <c r="M1722" s="276"/>
      <c r="N1722" s="276"/>
      <c r="O1722" s="276"/>
      <c r="P1722" s="276"/>
      <c r="Q1722" s="276"/>
      <c r="R1722" s="276"/>
      <c r="S1722" s="276"/>
      <c r="T1722" s="276"/>
      <c r="U1722" s="276"/>
      <c r="V1722" s="276"/>
      <c r="W1722" s="276"/>
      <c r="X1722" s="276"/>
    </row>
    <row r="1723" ht="15.75" customHeight="1">
      <c r="A1723" s="403"/>
      <c r="B1723" s="284">
        <f t="shared" si="32"/>
        <v>30</v>
      </c>
      <c r="C1723" s="284">
        <f t="shared" si="33"/>
        <v>12</v>
      </c>
      <c r="D1723" s="284">
        <f t="shared" si="34"/>
        <v>1899</v>
      </c>
      <c r="E1723" s="490"/>
      <c r="F1723" s="30"/>
      <c r="G1723" s="30"/>
      <c r="H1723" s="288">
        <f t="shared" si="35"/>
        <v>0</v>
      </c>
      <c r="I1723" s="490"/>
      <c r="J1723" s="276"/>
      <c r="K1723" s="276"/>
      <c r="L1723" s="276"/>
      <c r="M1723" s="276"/>
      <c r="N1723" s="276"/>
      <c r="O1723" s="276"/>
      <c r="P1723" s="276"/>
      <c r="Q1723" s="276"/>
      <c r="R1723" s="276"/>
      <c r="S1723" s="276"/>
      <c r="T1723" s="276"/>
      <c r="U1723" s="276"/>
      <c r="V1723" s="276"/>
      <c r="W1723" s="276"/>
      <c r="X1723" s="276"/>
    </row>
    <row r="1724" ht="15.75" customHeight="1">
      <c r="A1724" s="403"/>
      <c r="B1724" s="284">
        <f t="shared" si="32"/>
        <v>30</v>
      </c>
      <c r="C1724" s="284">
        <f t="shared" si="33"/>
        <v>12</v>
      </c>
      <c r="D1724" s="284">
        <f t="shared" si="34"/>
        <v>1899</v>
      </c>
      <c r="E1724" s="490"/>
      <c r="F1724" s="30"/>
      <c r="G1724" s="30"/>
      <c r="H1724" s="288">
        <f t="shared" si="35"/>
        <v>0</v>
      </c>
      <c r="I1724" s="490"/>
      <c r="J1724" s="276"/>
      <c r="K1724" s="276"/>
      <c r="L1724" s="276"/>
      <c r="M1724" s="276"/>
      <c r="N1724" s="276"/>
      <c r="O1724" s="276"/>
      <c r="P1724" s="276"/>
      <c r="Q1724" s="276"/>
      <c r="R1724" s="276"/>
      <c r="S1724" s="276"/>
      <c r="T1724" s="276"/>
      <c r="U1724" s="276"/>
      <c r="V1724" s="276"/>
      <c r="W1724" s="276"/>
      <c r="X1724" s="276"/>
    </row>
    <row r="1725" ht="15.75" customHeight="1">
      <c r="A1725" s="403"/>
      <c r="B1725" s="284">
        <f t="shared" si="32"/>
        <v>30</v>
      </c>
      <c r="C1725" s="284">
        <f t="shared" si="33"/>
        <v>12</v>
      </c>
      <c r="D1725" s="284">
        <f t="shared" si="34"/>
        <v>1899</v>
      </c>
      <c r="E1725" s="490"/>
      <c r="F1725" s="30"/>
      <c r="G1725" s="30"/>
      <c r="H1725" s="288">
        <f t="shared" si="35"/>
        <v>0</v>
      </c>
      <c r="I1725" s="490"/>
      <c r="J1725" s="276"/>
      <c r="K1725" s="276"/>
      <c r="L1725" s="276"/>
      <c r="M1725" s="276"/>
      <c r="N1725" s="276"/>
      <c r="O1725" s="276"/>
      <c r="P1725" s="276"/>
      <c r="Q1725" s="276"/>
      <c r="R1725" s="276"/>
      <c r="S1725" s="276"/>
      <c r="T1725" s="276"/>
      <c r="U1725" s="276"/>
      <c r="V1725" s="276"/>
      <c r="W1725" s="276"/>
      <c r="X1725" s="276"/>
    </row>
    <row r="1726" ht="15.75" customHeight="1">
      <c r="A1726" s="403"/>
      <c r="B1726" s="284">
        <f t="shared" si="32"/>
        <v>30</v>
      </c>
      <c r="C1726" s="284">
        <f t="shared" si="33"/>
        <v>12</v>
      </c>
      <c r="D1726" s="284">
        <f t="shared" si="34"/>
        <v>1899</v>
      </c>
      <c r="E1726" s="490"/>
      <c r="F1726" s="30"/>
      <c r="G1726" s="30"/>
      <c r="H1726" s="288">
        <f t="shared" si="35"/>
        <v>0</v>
      </c>
      <c r="I1726" s="490"/>
      <c r="J1726" s="276"/>
      <c r="K1726" s="276"/>
      <c r="L1726" s="276"/>
      <c r="M1726" s="276"/>
      <c r="N1726" s="276"/>
      <c r="O1726" s="276"/>
      <c r="P1726" s="276"/>
      <c r="Q1726" s="276"/>
      <c r="R1726" s="276"/>
      <c r="S1726" s="276"/>
      <c r="T1726" s="276"/>
      <c r="U1726" s="276"/>
      <c r="V1726" s="276"/>
      <c r="W1726" s="276"/>
      <c r="X1726" s="276"/>
    </row>
    <row r="1727" ht="15.75" customHeight="1">
      <c r="A1727" s="403"/>
      <c r="B1727" s="284">
        <f t="shared" si="32"/>
        <v>30</v>
      </c>
      <c r="C1727" s="284">
        <f t="shared" si="33"/>
        <v>12</v>
      </c>
      <c r="D1727" s="284">
        <f t="shared" si="34"/>
        <v>1899</v>
      </c>
      <c r="E1727" s="490"/>
      <c r="F1727" s="30"/>
      <c r="G1727" s="30"/>
      <c r="H1727" s="288">
        <f t="shared" si="35"/>
        <v>0</v>
      </c>
      <c r="I1727" s="490"/>
      <c r="J1727" s="276"/>
      <c r="K1727" s="276"/>
      <c r="L1727" s="276"/>
      <c r="M1727" s="276"/>
      <c r="N1727" s="276"/>
      <c r="O1727" s="276"/>
      <c r="P1727" s="276"/>
      <c r="Q1727" s="276"/>
      <c r="R1727" s="276"/>
      <c r="S1727" s="276"/>
      <c r="T1727" s="276"/>
      <c r="U1727" s="276"/>
      <c r="V1727" s="276"/>
      <c r="W1727" s="276"/>
      <c r="X1727" s="276"/>
    </row>
    <row r="1728" ht="15.75" customHeight="1">
      <c r="A1728" s="403"/>
      <c r="B1728" s="284">
        <f t="shared" si="32"/>
        <v>30</v>
      </c>
      <c r="C1728" s="284">
        <f t="shared" si="33"/>
        <v>12</v>
      </c>
      <c r="D1728" s="284">
        <f t="shared" si="34"/>
        <v>1899</v>
      </c>
      <c r="E1728" s="490"/>
      <c r="F1728" s="30"/>
      <c r="G1728" s="30"/>
      <c r="H1728" s="288">
        <f t="shared" si="35"/>
        <v>0</v>
      </c>
      <c r="I1728" s="490"/>
      <c r="J1728" s="276"/>
      <c r="K1728" s="276"/>
      <c r="L1728" s="276"/>
      <c r="M1728" s="276"/>
      <c r="N1728" s="276"/>
      <c r="O1728" s="276"/>
      <c r="P1728" s="276"/>
      <c r="Q1728" s="276"/>
      <c r="R1728" s="276"/>
      <c r="S1728" s="276"/>
      <c r="T1728" s="276"/>
      <c r="U1728" s="276"/>
      <c r="V1728" s="276"/>
      <c r="W1728" s="276"/>
      <c r="X1728" s="276"/>
    </row>
    <row r="1729" ht="15.75" customHeight="1">
      <c r="A1729" s="403"/>
      <c r="B1729" s="284">
        <f t="shared" si="32"/>
        <v>30</v>
      </c>
      <c r="C1729" s="284">
        <f t="shared" si="33"/>
        <v>12</v>
      </c>
      <c r="D1729" s="284">
        <f t="shared" si="34"/>
        <v>1899</v>
      </c>
      <c r="E1729" s="490"/>
      <c r="F1729" s="30"/>
      <c r="G1729" s="30"/>
      <c r="H1729" s="288">
        <f t="shared" si="35"/>
        <v>0</v>
      </c>
      <c r="I1729" s="490"/>
      <c r="J1729" s="276"/>
      <c r="K1729" s="276"/>
      <c r="L1729" s="276"/>
      <c r="M1729" s="276"/>
      <c r="N1729" s="276"/>
      <c r="O1729" s="276"/>
      <c r="P1729" s="276"/>
      <c r="Q1729" s="276"/>
      <c r="R1729" s="276"/>
      <c r="S1729" s="276"/>
      <c r="T1729" s="276"/>
      <c r="U1729" s="276"/>
      <c r="V1729" s="276"/>
      <c r="W1729" s="276"/>
      <c r="X1729" s="276"/>
    </row>
    <row r="1730" ht="15.75" customHeight="1">
      <c r="A1730" s="403"/>
      <c r="B1730" s="284">
        <f t="shared" si="32"/>
        <v>30</v>
      </c>
      <c r="C1730" s="284">
        <f t="shared" si="33"/>
        <v>12</v>
      </c>
      <c r="D1730" s="284">
        <f t="shared" si="34"/>
        <v>1899</v>
      </c>
      <c r="E1730" s="490"/>
      <c r="F1730" s="30"/>
      <c r="G1730" s="30"/>
      <c r="H1730" s="288">
        <f t="shared" si="35"/>
        <v>0</v>
      </c>
      <c r="I1730" s="490"/>
      <c r="J1730" s="276"/>
      <c r="K1730" s="276"/>
      <c r="L1730" s="276"/>
      <c r="M1730" s="276"/>
      <c r="N1730" s="276"/>
      <c r="O1730" s="276"/>
      <c r="P1730" s="276"/>
      <c r="Q1730" s="276"/>
      <c r="R1730" s="276"/>
      <c r="S1730" s="276"/>
      <c r="T1730" s="276"/>
      <c r="U1730" s="276"/>
      <c r="V1730" s="276"/>
      <c r="W1730" s="276"/>
      <c r="X1730" s="276"/>
    </row>
    <row r="1731" ht="15.75" customHeight="1">
      <c r="A1731" s="403"/>
      <c r="B1731" s="284">
        <f t="shared" si="32"/>
        <v>30</v>
      </c>
      <c r="C1731" s="284">
        <f t="shared" si="33"/>
        <v>12</v>
      </c>
      <c r="D1731" s="284">
        <f t="shared" si="34"/>
        <v>1899</v>
      </c>
      <c r="E1731" s="490"/>
      <c r="F1731" s="30"/>
      <c r="G1731" s="30"/>
      <c r="H1731" s="288">
        <f t="shared" si="35"/>
        <v>0</v>
      </c>
      <c r="I1731" s="490"/>
      <c r="J1731" s="276"/>
      <c r="K1731" s="276"/>
      <c r="L1731" s="276"/>
      <c r="M1731" s="276"/>
      <c r="N1731" s="276"/>
      <c r="O1731" s="276"/>
      <c r="P1731" s="276"/>
      <c r="Q1731" s="276"/>
      <c r="R1731" s="276"/>
      <c r="S1731" s="276"/>
      <c r="T1731" s="276"/>
      <c r="U1731" s="276"/>
      <c r="V1731" s="276"/>
      <c r="W1731" s="276"/>
      <c r="X1731" s="276"/>
    </row>
    <row r="1732" ht="15.75" customHeight="1">
      <c r="A1732" s="403"/>
      <c r="B1732" s="284">
        <f t="shared" si="32"/>
        <v>30</v>
      </c>
      <c r="C1732" s="284">
        <f t="shared" si="33"/>
        <v>12</v>
      </c>
      <c r="D1732" s="284">
        <f t="shared" si="34"/>
        <v>1899</v>
      </c>
      <c r="E1732" s="490"/>
      <c r="F1732" s="30"/>
      <c r="G1732" s="30"/>
      <c r="H1732" s="288">
        <f t="shared" si="35"/>
        <v>0</v>
      </c>
      <c r="I1732" s="490"/>
      <c r="J1732" s="276"/>
      <c r="K1732" s="276"/>
      <c r="L1732" s="276"/>
      <c r="M1732" s="276"/>
      <c r="N1732" s="276"/>
      <c r="O1732" s="276"/>
      <c r="P1732" s="276"/>
      <c r="Q1732" s="276"/>
      <c r="R1732" s="276"/>
      <c r="S1732" s="276"/>
      <c r="T1732" s="276"/>
      <c r="U1732" s="276"/>
      <c r="V1732" s="276"/>
      <c r="W1732" s="276"/>
      <c r="X1732" s="276"/>
    </row>
    <row r="1733" ht="15.75" customHeight="1">
      <c r="A1733" s="403"/>
      <c r="B1733" s="284">
        <f t="shared" si="32"/>
        <v>30</v>
      </c>
      <c r="C1733" s="284">
        <f t="shared" si="33"/>
        <v>12</v>
      </c>
      <c r="D1733" s="284">
        <f t="shared" si="34"/>
        <v>1899</v>
      </c>
      <c r="E1733" s="490"/>
      <c r="F1733" s="30"/>
      <c r="G1733" s="30"/>
      <c r="H1733" s="288">
        <f t="shared" si="35"/>
        <v>0</v>
      </c>
      <c r="I1733" s="490"/>
      <c r="J1733" s="276"/>
      <c r="K1733" s="276"/>
      <c r="L1733" s="276"/>
      <c r="M1733" s="276"/>
      <c r="N1733" s="276"/>
      <c r="O1733" s="276"/>
      <c r="P1733" s="276"/>
      <c r="Q1733" s="276"/>
      <c r="R1733" s="276"/>
      <c r="S1733" s="276"/>
      <c r="T1733" s="276"/>
      <c r="U1733" s="276"/>
      <c r="V1733" s="276"/>
      <c r="W1733" s="276"/>
      <c r="X1733" s="276"/>
    </row>
    <row r="1734" ht="15.75" customHeight="1">
      <c r="A1734" s="403"/>
      <c r="B1734" s="284">
        <f t="shared" si="32"/>
        <v>30</v>
      </c>
      <c r="C1734" s="284">
        <f t="shared" si="33"/>
        <v>12</v>
      </c>
      <c r="D1734" s="284">
        <f t="shared" si="34"/>
        <v>1899</v>
      </c>
      <c r="E1734" s="490"/>
      <c r="F1734" s="30"/>
      <c r="G1734" s="30"/>
      <c r="H1734" s="288">
        <f t="shared" si="35"/>
        <v>0</v>
      </c>
      <c r="I1734" s="490"/>
      <c r="J1734" s="276"/>
      <c r="K1734" s="276"/>
      <c r="L1734" s="276"/>
      <c r="M1734" s="276"/>
      <c r="N1734" s="276"/>
      <c r="O1734" s="276"/>
      <c r="P1734" s="276"/>
      <c r="Q1734" s="276"/>
      <c r="R1734" s="276"/>
      <c r="S1734" s="276"/>
      <c r="T1734" s="276"/>
      <c r="U1734" s="276"/>
      <c r="V1734" s="276"/>
      <c r="W1734" s="276"/>
      <c r="X1734" s="276"/>
    </row>
    <row r="1735" ht="15.75" customHeight="1">
      <c r="A1735" s="403"/>
      <c r="B1735" s="284">
        <f t="shared" si="32"/>
        <v>30</v>
      </c>
      <c r="C1735" s="284">
        <f t="shared" si="33"/>
        <v>12</v>
      </c>
      <c r="D1735" s="284">
        <f t="shared" si="34"/>
        <v>1899</v>
      </c>
      <c r="E1735" s="490"/>
      <c r="F1735" s="30"/>
      <c r="G1735" s="30"/>
      <c r="H1735" s="288">
        <f t="shared" si="35"/>
        <v>0</v>
      </c>
      <c r="I1735" s="490"/>
      <c r="J1735" s="276"/>
      <c r="K1735" s="276"/>
      <c r="L1735" s="276"/>
      <c r="M1735" s="276"/>
      <c r="N1735" s="276"/>
      <c r="O1735" s="276"/>
      <c r="P1735" s="276"/>
      <c r="Q1735" s="276"/>
      <c r="R1735" s="276"/>
      <c r="S1735" s="276"/>
      <c r="T1735" s="276"/>
      <c r="U1735" s="276"/>
      <c r="V1735" s="276"/>
      <c r="W1735" s="276"/>
      <c r="X1735" s="276"/>
    </row>
    <row r="1736" ht="15.75" customHeight="1">
      <c r="A1736" s="403"/>
      <c r="B1736" s="284">
        <f t="shared" si="32"/>
        <v>30</v>
      </c>
      <c r="C1736" s="284">
        <f t="shared" si="33"/>
        <v>12</v>
      </c>
      <c r="D1736" s="284">
        <f t="shared" si="34"/>
        <v>1899</v>
      </c>
      <c r="E1736" s="490"/>
      <c r="F1736" s="30"/>
      <c r="G1736" s="30"/>
      <c r="H1736" s="288">
        <f t="shared" si="35"/>
        <v>0</v>
      </c>
      <c r="I1736" s="490"/>
      <c r="J1736" s="276"/>
      <c r="K1736" s="276"/>
      <c r="L1736" s="276"/>
      <c r="M1736" s="276"/>
      <c r="N1736" s="276"/>
      <c r="O1736" s="276"/>
      <c r="P1736" s="276"/>
      <c r="Q1736" s="276"/>
      <c r="R1736" s="276"/>
      <c r="S1736" s="276"/>
      <c r="T1736" s="276"/>
      <c r="U1736" s="276"/>
      <c r="V1736" s="276"/>
      <c r="W1736" s="276"/>
      <c r="X1736" s="276"/>
    </row>
    <row r="1737" ht="15.75" customHeight="1">
      <c r="A1737" s="403"/>
      <c r="B1737" s="284">
        <f t="shared" si="32"/>
        <v>30</v>
      </c>
      <c r="C1737" s="284">
        <f t="shared" si="33"/>
        <v>12</v>
      </c>
      <c r="D1737" s="284">
        <f t="shared" si="34"/>
        <v>1899</v>
      </c>
      <c r="E1737" s="490"/>
      <c r="F1737" s="30"/>
      <c r="G1737" s="30"/>
      <c r="H1737" s="288">
        <f t="shared" si="35"/>
        <v>0</v>
      </c>
      <c r="I1737" s="490"/>
      <c r="J1737" s="276"/>
      <c r="K1737" s="276"/>
      <c r="L1737" s="276"/>
      <c r="M1737" s="276"/>
      <c r="N1737" s="276"/>
      <c r="O1737" s="276"/>
      <c r="P1737" s="276"/>
      <c r="Q1737" s="276"/>
      <c r="R1737" s="276"/>
      <c r="S1737" s="276"/>
      <c r="T1737" s="276"/>
      <c r="U1737" s="276"/>
      <c r="V1737" s="276"/>
      <c r="W1737" s="276"/>
      <c r="X1737" s="276"/>
    </row>
    <row r="1738" ht="15.75" customHeight="1">
      <c r="A1738" s="403"/>
      <c r="B1738" s="284">
        <f t="shared" si="32"/>
        <v>30</v>
      </c>
      <c r="C1738" s="284">
        <f t="shared" si="33"/>
        <v>12</v>
      </c>
      <c r="D1738" s="284">
        <f t="shared" si="34"/>
        <v>1899</v>
      </c>
      <c r="E1738" s="490"/>
      <c r="F1738" s="30"/>
      <c r="G1738" s="30"/>
      <c r="H1738" s="288">
        <f t="shared" si="35"/>
        <v>0</v>
      </c>
      <c r="I1738" s="490"/>
      <c r="J1738" s="276"/>
      <c r="K1738" s="276"/>
      <c r="L1738" s="276"/>
      <c r="M1738" s="276"/>
      <c r="N1738" s="276"/>
      <c r="O1738" s="276"/>
      <c r="P1738" s="276"/>
      <c r="Q1738" s="276"/>
      <c r="R1738" s="276"/>
      <c r="S1738" s="276"/>
      <c r="T1738" s="276"/>
      <c r="U1738" s="276"/>
      <c r="V1738" s="276"/>
      <c r="W1738" s="276"/>
      <c r="X1738" s="276"/>
    </row>
    <row r="1739" ht="15.75" customHeight="1">
      <c r="A1739" s="403"/>
      <c r="B1739" s="284">
        <f t="shared" si="32"/>
        <v>30</v>
      </c>
      <c r="C1739" s="284">
        <f t="shared" si="33"/>
        <v>12</v>
      </c>
      <c r="D1739" s="284">
        <f t="shared" si="34"/>
        <v>1899</v>
      </c>
      <c r="E1739" s="490"/>
      <c r="F1739" s="30"/>
      <c r="G1739" s="30"/>
      <c r="H1739" s="288">
        <f t="shared" si="35"/>
        <v>0</v>
      </c>
      <c r="I1739" s="490"/>
      <c r="J1739" s="276"/>
      <c r="K1739" s="276"/>
      <c r="L1739" s="276"/>
      <c r="M1739" s="276"/>
      <c r="N1739" s="276"/>
      <c r="O1739" s="276"/>
      <c r="P1739" s="276"/>
      <c r="Q1739" s="276"/>
      <c r="R1739" s="276"/>
      <c r="S1739" s="276"/>
      <c r="T1739" s="276"/>
      <c r="U1739" s="276"/>
      <c r="V1739" s="276"/>
      <c r="W1739" s="276"/>
      <c r="X1739" s="276"/>
    </row>
    <row r="1740" ht="15.75" customHeight="1">
      <c r="A1740" s="403"/>
      <c r="B1740" s="284">
        <f t="shared" si="32"/>
        <v>30</v>
      </c>
      <c r="C1740" s="284">
        <f t="shared" si="33"/>
        <v>12</v>
      </c>
      <c r="D1740" s="284">
        <f t="shared" si="34"/>
        <v>1899</v>
      </c>
      <c r="E1740" s="490"/>
      <c r="F1740" s="30"/>
      <c r="G1740" s="30"/>
      <c r="H1740" s="288">
        <f t="shared" si="35"/>
        <v>0</v>
      </c>
      <c r="I1740" s="490"/>
      <c r="J1740" s="276"/>
      <c r="K1740" s="276"/>
      <c r="L1740" s="276"/>
      <c r="M1740" s="276"/>
      <c r="N1740" s="276"/>
      <c r="O1740" s="276"/>
      <c r="P1740" s="276"/>
      <c r="Q1740" s="276"/>
      <c r="R1740" s="276"/>
      <c r="S1740" s="276"/>
      <c r="T1740" s="276"/>
      <c r="U1740" s="276"/>
      <c r="V1740" s="276"/>
      <c r="W1740" s="276"/>
      <c r="X1740" s="276"/>
    </row>
    <row r="1741" ht="15.75" customHeight="1">
      <c r="A1741" s="403"/>
      <c r="B1741" s="284">
        <f t="shared" si="32"/>
        <v>30</v>
      </c>
      <c r="C1741" s="284">
        <f t="shared" si="33"/>
        <v>12</v>
      </c>
      <c r="D1741" s="284">
        <f t="shared" si="34"/>
        <v>1899</v>
      </c>
      <c r="E1741" s="490"/>
      <c r="F1741" s="30"/>
      <c r="G1741" s="30"/>
      <c r="H1741" s="288">
        <f t="shared" si="35"/>
        <v>0</v>
      </c>
      <c r="I1741" s="490"/>
      <c r="J1741" s="276"/>
      <c r="K1741" s="276"/>
      <c r="L1741" s="276"/>
      <c r="M1741" s="276"/>
      <c r="N1741" s="276"/>
      <c r="O1741" s="276"/>
      <c r="P1741" s="276"/>
      <c r="Q1741" s="276"/>
      <c r="R1741" s="276"/>
      <c r="S1741" s="276"/>
      <c r="T1741" s="276"/>
      <c r="U1741" s="276"/>
      <c r="V1741" s="276"/>
      <c r="W1741" s="276"/>
      <c r="X1741" s="276"/>
    </row>
    <row r="1742" ht="15.75" customHeight="1">
      <c r="A1742" s="403"/>
      <c r="B1742" s="284">
        <f t="shared" si="32"/>
        <v>30</v>
      </c>
      <c r="C1742" s="284">
        <f t="shared" si="33"/>
        <v>12</v>
      </c>
      <c r="D1742" s="284">
        <f t="shared" si="34"/>
        <v>1899</v>
      </c>
      <c r="E1742" s="490"/>
      <c r="F1742" s="30"/>
      <c r="G1742" s="30"/>
      <c r="H1742" s="288">
        <f t="shared" si="35"/>
        <v>0</v>
      </c>
      <c r="I1742" s="490"/>
      <c r="J1742" s="276"/>
      <c r="K1742" s="276"/>
      <c r="L1742" s="276"/>
      <c r="M1742" s="276"/>
      <c r="N1742" s="276"/>
      <c r="O1742" s="276"/>
      <c r="P1742" s="276"/>
      <c r="Q1742" s="276"/>
      <c r="R1742" s="276"/>
      <c r="S1742" s="276"/>
      <c r="T1742" s="276"/>
      <c r="U1742" s="276"/>
      <c r="V1742" s="276"/>
      <c r="W1742" s="276"/>
      <c r="X1742" s="276"/>
    </row>
    <row r="1743" ht="15.75" customHeight="1">
      <c r="A1743" s="403"/>
      <c r="B1743" s="284">
        <f t="shared" si="32"/>
        <v>30</v>
      </c>
      <c r="C1743" s="284">
        <f t="shared" si="33"/>
        <v>12</v>
      </c>
      <c r="D1743" s="284">
        <f t="shared" si="34"/>
        <v>1899</v>
      </c>
      <c r="E1743" s="490"/>
      <c r="F1743" s="30"/>
      <c r="G1743" s="30"/>
      <c r="H1743" s="288">
        <f t="shared" si="35"/>
        <v>0</v>
      </c>
      <c r="I1743" s="490"/>
      <c r="J1743" s="276"/>
      <c r="K1743" s="276"/>
      <c r="L1743" s="276"/>
      <c r="M1743" s="276"/>
      <c r="N1743" s="276"/>
      <c r="O1743" s="276"/>
      <c r="P1743" s="276"/>
      <c r="Q1743" s="276"/>
      <c r="R1743" s="276"/>
      <c r="S1743" s="276"/>
      <c r="T1743" s="276"/>
      <c r="U1743" s="276"/>
      <c r="V1743" s="276"/>
      <c r="W1743" s="276"/>
      <c r="X1743" s="276"/>
    </row>
    <row r="1744" ht="15.75" customHeight="1">
      <c r="A1744" s="403"/>
      <c r="B1744" s="284">
        <f t="shared" si="32"/>
        <v>30</v>
      </c>
      <c r="C1744" s="284">
        <f t="shared" si="33"/>
        <v>12</v>
      </c>
      <c r="D1744" s="284">
        <f t="shared" si="34"/>
        <v>1899</v>
      </c>
      <c r="E1744" s="490"/>
      <c r="F1744" s="30"/>
      <c r="G1744" s="30"/>
      <c r="H1744" s="288">
        <f t="shared" si="35"/>
        <v>0</v>
      </c>
      <c r="I1744" s="490"/>
      <c r="J1744" s="276"/>
      <c r="K1744" s="276"/>
      <c r="L1744" s="276"/>
      <c r="M1744" s="276"/>
      <c r="N1744" s="276"/>
      <c r="O1744" s="276"/>
      <c r="P1744" s="276"/>
      <c r="Q1744" s="276"/>
      <c r="R1744" s="276"/>
      <c r="S1744" s="276"/>
      <c r="T1744" s="276"/>
      <c r="U1744" s="276"/>
      <c r="V1744" s="276"/>
      <c r="W1744" s="276"/>
      <c r="X1744" s="276"/>
    </row>
    <row r="1745" ht="15.75" customHeight="1">
      <c r="A1745" s="403"/>
      <c r="B1745" s="284">
        <f t="shared" si="32"/>
        <v>30</v>
      </c>
      <c r="C1745" s="284">
        <f t="shared" si="33"/>
        <v>12</v>
      </c>
      <c r="D1745" s="284">
        <f t="shared" si="34"/>
        <v>1899</v>
      </c>
      <c r="E1745" s="490"/>
      <c r="F1745" s="30"/>
      <c r="G1745" s="30"/>
      <c r="H1745" s="288">
        <f t="shared" si="35"/>
        <v>0</v>
      </c>
      <c r="I1745" s="490"/>
      <c r="J1745" s="276"/>
      <c r="K1745" s="276"/>
      <c r="L1745" s="276"/>
      <c r="M1745" s="276"/>
      <c r="N1745" s="276"/>
      <c r="O1745" s="276"/>
      <c r="P1745" s="276"/>
      <c r="Q1745" s="276"/>
      <c r="R1745" s="276"/>
      <c r="S1745" s="276"/>
      <c r="T1745" s="276"/>
      <c r="U1745" s="276"/>
      <c r="V1745" s="276"/>
      <c r="W1745" s="276"/>
      <c r="X1745" s="276"/>
    </row>
    <row r="1746" ht="15.75" customHeight="1">
      <c r="A1746" s="403"/>
      <c r="B1746" s="284">
        <f t="shared" si="32"/>
        <v>30</v>
      </c>
      <c r="C1746" s="284">
        <f t="shared" si="33"/>
        <v>12</v>
      </c>
      <c r="D1746" s="284">
        <f t="shared" si="34"/>
        <v>1899</v>
      </c>
      <c r="E1746" s="490"/>
      <c r="F1746" s="30"/>
      <c r="G1746" s="30"/>
      <c r="H1746" s="288">
        <f t="shared" si="35"/>
        <v>0</v>
      </c>
      <c r="I1746" s="490"/>
      <c r="J1746" s="276"/>
      <c r="K1746" s="276"/>
      <c r="L1746" s="276"/>
      <c r="M1746" s="276"/>
      <c r="N1746" s="276"/>
      <c r="O1746" s="276"/>
      <c r="P1746" s="276"/>
      <c r="Q1746" s="276"/>
      <c r="R1746" s="276"/>
      <c r="S1746" s="276"/>
      <c r="T1746" s="276"/>
      <c r="U1746" s="276"/>
      <c r="V1746" s="276"/>
      <c r="W1746" s="276"/>
      <c r="X1746" s="276"/>
    </row>
    <row r="1747" ht="15.75" customHeight="1">
      <c r="A1747" s="403"/>
      <c r="B1747" s="284">
        <f t="shared" si="32"/>
        <v>30</v>
      </c>
      <c r="C1747" s="284">
        <f t="shared" si="33"/>
        <v>12</v>
      </c>
      <c r="D1747" s="284">
        <f t="shared" si="34"/>
        <v>1899</v>
      </c>
      <c r="E1747" s="490"/>
      <c r="F1747" s="30"/>
      <c r="G1747" s="30"/>
      <c r="H1747" s="288">
        <f t="shared" si="35"/>
        <v>0</v>
      </c>
      <c r="I1747" s="490"/>
      <c r="J1747" s="276"/>
      <c r="K1747" s="276"/>
      <c r="L1747" s="276"/>
      <c r="M1747" s="276"/>
      <c r="N1747" s="276"/>
      <c r="O1747" s="276"/>
      <c r="P1747" s="276"/>
      <c r="Q1747" s="276"/>
      <c r="R1747" s="276"/>
      <c r="S1747" s="276"/>
      <c r="T1747" s="276"/>
      <c r="U1747" s="276"/>
      <c r="V1747" s="276"/>
      <c r="W1747" s="276"/>
      <c r="X1747" s="276"/>
    </row>
    <row r="1748" ht="15.75" customHeight="1">
      <c r="A1748" s="403"/>
      <c r="B1748" s="284">
        <f t="shared" si="32"/>
        <v>30</v>
      </c>
      <c r="C1748" s="284">
        <f t="shared" si="33"/>
        <v>12</v>
      </c>
      <c r="D1748" s="284">
        <f t="shared" si="34"/>
        <v>1899</v>
      </c>
      <c r="E1748" s="490"/>
      <c r="F1748" s="30"/>
      <c r="G1748" s="30"/>
      <c r="H1748" s="288">
        <f t="shared" si="35"/>
        <v>0</v>
      </c>
      <c r="I1748" s="490"/>
      <c r="J1748" s="276"/>
      <c r="K1748" s="276"/>
      <c r="L1748" s="276"/>
      <c r="M1748" s="276"/>
      <c r="N1748" s="276"/>
      <c r="O1748" s="276"/>
      <c r="P1748" s="276"/>
      <c r="Q1748" s="276"/>
      <c r="R1748" s="276"/>
      <c r="S1748" s="276"/>
      <c r="T1748" s="276"/>
      <c r="U1748" s="276"/>
      <c r="V1748" s="276"/>
      <c r="W1748" s="276"/>
      <c r="X1748" s="276"/>
    </row>
    <row r="1749" ht="15.75" customHeight="1">
      <c r="A1749" s="403"/>
      <c r="B1749" s="284">
        <f t="shared" si="32"/>
        <v>30</v>
      </c>
      <c r="C1749" s="284">
        <f t="shared" si="33"/>
        <v>12</v>
      </c>
      <c r="D1749" s="284">
        <f t="shared" si="34"/>
        <v>1899</v>
      </c>
      <c r="E1749" s="490"/>
      <c r="F1749" s="30"/>
      <c r="G1749" s="30"/>
      <c r="H1749" s="288">
        <f t="shared" si="35"/>
        <v>0</v>
      </c>
      <c r="I1749" s="490"/>
      <c r="J1749" s="276"/>
      <c r="K1749" s="276"/>
      <c r="L1749" s="276"/>
      <c r="M1749" s="276"/>
      <c r="N1749" s="276"/>
      <c r="O1749" s="276"/>
      <c r="P1749" s="276"/>
      <c r="Q1749" s="276"/>
      <c r="R1749" s="276"/>
      <c r="S1749" s="276"/>
      <c r="T1749" s="276"/>
      <c r="U1749" s="276"/>
      <c r="V1749" s="276"/>
      <c r="W1749" s="276"/>
      <c r="X1749" s="276"/>
    </row>
    <row r="1750" ht="15.75" customHeight="1">
      <c r="A1750" s="403"/>
      <c r="B1750" s="284">
        <f t="shared" si="32"/>
        <v>30</v>
      </c>
      <c r="C1750" s="284">
        <f t="shared" si="33"/>
        <v>12</v>
      </c>
      <c r="D1750" s="284">
        <f t="shared" si="34"/>
        <v>1899</v>
      </c>
      <c r="E1750" s="490"/>
      <c r="F1750" s="30"/>
      <c r="G1750" s="30"/>
      <c r="H1750" s="288">
        <f t="shared" si="35"/>
        <v>0</v>
      </c>
      <c r="I1750" s="490"/>
      <c r="J1750" s="276"/>
      <c r="K1750" s="276"/>
      <c r="L1750" s="276"/>
      <c r="M1750" s="276"/>
      <c r="N1750" s="276"/>
      <c r="O1750" s="276"/>
      <c r="P1750" s="276"/>
      <c r="Q1750" s="276"/>
      <c r="R1750" s="276"/>
      <c r="S1750" s="276"/>
      <c r="T1750" s="276"/>
      <c r="U1750" s="276"/>
      <c r="V1750" s="276"/>
      <c r="W1750" s="276"/>
      <c r="X1750" s="276"/>
    </row>
    <row r="1751" ht="15.75" customHeight="1">
      <c r="A1751" s="403"/>
      <c r="B1751" s="284">
        <f t="shared" si="32"/>
        <v>30</v>
      </c>
      <c r="C1751" s="284">
        <f t="shared" si="33"/>
        <v>12</v>
      </c>
      <c r="D1751" s="284">
        <f t="shared" si="34"/>
        <v>1899</v>
      </c>
      <c r="E1751" s="490"/>
      <c r="F1751" s="30"/>
      <c r="G1751" s="30"/>
      <c r="H1751" s="288">
        <f t="shared" si="35"/>
        <v>0</v>
      </c>
      <c r="I1751" s="490"/>
      <c r="J1751" s="276"/>
      <c r="K1751" s="276"/>
      <c r="L1751" s="276"/>
      <c r="M1751" s="276"/>
      <c r="N1751" s="276"/>
      <c r="O1751" s="276"/>
      <c r="P1751" s="276"/>
      <c r="Q1751" s="276"/>
      <c r="R1751" s="276"/>
      <c r="S1751" s="276"/>
      <c r="T1751" s="276"/>
      <c r="U1751" s="276"/>
      <c r="V1751" s="276"/>
      <c r="W1751" s="276"/>
      <c r="X1751" s="276"/>
    </row>
    <row r="1752" ht="15.75" customHeight="1">
      <c r="A1752" s="403"/>
      <c r="B1752" s="284">
        <f t="shared" si="32"/>
        <v>30</v>
      </c>
      <c r="C1752" s="284">
        <f t="shared" si="33"/>
        <v>12</v>
      </c>
      <c r="D1752" s="284">
        <f t="shared" si="34"/>
        <v>1899</v>
      </c>
      <c r="E1752" s="490"/>
      <c r="F1752" s="30"/>
      <c r="G1752" s="30"/>
      <c r="H1752" s="288">
        <f t="shared" si="35"/>
        <v>0</v>
      </c>
      <c r="I1752" s="490"/>
      <c r="J1752" s="276"/>
      <c r="K1752" s="276"/>
      <c r="L1752" s="276"/>
      <c r="M1752" s="276"/>
      <c r="N1752" s="276"/>
      <c r="O1752" s="276"/>
      <c r="P1752" s="276"/>
      <c r="Q1752" s="276"/>
      <c r="R1752" s="276"/>
      <c r="S1752" s="276"/>
      <c r="T1752" s="276"/>
      <c r="U1752" s="276"/>
      <c r="V1752" s="276"/>
      <c r="W1752" s="276"/>
      <c r="X1752" s="276"/>
    </row>
    <row r="1753" ht="15.75" customHeight="1">
      <c r="A1753" s="403"/>
      <c r="B1753" s="284">
        <f t="shared" si="32"/>
        <v>30</v>
      </c>
      <c r="C1753" s="284">
        <f t="shared" si="33"/>
        <v>12</v>
      </c>
      <c r="D1753" s="284">
        <f t="shared" si="34"/>
        <v>1899</v>
      </c>
      <c r="E1753" s="490"/>
      <c r="F1753" s="30"/>
      <c r="G1753" s="30"/>
      <c r="H1753" s="288">
        <f t="shared" si="35"/>
        <v>0</v>
      </c>
      <c r="I1753" s="490"/>
      <c r="J1753" s="276"/>
      <c r="K1753" s="276"/>
      <c r="L1753" s="276"/>
      <c r="M1753" s="276"/>
      <c r="N1753" s="276"/>
      <c r="O1753" s="276"/>
      <c r="P1753" s="276"/>
      <c r="Q1753" s="276"/>
      <c r="R1753" s="276"/>
      <c r="S1753" s="276"/>
      <c r="T1753" s="276"/>
      <c r="U1753" s="276"/>
      <c r="V1753" s="276"/>
      <c r="W1753" s="276"/>
      <c r="X1753" s="276"/>
    </row>
    <row r="1754" ht="15.75" customHeight="1">
      <c r="A1754" s="403"/>
      <c r="B1754" s="284">
        <f t="shared" si="32"/>
        <v>30</v>
      </c>
      <c r="C1754" s="284">
        <f t="shared" si="33"/>
        <v>12</v>
      </c>
      <c r="D1754" s="284">
        <f t="shared" si="34"/>
        <v>1899</v>
      </c>
      <c r="E1754" s="490"/>
      <c r="F1754" s="30"/>
      <c r="G1754" s="30"/>
      <c r="H1754" s="288">
        <f t="shared" si="35"/>
        <v>0</v>
      </c>
      <c r="I1754" s="490"/>
      <c r="J1754" s="276"/>
      <c r="K1754" s="276"/>
      <c r="L1754" s="276"/>
      <c r="M1754" s="276"/>
      <c r="N1754" s="276"/>
      <c r="O1754" s="276"/>
      <c r="P1754" s="276"/>
      <c r="Q1754" s="276"/>
      <c r="R1754" s="276"/>
      <c r="S1754" s="276"/>
      <c r="T1754" s="276"/>
      <c r="U1754" s="276"/>
      <c r="V1754" s="276"/>
      <c r="W1754" s="276"/>
      <c r="X1754" s="276"/>
    </row>
    <row r="1755" ht="15.75" customHeight="1">
      <c r="A1755" s="403"/>
      <c r="B1755" s="284">
        <f t="shared" si="32"/>
        <v>30</v>
      </c>
      <c r="C1755" s="284">
        <f t="shared" si="33"/>
        <v>12</v>
      </c>
      <c r="D1755" s="284">
        <f t="shared" si="34"/>
        <v>1899</v>
      </c>
      <c r="E1755" s="490"/>
      <c r="F1755" s="30"/>
      <c r="G1755" s="30"/>
      <c r="H1755" s="288">
        <f t="shared" si="35"/>
        <v>0</v>
      </c>
      <c r="I1755" s="490"/>
      <c r="J1755" s="276"/>
      <c r="K1755" s="276"/>
      <c r="L1755" s="276"/>
      <c r="M1755" s="276"/>
      <c r="N1755" s="276"/>
      <c r="O1755" s="276"/>
      <c r="P1755" s="276"/>
      <c r="Q1755" s="276"/>
      <c r="R1755" s="276"/>
      <c r="S1755" s="276"/>
      <c r="T1755" s="276"/>
      <c r="U1755" s="276"/>
      <c r="V1755" s="276"/>
      <c r="W1755" s="276"/>
      <c r="X1755" s="276"/>
    </row>
    <row r="1756" ht="15.75" customHeight="1">
      <c r="A1756" s="403"/>
      <c r="B1756" s="284">
        <f t="shared" si="32"/>
        <v>30</v>
      </c>
      <c r="C1756" s="284">
        <f t="shared" si="33"/>
        <v>12</v>
      </c>
      <c r="D1756" s="284">
        <f t="shared" si="34"/>
        <v>1899</v>
      </c>
      <c r="E1756" s="490"/>
      <c r="F1756" s="30"/>
      <c r="G1756" s="30"/>
      <c r="H1756" s="288">
        <f t="shared" si="35"/>
        <v>0</v>
      </c>
      <c r="I1756" s="490"/>
      <c r="J1756" s="276"/>
      <c r="K1756" s="276"/>
      <c r="L1756" s="276"/>
      <c r="M1756" s="276"/>
      <c r="N1756" s="276"/>
      <c r="O1756" s="276"/>
      <c r="P1756" s="276"/>
      <c r="Q1756" s="276"/>
      <c r="R1756" s="276"/>
      <c r="S1756" s="276"/>
      <c r="T1756" s="276"/>
      <c r="U1756" s="276"/>
      <c r="V1756" s="276"/>
      <c r="W1756" s="276"/>
      <c r="X1756" s="276"/>
    </row>
    <row r="1757" ht="15.75" customHeight="1">
      <c r="A1757" s="403"/>
      <c r="B1757" s="284">
        <f t="shared" si="32"/>
        <v>30</v>
      </c>
      <c r="C1757" s="284">
        <f t="shared" si="33"/>
        <v>12</v>
      </c>
      <c r="D1757" s="284">
        <f t="shared" si="34"/>
        <v>1899</v>
      </c>
      <c r="E1757" s="490"/>
      <c r="F1757" s="30"/>
      <c r="G1757" s="30"/>
      <c r="H1757" s="288">
        <f t="shared" si="35"/>
        <v>0</v>
      </c>
      <c r="I1757" s="490"/>
      <c r="J1757" s="276"/>
      <c r="K1757" s="276"/>
      <c r="L1757" s="276"/>
      <c r="M1757" s="276"/>
      <c r="N1757" s="276"/>
      <c r="O1757" s="276"/>
      <c r="P1757" s="276"/>
      <c r="Q1757" s="276"/>
      <c r="R1757" s="276"/>
      <c r="S1757" s="276"/>
      <c r="T1757" s="276"/>
      <c r="U1757" s="276"/>
      <c r="V1757" s="276"/>
      <c r="W1757" s="276"/>
      <c r="X1757" s="276"/>
    </row>
    <row r="1758" ht="15.75" customHeight="1">
      <c r="A1758" s="403"/>
      <c r="B1758" s="284">
        <f t="shared" si="32"/>
        <v>30</v>
      </c>
      <c r="C1758" s="284">
        <f t="shared" si="33"/>
        <v>12</v>
      </c>
      <c r="D1758" s="284">
        <f t="shared" si="34"/>
        <v>1899</v>
      </c>
      <c r="E1758" s="490"/>
      <c r="F1758" s="30"/>
      <c r="G1758" s="30"/>
      <c r="H1758" s="288">
        <f t="shared" si="35"/>
        <v>0</v>
      </c>
      <c r="I1758" s="490"/>
      <c r="J1758" s="276"/>
      <c r="K1758" s="276"/>
      <c r="L1758" s="276"/>
      <c r="M1758" s="276"/>
      <c r="N1758" s="276"/>
      <c r="O1758" s="276"/>
      <c r="P1758" s="276"/>
      <c r="Q1758" s="276"/>
      <c r="R1758" s="276"/>
      <c r="S1758" s="276"/>
      <c r="T1758" s="276"/>
      <c r="U1758" s="276"/>
      <c r="V1758" s="276"/>
      <c r="W1758" s="276"/>
      <c r="X1758" s="276"/>
    </row>
    <row r="1759" ht="15.75" customHeight="1">
      <c r="A1759" s="403"/>
      <c r="B1759" s="284">
        <f t="shared" si="32"/>
        <v>30</v>
      </c>
      <c r="C1759" s="284">
        <f t="shared" si="33"/>
        <v>12</v>
      </c>
      <c r="D1759" s="284">
        <f t="shared" si="34"/>
        <v>1899</v>
      </c>
      <c r="E1759" s="490"/>
      <c r="F1759" s="30"/>
      <c r="G1759" s="30"/>
      <c r="H1759" s="288">
        <f t="shared" si="35"/>
        <v>0</v>
      </c>
      <c r="I1759" s="490"/>
      <c r="J1759" s="276"/>
      <c r="K1759" s="276"/>
      <c r="L1759" s="276"/>
      <c r="M1759" s="276"/>
      <c r="N1759" s="276"/>
      <c r="O1759" s="276"/>
      <c r="P1759" s="276"/>
      <c r="Q1759" s="276"/>
      <c r="R1759" s="276"/>
      <c r="S1759" s="276"/>
      <c r="T1759" s="276"/>
      <c r="U1759" s="276"/>
      <c r="V1759" s="276"/>
      <c r="W1759" s="276"/>
      <c r="X1759" s="276"/>
    </row>
    <row r="1760" ht="15.75" customHeight="1">
      <c r="A1760" s="403"/>
      <c r="B1760" s="284">
        <f t="shared" si="32"/>
        <v>30</v>
      </c>
      <c r="C1760" s="284">
        <f t="shared" si="33"/>
        <v>12</v>
      </c>
      <c r="D1760" s="284">
        <f t="shared" si="34"/>
        <v>1899</v>
      </c>
      <c r="E1760" s="490"/>
      <c r="F1760" s="30"/>
      <c r="G1760" s="30"/>
      <c r="H1760" s="288">
        <f t="shared" si="35"/>
        <v>0</v>
      </c>
      <c r="I1760" s="490"/>
      <c r="J1760" s="276"/>
      <c r="K1760" s="276"/>
      <c r="L1760" s="276"/>
      <c r="M1760" s="276"/>
      <c r="N1760" s="276"/>
      <c r="O1760" s="276"/>
      <c r="P1760" s="276"/>
      <c r="Q1760" s="276"/>
      <c r="R1760" s="276"/>
      <c r="S1760" s="276"/>
      <c r="T1760" s="276"/>
      <c r="U1760" s="276"/>
      <c r="V1760" s="276"/>
      <c r="W1760" s="276"/>
      <c r="X1760" s="276"/>
    </row>
    <row r="1761" ht="15.75" customHeight="1">
      <c r="A1761" s="403"/>
      <c r="B1761" s="284">
        <f t="shared" si="32"/>
        <v>30</v>
      </c>
      <c r="C1761" s="284">
        <f t="shared" si="33"/>
        <v>12</v>
      </c>
      <c r="D1761" s="284">
        <f t="shared" si="34"/>
        <v>1899</v>
      </c>
      <c r="E1761" s="490"/>
      <c r="F1761" s="30"/>
      <c r="G1761" s="30"/>
      <c r="H1761" s="288">
        <f t="shared" si="35"/>
        <v>0</v>
      </c>
      <c r="I1761" s="490"/>
      <c r="J1761" s="276"/>
      <c r="K1761" s="276"/>
      <c r="L1761" s="276"/>
      <c r="M1761" s="276"/>
      <c r="N1761" s="276"/>
      <c r="O1761" s="276"/>
      <c r="P1761" s="276"/>
      <c r="Q1761" s="276"/>
      <c r="R1761" s="276"/>
      <c r="S1761" s="276"/>
      <c r="T1761" s="276"/>
      <c r="U1761" s="276"/>
      <c r="V1761" s="276"/>
      <c r="W1761" s="276"/>
      <c r="X1761" s="276"/>
    </row>
    <row r="1762" ht="15.75" customHeight="1">
      <c r="A1762" s="403"/>
      <c r="B1762" s="284">
        <f t="shared" si="32"/>
        <v>30</v>
      </c>
      <c r="C1762" s="284">
        <f t="shared" si="33"/>
        <v>12</v>
      </c>
      <c r="D1762" s="284">
        <f t="shared" si="34"/>
        <v>1899</v>
      </c>
      <c r="E1762" s="490"/>
      <c r="F1762" s="30"/>
      <c r="G1762" s="30"/>
      <c r="H1762" s="288">
        <f t="shared" si="35"/>
        <v>0</v>
      </c>
      <c r="I1762" s="490"/>
      <c r="J1762" s="276"/>
      <c r="K1762" s="276"/>
      <c r="L1762" s="276"/>
      <c r="M1762" s="276"/>
      <c r="N1762" s="276"/>
      <c r="O1762" s="276"/>
      <c r="P1762" s="276"/>
      <c r="Q1762" s="276"/>
      <c r="R1762" s="276"/>
      <c r="S1762" s="276"/>
      <c r="T1762" s="276"/>
      <c r="U1762" s="276"/>
      <c r="V1762" s="276"/>
      <c r="W1762" s="276"/>
      <c r="X1762" s="276"/>
    </row>
    <row r="1763" ht="15.75" customHeight="1">
      <c r="A1763" s="403"/>
      <c r="B1763" s="284">
        <f t="shared" si="32"/>
        <v>30</v>
      </c>
      <c r="C1763" s="284">
        <f t="shared" si="33"/>
        <v>12</v>
      </c>
      <c r="D1763" s="284">
        <f t="shared" si="34"/>
        <v>1899</v>
      </c>
      <c r="E1763" s="490"/>
      <c r="F1763" s="30"/>
      <c r="G1763" s="30"/>
      <c r="H1763" s="288">
        <f t="shared" si="35"/>
        <v>0</v>
      </c>
      <c r="I1763" s="490"/>
      <c r="J1763" s="276"/>
      <c r="K1763" s="276"/>
      <c r="L1763" s="276"/>
      <c r="M1763" s="276"/>
      <c r="N1763" s="276"/>
      <c r="O1763" s="276"/>
      <c r="P1763" s="276"/>
      <c r="Q1763" s="276"/>
      <c r="R1763" s="276"/>
      <c r="S1763" s="276"/>
      <c r="T1763" s="276"/>
      <c r="U1763" s="276"/>
      <c r="V1763" s="276"/>
      <c r="W1763" s="276"/>
      <c r="X1763" s="276"/>
    </row>
    <row r="1764" ht="15.75" customHeight="1">
      <c r="A1764" s="403"/>
      <c r="B1764" s="284">
        <f t="shared" si="32"/>
        <v>30</v>
      </c>
      <c r="C1764" s="284">
        <f t="shared" si="33"/>
        <v>12</v>
      </c>
      <c r="D1764" s="284">
        <f t="shared" si="34"/>
        <v>1899</v>
      </c>
      <c r="E1764" s="490"/>
      <c r="F1764" s="30"/>
      <c r="G1764" s="30"/>
      <c r="H1764" s="288">
        <f t="shared" si="35"/>
        <v>0</v>
      </c>
      <c r="I1764" s="490"/>
      <c r="J1764" s="276"/>
      <c r="K1764" s="276"/>
      <c r="L1764" s="276"/>
      <c r="M1764" s="276"/>
      <c r="N1764" s="276"/>
      <c r="O1764" s="276"/>
      <c r="P1764" s="276"/>
      <c r="Q1764" s="276"/>
      <c r="R1764" s="276"/>
      <c r="S1764" s="276"/>
      <c r="T1764" s="276"/>
      <c r="U1764" s="276"/>
      <c r="V1764" s="276"/>
      <c r="W1764" s="276"/>
      <c r="X1764" s="276"/>
    </row>
    <row r="1765" ht="15.75" customHeight="1">
      <c r="A1765" s="403"/>
      <c r="B1765" s="284">
        <f t="shared" si="32"/>
        <v>30</v>
      </c>
      <c r="C1765" s="284">
        <f t="shared" si="33"/>
        <v>12</v>
      </c>
      <c r="D1765" s="284">
        <f t="shared" si="34"/>
        <v>1899</v>
      </c>
      <c r="E1765" s="490"/>
      <c r="F1765" s="30"/>
      <c r="G1765" s="30"/>
      <c r="H1765" s="288">
        <f t="shared" si="35"/>
        <v>0</v>
      </c>
      <c r="I1765" s="490"/>
      <c r="J1765" s="276"/>
      <c r="K1765" s="276"/>
      <c r="L1765" s="276"/>
      <c r="M1765" s="276"/>
      <c r="N1765" s="276"/>
      <c r="O1765" s="276"/>
      <c r="P1765" s="276"/>
      <c r="Q1765" s="276"/>
      <c r="R1765" s="276"/>
      <c r="S1765" s="276"/>
      <c r="T1765" s="276"/>
      <c r="U1765" s="276"/>
      <c r="V1765" s="276"/>
      <c r="W1765" s="276"/>
      <c r="X1765" s="276"/>
    </row>
    <row r="1766" ht="15.75" customHeight="1">
      <c r="A1766" s="403"/>
      <c r="B1766" s="284">
        <f t="shared" si="32"/>
        <v>30</v>
      </c>
      <c r="C1766" s="284">
        <f t="shared" si="33"/>
        <v>12</v>
      </c>
      <c r="D1766" s="284">
        <f t="shared" si="34"/>
        <v>1899</v>
      </c>
      <c r="E1766" s="490"/>
      <c r="F1766" s="30"/>
      <c r="G1766" s="30"/>
      <c r="H1766" s="288">
        <f t="shared" si="35"/>
        <v>0</v>
      </c>
      <c r="I1766" s="490"/>
      <c r="J1766" s="276"/>
      <c r="K1766" s="276"/>
      <c r="L1766" s="276"/>
      <c r="M1766" s="276"/>
      <c r="N1766" s="276"/>
      <c r="O1766" s="276"/>
      <c r="P1766" s="276"/>
      <c r="Q1766" s="276"/>
      <c r="R1766" s="276"/>
      <c r="S1766" s="276"/>
      <c r="T1766" s="276"/>
      <c r="U1766" s="276"/>
      <c r="V1766" s="276"/>
      <c r="W1766" s="276"/>
      <c r="X1766" s="276"/>
    </row>
    <row r="1767" ht="15.75" customHeight="1">
      <c r="A1767" s="403"/>
      <c r="B1767" s="284">
        <f t="shared" si="32"/>
        <v>30</v>
      </c>
      <c r="C1767" s="284">
        <f t="shared" si="33"/>
        <v>12</v>
      </c>
      <c r="D1767" s="284">
        <f t="shared" si="34"/>
        <v>1899</v>
      </c>
      <c r="E1767" s="490"/>
      <c r="F1767" s="30"/>
      <c r="G1767" s="30"/>
      <c r="H1767" s="288">
        <f t="shared" si="35"/>
        <v>0</v>
      </c>
      <c r="I1767" s="490"/>
      <c r="J1767" s="276"/>
      <c r="K1767" s="276"/>
      <c r="L1767" s="276"/>
      <c r="M1767" s="276"/>
      <c r="N1767" s="276"/>
      <c r="O1767" s="276"/>
      <c r="P1767" s="276"/>
      <c r="Q1767" s="276"/>
      <c r="R1767" s="276"/>
      <c r="S1767" s="276"/>
      <c r="T1767" s="276"/>
      <c r="U1767" s="276"/>
      <c r="V1767" s="276"/>
      <c r="W1767" s="276"/>
      <c r="X1767" s="276"/>
    </row>
    <row r="1768" ht="15.75" customHeight="1">
      <c r="A1768" s="403"/>
      <c r="B1768" s="284">
        <f t="shared" si="32"/>
        <v>30</v>
      </c>
      <c r="C1768" s="284">
        <f t="shared" si="33"/>
        <v>12</v>
      </c>
      <c r="D1768" s="284">
        <f t="shared" si="34"/>
        <v>1899</v>
      </c>
      <c r="E1768" s="490"/>
      <c r="F1768" s="30"/>
      <c r="G1768" s="30"/>
      <c r="H1768" s="288">
        <f t="shared" si="35"/>
        <v>0</v>
      </c>
      <c r="I1768" s="490"/>
      <c r="J1768" s="276"/>
      <c r="K1768" s="276"/>
      <c r="L1768" s="276"/>
      <c r="M1768" s="276"/>
      <c r="N1768" s="276"/>
      <c r="O1768" s="276"/>
      <c r="P1768" s="276"/>
      <c r="Q1768" s="276"/>
      <c r="R1768" s="276"/>
      <c r="S1768" s="276"/>
      <c r="T1768" s="276"/>
      <c r="U1768" s="276"/>
      <c r="V1768" s="276"/>
      <c r="W1768" s="276"/>
      <c r="X1768" s="276"/>
    </row>
    <row r="1769" ht="15.75" customHeight="1">
      <c r="A1769" s="403"/>
      <c r="B1769" s="284">
        <f t="shared" si="32"/>
        <v>30</v>
      </c>
      <c r="C1769" s="284">
        <f t="shared" si="33"/>
        <v>12</v>
      </c>
      <c r="D1769" s="284">
        <f t="shared" si="34"/>
        <v>1899</v>
      </c>
      <c r="E1769" s="490"/>
      <c r="F1769" s="30"/>
      <c r="G1769" s="30"/>
      <c r="H1769" s="288">
        <f t="shared" si="35"/>
        <v>0</v>
      </c>
      <c r="I1769" s="490"/>
      <c r="J1769" s="276"/>
      <c r="K1769" s="276"/>
      <c r="L1769" s="276"/>
      <c r="M1769" s="276"/>
      <c r="N1769" s="276"/>
      <c r="O1769" s="276"/>
      <c r="P1769" s="276"/>
      <c r="Q1769" s="276"/>
      <c r="R1769" s="276"/>
      <c r="S1769" s="276"/>
      <c r="T1769" s="276"/>
      <c r="U1769" s="276"/>
      <c r="V1769" s="276"/>
      <c r="W1769" s="276"/>
      <c r="X1769" s="276"/>
    </row>
    <row r="1770" ht="15.75" customHeight="1">
      <c r="A1770" s="403"/>
      <c r="B1770" s="284">
        <f t="shared" si="32"/>
        <v>30</v>
      </c>
      <c r="C1770" s="284">
        <f t="shared" si="33"/>
        <v>12</v>
      </c>
      <c r="D1770" s="284">
        <f t="shared" si="34"/>
        <v>1899</v>
      </c>
      <c r="E1770" s="490"/>
      <c r="F1770" s="30"/>
      <c r="G1770" s="30"/>
      <c r="H1770" s="288">
        <f t="shared" si="35"/>
        <v>0</v>
      </c>
      <c r="I1770" s="490"/>
      <c r="J1770" s="276"/>
      <c r="K1770" s="276"/>
      <c r="L1770" s="276"/>
      <c r="M1770" s="276"/>
      <c r="N1770" s="276"/>
      <c r="O1770" s="276"/>
      <c r="P1770" s="276"/>
      <c r="Q1770" s="276"/>
      <c r="R1770" s="276"/>
      <c r="S1770" s="276"/>
      <c r="T1770" s="276"/>
      <c r="U1770" s="276"/>
      <c r="V1770" s="276"/>
      <c r="W1770" s="276"/>
      <c r="X1770" s="276"/>
    </row>
    <row r="1771" ht="15.75" customHeight="1">
      <c r="A1771" s="403"/>
      <c r="B1771" s="284">
        <f t="shared" si="32"/>
        <v>30</v>
      </c>
      <c r="C1771" s="284">
        <f t="shared" si="33"/>
        <v>12</v>
      </c>
      <c r="D1771" s="284">
        <f t="shared" si="34"/>
        <v>1899</v>
      </c>
      <c r="E1771" s="490"/>
      <c r="F1771" s="30"/>
      <c r="G1771" s="30"/>
      <c r="H1771" s="288">
        <f t="shared" si="35"/>
        <v>0</v>
      </c>
      <c r="I1771" s="490"/>
      <c r="J1771" s="276"/>
      <c r="K1771" s="276"/>
      <c r="L1771" s="276"/>
      <c r="M1771" s="276"/>
      <c r="N1771" s="276"/>
      <c r="O1771" s="276"/>
      <c r="P1771" s="276"/>
      <c r="Q1771" s="276"/>
      <c r="R1771" s="276"/>
      <c r="S1771" s="276"/>
      <c r="T1771" s="276"/>
      <c r="U1771" s="276"/>
      <c r="V1771" s="276"/>
      <c r="W1771" s="276"/>
      <c r="X1771" s="276"/>
    </row>
    <row r="1772" ht="15.75" customHeight="1">
      <c r="A1772" s="403"/>
      <c r="B1772" s="284">
        <f t="shared" si="32"/>
        <v>30</v>
      </c>
      <c r="C1772" s="284">
        <f t="shared" si="33"/>
        <v>12</v>
      </c>
      <c r="D1772" s="284">
        <f t="shared" si="34"/>
        <v>1899</v>
      </c>
      <c r="E1772" s="490"/>
      <c r="F1772" s="30"/>
      <c r="G1772" s="30"/>
      <c r="H1772" s="288">
        <f t="shared" si="35"/>
        <v>0</v>
      </c>
      <c r="I1772" s="490"/>
      <c r="J1772" s="276"/>
      <c r="K1772" s="276"/>
      <c r="L1772" s="276"/>
      <c r="M1772" s="276"/>
      <c r="N1772" s="276"/>
      <c r="O1772" s="276"/>
      <c r="P1772" s="276"/>
      <c r="Q1772" s="276"/>
      <c r="R1772" s="276"/>
      <c r="S1772" s="276"/>
      <c r="T1772" s="276"/>
      <c r="U1772" s="276"/>
      <c r="V1772" s="276"/>
      <c r="W1772" s="276"/>
      <c r="X1772" s="276"/>
    </row>
    <row r="1773" ht="15.75" customHeight="1">
      <c r="A1773" s="403"/>
      <c r="B1773" s="284">
        <f t="shared" si="32"/>
        <v>30</v>
      </c>
      <c r="C1773" s="284">
        <f t="shared" si="33"/>
        <v>12</v>
      </c>
      <c r="D1773" s="284">
        <f t="shared" si="34"/>
        <v>1899</v>
      </c>
      <c r="E1773" s="490"/>
      <c r="F1773" s="30"/>
      <c r="G1773" s="30"/>
      <c r="H1773" s="288">
        <f t="shared" si="35"/>
        <v>0</v>
      </c>
      <c r="I1773" s="490"/>
      <c r="J1773" s="276"/>
      <c r="K1773" s="276"/>
      <c r="L1773" s="276"/>
      <c r="M1773" s="276"/>
      <c r="N1773" s="276"/>
      <c r="O1773" s="276"/>
      <c r="P1773" s="276"/>
      <c r="Q1773" s="276"/>
      <c r="R1773" s="276"/>
      <c r="S1773" s="276"/>
      <c r="T1773" s="276"/>
      <c r="U1773" s="276"/>
      <c r="V1773" s="276"/>
      <c r="W1773" s="276"/>
      <c r="X1773" s="276"/>
    </row>
    <row r="1774" ht="15.75" customHeight="1">
      <c r="A1774" s="403"/>
      <c r="B1774" s="284">
        <f t="shared" si="32"/>
        <v>30</v>
      </c>
      <c r="C1774" s="284">
        <f t="shared" si="33"/>
        <v>12</v>
      </c>
      <c r="D1774" s="284">
        <f t="shared" si="34"/>
        <v>1899</v>
      </c>
      <c r="E1774" s="490"/>
      <c r="F1774" s="30"/>
      <c r="G1774" s="30"/>
      <c r="H1774" s="288">
        <f t="shared" si="35"/>
        <v>0</v>
      </c>
      <c r="I1774" s="490"/>
      <c r="J1774" s="276"/>
      <c r="K1774" s="276"/>
      <c r="L1774" s="276"/>
      <c r="M1774" s="276"/>
      <c r="N1774" s="276"/>
      <c r="O1774" s="276"/>
      <c r="P1774" s="276"/>
      <c r="Q1774" s="276"/>
      <c r="R1774" s="276"/>
      <c r="S1774" s="276"/>
      <c r="T1774" s="276"/>
      <c r="U1774" s="276"/>
      <c r="V1774" s="276"/>
      <c r="W1774" s="276"/>
      <c r="X1774" s="276"/>
    </row>
    <row r="1775" ht="15.75" customHeight="1">
      <c r="A1775" s="403"/>
      <c r="B1775" s="284">
        <f t="shared" si="32"/>
        <v>30</v>
      </c>
      <c r="C1775" s="284">
        <f t="shared" si="33"/>
        <v>12</v>
      </c>
      <c r="D1775" s="284">
        <f t="shared" si="34"/>
        <v>1899</v>
      </c>
      <c r="E1775" s="490"/>
      <c r="F1775" s="30"/>
      <c r="G1775" s="30"/>
      <c r="H1775" s="288">
        <f t="shared" si="35"/>
        <v>0</v>
      </c>
      <c r="I1775" s="490"/>
      <c r="J1775" s="276"/>
      <c r="K1775" s="276"/>
      <c r="L1775" s="276"/>
      <c r="M1775" s="276"/>
      <c r="N1775" s="276"/>
      <c r="O1775" s="276"/>
      <c r="P1775" s="276"/>
      <c r="Q1775" s="276"/>
      <c r="R1775" s="276"/>
      <c r="S1775" s="276"/>
      <c r="T1775" s="276"/>
      <c r="U1775" s="276"/>
      <c r="V1775" s="276"/>
      <c r="W1775" s="276"/>
      <c r="X1775" s="276"/>
    </row>
    <row r="1776" ht="15.75" customHeight="1">
      <c r="A1776" s="403"/>
      <c r="B1776" s="284">
        <f t="shared" si="32"/>
        <v>30</v>
      </c>
      <c r="C1776" s="284">
        <f t="shared" si="33"/>
        <v>12</v>
      </c>
      <c r="D1776" s="284">
        <f t="shared" si="34"/>
        <v>1899</v>
      </c>
      <c r="E1776" s="490"/>
      <c r="F1776" s="30"/>
      <c r="G1776" s="30"/>
      <c r="H1776" s="288">
        <f t="shared" si="35"/>
        <v>0</v>
      </c>
      <c r="I1776" s="490"/>
      <c r="J1776" s="276"/>
      <c r="K1776" s="276"/>
      <c r="L1776" s="276"/>
      <c r="M1776" s="276"/>
      <c r="N1776" s="276"/>
      <c r="O1776" s="276"/>
      <c r="P1776" s="276"/>
      <c r="Q1776" s="276"/>
      <c r="R1776" s="276"/>
      <c r="S1776" s="276"/>
      <c r="T1776" s="276"/>
      <c r="U1776" s="276"/>
      <c r="V1776" s="276"/>
      <c r="W1776" s="276"/>
      <c r="X1776" s="276"/>
    </row>
    <row r="1777" ht="15.75" customHeight="1">
      <c r="A1777" s="403"/>
      <c r="B1777" s="284">
        <f t="shared" si="32"/>
        <v>30</v>
      </c>
      <c r="C1777" s="284">
        <f t="shared" si="33"/>
        <v>12</v>
      </c>
      <c r="D1777" s="284">
        <f t="shared" si="34"/>
        <v>1899</v>
      </c>
      <c r="E1777" s="490"/>
      <c r="F1777" s="30"/>
      <c r="G1777" s="30"/>
      <c r="H1777" s="288">
        <f t="shared" si="35"/>
        <v>0</v>
      </c>
      <c r="I1777" s="490"/>
      <c r="J1777" s="276"/>
      <c r="K1777" s="276"/>
      <c r="L1777" s="276"/>
      <c r="M1777" s="276"/>
      <c r="N1777" s="276"/>
      <c r="O1777" s="276"/>
      <c r="P1777" s="276"/>
      <c r="Q1777" s="276"/>
      <c r="R1777" s="276"/>
      <c r="S1777" s="276"/>
      <c r="T1777" s="276"/>
      <c r="U1777" s="276"/>
      <c r="V1777" s="276"/>
      <c r="W1777" s="276"/>
      <c r="X1777" s="276"/>
    </row>
    <row r="1778" ht="15.75" customHeight="1">
      <c r="A1778" s="403"/>
      <c r="B1778" s="284">
        <f t="shared" si="32"/>
        <v>30</v>
      </c>
      <c r="C1778" s="284">
        <f t="shared" si="33"/>
        <v>12</v>
      </c>
      <c r="D1778" s="284">
        <f t="shared" si="34"/>
        <v>1899</v>
      </c>
      <c r="E1778" s="490"/>
      <c r="F1778" s="30"/>
      <c r="G1778" s="30"/>
      <c r="H1778" s="288">
        <f t="shared" si="35"/>
        <v>0</v>
      </c>
      <c r="I1778" s="490"/>
      <c r="J1778" s="276"/>
      <c r="K1778" s="276"/>
      <c r="L1778" s="276"/>
      <c r="M1778" s="276"/>
      <c r="N1778" s="276"/>
      <c r="O1778" s="276"/>
      <c r="P1778" s="276"/>
      <c r="Q1778" s="276"/>
      <c r="R1778" s="276"/>
      <c r="S1778" s="276"/>
      <c r="T1778" s="276"/>
      <c r="U1778" s="276"/>
      <c r="V1778" s="276"/>
      <c r="W1778" s="276"/>
      <c r="X1778" s="276"/>
    </row>
    <row r="1779" ht="15.75" customHeight="1">
      <c r="A1779" s="403"/>
      <c r="B1779" s="284">
        <f t="shared" si="32"/>
        <v>30</v>
      </c>
      <c r="C1779" s="284">
        <f t="shared" si="33"/>
        <v>12</v>
      </c>
      <c r="D1779" s="284">
        <f t="shared" si="34"/>
        <v>1899</v>
      </c>
      <c r="E1779" s="490"/>
      <c r="F1779" s="30"/>
      <c r="G1779" s="30"/>
      <c r="H1779" s="288">
        <f t="shared" si="35"/>
        <v>0</v>
      </c>
      <c r="I1779" s="490"/>
      <c r="J1779" s="276"/>
      <c r="K1779" s="276"/>
      <c r="L1779" s="276"/>
      <c r="M1779" s="276"/>
      <c r="N1779" s="276"/>
      <c r="O1779" s="276"/>
      <c r="P1779" s="276"/>
      <c r="Q1779" s="276"/>
      <c r="R1779" s="276"/>
      <c r="S1779" s="276"/>
      <c r="T1779" s="276"/>
      <c r="U1779" s="276"/>
      <c r="V1779" s="276"/>
      <c r="W1779" s="276"/>
      <c r="X1779" s="276"/>
    </row>
    <row r="1780" ht="15.75" customHeight="1">
      <c r="A1780" s="403"/>
      <c r="B1780" s="284">
        <f t="shared" si="32"/>
        <v>30</v>
      </c>
      <c r="C1780" s="284">
        <f t="shared" si="33"/>
        <v>12</v>
      </c>
      <c r="D1780" s="284">
        <f t="shared" si="34"/>
        <v>1899</v>
      </c>
      <c r="E1780" s="490"/>
      <c r="F1780" s="30"/>
      <c r="G1780" s="30"/>
      <c r="H1780" s="288">
        <f t="shared" si="35"/>
        <v>0</v>
      </c>
      <c r="I1780" s="490"/>
      <c r="J1780" s="276"/>
      <c r="K1780" s="276"/>
      <c r="L1780" s="276"/>
      <c r="M1780" s="276"/>
      <c r="N1780" s="276"/>
      <c r="O1780" s="276"/>
      <c r="P1780" s="276"/>
      <c r="Q1780" s="276"/>
      <c r="R1780" s="276"/>
      <c r="S1780" s="276"/>
      <c r="T1780" s="276"/>
      <c r="U1780" s="276"/>
      <c r="V1780" s="276"/>
      <c r="W1780" s="276"/>
      <c r="X1780" s="276"/>
    </row>
    <row r="1781" ht="15.75" customHeight="1">
      <c r="A1781" s="403"/>
      <c r="B1781" s="284">
        <f t="shared" si="32"/>
        <v>30</v>
      </c>
      <c r="C1781" s="284">
        <f t="shared" si="33"/>
        <v>12</v>
      </c>
      <c r="D1781" s="284">
        <f t="shared" si="34"/>
        <v>1899</v>
      </c>
      <c r="E1781" s="490"/>
      <c r="F1781" s="30"/>
      <c r="G1781" s="30"/>
      <c r="H1781" s="288">
        <f t="shared" si="35"/>
        <v>0</v>
      </c>
      <c r="I1781" s="490"/>
      <c r="J1781" s="276"/>
      <c r="K1781" s="276"/>
      <c r="L1781" s="276"/>
      <c r="M1781" s="276"/>
      <c r="N1781" s="276"/>
      <c r="O1781" s="276"/>
      <c r="P1781" s="276"/>
      <c r="Q1781" s="276"/>
      <c r="R1781" s="276"/>
      <c r="S1781" s="276"/>
      <c r="T1781" s="276"/>
      <c r="U1781" s="276"/>
      <c r="V1781" s="276"/>
      <c r="W1781" s="276"/>
      <c r="X1781" s="276"/>
    </row>
    <row r="1782" ht="15.75" customHeight="1">
      <c r="A1782" s="403"/>
      <c r="B1782" s="284">
        <f t="shared" si="32"/>
        <v>30</v>
      </c>
      <c r="C1782" s="284">
        <f t="shared" si="33"/>
        <v>12</v>
      </c>
      <c r="D1782" s="284">
        <f t="shared" si="34"/>
        <v>1899</v>
      </c>
      <c r="E1782" s="490"/>
      <c r="F1782" s="30"/>
      <c r="G1782" s="30"/>
      <c r="H1782" s="288">
        <f t="shared" si="35"/>
        <v>0</v>
      </c>
      <c r="I1782" s="490"/>
      <c r="J1782" s="276"/>
      <c r="K1782" s="276"/>
      <c r="L1782" s="276"/>
      <c r="M1782" s="276"/>
      <c r="N1782" s="276"/>
      <c r="O1782" s="276"/>
      <c r="P1782" s="276"/>
      <c r="Q1782" s="276"/>
      <c r="R1782" s="276"/>
      <c r="S1782" s="276"/>
      <c r="T1782" s="276"/>
      <c r="U1782" s="276"/>
      <c r="V1782" s="276"/>
      <c r="W1782" s="276"/>
      <c r="X1782" s="276"/>
    </row>
    <row r="1783" ht="15.75" customHeight="1">
      <c r="A1783" s="403"/>
      <c r="B1783" s="284">
        <f t="shared" si="32"/>
        <v>30</v>
      </c>
      <c r="C1783" s="284">
        <f t="shared" si="33"/>
        <v>12</v>
      </c>
      <c r="D1783" s="284">
        <f t="shared" si="34"/>
        <v>1899</v>
      </c>
      <c r="E1783" s="490"/>
      <c r="F1783" s="30"/>
      <c r="G1783" s="30"/>
      <c r="H1783" s="288">
        <f t="shared" si="35"/>
        <v>0</v>
      </c>
      <c r="I1783" s="490"/>
      <c r="J1783" s="276"/>
      <c r="K1783" s="276"/>
      <c r="L1783" s="276"/>
      <c r="M1783" s="276"/>
      <c r="N1783" s="276"/>
      <c r="O1783" s="276"/>
      <c r="P1783" s="276"/>
      <c r="Q1783" s="276"/>
      <c r="R1783" s="276"/>
      <c r="S1783" s="276"/>
      <c r="T1783" s="276"/>
      <c r="U1783" s="276"/>
      <c r="V1783" s="276"/>
      <c r="W1783" s="276"/>
      <c r="X1783" s="276"/>
    </row>
    <row r="1784" ht="15.75" customHeight="1">
      <c r="A1784" s="403"/>
      <c r="B1784" s="284">
        <f t="shared" si="32"/>
        <v>30</v>
      </c>
      <c r="C1784" s="284">
        <f t="shared" si="33"/>
        <v>12</v>
      </c>
      <c r="D1784" s="284">
        <f t="shared" si="34"/>
        <v>1899</v>
      </c>
      <c r="E1784" s="490"/>
      <c r="F1784" s="30"/>
      <c r="G1784" s="30"/>
      <c r="H1784" s="288">
        <f t="shared" si="35"/>
        <v>0</v>
      </c>
      <c r="I1784" s="490"/>
      <c r="J1784" s="276"/>
      <c r="K1784" s="276"/>
      <c r="L1784" s="276"/>
      <c r="M1784" s="276"/>
      <c r="N1784" s="276"/>
      <c r="O1784" s="276"/>
      <c r="P1784" s="276"/>
      <c r="Q1784" s="276"/>
      <c r="R1784" s="276"/>
      <c r="S1784" s="276"/>
      <c r="T1784" s="276"/>
      <c r="U1784" s="276"/>
      <c r="V1784" s="276"/>
      <c r="W1784" s="276"/>
      <c r="X1784" s="276"/>
    </row>
    <row r="1785" ht="15.75" customHeight="1">
      <c r="A1785" s="403"/>
      <c r="B1785" s="284">
        <f t="shared" si="32"/>
        <v>30</v>
      </c>
      <c r="C1785" s="284">
        <f t="shared" si="33"/>
        <v>12</v>
      </c>
      <c r="D1785" s="284">
        <f t="shared" si="34"/>
        <v>1899</v>
      </c>
      <c r="E1785" s="490"/>
      <c r="F1785" s="30"/>
      <c r="G1785" s="30"/>
      <c r="H1785" s="288">
        <f t="shared" si="35"/>
        <v>0</v>
      </c>
      <c r="I1785" s="490"/>
      <c r="J1785" s="276"/>
      <c r="K1785" s="276"/>
      <c r="L1785" s="276"/>
      <c r="M1785" s="276"/>
      <c r="N1785" s="276"/>
      <c r="O1785" s="276"/>
      <c r="P1785" s="276"/>
      <c r="Q1785" s="276"/>
      <c r="R1785" s="276"/>
      <c r="S1785" s="276"/>
      <c r="T1785" s="276"/>
      <c r="U1785" s="276"/>
      <c r="V1785" s="276"/>
      <c r="W1785" s="276"/>
      <c r="X1785" s="276"/>
    </row>
    <row r="1786" ht="15.75" customHeight="1">
      <c r="A1786" s="403"/>
      <c r="B1786" s="284">
        <f t="shared" si="32"/>
        <v>30</v>
      </c>
      <c r="C1786" s="284">
        <f t="shared" si="33"/>
        <v>12</v>
      </c>
      <c r="D1786" s="284">
        <f t="shared" si="34"/>
        <v>1899</v>
      </c>
      <c r="E1786" s="490"/>
      <c r="F1786" s="30"/>
      <c r="G1786" s="30"/>
      <c r="H1786" s="288">
        <f t="shared" si="35"/>
        <v>0</v>
      </c>
      <c r="I1786" s="490"/>
      <c r="J1786" s="276"/>
      <c r="K1786" s="276"/>
      <c r="L1786" s="276"/>
      <c r="M1786" s="276"/>
      <c r="N1786" s="276"/>
      <c r="O1786" s="276"/>
      <c r="P1786" s="276"/>
      <c r="Q1786" s="276"/>
      <c r="R1786" s="276"/>
      <c r="S1786" s="276"/>
      <c r="T1786" s="276"/>
      <c r="U1786" s="276"/>
      <c r="V1786" s="276"/>
      <c r="W1786" s="276"/>
      <c r="X1786" s="276"/>
    </row>
    <row r="1787" ht="15.75" customHeight="1">
      <c r="A1787" s="403"/>
      <c r="B1787" s="284">
        <f t="shared" si="32"/>
        <v>30</v>
      </c>
      <c r="C1787" s="284">
        <f t="shared" si="33"/>
        <v>12</v>
      </c>
      <c r="D1787" s="284">
        <f t="shared" si="34"/>
        <v>1899</v>
      </c>
      <c r="E1787" s="490"/>
      <c r="F1787" s="30"/>
      <c r="G1787" s="30"/>
      <c r="H1787" s="288">
        <f t="shared" si="35"/>
        <v>0</v>
      </c>
      <c r="I1787" s="490"/>
      <c r="J1787" s="276"/>
      <c r="K1787" s="276"/>
      <c r="L1787" s="276"/>
      <c r="M1787" s="276"/>
      <c r="N1787" s="276"/>
      <c r="O1787" s="276"/>
      <c r="P1787" s="276"/>
      <c r="Q1787" s="276"/>
      <c r="R1787" s="276"/>
      <c r="S1787" s="276"/>
      <c r="T1787" s="276"/>
      <c r="U1787" s="276"/>
      <c r="V1787" s="276"/>
      <c r="W1787" s="276"/>
      <c r="X1787" s="276"/>
    </row>
    <row r="1788" ht="15.75" customHeight="1">
      <c r="A1788" s="403"/>
      <c r="B1788" s="284">
        <f t="shared" si="32"/>
        <v>30</v>
      </c>
      <c r="C1788" s="284">
        <f t="shared" si="33"/>
        <v>12</v>
      </c>
      <c r="D1788" s="284">
        <f t="shared" si="34"/>
        <v>1899</v>
      </c>
      <c r="E1788" s="490"/>
      <c r="F1788" s="30"/>
      <c r="G1788" s="30"/>
      <c r="H1788" s="288">
        <f t="shared" si="35"/>
        <v>0</v>
      </c>
      <c r="I1788" s="490"/>
      <c r="J1788" s="276"/>
      <c r="K1788" s="276"/>
      <c r="L1788" s="276"/>
      <c r="M1788" s="276"/>
      <c r="N1788" s="276"/>
      <c r="O1788" s="276"/>
      <c r="P1788" s="276"/>
      <c r="Q1788" s="276"/>
      <c r="R1788" s="276"/>
      <c r="S1788" s="276"/>
      <c r="T1788" s="276"/>
      <c r="U1788" s="276"/>
      <c r="V1788" s="276"/>
      <c r="W1788" s="276"/>
      <c r="X1788" s="276"/>
    </row>
    <row r="1789" ht="15.75" customHeight="1">
      <c r="A1789" s="403"/>
      <c r="B1789" s="284">
        <f t="shared" si="32"/>
        <v>30</v>
      </c>
      <c r="C1789" s="284">
        <f t="shared" si="33"/>
        <v>12</v>
      </c>
      <c r="D1789" s="284">
        <f t="shared" si="34"/>
        <v>1899</v>
      </c>
      <c r="E1789" s="490"/>
      <c r="F1789" s="30"/>
      <c r="G1789" s="30"/>
      <c r="H1789" s="288">
        <f t="shared" si="35"/>
        <v>0</v>
      </c>
      <c r="I1789" s="490"/>
      <c r="J1789" s="276"/>
      <c r="K1789" s="276"/>
      <c r="L1789" s="276"/>
      <c r="M1789" s="276"/>
      <c r="N1789" s="276"/>
      <c r="O1789" s="276"/>
      <c r="P1789" s="276"/>
      <c r="Q1789" s="276"/>
      <c r="R1789" s="276"/>
      <c r="S1789" s="276"/>
      <c r="T1789" s="276"/>
      <c r="U1789" s="276"/>
      <c r="V1789" s="276"/>
      <c r="W1789" s="276"/>
      <c r="X1789" s="276"/>
    </row>
    <row r="1790" ht="15.75" customHeight="1">
      <c r="A1790" s="403"/>
      <c r="B1790" s="284">
        <f t="shared" si="32"/>
        <v>30</v>
      </c>
      <c r="C1790" s="284">
        <f t="shared" si="33"/>
        <v>12</v>
      </c>
      <c r="D1790" s="284">
        <f t="shared" si="34"/>
        <v>1899</v>
      </c>
      <c r="E1790" s="490"/>
      <c r="F1790" s="30"/>
      <c r="G1790" s="30"/>
      <c r="H1790" s="288">
        <f t="shared" si="35"/>
        <v>0</v>
      </c>
      <c r="I1790" s="490"/>
      <c r="J1790" s="276"/>
      <c r="K1790" s="276"/>
      <c r="L1790" s="276"/>
      <c r="M1790" s="276"/>
      <c r="N1790" s="276"/>
      <c r="O1790" s="276"/>
      <c r="P1790" s="276"/>
      <c r="Q1790" s="276"/>
      <c r="R1790" s="276"/>
      <c r="S1790" s="276"/>
      <c r="T1790" s="276"/>
      <c r="U1790" s="276"/>
      <c r="V1790" s="276"/>
      <c r="W1790" s="276"/>
      <c r="X1790" s="276"/>
    </row>
    <row r="1791" ht="15.75" customHeight="1">
      <c r="A1791" s="403"/>
      <c r="B1791" s="284">
        <f t="shared" si="32"/>
        <v>30</v>
      </c>
      <c r="C1791" s="284">
        <f t="shared" si="33"/>
        <v>12</v>
      </c>
      <c r="D1791" s="284">
        <f t="shared" si="34"/>
        <v>1899</v>
      </c>
      <c r="E1791" s="490"/>
      <c r="F1791" s="30"/>
      <c r="G1791" s="30"/>
      <c r="H1791" s="288">
        <f t="shared" si="35"/>
        <v>0</v>
      </c>
      <c r="I1791" s="490"/>
      <c r="J1791" s="276"/>
      <c r="K1791" s="276"/>
      <c r="L1791" s="276"/>
      <c r="M1791" s="276"/>
      <c r="N1791" s="276"/>
      <c r="O1791" s="276"/>
      <c r="P1791" s="276"/>
      <c r="Q1791" s="276"/>
      <c r="R1791" s="276"/>
      <c r="S1791" s="276"/>
      <c r="T1791" s="276"/>
      <c r="U1791" s="276"/>
      <c r="V1791" s="276"/>
      <c r="W1791" s="276"/>
      <c r="X1791" s="276"/>
    </row>
    <row r="1792" ht="15.75" customHeight="1">
      <c r="A1792" s="403"/>
      <c r="B1792" s="284">
        <f t="shared" si="32"/>
        <v>30</v>
      </c>
      <c r="C1792" s="284">
        <f t="shared" si="33"/>
        <v>12</v>
      </c>
      <c r="D1792" s="284">
        <f t="shared" si="34"/>
        <v>1899</v>
      </c>
      <c r="E1792" s="490"/>
      <c r="F1792" s="30"/>
      <c r="G1792" s="30"/>
      <c r="H1792" s="288">
        <f t="shared" si="35"/>
        <v>0</v>
      </c>
      <c r="I1792" s="490"/>
      <c r="J1792" s="276"/>
      <c r="K1792" s="276"/>
      <c r="L1792" s="276"/>
      <c r="M1792" s="276"/>
      <c r="N1792" s="276"/>
      <c r="O1792" s="276"/>
      <c r="P1792" s="276"/>
      <c r="Q1792" s="276"/>
      <c r="R1792" s="276"/>
      <c r="S1792" s="276"/>
      <c r="T1792" s="276"/>
      <c r="U1792" s="276"/>
      <c r="V1792" s="276"/>
      <c r="W1792" s="276"/>
      <c r="X1792" s="276"/>
    </row>
    <row r="1793" ht="15.75" customHeight="1">
      <c r="A1793" s="403"/>
      <c r="B1793" s="284">
        <f t="shared" si="32"/>
        <v>30</v>
      </c>
      <c r="C1793" s="284">
        <f t="shared" si="33"/>
        <v>12</v>
      </c>
      <c r="D1793" s="284">
        <f t="shared" si="34"/>
        <v>1899</v>
      </c>
      <c r="E1793" s="490"/>
      <c r="F1793" s="30"/>
      <c r="G1793" s="30"/>
      <c r="H1793" s="288">
        <f t="shared" si="35"/>
        <v>0</v>
      </c>
      <c r="I1793" s="490"/>
      <c r="J1793" s="276"/>
      <c r="K1793" s="276"/>
      <c r="L1793" s="276"/>
      <c r="M1793" s="276"/>
      <c r="N1793" s="276"/>
      <c r="O1793" s="276"/>
      <c r="P1793" s="276"/>
      <c r="Q1793" s="276"/>
      <c r="R1793" s="276"/>
      <c r="S1793" s="276"/>
      <c r="T1793" s="276"/>
      <c r="U1793" s="276"/>
      <c r="V1793" s="276"/>
      <c r="W1793" s="276"/>
      <c r="X1793" s="276"/>
    </row>
    <row r="1794" ht="15.75" customHeight="1">
      <c r="A1794" s="403"/>
      <c r="B1794" s="284">
        <f t="shared" si="32"/>
        <v>30</v>
      </c>
      <c r="C1794" s="284">
        <f t="shared" si="33"/>
        <v>12</v>
      </c>
      <c r="D1794" s="284">
        <f t="shared" si="34"/>
        <v>1899</v>
      </c>
      <c r="E1794" s="490"/>
      <c r="F1794" s="30"/>
      <c r="G1794" s="30"/>
      <c r="H1794" s="288">
        <f t="shared" si="35"/>
        <v>0</v>
      </c>
      <c r="I1794" s="490"/>
      <c r="J1794" s="276"/>
      <c r="K1794" s="276"/>
      <c r="L1794" s="276"/>
      <c r="M1794" s="276"/>
      <c r="N1794" s="276"/>
      <c r="O1794" s="276"/>
      <c r="P1794" s="276"/>
      <c r="Q1794" s="276"/>
      <c r="R1794" s="276"/>
      <c r="S1794" s="276"/>
      <c r="T1794" s="276"/>
      <c r="U1794" s="276"/>
      <c r="V1794" s="276"/>
      <c r="W1794" s="276"/>
      <c r="X1794" s="276"/>
    </row>
    <row r="1795" ht="15.75" customHeight="1">
      <c r="A1795" s="403"/>
      <c r="B1795" s="284">
        <f t="shared" si="32"/>
        <v>30</v>
      </c>
      <c r="C1795" s="284">
        <f t="shared" si="33"/>
        <v>12</v>
      </c>
      <c r="D1795" s="284">
        <f t="shared" si="34"/>
        <v>1899</v>
      </c>
      <c r="E1795" s="490"/>
      <c r="F1795" s="30"/>
      <c r="G1795" s="30"/>
      <c r="H1795" s="288">
        <f t="shared" si="35"/>
        <v>0</v>
      </c>
      <c r="I1795" s="490"/>
      <c r="J1795" s="276"/>
      <c r="K1795" s="276"/>
      <c r="L1795" s="276"/>
      <c r="M1795" s="276"/>
      <c r="N1795" s="276"/>
      <c r="O1795" s="276"/>
      <c r="P1795" s="276"/>
      <c r="Q1795" s="276"/>
      <c r="R1795" s="276"/>
      <c r="S1795" s="276"/>
      <c r="T1795" s="276"/>
      <c r="U1795" s="276"/>
      <c r="V1795" s="276"/>
      <c r="W1795" s="276"/>
      <c r="X1795" s="276"/>
    </row>
    <row r="1796" ht="15.75" customHeight="1">
      <c r="A1796" s="403"/>
      <c r="B1796" s="284">
        <f t="shared" si="32"/>
        <v>30</v>
      </c>
      <c r="C1796" s="284">
        <f t="shared" si="33"/>
        <v>12</v>
      </c>
      <c r="D1796" s="284">
        <f t="shared" si="34"/>
        <v>1899</v>
      </c>
      <c r="E1796" s="490"/>
      <c r="F1796" s="30"/>
      <c r="G1796" s="30"/>
      <c r="H1796" s="288">
        <f t="shared" si="35"/>
        <v>0</v>
      </c>
      <c r="I1796" s="490"/>
      <c r="J1796" s="276"/>
      <c r="K1796" s="276"/>
      <c r="L1796" s="276"/>
      <c r="M1796" s="276"/>
      <c r="N1796" s="276"/>
      <c r="O1796" s="276"/>
      <c r="P1796" s="276"/>
      <c r="Q1796" s="276"/>
      <c r="R1796" s="276"/>
      <c r="S1796" s="276"/>
      <c r="T1796" s="276"/>
      <c r="U1796" s="276"/>
      <c r="V1796" s="276"/>
      <c r="W1796" s="276"/>
      <c r="X1796" s="276"/>
    </row>
    <row r="1797" ht="15.75" customHeight="1">
      <c r="A1797" s="403"/>
      <c r="B1797" s="284">
        <f t="shared" si="32"/>
        <v>30</v>
      </c>
      <c r="C1797" s="284">
        <f t="shared" si="33"/>
        <v>12</v>
      </c>
      <c r="D1797" s="284">
        <f t="shared" si="34"/>
        <v>1899</v>
      </c>
      <c r="E1797" s="490"/>
      <c r="F1797" s="30"/>
      <c r="G1797" s="30"/>
      <c r="H1797" s="288">
        <f t="shared" si="35"/>
        <v>0</v>
      </c>
      <c r="I1797" s="490"/>
      <c r="J1797" s="276"/>
      <c r="K1797" s="276"/>
      <c r="L1797" s="276"/>
      <c r="M1797" s="276"/>
      <c r="N1797" s="276"/>
      <c r="O1797" s="276"/>
      <c r="P1797" s="276"/>
      <c r="Q1797" s="276"/>
      <c r="R1797" s="276"/>
      <c r="S1797" s="276"/>
      <c r="T1797" s="276"/>
      <c r="U1797" s="276"/>
      <c r="V1797" s="276"/>
      <c r="W1797" s="276"/>
      <c r="X1797" s="276"/>
    </row>
    <row r="1798" ht="15.75" customHeight="1">
      <c r="A1798" s="403"/>
      <c r="B1798" s="284">
        <f t="shared" si="32"/>
        <v>30</v>
      </c>
      <c r="C1798" s="284">
        <f t="shared" si="33"/>
        <v>12</v>
      </c>
      <c r="D1798" s="284">
        <f t="shared" si="34"/>
        <v>1899</v>
      </c>
      <c r="E1798" s="490"/>
      <c r="F1798" s="30"/>
      <c r="G1798" s="30"/>
      <c r="H1798" s="288">
        <f t="shared" si="35"/>
        <v>0</v>
      </c>
      <c r="I1798" s="490"/>
      <c r="J1798" s="276"/>
      <c r="K1798" s="276"/>
      <c r="L1798" s="276"/>
      <c r="M1798" s="276"/>
      <c r="N1798" s="276"/>
      <c r="O1798" s="276"/>
      <c r="P1798" s="276"/>
      <c r="Q1798" s="276"/>
      <c r="R1798" s="276"/>
      <c r="S1798" s="276"/>
      <c r="T1798" s="276"/>
      <c r="U1798" s="276"/>
      <c r="V1798" s="276"/>
      <c r="W1798" s="276"/>
      <c r="X1798" s="276"/>
    </row>
    <row r="1799" ht="15.75" customHeight="1">
      <c r="A1799" s="403"/>
      <c r="B1799" s="284">
        <f t="shared" si="32"/>
        <v>30</v>
      </c>
      <c r="C1799" s="284">
        <f t="shared" si="33"/>
        <v>12</v>
      </c>
      <c r="D1799" s="284">
        <f t="shared" si="34"/>
        <v>1899</v>
      </c>
      <c r="E1799" s="490"/>
      <c r="F1799" s="30"/>
      <c r="G1799" s="30"/>
      <c r="H1799" s="288">
        <f t="shared" si="35"/>
        <v>0</v>
      </c>
      <c r="I1799" s="490"/>
      <c r="J1799" s="276"/>
      <c r="K1799" s="276"/>
      <c r="L1799" s="276"/>
      <c r="M1799" s="276"/>
      <c r="N1799" s="276"/>
      <c r="O1799" s="276"/>
      <c r="P1799" s="276"/>
      <c r="Q1799" s="276"/>
      <c r="R1799" s="276"/>
      <c r="S1799" s="276"/>
      <c r="T1799" s="276"/>
      <c r="U1799" s="276"/>
      <c r="V1799" s="276"/>
      <c r="W1799" s="276"/>
      <c r="X1799" s="276"/>
    </row>
    <row r="1800" ht="15.75" customHeight="1">
      <c r="A1800" s="403"/>
      <c r="B1800" s="284">
        <f t="shared" si="32"/>
        <v>30</v>
      </c>
      <c r="C1800" s="284">
        <f t="shared" si="33"/>
        <v>12</v>
      </c>
      <c r="D1800" s="284">
        <f t="shared" si="34"/>
        <v>1899</v>
      </c>
      <c r="E1800" s="490"/>
      <c r="F1800" s="30"/>
      <c r="G1800" s="30"/>
      <c r="H1800" s="288">
        <f t="shared" si="35"/>
        <v>0</v>
      </c>
      <c r="I1800" s="490"/>
      <c r="J1800" s="276"/>
      <c r="K1800" s="276"/>
      <c r="L1800" s="276"/>
      <c r="M1800" s="276"/>
      <c r="N1800" s="276"/>
      <c r="O1800" s="276"/>
      <c r="P1800" s="276"/>
      <c r="Q1800" s="276"/>
      <c r="R1800" s="276"/>
      <c r="S1800" s="276"/>
      <c r="T1800" s="276"/>
      <c r="U1800" s="276"/>
      <c r="V1800" s="276"/>
      <c r="W1800" s="276"/>
      <c r="X1800" s="276"/>
    </row>
    <row r="1801" ht="15.75" customHeight="1">
      <c r="A1801" s="403"/>
      <c r="B1801" s="284">
        <f t="shared" si="32"/>
        <v>30</v>
      </c>
      <c r="C1801" s="284">
        <f t="shared" si="33"/>
        <v>12</v>
      </c>
      <c r="D1801" s="284">
        <f t="shared" si="34"/>
        <v>1899</v>
      </c>
      <c r="E1801" s="490"/>
      <c r="F1801" s="30"/>
      <c r="G1801" s="30"/>
      <c r="H1801" s="288">
        <f t="shared" si="35"/>
        <v>0</v>
      </c>
      <c r="I1801" s="490"/>
      <c r="J1801" s="276"/>
      <c r="K1801" s="276"/>
      <c r="L1801" s="276"/>
      <c r="M1801" s="276"/>
      <c r="N1801" s="276"/>
      <c r="O1801" s="276"/>
      <c r="P1801" s="276"/>
      <c r="Q1801" s="276"/>
      <c r="R1801" s="276"/>
      <c r="S1801" s="276"/>
      <c r="T1801" s="276"/>
      <c r="U1801" s="276"/>
      <c r="V1801" s="276"/>
      <c r="W1801" s="276"/>
      <c r="X1801" s="276"/>
    </row>
    <row r="1802" ht="15.75" customHeight="1">
      <c r="A1802" s="403"/>
      <c r="B1802" s="284">
        <f t="shared" si="32"/>
        <v>30</v>
      </c>
      <c r="C1802" s="284">
        <f t="shared" si="33"/>
        <v>12</v>
      </c>
      <c r="D1802" s="284">
        <f t="shared" si="34"/>
        <v>1899</v>
      </c>
      <c r="E1802" s="490"/>
      <c r="F1802" s="30"/>
      <c r="G1802" s="30"/>
      <c r="H1802" s="288">
        <f t="shared" si="35"/>
        <v>0</v>
      </c>
      <c r="I1802" s="490"/>
      <c r="J1802" s="276"/>
      <c r="K1802" s="276"/>
      <c r="L1802" s="276"/>
      <c r="M1802" s="276"/>
      <c r="N1802" s="276"/>
      <c r="O1802" s="276"/>
      <c r="P1802" s="276"/>
      <c r="Q1802" s="276"/>
      <c r="R1802" s="276"/>
      <c r="S1802" s="276"/>
      <c r="T1802" s="276"/>
      <c r="U1802" s="276"/>
      <c r="V1802" s="276"/>
      <c r="W1802" s="276"/>
      <c r="X1802" s="276"/>
    </row>
    <row r="1803" ht="15.75" customHeight="1">
      <c r="A1803" s="403"/>
      <c r="B1803" s="284">
        <f t="shared" si="32"/>
        <v>30</v>
      </c>
      <c r="C1803" s="284">
        <f t="shared" si="33"/>
        <v>12</v>
      </c>
      <c r="D1803" s="284">
        <f t="shared" si="34"/>
        <v>1899</v>
      </c>
      <c r="E1803" s="490"/>
      <c r="F1803" s="30"/>
      <c r="G1803" s="30"/>
      <c r="H1803" s="288">
        <f t="shared" si="35"/>
        <v>0</v>
      </c>
      <c r="I1803" s="490"/>
      <c r="J1803" s="276"/>
      <c r="K1803" s="276"/>
      <c r="L1803" s="276"/>
      <c r="M1803" s="276"/>
      <c r="N1803" s="276"/>
      <c r="O1803" s="276"/>
      <c r="P1803" s="276"/>
      <c r="Q1803" s="276"/>
      <c r="R1803" s="276"/>
      <c r="S1803" s="276"/>
      <c r="T1803" s="276"/>
      <c r="U1803" s="276"/>
      <c r="V1803" s="276"/>
      <c r="W1803" s="276"/>
      <c r="X1803" s="276"/>
    </row>
    <row r="1804" ht="15.75" customHeight="1">
      <c r="A1804" s="403"/>
      <c r="B1804" s="284">
        <f t="shared" si="32"/>
        <v>30</v>
      </c>
      <c r="C1804" s="284">
        <f t="shared" si="33"/>
        <v>12</v>
      </c>
      <c r="D1804" s="284">
        <f t="shared" si="34"/>
        <v>1899</v>
      </c>
      <c r="E1804" s="490"/>
      <c r="F1804" s="30"/>
      <c r="G1804" s="30"/>
      <c r="H1804" s="288">
        <f t="shared" si="35"/>
        <v>0</v>
      </c>
      <c r="I1804" s="490"/>
      <c r="J1804" s="276"/>
      <c r="K1804" s="276"/>
      <c r="L1804" s="276"/>
      <c r="M1804" s="276"/>
      <c r="N1804" s="276"/>
      <c r="O1804" s="276"/>
      <c r="P1804" s="276"/>
      <c r="Q1804" s="276"/>
      <c r="R1804" s="276"/>
      <c r="S1804" s="276"/>
      <c r="T1804" s="276"/>
      <c r="U1804" s="276"/>
      <c r="V1804" s="276"/>
      <c r="W1804" s="276"/>
      <c r="X1804" s="276"/>
    </row>
    <row r="1805" ht="15.75" customHeight="1">
      <c r="A1805" s="403"/>
      <c r="B1805" s="284">
        <f t="shared" si="32"/>
        <v>30</v>
      </c>
      <c r="C1805" s="284">
        <f t="shared" si="33"/>
        <v>12</v>
      </c>
      <c r="D1805" s="284">
        <f t="shared" si="34"/>
        <v>1899</v>
      </c>
      <c r="E1805" s="490"/>
      <c r="F1805" s="30"/>
      <c r="G1805" s="30"/>
      <c r="H1805" s="288">
        <f t="shared" si="35"/>
        <v>0</v>
      </c>
      <c r="I1805" s="490"/>
      <c r="J1805" s="276"/>
      <c r="K1805" s="276"/>
      <c r="L1805" s="276"/>
      <c r="M1805" s="276"/>
      <c r="N1805" s="276"/>
      <c r="O1805" s="276"/>
      <c r="P1805" s="276"/>
      <c r="Q1805" s="276"/>
      <c r="R1805" s="276"/>
      <c r="S1805" s="276"/>
      <c r="T1805" s="276"/>
      <c r="U1805" s="276"/>
      <c r="V1805" s="276"/>
      <c r="W1805" s="276"/>
      <c r="X1805" s="276"/>
    </row>
    <row r="1806" ht="15.75" customHeight="1">
      <c r="A1806" s="403"/>
      <c r="B1806" s="284">
        <f t="shared" si="32"/>
        <v>30</v>
      </c>
      <c r="C1806" s="284">
        <f t="shared" si="33"/>
        <v>12</v>
      </c>
      <c r="D1806" s="284">
        <f t="shared" si="34"/>
        <v>1899</v>
      </c>
      <c r="E1806" s="490"/>
      <c r="F1806" s="30"/>
      <c r="G1806" s="30"/>
      <c r="H1806" s="288">
        <f t="shared" si="35"/>
        <v>0</v>
      </c>
      <c r="I1806" s="490"/>
      <c r="J1806" s="276"/>
      <c r="K1806" s="276"/>
      <c r="L1806" s="276"/>
      <c r="M1806" s="276"/>
      <c r="N1806" s="276"/>
      <c r="O1806" s="276"/>
      <c r="P1806" s="276"/>
      <c r="Q1806" s="276"/>
      <c r="R1806" s="276"/>
      <c r="S1806" s="276"/>
      <c r="T1806" s="276"/>
      <c r="U1806" s="276"/>
      <c r="V1806" s="276"/>
      <c r="W1806" s="276"/>
      <c r="X1806" s="276"/>
    </row>
    <row r="1807" ht="15.75" customHeight="1">
      <c r="A1807" s="403"/>
      <c r="B1807" s="284">
        <f t="shared" si="32"/>
        <v>30</v>
      </c>
      <c r="C1807" s="284">
        <f t="shared" si="33"/>
        <v>12</v>
      </c>
      <c r="D1807" s="284">
        <f t="shared" si="34"/>
        <v>1899</v>
      </c>
      <c r="E1807" s="490"/>
      <c r="F1807" s="30"/>
      <c r="G1807" s="30"/>
      <c r="H1807" s="288">
        <f t="shared" si="35"/>
        <v>0</v>
      </c>
      <c r="I1807" s="490"/>
      <c r="J1807" s="276"/>
      <c r="K1807" s="276"/>
      <c r="L1807" s="276"/>
      <c r="M1807" s="276"/>
      <c r="N1807" s="276"/>
      <c r="O1807" s="276"/>
      <c r="P1807" s="276"/>
      <c r="Q1807" s="276"/>
      <c r="R1807" s="276"/>
      <c r="S1807" s="276"/>
      <c r="T1807" s="276"/>
      <c r="U1807" s="276"/>
      <c r="V1807" s="276"/>
      <c r="W1807" s="276"/>
      <c r="X1807" s="276"/>
    </row>
    <row r="1808" ht="15.75" customHeight="1">
      <c r="A1808" s="403"/>
      <c r="B1808" s="284">
        <f t="shared" si="32"/>
        <v>30</v>
      </c>
      <c r="C1808" s="284">
        <f t="shared" si="33"/>
        <v>12</v>
      </c>
      <c r="D1808" s="284">
        <f t="shared" si="34"/>
        <v>1899</v>
      </c>
      <c r="E1808" s="490"/>
      <c r="F1808" s="30"/>
      <c r="G1808" s="30"/>
      <c r="H1808" s="288">
        <f t="shared" si="35"/>
        <v>0</v>
      </c>
      <c r="I1808" s="490"/>
      <c r="J1808" s="276"/>
      <c r="K1808" s="276"/>
      <c r="L1808" s="276"/>
      <c r="M1808" s="276"/>
      <c r="N1808" s="276"/>
      <c r="O1808" s="276"/>
      <c r="P1808" s="276"/>
      <c r="Q1808" s="276"/>
      <c r="R1808" s="276"/>
      <c r="S1808" s="276"/>
      <c r="T1808" s="276"/>
      <c r="U1808" s="276"/>
      <c r="V1808" s="276"/>
      <c r="W1808" s="276"/>
      <c r="X1808" s="276"/>
    </row>
    <row r="1809" ht="15.75" customHeight="1">
      <c r="A1809" s="403"/>
      <c r="B1809" s="284">
        <f t="shared" si="32"/>
        <v>30</v>
      </c>
      <c r="C1809" s="284">
        <f t="shared" si="33"/>
        <v>12</v>
      </c>
      <c r="D1809" s="284">
        <f t="shared" si="34"/>
        <v>1899</v>
      </c>
      <c r="E1809" s="490"/>
      <c r="F1809" s="30"/>
      <c r="G1809" s="30"/>
      <c r="H1809" s="288">
        <f t="shared" si="35"/>
        <v>0</v>
      </c>
      <c r="I1809" s="490"/>
      <c r="J1809" s="276"/>
      <c r="K1809" s="276"/>
      <c r="L1809" s="276"/>
      <c r="M1809" s="276"/>
      <c r="N1809" s="276"/>
      <c r="O1809" s="276"/>
      <c r="P1809" s="276"/>
      <c r="Q1809" s="276"/>
      <c r="R1809" s="276"/>
      <c r="S1809" s="276"/>
      <c r="T1809" s="276"/>
      <c r="U1809" s="276"/>
      <c r="V1809" s="276"/>
      <c r="W1809" s="276"/>
      <c r="X1809" s="276"/>
    </row>
    <row r="1810" ht="15.75" customHeight="1">
      <c r="A1810" s="403"/>
      <c r="B1810" s="284">
        <f t="shared" si="32"/>
        <v>30</v>
      </c>
      <c r="C1810" s="284">
        <f t="shared" si="33"/>
        <v>12</v>
      </c>
      <c r="D1810" s="284">
        <f t="shared" si="34"/>
        <v>1899</v>
      </c>
      <c r="E1810" s="490"/>
      <c r="F1810" s="30"/>
      <c r="G1810" s="30"/>
      <c r="H1810" s="288">
        <f t="shared" si="35"/>
        <v>0</v>
      </c>
      <c r="I1810" s="490"/>
      <c r="J1810" s="276"/>
      <c r="K1810" s="276"/>
      <c r="L1810" s="276"/>
      <c r="M1810" s="276"/>
      <c r="N1810" s="276"/>
      <c r="O1810" s="276"/>
      <c r="P1810" s="276"/>
      <c r="Q1810" s="276"/>
      <c r="R1810" s="276"/>
      <c r="S1810" s="276"/>
      <c r="T1810" s="276"/>
      <c r="U1810" s="276"/>
      <c r="V1810" s="276"/>
      <c r="W1810" s="276"/>
      <c r="X1810" s="276"/>
    </row>
    <row r="1811" ht="15.75" customHeight="1">
      <c r="A1811" s="403"/>
      <c r="B1811" s="284">
        <f t="shared" si="32"/>
        <v>30</v>
      </c>
      <c r="C1811" s="284">
        <f t="shared" si="33"/>
        <v>12</v>
      </c>
      <c r="D1811" s="284">
        <f t="shared" si="34"/>
        <v>1899</v>
      </c>
      <c r="E1811" s="490"/>
      <c r="F1811" s="30"/>
      <c r="G1811" s="30"/>
      <c r="H1811" s="288">
        <f t="shared" si="35"/>
        <v>0</v>
      </c>
      <c r="I1811" s="490"/>
      <c r="J1811" s="276"/>
      <c r="K1811" s="276"/>
      <c r="L1811" s="276"/>
      <c r="M1811" s="276"/>
      <c r="N1811" s="276"/>
      <c r="O1811" s="276"/>
      <c r="P1811" s="276"/>
      <c r="Q1811" s="276"/>
      <c r="R1811" s="276"/>
      <c r="S1811" s="276"/>
      <c r="T1811" s="276"/>
      <c r="U1811" s="276"/>
      <c r="V1811" s="276"/>
      <c r="W1811" s="276"/>
      <c r="X1811" s="276"/>
    </row>
    <row r="1812" ht="15.75" customHeight="1">
      <c r="A1812" s="403"/>
      <c r="B1812" s="284">
        <f t="shared" si="32"/>
        <v>30</v>
      </c>
      <c r="C1812" s="284">
        <f t="shared" si="33"/>
        <v>12</v>
      </c>
      <c r="D1812" s="284">
        <f t="shared" si="34"/>
        <v>1899</v>
      </c>
      <c r="E1812" s="490"/>
      <c r="F1812" s="30"/>
      <c r="G1812" s="30"/>
      <c r="H1812" s="288">
        <f t="shared" si="35"/>
        <v>0</v>
      </c>
      <c r="I1812" s="490"/>
      <c r="J1812" s="276"/>
      <c r="K1812" s="276"/>
      <c r="L1812" s="276"/>
      <c r="M1812" s="276"/>
      <c r="N1812" s="276"/>
      <c r="O1812" s="276"/>
      <c r="P1812" s="276"/>
      <c r="Q1812" s="276"/>
      <c r="R1812" s="276"/>
      <c r="S1812" s="276"/>
      <c r="T1812" s="276"/>
      <c r="U1812" s="276"/>
      <c r="V1812" s="276"/>
      <c r="W1812" s="276"/>
      <c r="X1812" s="276"/>
    </row>
    <row r="1813" ht="15.75" customHeight="1">
      <c r="A1813" s="403"/>
      <c r="B1813" s="284">
        <f t="shared" si="32"/>
        <v>30</v>
      </c>
      <c r="C1813" s="284">
        <f t="shared" si="33"/>
        <v>12</v>
      </c>
      <c r="D1813" s="284">
        <f t="shared" si="34"/>
        <v>1899</v>
      </c>
      <c r="E1813" s="490"/>
      <c r="F1813" s="30"/>
      <c r="G1813" s="30"/>
      <c r="H1813" s="288">
        <f t="shared" si="35"/>
        <v>0</v>
      </c>
      <c r="I1813" s="490"/>
      <c r="J1813" s="276"/>
      <c r="K1813" s="276"/>
      <c r="L1813" s="276"/>
      <c r="M1813" s="276"/>
      <c r="N1813" s="276"/>
      <c r="O1813" s="276"/>
      <c r="P1813" s="276"/>
      <c r="Q1813" s="276"/>
      <c r="R1813" s="276"/>
      <c r="S1813" s="276"/>
      <c r="T1813" s="276"/>
      <c r="U1813" s="276"/>
      <c r="V1813" s="276"/>
      <c r="W1813" s="276"/>
      <c r="X1813" s="276"/>
    </row>
    <row r="1814" ht="15.75" customHeight="1">
      <c r="A1814" s="403"/>
      <c r="B1814" s="284">
        <f t="shared" si="32"/>
        <v>30</v>
      </c>
      <c r="C1814" s="284">
        <f t="shared" si="33"/>
        <v>12</v>
      </c>
      <c r="D1814" s="284">
        <f t="shared" si="34"/>
        <v>1899</v>
      </c>
      <c r="E1814" s="490"/>
      <c r="F1814" s="30"/>
      <c r="G1814" s="30"/>
      <c r="H1814" s="288">
        <f t="shared" si="35"/>
        <v>0</v>
      </c>
      <c r="I1814" s="490"/>
      <c r="J1814" s="276"/>
      <c r="K1814" s="276"/>
      <c r="L1814" s="276"/>
      <c r="M1814" s="276"/>
      <c r="N1814" s="276"/>
      <c r="O1814" s="276"/>
      <c r="P1814" s="276"/>
      <c r="Q1814" s="276"/>
      <c r="R1814" s="276"/>
      <c r="S1814" s="276"/>
      <c r="T1814" s="276"/>
      <c r="U1814" s="276"/>
      <c r="V1814" s="276"/>
      <c r="W1814" s="276"/>
      <c r="X1814" s="276"/>
    </row>
    <row r="1815" ht="15.75" customHeight="1">
      <c r="A1815" s="403"/>
      <c r="B1815" s="284">
        <f t="shared" si="32"/>
        <v>30</v>
      </c>
      <c r="C1815" s="284">
        <f t="shared" si="33"/>
        <v>12</v>
      </c>
      <c r="D1815" s="284">
        <f t="shared" si="34"/>
        <v>1899</v>
      </c>
      <c r="E1815" s="490"/>
      <c r="F1815" s="30"/>
      <c r="G1815" s="30"/>
      <c r="H1815" s="288">
        <f t="shared" si="35"/>
        <v>0</v>
      </c>
      <c r="I1815" s="490"/>
      <c r="J1815" s="276"/>
      <c r="K1815" s="276"/>
      <c r="L1815" s="276"/>
      <c r="M1815" s="276"/>
      <c r="N1815" s="276"/>
      <c r="O1815" s="276"/>
      <c r="P1815" s="276"/>
      <c r="Q1815" s="276"/>
      <c r="R1815" s="276"/>
      <c r="S1815" s="276"/>
      <c r="T1815" s="276"/>
      <c r="U1815" s="276"/>
      <c r="V1815" s="276"/>
      <c r="W1815" s="276"/>
      <c r="X1815" s="276"/>
    </row>
    <row r="1816" ht="15.75" customHeight="1">
      <c r="A1816" s="403"/>
      <c r="B1816" s="284">
        <f t="shared" si="32"/>
        <v>30</v>
      </c>
      <c r="C1816" s="284">
        <f t="shared" si="33"/>
        <v>12</v>
      </c>
      <c r="D1816" s="284">
        <f t="shared" si="34"/>
        <v>1899</v>
      </c>
      <c r="E1816" s="490"/>
      <c r="F1816" s="30"/>
      <c r="G1816" s="30"/>
      <c r="H1816" s="288">
        <f t="shared" si="35"/>
        <v>0</v>
      </c>
      <c r="I1816" s="490"/>
      <c r="J1816" s="276"/>
      <c r="K1816" s="276"/>
      <c r="L1816" s="276"/>
      <c r="M1816" s="276"/>
      <c r="N1816" s="276"/>
      <c r="O1816" s="276"/>
      <c r="P1816" s="276"/>
      <c r="Q1816" s="276"/>
      <c r="R1816" s="276"/>
      <c r="S1816" s="276"/>
      <c r="T1816" s="276"/>
      <c r="U1816" s="276"/>
      <c r="V1816" s="276"/>
      <c r="W1816" s="276"/>
      <c r="X1816" s="276"/>
    </row>
    <row r="1817" ht="15.75" customHeight="1">
      <c r="A1817" s="403"/>
      <c r="B1817" s="284">
        <f t="shared" si="32"/>
        <v>30</v>
      </c>
      <c r="C1817" s="284">
        <f t="shared" si="33"/>
        <v>12</v>
      </c>
      <c r="D1817" s="284">
        <f t="shared" si="34"/>
        <v>1899</v>
      </c>
      <c r="E1817" s="490"/>
      <c r="F1817" s="30"/>
      <c r="G1817" s="30"/>
      <c r="H1817" s="288">
        <f t="shared" si="35"/>
        <v>0</v>
      </c>
      <c r="I1817" s="490"/>
      <c r="J1817" s="276"/>
      <c r="K1817" s="276"/>
      <c r="L1817" s="276"/>
      <c r="M1817" s="276"/>
      <c r="N1817" s="276"/>
      <c r="O1817" s="276"/>
      <c r="P1817" s="276"/>
      <c r="Q1817" s="276"/>
      <c r="R1817" s="276"/>
      <c r="S1817" s="276"/>
      <c r="T1817" s="276"/>
      <c r="U1817" s="276"/>
      <c r="V1817" s="276"/>
      <c r="W1817" s="276"/>
      <c r="X1817" s="276"/>
    </row>
    <row r="1818" ht="15.75" customHeight="1">
      <c r="A1818" s="403"/>
      <c r="B1818" s="284">
        <f t="shared" si="32"/>
        <v>30</v>
      </c>
      <c r="C1818" s="284">
        <f t="shared" si="33"/>
        <v>12</v>
      </c>
      <c r="D1818" s="284">
        <f t="shared" si="34"/>
        <v>1899</v>
      </c>
      <c r="E1818" s="490"/>
      <c r="F1818" s="30"/>
      <c r="G1818" s="30"/>
      <c r="H1818" s="288">
        <f t="shared" si="35"/>
        <v>0</v>
      </c>
      <c r="I1818" s="490"/>
      <c r="J1818" s="276"/>
      <c r="K1818" s="276"/>
      <c r="L1818" s="276"/>
      <c r="M1818" s="276"/>
      <c r="N1818" s="276"/>
      <c r="O1818" s="276"/>
      <c r="P1818" s="276"/>
      <c r="Q1818" s="276"/>
      <c r="R1818" s="276"/>
      <c r="S1818" s="276"/>
      <c r="T1818" s="276"/>
      <c r="U1818" s="276"/>
      <c r="V1818" s="276"/>
      <c r="W1818" s="276"/>
      <c r="X1818" s="276"/>
    </row>
    <row r="1819" ht="15.75" customHeight="1">
      <c r="A1819" s="403"/>
      <c r="B1819" s="284">
        <f t="shared" si="32"/>
        <v>30</v>
      </c>
      <c r="C1819" s="284">
        <f t="shared" si="33"/>
        <v>12</v>
      </c>
      <c r="D1819" s="284">
        <f t="shared" si="34"/>
        <v>1899</v>
      </c>
      <c r="E1819" s="490"/>
      <c r="F1819" s="30"/>
      <c r="G1819" s="30"/>
      <c r="H1819" s="288">
        <f t="shared" si="35"/>
        <v>0</v>
      </c>
      <c r="I1819" s="490"/>
      <c r="J1819" s="276"/>
      <c r="K1819" s="276"/>
      <c r="L1819" s="276"/>
      <c r="M1819" s="276"/>
      <c r="N1819" s="276"/>
      <c r="O1819" s="276"/>
      <c r="P1819" s="276"/>
      <c r="Q1819" s="276"/>
      <c r="R1819" s="276"/>
      <c r="S1819" s="276"/>
      <c r="T1819" s="276"/>
      <c r="U1819" s="276"/>
      <c r="V1819" s="276"/>
      <c r="W1819" s="276"/>
      <c r="X1819" s="276"/>
    </row>
    <row r="1820" ht="15.75" customHeight="1">
      <c r="A1820" s="403"/>
      <c r="B1820" s="284">
        <f t="shared" si="32"/>
        <v>30</v>
      </c>
      <c r="C1820" s="284">
        <f t="shared" si="33"/>
        <v>12</v>
      </c>
      <c r="D1820" s="284">
        <f t="shared" si="34"/>
        <v>1899</v>
      </c>
      <c r="E1820" s="490"/>
      <c r="F1820" s="30"/>
      <c r="G1820" s="30"/>
      <c r="H1820" s="288">
        <f t="shared" si="35"/>
        <v>0</v>
      </c>
      <c r="I1820" s="490"/>
      <c r="J1820" s="276"/>
      <c r="K1820" s="276"/>
      <c r="L1820" s="276"/>
      <c r="M1820" s="276"/>
      <c r="N1820" s="276"/>
      <c r="O1820" s="276"/>
      <c r="P1820" s="276"/>
      <c r="Q1820" s="276"/>
      <c r="R1820" s="276"/>
      <c r="S1820" s="276"/>
      <c r="T1820" s="276"/>
      <c r="U1820" s="276"/>
      <c r="V1820" s="276"/>
      <c r="W1820" s="276"/>
      <c r="X1820" s="276"/>
    </row>
    <row r="1821" ht="15.75" customHeight="1">
      <c r="A1821" s="403"/>
      <c r="B1821" s="284">
        <f t="shared" si="32"/>
        <v>30</v>
      </c>
      <c r="C1821" s="284">
        <f t="shared" si="33"/>
        <v>12</v>
      </c>
      <c r="D1821" s="284">
        <f t="shared" si="34"/>
        <v>1899</v>
      </c>
      <c r="E1821" s="490"/>
      <c r="F1821" s="30"/>
      <c r="G1821" s="30"/>
      <c r="H1821" s="288">
        <f t="shared" si="35"/>
        <v>0</v>
      </c>
      <c r="I1821" s="490"/>
      <c r="J1821" s="276"/>
      <c r="K1821" s="276"/>
      <c r="L1821" s="276"/>
      <c r="M1821" s="276"/>
      <c r="N1821" s="276"/>
      <c r="O1821" s="276"/>
      <c r="P1821" s="276"/>
      <c r="Q1821" s="276"/>
      <c r="R1821" s="276"/>
      <c r="S1821" s="276"/>
      <c r="T1821" s="276"/>
      <c r="U1821" s="276"/>
      <c r="V1821" s="276"/>
      <c r="W1821" s="276"/>
      <c r="X1821" s="276"/>
    </row>
    <row r="1822" ht="15.75" customHeight="1">
      <c r="A1822" s="403"/>
      <c r="B1822" s="284">
        <f t="shared" si="32"/>
        <v>30</v>
      </c>
      <c r="C1822" s="284">
        <f t="shared" si="33"/>
        <v>12</v>
      </c>
      <c r="D1822" s="284">
        <f t="shared" si="34"/>
        <v>1899</v>
      </c>
      <c r="E1822" s="490"/>
      <c r="F1822" s="30"/>
      <c r="G1822" s="30"/>
      <c r="H1822" s="288">
        <f t="shared" si="35"/>
        <v>0</v>
      </c>
      <c r="I1822" s="490"/>
      <c r="J1822" s="276"/>
      <c r="K1822" s="276"/>
      <c r="L1822" s="276"/>
      <c r="M1822" s="276"/>
      <c r="N1822" s="276"/>
      <c r="O1822" s="276"/>
      <c r="P1822" s="276"/>
      <c r="Q1822" s="276"/>
      <c r="R1822" s="276"/>
      <c r="S1822" s="276"/>
      <c r="T1822" s="276"/>
      <c r="U1822" s="276"/>
      <c r="V1822" s="276"/>
      <c r="W1822" s="276"/>
      <c r="X1822" s="276"/>
    </row>
    <row r="1823" ht="15.75" customHeight="1">
      <c r="A1823" s="403"/>
      <c r="B1823" s="284">
        <f t="shared" si="32"/>
        <v>30</v>
      </c>
      <c r="C1823" s="284">
        <f t="shared" si="33"/>
        <v>12</v>
      </c>
      <c r="D1823" s="284">
        <f t="shared" si="34"/>
        <v>1899</v>
      </c>
      <c r="E1823" s="490"/>
      <c r="F1823" s="30"/>
      <c r="G1823" s="30"/>
      <c r="H1823" s="288">
        <f t="shared" si="35"/>
        <v>0</v>
      </c>
      <c r="I1823" s="490"/>
      <c r="J1823" s="276"/>
      <c r="K1823" s="276"/>
      <c r="L1823" s="276"/>
      <c r="M1823" s="276"/>
      <c r="N1823" s="276"/>
      <c r="O1823" s="276"/>
      <c r="P1823" s="276"/>
      <c r="Q1823" s="276"/>
      <c r="R1823" s="276"/>
      <c r="S1823" s="276"/>
      <c r="T1823" s="276"/>
      <c r="U1823" s="276"/>
      <c r="V1823" s="276"/>
      <c r="W1823" s="276"/>
      <c r="X1823" s="276"/>
    </row>
    <row r="1824" ht="15.75" customHeight="1">
      <c r="A1824" s="403"/>
      <c r="B1824" s="284">
        <f t="shared" si="32"/>
        <v>30</v>
      </c>
      <c r="C1824" s="284">
        <f t="shared" si="33"/>
        <v>12</v>
      </c>
      <c r="D1824" s="284">
        <f t="shared" si="34"/>
        <v>1899</v>
      </c>
      <c r="E1824" s="490"/>
      <c r="F1824" s="30"/>
      <c r="G1824" s="30"/>
      <c r="H1824" s="288">
        <f t="shared" si="35"/>
        <v>0</v>
      </c>
      <c r="I1824" s="490"/>
      <c r="J1824" s="276"/>
      <c r="K1824" s="276"/>
      <c r="L1824" s="276"/>
      <c r="M1824" s="276"/>
      <c r="N1824" s="276"/>
      <c r="O1824" s="276"/>
      <c r="P1824" s="276"/>
      <c r="Q1824" s="276"/>
      <c r="R1824" s="276"/>
      <c r="S1824" s="276"/>
      <c r="T1824" s="276"/>
      <c r="U1824" s="276"/>
      <c r="V1824" s="276"/>
      <c r="W1824" s="276"/>
      <c r="X1824" s="276"/>
    </row>
    <row r="1825" ht="15.75" customHeight="1">
      <c r="A1825" s="403"/>
      <c r="B1825" s="284">
        <f t="shared" si="32"/>
        <v>30</v>
      </c>
      <c r="C1825" s="284">
        <f t="shared" si="33"/>
        <v>12</v>
      </c>
      <c r="D1825" s="284">
        <f t="shared" si="34"/>
        <v>1899</v>
      </c>
      <c r="E1825" s="490"/>
      <c r="F1825" s="30"/>
      <c r="G1825" s="30"/>
      <c r="H1825" s="288">
        <f t="shared" si="35"/>
        <v>0</v>
      </c>
      <c r="I1825" s="490"/>
      <c r="J1825" s="276"/>
      <c r="K1825" s="276"/>
      <c r="L1825" s="276"/>
      <c r="M1825" s="276"/>
      <c r="N1825" s="276"/>
      <c r="O1825" s="276"/>
      <c r="P1825" s="276"/>
      <c r="Q1825" s="276"/>
      <c r="R1825" s="276"/>
      <c r="S1825" s="276"/>
      <c r="T1825" s="276"/>
      <c r="U1825" s="276"/>
      <c r="V1825" s="276"/>
      <c r="W1825" s="276"/>
      <c r="X1825" s="276"/>
    </row>
    <row r="1826" ht="15.75" customHeight="1">
      <c r="A1826" s="403"/>
      <c r="B1826" s="284">
        <f t="shared" si="32"/>
        <v>30</v>
      </c>
      <c r="C1826" s="284">
        <f t="shared" si="33"/>
        <v>12</v>
      </c>
      <c r="D1826" s="284">
        <f t="shared" si="34"/>
        <v>1899</v>
      </c>
      <c r="E1826" s="490"/>
      <c r="F1826" s="30"/>
      <c r="G1826" s="30"/>
      <c r="H1826" s="288">
        <f t="shared" si="35"/>
        <v>0</v>
      </c>
      <c r="I1826" s="490"/>
      <c r="J1826" s="276"/>
      <c r="K1826" s="276"/>
      <c r="L1826" s="276"/>
      <c r="M1826" s="276"/>
      <c r="N1826" s="276"/>
      <c r="O1826" s="276"/>
      <c r="P1826" s="276"/>
      <c r="Q1826" s="276"/>
      <c r="R1826" s="276"/>
      <c r="S1826" s="276"/>
      <c r="T1826" s="276"/>
      <c r="U1826" s="276"/>
      <c r="V1826" s="276"/>
      <c r="W1826" s="276"/>
      <c r="X1826" s="276"/>
    </row>
    <row r="1827" ht="15.75" customHeight="1">
      <c r="A1827" s="403"/>
      <c r="B1827" s="284">
        <f t="shared" si="32"/>
        <v>30</v>
      </c>
      <c r="C1827" s="284">
        <f t="shared" si="33"/>
        <v>12</v>
      </c>
      <c r="D1827" s="284">
        <f t="shared" si="34"/>
        <v>1899</v>
      </c>
      <c r="E1827" s="490"/>
      <c r="F1827" s="30"/>
      <c r="G1827" s="30"/>
      <c r="H1827" s="288">
        <f t="shared" si="35"/>
        <v>0</v>
      </c>
      <c r="I1827" s="490"/>
      <c r="J1827" s="276"/>
      <c r="K1827" s="276"/>
      <c r="L1827" s="276"/>
      <c r="M1827" s="276"/>
      <c r="N1827" s="276"/>
      <c r="O1827" s="276"/>
      <c r="P1827" s="276"/>
      <c r="Q1827" s="276"/>
      <c r="R1827" s="276"/>
      <c r="S1827" s="276"/>
      <c r="T1827" s="276"/>
      <c r="U1827" s="276"/>
      <c r="V1827" s="276"/>
      <c r="W1827" s="276"/>
      <c r="X1827" s="276"/>
    </row>
    <row r="1828" ht="15.75" customHeight="1">
      <c r="A1828" s="403"/>
      <c r="B1828" s="284">
        <f t="shared" si="32"/>
        <v>30</v>
      </c>
      <c r="C1828" s="284">
        <f t="shared" si="33"/>
        <v>12</v>
      </c>
      <c r="D1828" s="284">
        <f t="shared" si="34"/>
        <v>1899</v>
      </c>
      <c r="E1828" s="490"/>
      <c r="F1828" s="30"/>
      <c r="G1828" s="30"/>
      <c r="H1828" s="288">
        <f t="shared" si="35"/>
        <v>0</v>
      </c>
      <c r="I1828" s="490"/>
      <c r="J1828" s="276"/>
      <c r="K1828" s="276"/>
      <c r="L1828" s="276"/>
      <c r="M1828" s="276"/>
      <c r="N1828" s="276"/>
      <c r="O1828" s="276"/>
      <c r="P1828" s="276"/>
      <c r="Q1828" s="276"/>
      <c r="R1828" s="276"/>
      <c r="S1828" s="276"/>
      <c r="T1828" s="276"/>
      <c r="U1828" s="276"/>
      <c r="V1828" s="276"/>
      <c r="W1828" s="276"/>
      <c r="X1828" s="276"/>
    </row>
    <row r="1829" ht="15.75" customHeight="1">
      <c r="A1829" s="403"/>
      <c r="B1829" s="284">
        <f t="shared" si="32"/>
        <v>30</v>
      </c>
      <c r="C1829" s="284">
        <f t="shared" si="33"/>
        <v>12</v>
      </c>
      <c r="D1829" s="284">
        <f t="shared" si="34"/>
        <v>1899</v>
      </c>
      <c r="E1829" s="490"/>
      <c r="F1829" s="30"/>
      <c r="G1829" s="30"/>
      <c r="H1829" s="288">
        <f t="shared" si="35"/>
        <v>0</v>
      </c>
      <c r="I1829" s="490"/>
      <c r="J1829" s="276"/>
      <c r="K1829" s="276"/>
      <c r="L1829" s="276"/>
      <c r="M1829" s="276"/>
      <c r="N1829" s="276"/>
      <c r="O1829" s="276"/>
      <c r="P1829" s="276"/>
      <c r="Q1829" s="276"/>
      <c r="R1829" s="276"/>
      <c r="S1829" s="276"/>
      <c r="T1829" s="276"/>
      <c r="U1829" s="276"/>
      <c r="V1829" s="276"/>
      <c r="W1829" s="276"/>
      <c r="X1829" s="276"/>
    </row>
    <row r="1830" ht="15.75" customHeight="1">
      <c r="A1830" s="403"/>
      <c r="B1830" s="284">
        <f t="shared" si="32"/>
        <v>30</v>
      </c>
      <c r="C1830" s="284">
        <f t="shared" si="33"/>
        <v>12</v>
      </c>
      <c r="D1830" s="284">
        <f t="shared" si="34"/>
        <v>1899</v>
      </c>
      <c r="E1830" s="490"/>
      <c r="F1830" s="30"/>
      <c r="G1830" s="30"/>
      <c r="H1830" s="288">
        <f t="shared" si="35"/>
        <v>0</v>
      </c>
      <c r="I1830" s="490"/>
      <c r="J1830" s="276"/>
      <c r="K1830" s="276"/>
      <c r="L1830" s="276"/>
      <c r="M1830" s="276"/>
      <c r="N1830" s="276"/>
      <c r="O1830" s="276"/>
      <c r="P1830" s="276"/>
      <c r="Q1830" s="276"/>
      <c r="R1830" s="276"/>
      <c r="S1830" s="276"/>
      <c r="T1830" s="276"/>
      <c r="U1830" s="276"/>
      <c r="V1830" s="276"/>
      <c r="W1830" s="276"/>
      <c r="X1830" s="276"/>
    </row>
    <row r="1831" ht="15.75" customHeight="1">
      <c r="A1831" s="403"/>
      <c r="B1831" s="284">
        <f t="shared" si="32"/>
        <v>30</v>
      </c>
      <c r="C1831" s="284">
        <f t="shared" si="33"/>
        <v>12</v>
      </c>
      <c r="D1831" s="284">
        <f t="shared" si="34"/>
        <v>1899</v>
      </c>
      <c r="E1831" s="490"/>
      <c r="F1831" s="30"/>
      <c r="G1831" s="30"/>
      <c r="H1831" s="288">
        <f t="shared" si="35"/>
        <v>0</v>
      </c>
      <c r="I1831" s="490"/>
      <c r="J1831" s="276"/>
      <c r="K1831" s="276"/>
      <c r="L1831" s="276"/>
      <c r="M1831" s="276"/>
      <c r="N1831" s="276"/>
      <c r="O1831" s="276"/>
      <c r="P1831" s="276"/>
      <c r="Q1831" s="276"/>
      <c r="R1831" s="276"/>
      <c r="S1831" s="276"/>
      <c r="T1831" s="276"/>
      <c r="U1831" s="276"/>
      <c r="V1831" s="276"/>
      <c r="W1831" s="276"/>
      <c r="X1831" s="276"/>
    </row>
    <row r="1832" ht="15.75" customHeight="1">
      <c r="A1832" s="403"/>
      <c r="B1832" s="284">
        <f t="shared" si="32"/>
        <v>30</v>
      </c>
      <c r="C1832" s="284">
        <f t="shared" si="33"/>
        <v>12</v>
      </c>
      <c r="D1832" s="284">
        <f t="shared" si="34"/>
        <v>1899</v>
      </c>
      <c r="E1832" s="490"/>
      <c r="F1832" s="30"/>
      <c r="G1832" s="30"/>
      <c r="H1832" s="288">
        <f t="shared" si="35"/>
        <v>0</v>
      </c>
      <c r="I1832" s="490"/>
      <c r="J1832" s="276"/>
      <c r="K1832" s="276"/>
      <c r="L1832" s="276"/>
      <c r="M1832" s="276"/>
      <c r="N1832" s="276"/>
      <c r="O1832" s="276"/>
      <c r="P1832" s="276"/>
      <c r="Q1832" s="276"/>
      <c r="R1832" s="276"/>
      <c r="S1832" s="276"/>
      <c r="T1832" s="276"/>
      <c r="U1832" s="276"/>
      <c r="V1832" s="276"/>
      <c r="W1832" s="276"/>
      <c r="X1832" s="276"/>
    </row>
    <row r="1833" ht="15.75" customHeight="1">
      <c r="A1833" s="403"/>
      <c r="B1833" s="284">
        <f t="shared" si="32"/>
        <v>30</v>
      </c>
      <c r="C1833" s="284">
        <f t="shared" si="33"/>
        <v>12</v>
      </c>
      <c r="D1833" s="284">
        <f t="shared" si="34"/>
        <v>1899</v>
      </c>
      <c r="E1833" s="490"/>
      <c r="F1833" s="30"/>
      <c r="G1833" s="30"/>
      <c r="H1833" s="288">
        <f t="shared" si="35"/>
        <v>0</v>
      </c>
      <c r="I1833" s="490"/>
      <c r="J1833" s="276"/>
      <c r="K1833" s="276"/>
      <c r="L1833" s="276"/>
      <c r="M1833" s="276"/>
      <c r="N1833" s="276"/>
      <c r="O1833" s="276"/>
      <c r="P1833" s="276"/>
      <c r="Q1833" s="276"/>
      <c r="R1833" s="276"/>
      <c r="S1833" s="276"/>
      <c r="T1833" s="276"/>
      <c r="U1833" s="276"/>
      <c r="V1833" s="276"/>
      <c r="W1833" s="276"/>
      <c r="X1833" s="276"/>
    </row>
    <row r="1834" ht="15.75" customHeight="1">
      <c r="A1834" s="403"/>
      <c r="B1834" s="284">
        <f t="shared" si="32"/>
        <v>30</v>
      </c>
      <c r="C1834" s="284">
        <f t="shared" si="33"/>
        <v>12</v>
      </c>
      <c r="D1834" s="284">
        <f t="shared" si="34"/>
        <v>1899</v>
      </c>
      <c r="E1834" s="490"/>
      <c r="F1834" s="30"/>
      <c r="G1834" s="30"/>
      <c r="H1834" s="288">
        <f t="shared" si="35"/>
        <v>0</v>
      </c>
      <c r="I1834" s="490"/>
      <c r="J1834" s="276"/>
      <c r="K1834" s="276"/>
      <c r="L1834" s="276"/>
      <c r="M1834" s="276"/>
      <c r="N1834" s="276"/>
      <c r="O1834" s="276"/>
      <c r="P1834" s="276"/>
      <c r="Q1834" s="276"/>
      <c r="R1834" s="276"/>
      <c r="S1834" s="276"/>
      <c r="T1834" s="276"/>
      <c r="U1834" s="276"/>
      <c r="V1834" s="276"/>
      <c r="W1834" s="276"/>
      <c r="X1834" s="276"/>
    </row>
    <row r="1835" ht="15.75" customHeight="1">
      <c r="A1835" s="403"/>
      <c r="B1835" s="284">
        <f t="shared" si="32"/>
        <v>30</v>
      </c>
      <c r="C1835" s="284">
        <f t="shared" si="33"/>
        <v>12</v>
      </c>
      <c r="D1835" s="284">
        <f t="shared" si="34"/>
        <v>1899</v>
      </c>
      <c r="E1835" s="490"/>
      <c r="F1835" s="30"/>
      <c r="G1835" s="30"/>
      <c r="H1835" s="288">
        <f t="shared" si="35"/>
        <v>0</v>
      </c>
      <c r="I1835" s="490"/>
      <c r="J1835" s="276"/>
      <c r="K1835" s="276"/>
      <c r="L1835" s="276"/>
      <c r="M1835" s="276"/>
      <c r="N1835" s="276"/>
      <c r="O1835" s="276"/>
      <c r="P1835" s="276"/>
      <c r="Q1835" s="276"/>
      <c r="R1835" s="276"/>
      <c r="S1835" s="276"/>
      <c r="T1835" s="276"/>
      <c r="U1835" s="276"/>
      <c r="V1835" s="276"/>
      <c r="W1835" s="276"/>
      <c r="X1835" s="276"/>
    </row>
    <row r="1836" ht="15.75" customHeight="1">
      <c r="A1836" s="403"/>
      <c r="B1836" s="284">
        <f t="shared" si="32"/>
        <v>30</v>
      </c>
      <c r="C1836" s="284">
        <f t="shared" si="33"/>
        <v>12</v>
      </c>
      <c r="D1836" s="284">
        <f t="shared" si="34"/>
        <v>1899</v>
      </c>
      <c r="E1836" s="490"/>
      <c r="F1836" s="30"/>
      <c r="G1836" s="30"/>
      <c r="H1836" s="288">
        <f t="shared" si="35"/>
        <v>0</v>
      </c>
      <c r="I1836" s="490"/>
      <c r="J1836" s="276"/>
      <c r="K1836" s="276"/>
      <c r="L1836" s="276"/>
      <c r="M1836" s="276"/>
      <c r="N1836" s="276"/>
      <c r="O1836" s="276"/>
      <c r="P1836" s="276"/>
      <c r="Q1836" s="276"/>
      <c r="R1836" s="276"/>
      <c r="S1836" s="276"/>
      <c r="T1836" s="276"/>
      <c r="U1836" s="276"/>
      <c r="V1836" s="276"/>
      <c r="W1836" s="276"/>
      <c r="X1836" s="276"/>
    </row>
    <row r="1837" ht="15.75" customHeight="1">
      <c r="A1837" s="403"/>
      <c r="B1837" s="284">
        <f t="shared" si="32"/>
        <v>30</v>
      </c>
      <c r="C1837" s="284">
        <f t="shared" si="33"/>
        <v>12</v>
      </c>
      <c r="D1837" s="284">
        <f t="shared" si="34"/>
        <v>1899</v>
      </c>
      <c r="E1837" s="490"/>
      <c r="F1837" s="30"/>
      <c r="G1837" s="30"/>
      <c r="H1837" s="288">
        <f t="shared" si="35"/>
        <v>0</v>
      </c>
      <c r="I1837" s="490"/>
      <c r="J1837" s="276"/>
      <c r="K1837" s="276"/>
      <c r="L1837" s="276"/>
      <c r="M1837" s="276"/>
      <c r="N1837" s="276"/>
      <c r="O1837" s="276"/>
      <c r="P1837" s="276"/>
      <c r="Q1837" s="276"/>
      <c r="R1837" s="276"/>
      <c r="S1837" s="276"/>
      <c r="T1837" s="276"/>
      <c r="U1837" s="276"/>
      <c r="V1837" s="276"/>
      <c r="W1837" s="276"/>
      <c r="X1837" s="276"/>
    </row>
    <row r="1838" ht="15.75" customHeight="1">
      <c r="A1838" s="403"/>
      <c r="B1838" s="284">
        <f t="shared" si="32"/>
        <v>30</v>
      </c>
      <c r="C1838" s="284">
        <f t="shared" si="33"/>
        <v>12</v>
      </c>
      <c r="D1838" s="284">
        <f t="shared" si="34"/>
        <v>1899</v>
      </c>
      <c r="E1838" s="490"/>
      <c r="F1838" s="30"/>
      <c r="G1838" s="30"/>
      <c r="H1838" s="288">
        <f t="shared" si="35"/>
        <v>0</v>
      </c>
      <c r="I1838" s="490"/>
      <c r="J1838" s="276"/>
      <c r="K1838" s="276"/>
      <c r="L1838" s="276"/>
      <c r="M1838" s="276"/>
      <c r="N1838" s="276"/>
      <c r="O1838" s="276"/>
      <c r="P1838" s="276"/>
      <c r="Q1838" s="276"/>
      <c r="R1838" s="276"/>
      <c r="S1838" s="276"/>
      <c r="T1838" s="276"/>
      <c r="U1838" s="276"/>
      <c r="V1838" s="276"/>
      <c r="W1838" s="276"/>
      <c r="X1838" s="276"/>
    </row>
    <row r="1839" ht="15.75" customHeight="1">
      <c r="A1839" s="403"/>
      <c r="B1839" s="284">
        <f t="shared" si="32"/>
        <v>30</v>
      </c>
      <c r="C1839" s="284">
        <f t="shared" si="33"/>
        <v>12</v>
      </c>
      <c r="D1839" s="284">
        <f t="shared" si="34"/>
        <v>1899</v>
      </c>
      <c r="E1839" s="490"/>
      <c r="F1839" s="30"/>
      <c r="G1839" s="30"/>
      <c r="H1839" s="288">
        <f t="shared" si="35"/>
        <v>0</v>
      </c>
      <c r="I1839" s="490"/>
      <c r="J1839" s="276"/>
      <c r="K1839" s="276"/>
      <c r="L1839" s="276"/>
      <c r="M1839" s="276"/>
      <c r="N1839" s="276"/>
      <c r="O1839" s="276"/>
      <c r="P1839" s="276"/>
      <c r="Q1839" s="276"/>
      <c r="R1839" s="276"/>
      <c r="S1839" s="276"/>
      <c r="T1839" s="276"/>
      <c r="U1839" s="276"/>
      <c r="V1839" s="276"/>
      <c r="W1839" s="276"/>
      <c r="X1839" s="276"/>
    </row>
    <row r="1840" ht="15.75" customHeight="1">
      <c r="A1840" s="403"/>
      <c r="B1840" s="284">
        <f t="shared" si="32"/>
        <v>30</v>
      </c>
      <c r="C1840" s="284">
        <f t="shared" si="33"/>
        <v>12</v>
      </c>
      <c r="D1840" s="284">
        <f t="shared" si="34"/>
        <v>1899</v>
      </c>
      <c r="E1840" s="490"/>
      <c r="F1840" s="30"/>
      <c r="G1840" s="30"/>
      <c r="H1840" s="288">
        <f t="shared" si="35"/>
        <v>0</v>
      </c>
      <c r="I1840" s="490"/>
      <c r="J1840" s="276"/>
      <c r="K1840" s="276"/>
      <c r="L1840" s="276"/>
      <c r="M1840" s="276"/>
      <c r="N1840" s="276"/>
      <c r="O1840" s="276"/>
      <c r="P1840" s="276"/>
      <c r="Q1840" s="276"/>
      <c r="R1840" s="276"/>
      <c r="S1840" s="276"/>
      <c r="T1840" s="276"/>
      <c r="U1840" s="276"/>
      <c r="V1840" s="276"/>
      <c r="W1840" s="276"/>
      <c r="X1840" s="276"/>
    </row>
    <row r="1841" ht="15.75" customHeight="1">
      <c r="A1841" s="403"/>
      <c r="B1841" s="284">
        <f t="shared" si="32"/>
        <v>30</v>
      </c>
      <c r="C1841" s="284">
        <f t="shared" si="33"/>
        <v>12</v>
      </c>
      <c r="D1841" s="284">
        <f t="shared" si="34"/>
        <v>1899</v>
      </c>
      <c r="E1841" s="490"/>
      <c r="F1841" s="30"/>
      <c r="G1841" s="30"/>
      <c r="H1841" s="288">
        <f t="shared" si="35"/>
        <v>0</v>
      </c>
      <c r="I1841" s="490"/>
      <c r="J1841" s="276"/>
      <c r="K1841" s="276"/>
      <c r="L1841" s="276"/>
      <c r="M1841" s="276"/>
      <c r="N1841" s="276"/>
      <c r="O1841" s="276"/>
      <c r="P1841" s="276"/>
      <c r="Q1841" s="276"/>
      <c r="R1841" s="276"/>
      <c r="S1841" s="276"/>
      <c r="T1841" s="276"/>
      <c r="U1841" s="276"/>
      <c r="V1841" s="276"/>
      <c r="W1841" s="276"/>
      <c r="X1841" s="276"/>
    </row>
    <row r="1842" ht="15.75" customHeight="1">
      <c r="A1842" s="403"/>
      <c r="B1842" s="284">
        <f t="shared" si="32"/>
        <v>30</v>
      </c>
      <c r="C1842" s="284">
        <f t="shared" si="33"/>
        <v>12</v>
      </c>
      <c r="D1842" s="284">
        <f t="shared" si="34"/>
        <v>1899</v>
      </c>
      <c r="E1842" s="490"/>
      <c r="F1842" s="30"/>
      <c r="G1842" s="30"/>
      <c r="H1842" s="288">
        <f t="shared" si="35"/>
        <v>0</v>
      </c>
      <c r="I1842" s="490"/>
      <c r="J1842" s="276"/>
      <c r="K1842" s="276"/>
      <c r="L1842" s="276"/>
      <c r="M1842" s="276"/>
      <c r="N1842" s="276"/>
      <c r="O1842" s="276"/>
      <c r="P1842" s="276"/>
      <c r="Q1842" s="276"/>
      <c r="R1842" s="276"/>
      <c r="S1842" s="276"/>
      <c r="T1842" s="276"/>
      <c r="U1842" s="276"/>
      <c r="V1842" s="276"/>
      <c r="W1842" s="276"/>
      <c r="X1842" s="276"/>
    </row>
    <row r="1843" ht="15.75" customHeight="1">
      <c r="A1843" s="403"/>
      <c r="B1843" s="284">
        <f t="shared" si="32"/>
        <v>30</v>
      </c>
      <c r="C1843" s="284">
        <f t="shared" si="33"/>
        <v>12</v>
      </c>
      <c r="D1843" s="284">
        <f t="shared" si="34"/>
        <v>1899</v>
      </c>
      <c r="E1843" s="490"/>
      <c r="F1843" s="30"/>
      <c r="G1843" s="30"/>
      <c r="H1843" s="288">
        <f t="shared" si="35"/>
        <v>0</v>
      </c>
      <c r="I1843" s="490"/>
      <c r="J1843" s="276"/>
      <c r="K1843" s="276"/>
      <c r="L1843" s="276"/>
      <c r="M1843" s="276"/>
      <c r="N1843" s="276"/>
      <c r="O1843" s="276"/>
      <c r="P1843" s="276"/>
      <c r="Q1843" s="276"/>
      <c r="R1843" s="276"/>
      <c r="S1843" s="276"/>
      <c r="T1843" s="276"/>
      <c r="U1843" s="276"/>
      <c r="V1843" s="276"/>
      <c r="W1843" s="276"/>
      <c r="X1843" s="276"/>
    </row>
    <row r="1844" ht="15.75" customHeight="1">
      <c r="A1844" s="403"/>
      <c r="B1844" s="284">
        <f t="shared" si="32"/>
        <v>30</v>
      </c>
      <c r="C1844" s="284">
        <f t="shared" si="33"/>
        <v>12</v>
      </c>
      <c r="D1844" s="284">
        <f t="shared" si="34"/>
        <v>1899</v>
      </c>
      <c r="E1844" s="490"/>
      <c r="F1844" s="30"/>
      <c r="G1844" s="30"/>
      <c r="H1844" s="288">
        <f t="shared" si="35"/>
        <v>0</v>
      </c>
      <c r="I1844" s="490"/>
      <c r="J1844" s="276"/>
      <c r="K1844" s="276"/>
      <c r="L1844" s="276"/>
      <c r="M1844" s="276"/>
      <c r="N1844" s="276"/>
      <c r="O1844" s="276"/>
      <c r="P1844" s="276"/>
      <c r="Q1844" s="276"/>
      <c r="R1844" s="276"/>
      <c r="S1844" s="276"/>
      <c r="T1844" s="276"/>
      <c r="U1844" s="276"/>
      <c r="V1844" s="276"/>
      <c r="W1844" s="276"/>
      <c r="X1844" s="276"/>
    </row>
    <row r="1845" ht="15.75" customHeight="1">
      <c r="A1845" s="403"/>
      <c r="B1845" s="284">
        <f t="shared" si="32"/>
        <v>30</v>
      </c>
      <c r="C1845" s="284">
        <f t="shared" si="33"/>
        <v>12</v>
      </c>
      <c r="D1845" s="284">
        <f t="shared" si="34"/>
        <v>1899</v>
      </c>
      <c r="E1845" s="490"/>
      <c r="F1845" s="30"/>
      <c r="G1845" s="30"/>
      <c r="H1845" s="288">
        <f t="shared" si="35"/>
        <v>0</v>
      </c>
      <c r="I1845" s="490"/>
      <c r="J1845" s="276"/>
      <c r="K1845" s="276"/>
      <c r="L1845" s="276"/>
      <c r="M1845" s="276"/>
      <c r="N1845" s="276"/>
      <c r="O1845" s="276"/>
      <c r="P1845" s="276"/>
      <c r="Q1845" s="276"/>
      <c r="R1845" s="276"/>
      <c r="S1845" s="276"/>
      <c r="T1845" s="276"/>
      <c r="U1845" s="276"/>
      <c r="V1845" s="276"/>
      <c r="W1845" s="276"/>
      <c r="X1845" s="276"/>
    </row>
    <row r="1846" ht="15.75" customHeight="1">
      <c r="A1846" s="403"/>
      <c r="B1846" s="284">
        <f t="shared" si="32"/>
        <v>30</v>
      </c>
      <c r="C1846" s="284">
        <f t="shared" si="33"/>
        <v>12</v>
      </c>
      <c r="D1846" s="284">
        <f t="shared" si="34"/>
        <v>1899</v>
      </c>
      <c r="E1846" s="490"/>
      <c r="F1846" s="30"/>
      <c r="G1846" s="30"/>
      <c r="H1846" s="288">
        <f t="shared" si="35"/>
        <v>0</v>
      </c>
      <c r="I1846" s="490"/>
      <c r="J1846" s="276"/>
      <c r="K1846" s="276"/>
      <c r="L1846" s="276"/>
      <c r="M1846" s="276"/>
      <c r="N1846" s="276"/>
      <c r="O1846" s="276"/>
      <c r="P1846" s="276"/>
      <c r="Q1846" s="276"/>
      <c r="R1846" s="276"/>
      <c r="S1846" s="276"/>
      <c r="T1846" s="276"/>
      <c r="U1846" s="276"/>
      <c r="V1846" s="276"/>
      <c r="W1846" s="276"/>
      <c r="X1846" s="276"/>
    </row>
    <row r="1847" ht="15.75" customHeight="1">
      <c r="A1847" s="403"/>
      <c r="B1847" s="284">
        <f t="shared" si="32"/>
        <v>30</v>
      </c>
      <c r="C1847" s="284">
        <f t="shared" si="33"/>
        <v>12</v>
      </c>
      <c r="D1847" s="284">
        <f t="shared" si="34"/>
        <v>1899</v>
      </c>
      <c r="E1847" s="490"/>
      <c r="F1847" s="30"/>
      <c r="G1847" s="30"/>
      <c r="H1847" s="288">
        <f t="shared" si="35"/>
        <v>0</v>
      </c>
      <c r="I1847" s="490"/>
      <c r="J1847" s="276"/>
      <c r="K1847" s="276"/>
      <c r="L1847" s="276"/>
      <c r="M1847" s="276"/>
      <c r="N1847" s="276"/>
      <c r="O1847" s="276"/>
      <c r="P1847" s="276"/>
      <c r="Q1847" s="276"/>
      <c r="R1847" s="276"/>
      <c r="S1847" s="276"/>
      <c r="T1847" s="276"/>
      <c r="U1847" s="276"/>
      <c r="V1847" s="276"/>
      <c r="W1847" s="276"/>
      <c r="X1847" s="276"/>
    </row>
    <row r="1848" ht="15.75" customHeight="1">
      <c r="A1848" s="403"/>
      <c r="B1848" s="284">
        <f t="shared" si="32"/>
        <v>30</v>
      </c>
      <c r="C1848" s="284">
        <f t="shared" si="33"/>
        <v>12</v>
      </c>
      <c r="D1848" s="284">
        <f t="shared" si="34"/>
        <v>1899</v>
      </c>
      <c r="E1848" s="490"/>
      <c r="F1848" s="30"/>
      <c r="G1848" s="30"/>
      <c r="H1848" s="288">
        <f t="shared" si="35"/>
        <v>0</v>
      </c>
      <c r="I1848" s="490"/>
      <c r="J1848" s="276"/>
      <c r="K1848" s="276"/>
      <c r="L1848" s="276"/>
      <c r="M1848" s="276"/>
      <c r="N1848" s="276"/>
      <c r="O1848" s="276"/>
      <c r="P1848" s="276"/>
      <c r="Q1848" s="276"/>
      <c r="R1848" s="276"/>
      <c r="S1848" s="276"/>
      <c r="T1848" s="276"/>
      <c r="U1848" s="276"/>
      <c r="V1848" s="276"/>
      <c r="W1848" s="276"/>
      <c r="X1848" s="276"/>
    </row>
    <row r="1849" ht="15.75" customHeight="1">
      <c r="A1849" s="403"/>
      <c r="B1849" s="284">
        <f t="shared" si="32"/>
        <v>30</v>
      </c>
      <c r="C1849" s="284">
        <f t="shared" si="33"/>
        <v>12</v>
      </c>
      <c r="D1849" s="284">
        <f t="shared" si="34"/>
        <v>1899</v>
      </c>
      <c r="E1849" s="490"/>
      <c r="F1849" s="30"/>
      <c r="G1849" s="30"/>
      <c r="H1849" s="288">
        <f t="shared" si="35"/>
        <v>0</v>
      </c>
      <c r="I1849" s="490"/>
      <c r="J1849" s="276"/>
      <c r="K1849" s="276"/>
      <c r="L1849" s="276"/>
      <c r="M1849" s="276"/>
      <c r="N1849" s="276"/>
      <c r="O1849" s="276"/>
      <c r="P1849" s="276"/>
      <c r="Q1849" s="276"/>
      <c r="R1849" s="276"/>
      <c r="S1849" s="276"/>
      <c r="T1849" s="276"/>
      <c r="U1849" s="276"/>
      <c r="V1849" s="276"/>
      <c r="W1849" s="276"/>
      <c r="X1849" s="276"/>
    </row>
    <row r="1850" ht="15.75" customHeight="1">
      <c r="A1850" s="403"/>
      <c r="B1850" s="284">
        <f t="shared" si="32"/>
        <v>30</v>
      </c>
      <c r="C1850" s="284">
        <f t="shared" si="33"/>
        <v>12</v>
      </c>
      <c r="D1850" s="284">
        <f t="shared" si="34"/>
        <v>1899</v>
      </c>
      <c r="E1850" s="490"/>
      <c r="F1850" s="30"/>
      <c r="G1850" s="30"/>
      <c r="H1850" s="288">
        <f t="shared" si="35"/>
        <v>0</v>
      </c>
      <c r="I1850" s="490"/>
      <c r="J1850" s="276"/>
      <c r="K1850" s="276"/>
      <c r="L1850" s="276"/>
      <c r="M1850" s="276"/>
      <c r="N1850" s="276"/>
      <c r="O1850" s="276"/>
      <c r="P1850" s="276"/>
      <c r="Q1850" s="276"/>
      <c r="R1850" s="276"/>
      <c r="S1850" s="276"/>
      <c r="T1850" s="276"/>
      <c r="U1850" s="276"/>
      <c r="V1850" s="276"/>
      <c r="W1850" s="276"/>
      <c r="X1850" s="276"/>
    </row>
    <row r="1851" ht="15.75" customHeight="1">
      <c r="A1851" s="403"/>
      <c r="B1851" s="284">
        <f t="shared" si="32"/>
        <v>30</v>
      </c>
      <c r="C1851" s="284">
        <f t="shared" si="33"/>
        <v>12</v>
      </c>
      <c r="D1851" s="284">
        <f t="shared" si="34"/>
        <v>1899</v>
      </c>
      <c r="E1851" s="490"/>
      <c r="F1851" s="30"/>
      <c r="G1851" s="30"/>
      <c r="H1851" s="288">
        <f t="shared" si="35"/>
        <v>0</v>
      </c>
      <c r="I1851" s="490"/>
      <c r="J1851" s="276"/>
      <c r="K1851" s="276"/>
      <c r="L1851" s="276"/>
      <c r="M1851" s="276"/>
      <c r="N1851" s="276"/>
      <c r="O1851" s="276"/>
      <c r="P1851" s="276"/>
      <c r="Q1851" s="276"/>
      <c r="R1851" s="276"/>
      <c r="S1851" s="276"/>
      <c r="T1851" s="276"/>
      <c r="U1851" s="276"/>
      <c r="V1851" s="276"/>
      <c r="W1851" s="276"/>
      <c r="X1851" s="276"/>
    </row>
    <row r="1852" ht="15.75" customHeight="1">
      <c r="A1852" s="403"/>
      <c r="B1852" s="284">
        <f t="shared" si="32"/>
        <v>30</v>
      </c>
      <c r="C1852" s="284">
        <f t="shared" si="33"/>
        <v>12</v>
      </c>
      <c r="D1852" s="284">
        <f t="shared" si="34"/>
        <v>1899</v>
      </c>
      <c r="E1852" s="490"/>
      <c r="F1852" s="30"/>
      <c r="G1852" s="30"/>
      <c r="H1852" s="288">
        <f t="shared" si="35"/>
        <v>0</v>
      </c>
      <c r="I1852" s="490"/>
      <c r="J1852" s="276"/>
      <c r="K1852" s="276"/>
      <c r="L1852" s="276"/>
      <c r="M1852" s="276"/>
      <c r="N1852" s="276"/>
      <c r="O1852" s="276"/>
      <c r="P1852" s="276"/>
      <c r="Q1852" s="276"/>
      <c r="R1852" s="276"/>
      <c r="S1852" s="276"/>
      <c r="T1852" s="276"/>
      <c r="U1852" s="276"/>
      <c r="V1852" s="276"/>
      <c r="W1852" s="276"/>
      <c r="X1852" s="276"/>
    </row>
    <row r="1853" ht="15.75" customHeight="1">
      <c r="A1853" s="403"/>
      <c r="B1853" s="284">
        <f t="shared" si="32"/>
        <v>30</v>
      </c>
      <c r="C1853" s="284">
        <f t="shared" si="33"/>
        <v>12</v>
      </c>
      <c r="D1853" s="284">
        <f t="shared" si="34"/>
        <v>1899</v>
      </c>
      <c r="E1853" s="490"/>
      <c r="F1853" s="30"/>
      <c r="G1853" s="30"/>
      <c r="H1853" s="288">
        <f t="shared" si="35"/>
        <v>0</v>
      </c>
      <c r="I1853" s="490"/>
      <c r="J1853" s="276"/>
      <c r="K1853" s="276"/>
      <c r="L1853" s="276"/>
      <c r="M1853" s="276"/>
      <c r="N1853" s="276"/>
      <c r="O1853" s="276"/>
      <c r="P1853" s="276"/>
      <c r="Q1853" s="276"/>
      <c r="R1853" s="276"/>
      <c r="S1853" s="276"/>
      <c r="T1853" s="276"/>
      <c r="U1853" s="276"/>
      <c r="V1853" s="276"/>
      <c r="W1853" s="276"/>
      <c r="X1853" s="276"/>
    </row>
    <row r="1854" ht="15.75" customHeight="1">
      <c r="A1854" s="403"/>
      <c r="B1854" s="284">
        <f t="shared" si="32"/>
        <v>30</v>
      </c>
      <c r="C1854" s="284">
        <f t="shared" si="33"/>
        <v>12</v>
      </c>
      <c r="D1854" s="284">
        <f t="shared" si="34"/>
        <v>1899</v>
      </c>
      <c r="E1854" s="490"/>
      <c r="F1854" s="30"/>
      <c r="G1854" s="30"/>
      <c r="H1854" s="288">
        <f t="shared" si="35"/>
        <v>0</v>
      </c>
      <c r="I1854" s="490"/>
      <c r="J1854" s="276"/>
      <c r="K1854" s="276"/>
      <c r="L1854" s="276"/>
      <c r="M1854" s="276"/>
      <c r="N1854" s="276"/>
      <c r="O1854" s="276"/>
      <c r="P1854" s="276"/>
      <c r="Q1854" s="276"/>
      <c r="R1854" s="276"/>
      <c r="S1854" s="276"/>
      <c r="T1854" s="276"/>
      <c r="U1854" s="276"/>
      <c r="V1854" s="276"/>
      <c r="W1854" s="276"/>
      <c r="X1854" s="276"/>
    </row>
    <row r="1855" ht="15.75" customHeight="1">
      <c r="A1855" s="403"/>
      <c r="B1855" s="284">
        <f t="shared" si="32"/>
        <v>30</v>
      </c>
      <c r="C1855" s="284">
        <f t="shared" si="33"/>
        <v>12</v>
      </c>
      <c r="D1855" s="284">
        <f t="shared" si="34"/>
        <v>1899</v>
      </c>
      <c r="E1855" s="490"/>
      <c r="F1855" s="30"/>
      <c r="G1855" s="30"/>
      <c r="H1855" s="288">
        <f t="shared" si="35"/>
        <v>0</v>
      </c>
      <c r="I1855" s="490"/>
      <c r="J1855" s="276"/>
      <c r="K1855" s="276"/>
      <c r="L1855" s="276"/>
      <c r="M1855" s="276"/>
      <c r="N1855" s="276"/>
      <c r="O1855" s="276"/>
      <c r="P1855" s="276"/>
      <c r="Q1855" s="276"/>
      <c r="R1855" s="276"/>
      <c r="S1855" s="276"/>
      <c r="T1855" s="276"/>
      <c r="U1855" s="276"/>
      <c r="V1855" s="276"/>
      <c r="W1855" s="276"/>
      <c r="X1855" s="276"/>
    </row>
    <row r="1856" ht="15.75" customHeight="1">
      <c r="A1856" s="403"/>
      <c r="B1856" s="284">
        <f t="shared" si="32"/>
        <v>30</v>
      </c>
      <c r="C1856" s="284">
        <f t="shared" si="33"/>
        <v>12</v>
      </c>
      <c r="D1856" s="284">
        <f t="shared" si="34"/>
        <v>1899</v>
      </c>
      <c r="E1856" s="490"/>
      <c r="F1856" s="30"/>
      <c r="G1856" s="30"/>
      <c r="H1856" s="288">
        <f t="shared" si="35"/>
        <v>0</v>
      </c>
      <c r="I1856" s="490"/>
      <c r="J1856" s="276"/>
      <c r="K1856" s="276"/>
      <c r="L1856" s="276"/>
      <c r="M1856" s="276"/>
      <c r="N1856" s="276"/>
      <c r="O1856" s="276"/>
      <c r="P1856" s="276"/>
      <c r="Q1856" s="276"/>
      <c r="R1856" s="276"/>
      <c r="S1856" s="276"/>
      <c r="T1856" s="276"/>
      <c r="U1856" s="276"/>
      <c r="V1856" s="276"/>
      <c r="W1856" s="276"/>
      <c r="X1856" s="276"/>
    </row>
    <row r="1857" ht="15.75" customHeight="1">
      <c r="A1857" s="403"/>
      <c r="B1857" s="284">
        <f t="shared" si="32"/>
        <v>30</v>
      </c>
      <c r="C1857" s="284">
        <f t="shared" si="33"/>
        <v>12</v>
      </c>
      <c r="D1857" s="284">
        <f t="shared" si="34"/>
        <v>1899</v>
      </c>
      <c r="E1857" s="490"/>
      <c r="F1857" s="30"/>
      <c r="G1857" s="30"/>
      <c r="H1857" s="288">
        <f t="shared" si="35"/>
        <v>0</v>
      </c>
      <c r="I1857" s="490"/>
      <c r="J1857" s="276"/>
      <c r="K1857" s="276"/>
      <c r="L1857" s="276"/>
      <c r="M1857" s="276"/>
      <c r="N1857" s="276"/>
      <c r="O1857" s="276"/>
      <c r="P1857" s="276"/>
      <c r="Q1857" s="276"/>
      <c r="R1857" s="276"/>
      <c r="S1857" s="276"/>
      <c r="T1857" s="276"/>
      <c r="U1857" s="276"/>
      <c r="V1857" s="276"/>
      <c r="W1857" s="276"/>
      <c r="X1857" s="276"/>
    </row>
    <row r="1858" ht="15.75" customHeight="1">
      <c r="A1858" s="403"/>
      <c r="B1858" s="284">
        <f t="shared" si="32"/>
        <v>30</v>
      </c>
      <c r="C1858" s="284">
        <f t="shared" si="33"/>
        <v>12</v>
      </c>
      <c r="D1858" s="284">
        <f t="shared" si="34"/>
        <v>1899</v>
      </c>
      <c r="E1858" s="490"/>
      <c r="F1858" s="30"/>
      <c r="G1858" s="30"/>
      <c r="H1858" s="288">
        <f t="shared" si="35"/>
        <v>0</v>
      </c>
      <c r="I1858" s="490"/>
      <c r="J1858" s="276"/>
      <c r="K1858" s="276"/>
      <c r="L1858" s="276"/>
      <c r="M1858" s="276"/>
      <c r="N1858" s="276"/>
      <c r="O1858" s="276"/>
      <c r="P1858" s="276"/>
      <c r="Q1858" s="276"/>
      <c r="R1858" s="276"/>
      <c r="S1858" s="276"/>
      <c r="T1858" s="276"/>
      <c r="U1858" s="276"/>
      <c r="V1858" s="276"/>
      <c r="W1858" s="276"/>
      <c r="X1858" s="276"/>
    </row>
    <row r="1859" ht="15.75" customHeight="1">
      <c r="A1859" s="403"/>
      <c r="B1859" s="284">
        <f t="shared" si="32"/>
        <v>30</v>
      </c>
      <c r="C1859" s="284">
        <f t="shared" si="33"/>
        <v>12</v>
      </c>
      <c r="D1859" s="284">
        <f t="shared" si="34"/>
        <v>1899</v>
      </c>
      <c r="E1859" s="490"/>
      <c r="F1859" s="30"/>
      <c r="G1859" s="30"/>
      <c r="H1859" s="288">
        <f t="shared" si="35"/>
        <v>0</v>
      </c>
      <c r="I1859" s="490"/>
      <c r="J1859" s="276"/>
      <c r="K1859" s="276"/>
      <c r="L1859" s="276"/>
      <c r="M1859" s="276"/>
      <c r="N1859" s="276"/>
      <c r="O1859" s="276"/>
      <c r="P1859" s="276"/>
      <c r="Q1859" s="276"/>
      <c r="R1859" s="276"/>
      <c r="S1859" s="276"/>
      <c r="T1859" s="276"/>
      <c r="U1859" s="276"/>
      <c r="V1859" s="276"/>
      <c r="W1859" s="276"/>
      <c r="X1859" s="276"/>
    </row>
    <row r="1860" ht="15.75" customHeight="1">
      <c r="A1860" s="403"/>
      <c r="B1860" s="284">
        <f t="shared" si="32"/>
        <v>30</v>
      </c>
      <c r="C1860" s="284">
        <f t="shared" si="33"/>
        <v>12</v>
      </c>
      <c r="D1860" s="284">
        <f t="shared" si="34"/>
        <v>1899</v>
      </c>
      <c r="E1860" s="490"/>
      <c r="F1860" s="30"/>
      <c r="G1860" s="30"/>
      <c r="H1860" s="288">
        <f t="shared" si="35"/>
        <v>0</v>
      </c>
      <c r="I1860" s="490"/>
      <c r="J1860" s="276"/>
      <c r="K1860" s="276"/>
      <c r="L1860" s="276"/>
      <c r="M1860" s="276"/>
      <c r="N1860" s="276"/>
      <c r="O1860" s="276"/>
      <c r="P1860" s="276"/>
      <c r="Q1860" s="276"/>
      <c r="R1860" s="276"/>
      <c r="S1860" s="276"/>
      <c r="T1860" s="276"/>
      <c r="U1860" s="276"/>
      <c r="V1860" s="276"/>
      <c r="W1860" s="276"/>
      <c r="X1860" s="276"/>
    </row>
    <row r="1861" ht="15.75" customHeight="1">
      <c r="A1861" s="403"/>
      <c r="B1861" s="284">
        <f t="shared" si="32"/>
        <v>30</v>
      </c>
      <c r="C1861" s="284">
        <f t="shared" si="33"/>
        <v>12</v>
      </c>
      <c r="D1861" s="284">
        <f t="shared" si="34"/>
        <v>1899</v>
      </c>
      <c r="E1861" s="490"/>
      <c r="F1861" s="30"/>
      <c r="G1861" s="30"/>
      <c r="H1861" s="288">
        <f t="shared" si="35"/>
        <v>0</v>
      </c>
      <c r="I1861" s="490"/>
      <c r="J1861" s="276"/>
      <c r="K1861" s="276"/>
      <c r="L1861" s="276"/>
      <c r="M1861" s="276"/>
      <c r="N1861" s="276"/>
      <c r="O1861" s="276"/>
      <c r="P1861" s="276"/>
      <c r="Q1861" s="276"/>
      <c r="R1861" s="276"/>
      <c r="S1861" s="276"/>
      <c r="T1861" s="276"/>
      <c r="U1861" s="276"/>
      <c r="V1861" s="276"/>
      <c r="W1861" s="276"/>
      <c r="X1861" s="276"/>
    </row>
    <row r="1862" ht="15.75" customHeight="1">
      <c r="A1862" s="403"/>
      <c r="B1862" s="284">
        <f t="shared" si="32"/>
        <v>30</v>
      </c>
      <c r="C1862" s="284">
        <f t="shared" si="33"/>
        <v>12</v>
      </c>
      <c r="D1862" s="284">
        <f t="shared" si="34"/>
        <v>1899</v>
      </c>
      <c r="E1862" s="490"/>
      <c r="F1862" s="30"/>
      <c r="G1862" s="30"/>
      <c r="H1862" s="288">
        <f t="shared" si="35"/>
        <v>0</v>
      </c>
      <c r="I1862" s="490"/>
      <c r="J1862" s="276"/>
      <c r="K1862" s="276"/>
      <c r="L1862" s="276"/>
      <c r="M1862" s="276"/>
      <c r="N1862" s="276"/>
      <c r="O1862" s="276"/>
      <c r="P1862" s="276"/>
      <c r="Q1862" s="276"/>
      <c r="R1862" s="276"/>
      <c r="S1862" s="276"/>
      <c r="T1862" s="276"/>
      <c r="U1862" s="276"/>
      <c r="V1862" s="276"/>
      <c r="W1862" s="276"/>
      <c r="X1862" s="276"/>
    </row>
    <row r="1863" ht="15.75" customHeight="1">
      <c r="A1863" s="403"/>
      <c r="B1863" s="284">
        <f t="shared" si="32"/>
        <v>30</v>
      </c>
      <c r="C1863" s="284">
        <f t="shared" si="33"/>
        <v>12</v>
      </c>
      <c r="D1863" s="284">
        <f t="shared" si="34"/>
        <v>1899</v>
      </c>
      <c r="E1863" s="490"/>
      <c r="F1863" s="30"/>
      <c r="G1863" s="30"/>
      <c r="H1863" s="288">
        <f t="shared" si="35"/>
        <v>0</v>
      </c>
      <c r="I1863" s="490"/>
      <c r="J1863" s="276"/>
      <c r="K1863" s="276"/>
      <c r="L1863" s="276"/>
      <c r="M1863" s="276"/>
      <c r="N1863" s="276"/>
      <c r="O1863" s="276"/>
      <c r="P1863" s="276"/>
      <c r="Q1863" s="276"/>
      <c r="R1863" s="276"/>
      <c r="S1863" s="276"/>
      <c r="T1863" s="276"/>
      <c r="U1863" s="276"/>
      <c r="V1863" s="276"/>
      <c r="W1863" s="276"/>
      <c r="X1863" s="276"/>
    </row>
    <row r="1864" ht="15.75" customHeight="1">
      <c r="A1864" s="403"/>
      <c r="B1864" s="284">
        <f t="shared" si="32"/>
        <v>30</v>
      </c>
      <c r="C1864" s="284">
        <f t="shared" si="33"/>
        <v>12</v>
      </c>
      <c r="D1864" s="284">
        <f t="shared" si="34"/>
        <v>1899</v>
      </c>
      <c r="E1864" s="490"/>
      <c r="F1864" s="30"/>
      <c r="G1864" s="30"/>
      <c r="H1864" s="288">
        <f t="shared" si="35"/>
        <v>0</v>
      </c>
      <c r="I1864" s="490"/>
      <c r="J1864" s="276"/>
      <c r="K1864" s="276"/>
      <c r="L1864" s="276"/>
      <c r="M1864" s="276"/>
      <c r="N1864" s="276"/>
      <c r="O1864" s="276"/>
      <c r="P1864" s="276"/>
      <c r="Q1864" s="276"/>
      <c r="R1864" s="276"/>
      <c r="S1864" s="276"/>
      <c r="T1864" s="276"/>
      <c r="U1864" s="276"/>
      <c r="V1864" s="276"/>
      <c r="W1864" s="276"/>
      <c r="X1864" s="276"/>
    </row>
    <row r="1865" ht="15.75" customHeight="1">
      <c r="A1865" s="403"/>
      <c r="B1865" s="284">
        <f t="shared" si="32"/>
        <v>30</v>
      </c>
      <c r="C1865" s="284">
        <f t="shared" si="33"/>
        <v>12</v>
      </c>
      <c r="D1865" s="284">
        <f t="shared" si="34"/>
        <v>1899</v>
      </c>
      <c r="E1865" s="490"/>
      <c r="F1865" s="30"/>
      <c r="G1865" s="30"/>
      <c r="H1865" s="288">
        <f t="shared" si="35"/>
        <v>0</v>
      </c>
      <c r="I1865" s="490"/>
      <c r="J1865" s="276"/>
      <c r="K1865" s="276"/>
      <c r="L1865" s="276"/>
      <c r="M1865" s="276"/>
      <c r="N1865" s="276"/>
      <c r="O1865" s="276"/>
      <c r="P1865" s="276"/>
      <c r="Q1865" s="276"/>
      <c r="R1865" s="276"/>
      <c r="S1865" s="276"/>
      <c r="T1865" s="276"/>
      <c r="U1865" s="276"/>
      <c r="V1865" s="276"/>
      <c r="W1865" s="276"/>
      <c r="X1865" s="276"/>
    </row>
    <row r="1866" ht="15.75" customHeight="1">
      <c r="A1866" s="403"/>
      <c r="B1866" s="284">
        <f t="shared" si="32"/>
        <v>30</v>
      </c>
      <c r="C1866" s="284">
        <f t="shared" si="33"/>
        <v>12</v>
      </c>
      <c r="D1866" s="284">
        <f t="shared" si="34"/>
        <v>1899</v>
      </c>
      <c r="E1866" s="490"/>
      <c r="F1866" s="30"/>
      <c r="G1866" s="30"/>
      <c r="H1866" s="288">
        <f t="shared" si="35"/>
        <v>0</v>
      </c>
      <c r="I1866" s="490"/>
      <c r="J1866" s="276"/>
      <c r="K1866" s="276"/>
      <c r="L1866" s="276"/>
      <c r="M1866" s="276"/>
      <c r="N1866" s="276"/>
      <c r="O1866" s="276"/>
      <c r="P1866" s="276"/>
      <c r="Q1866" s="276"/>
      <c r="R1866" s="276"/>
      <c r="S1866" s="276"/>
      <c r="T1866" s="276"/>
      <c r="U1866" s="276"/>
      <c r="V1866" s="276"/>
      <c r="W1866" s="276"/>
      <c r="X1866" s="276"/>
    </row>
    <row r="1867" ht="15.75" customHeight="1">
      <c r="A1867" s="403"/>
      <c r="B1867" s="284">
        <f t="shared" si="32"/>
        <v>30</v>
      </c>
      <c r="C1867" s="284">
        <f t="shared" si="33"/>
        <v>12</v>
      </c>
      <c r="D1867" s="284">
        <f t="shared" si="34"/>
        <v>1899</v>
      </c>
      <c r="E1867" s="490"/>
      <c r="F1867" s="30"/>
      <c r="G1867" s="30"/>
      <c r="H1867" s="288">
        <f t="shared" si="35"/>
        <v>0</v>
      </c>
      <c r="I1867" s="490"/>
      <c r="J1867" s="276"/>
      <c r="K1867" s="276"/>
      <c r="L1867" s="276"/>
      <c r="M1867" s="276"/>
      <c r="N1867" s="276"/>
      <c r="O1867" s="276"/>
      <c r="P1867" s="276"/>
      <c r="Q1867" s="276"/>
      <c r="R1867" s="276"/>
      <c r="S1867" s="276"/>
      <c r="T1867" s="276"/>
      <c r="U1867" s="276"/>
      <c r="V1867" s="276"/>
      <c r="W1867" s="276"/>
      <c r="X1867" s="276"/>
    </row>
    <row r="1868" ht="15.75" customHeight="1">
      <c r="A1868" s="403"/>
      <c r="B1868" s="284">
        <f t="shared" si="32"/>
        <v>30</v>
      </c>
      <c r="C1868" s="284">
        <f t="shared" si="33"/>
        <v>12</v>
      </c>
      <c r="D1868" s="284">
        <f t="shared" si="34"/>
        <v>1899</v>
      </c>
      <c r="E1868" s="490"/>
      <c r="F1868" s="30"/>
      <c r="G1868" s="30"/>
      <c r="H1868" s="288">
        <f t="shared" si="35"/>
        <v>0</v>
      </c>
      <c r="I1868" s="490"/>
      <c r="J1868" s="276"/>
      <c r="K1868" s="276"/>
      <c r="L1868" s="276"/>
      <c r="M1868" s="276"/>
      <c r="N1868" s="276"/>
      <c r="O1868" s="276"/>
      <c r="P1868" s="276"/>
      <c r="Q1868" s="276"/>
      <c r="R1868" s="276"/>
      <c r="S1868" s="276"/>
      <c r="T1868" s="276"/>
      <c r="U1868" s="276"/>
      <c r="V1868" s="276"/>
      <c r="W1868" s="276"/>
      <c r="X1868" s="276"/>
    </row>
    <row r="1869" ht="15.75" customHeight="1">
      <c r="A1869" s="403"/>
      <c r="B1869" s="284">
        <f t="shared" si="32"/>
        <v>30</v>
      </c>
      <c r="C1869" s="284">
        <f t="shared" si="33"/>
        <v>12</v>
      </c>
      <c r="D1869" s="284">
        <f t="shared" si="34"/>
        <v>1899</v>
      </c>
      <c r="E1869" s="490"/>
      <c r="F1869" s="30"/>
      <c r="G1869" s="30"/>
      <c r="H1869" s="288">
        <f t="shared" si="35"/>
        <v>0</v>
      </c>
      <c r="I1869" s="490"/>
      <c r="J1869" s="276"/>
      <c r="K1869" s="276"/>
      <c r="L1869" s="276"/>
      <c r="M1869" s="276"/>
      <c r="N1869" s="276"/>
      <c r="O1869" s="276"/>
      <c r="P1869" s="276"/>
      <c r="Q1869" s="276"/>
      <c r="R1869" s="276"/>
      <c r="S1869" s="276"/>
      <c r="T1869" s="276"/>
      <c r="U1869" s="276"/>
      <c r="V1869" s="276"/>
      <c r="W1869" s="276"/>
      <c r="X1869" s="276"/>
    </row>
    <row r="1870" ht="15.75" customHeight="1">
      <c r="A1870" s="403"/>
      <c r="B1870" s="284">
        <f t="shared" si="32"/>
        <v>30</v>
      </c>
      <c r="C1870" s="284">
        <f t="shared" si="33"/>
        <v>12</v>
      </c>
      <c r="D1870" s="284">
        <f t="shared" si="34"/>
        <v>1899</v>
      </c>
      <c r="E1870" s="490"/>
      <c r="F1870" s="30"/>
      <c r="G1870" s="30"/>
      <c r="H1870" s="288">
        <f t="shared" si="35"/>
        <v>0</v>
      </c>
      <c r="I1870" s="490"/>
      <c r="J1870" s="276"/>
      <c r="K1870" s="276"/>
      <c r="L1870" s="276"/>
      <c r="M1870" s="276"/>
      <c r="N1870" s="276"/>
      <c r="O1870" s="276"/>
      <c r="P1870" s="276"/>
      <c r="Q1870" s="276"/>
      <c r="R1870" s="276"/>
      <c r="S1870" s="276"/>
      <c r="T1870" s="276"/>
      <c r="U1870" s="276"/>
      <c r="V1870" s="276"/>
      <c r="W1870" s="276"/>
      <c r="X1870" s="276"/>
    </row>
    <row r="1871" ht="15.75" customHeight="1">
      <c r="A1871" s="403"/>
      <c r="B1871" s="284">
        <f t="shared" si="32"/>
        <v>30</v>
      </c>
      <c r="C1871" s="284">
        <f t="shared" si="33"/>
        <v>12</v>
      </c>
      <c r="D1871" s="284">
        <f t="shared" si="34"/>
        <v>1899</v>
      </c>
      <c r="E1871" s="490"/>
      <c r="F1871" s="30"/>
      <c r="G1871" s="30"/>
      <c r="H1871" s="288">
        <f t="shared" si="35"/>
        <v>0</v>
      </c>
      <c r="I1871" s="490"/>
      <c r="J1871" s="276"/>
      <c r="K1871" s="276"/>
      <c r="L1871" s="276"/>
      <c r="M1871" s="276"/>
      <c r="N1871" s="276"/>
      <c r="O1871" s="276"/>
      <c r="P1871" s="276"/>
      <c r="Q1871" s="276"/>
      <c r="R1871" s="276"/>
      <c r="S1871" s="276"/>
      <c r="T1871" s="276"/>
      <c r="U1871" s="276"/>
      <c r="V1871" s="276"/>
      <c r="W1871" s="276"/>
      <c r="X1871" s="276"/>
    </row>
    <row r="1872" ht="15.75" customHeight="1">
      <c r="A1872" s="403"/>
      <c r="B1872" s="284">
        <f t="shared" si="32"/>
        <v>30</v>
      </c>
      <c r="C1872" s="284">
        <f t="shared" si="33"/>
        <v>12</v>
      </c>
      <c r="D1872" s="284">
        <f t="shared" si="34"/>
        <v>1899</v>
      </c>
      <c r="E1872" s="490"/>
      <c r="F1872" s="30"/>
      <c r="G1872" s="30"/>
      <c r="H1872" s="288">
        <f t="shared" si="35"/>
        <v>0</v>
      </c>
      <c r="I1872" s="490"/>
      <c r="J1872" s="276"/>
      <c r="K1872" s="276"/>
      <c r="L1872" s="276"/>
      <c r="M1872" s="276"/>
      <c r="N1872" s="276"/>
      <c r="O1872" s="276"/>
      <c r="P1872" s="276"/>
      <c r="Q1872" s="276"/>
      <c r="R1872" s="276"/>
      <c r="S1872" s="276"/>
      <c r="T1872" s="276"/>
      <c r="U1872" s="276"/>
      <c r="V1872" s="276"/>
      <c r="W1872" s="276"/>
      <c r="X1872" s="276"/>
    </row>
    <row r="1873" ht="15.75" customHeight="1">
      <c r="A1873" s="403"/>
      <c r="B1873" s="284">
        <f t="shared" si="32"/>
        <v>30</v>
      </c>
      <c r="C1873" s="284">
        <f t="shared" si="33"/>
        <v>12</v>
      </c>
      <c r="D1873" s="284">
        <f t="shared" si="34"/>
        <v>1899</v>
      </c>
      <c r="E1873" s="490"/>
      <c r="F1873" s="30"/>
      <c r="G1873" s="30"/>
      <c r="H1873" s="288">
        <f t="shared" si="35"/>
        <v>0</v>
      </c>
      <c r="I1873" s="490"/>
      <c r="J1873" s="276"/>
      <c r="K1873" s="276"/>
      <c r="L1873" s="276"/>
      <c r="M1873" s="276"/>
      <c r="N1873" s="276"/>
      <c r="O1873" s="276"/>
      <c r="P1873" s="276"/>
      <c r="Q1873" s="276"/>
      <c r="R1873" s="276"/>
      <c r="S1873" s="276"/>
      <c r="T1873" s="276"/>
      <c r="U1873" s="276"/>
      <c r="V1873" s="276"/>
      <c r="W1873" s="276"/>
      <c r="X1873" s="276"/>
    </row>
    <row r="1874" ht="15.75" customHeight="1">
      <c r="A1874" s="403"/>
      <c r="B1874" s="284">
        <f t="shared" si="32"/>
        <v>30</v>
      </c>
      <c r="C1874" s="284">
        <f t="shared" si="33"/>
        <v>12</v>
      </c>
      <c r="D1874" s="284">
        <f t="shared" si="34"/>
        <v>1899</v>
      </c>
      <c r="E1874" s="490"/>
      <c r="F1874" s="30"/>
      <c r="G1874" s="30"/>
      <c r="H1874" s="288">
        <f t="shared" si="35"/>
        <v>0</v>
      </c>
      <c r="I1874" s="490"/>
      <c r="J1874" s="276"/>
      <c r="K1874" s="276"/>
      <c r="L1874" s="276"/>
      <c r="M1874" s="276"/>
      <c r="N1874" s="276"/>
      <c r="O1874" s="276"/>
      <c r="P1874" s="276"/>
      <c r="Q1874" s="276"/>
      <c r="R1874" s="276"/>
      <c r="S1874" s="276"/>
      <c r="T1874" s="276"/>
      <c r="U1874" s="276"/>
      <c r="V1874" s="276"/>
      <c r="W1874" s="276"/>
      <c r="X1874" s="276"/>
    </row>
    <row r="1875" ht="15.75" customHeight="1">
      <c r="A1875" s="403"/>
      <c r="B1875" s="284">
        <f t="shared" si="32"/>
        <v>30</v>
      </c>
      <c r="C1875" s="284">
        <f t="shared" si="33"/>
        <v>12</v>
      </c>
      <c r="D1875" s="284">
        <f t="shared" si="34"/>
        <v>1899</v>
      </c>
      <c r="E1875" s="490"/>
      <c r="F1875" s="30"/>
      <c r="G1875" s="30"/>
      <c r="H1875" s="288">
        <f t="shared" si="35"/>
        <v>0</v>
      </c>
      <c r="I1875" s="490"/>
      <c r="J1875" s="276"/>
      <c r="K1875" s="276"/>
      <c r="L1875" s="276"/>
      <c r="M1875" s="276"/>
      <c r="N1875" s="276"/>
      <c r="O1875" s="276"/>
      <c r="P1875" s="276"/>
      <c r="Q1875" s="276"/>
      <c r="R1875" s="276"/>
      <c r="S1875" s="276"/>
      <c r="T1875" s="276"/>
      <c r="U1875" s="276"/>
      <c r="V1875" s="276"/>
      <c r="W1875" s="276"/>
      <c r="X1875" s="276"/>
    </row>
    <row r="1876" ht="15.75" customHeight="1">
      <c r="A1876" s="403"/>
      <c r="B1876" s="284">
        <f t="shared" si="32"/>
        <v>30</v>
      </c>
      <c r="C1876" s="284">
        <f t="shared" si="33"/>
        <v>12</v>
      </c>
      <c r="D1876" s="284">
        <f t="shared" si="34"/>
        <v>1899</v>
      </c>
      <c r="E1876" s="490"/>
      <c r="F1876" s="30"/>
      <c r="G1876" s="30"/>
      <c r="H1876" s="288">
        <f t="shared" si="35"/>
        <v>0</v>
      </c>
      <c r="I1876" s="490"/>
      <c r="J1876" s="276"/>
      <c r="K1876" s="276"/>
      <c r="L1876" s="276"/>
      <c r="M1876" s="276"/>
      <c r="N1876" s="276"/>
      <c r="O1876" s="276"/>
      <c r="P1876" s="276"/>
      <c r="Q1876" s="276"/>
      <c r="R1876" s="276"/>
      <c r="S1876" s="276"/>
      <c r="T1876" s="276"/>
      <c r="U1876" s="276"/>
      <c r="V1876" s="276"/>
      <c r="W1876" s="276"/>
      <c r="X1876" s="276"/>
    </row>
    <row r="1877" ht="15.75" customHeight="1">
      <c r="A1877" s="403"/>
      <c r="B1877" s="284">
        <f t="shared" si="32"/>
        <v>30</v>
      </c>
      <c r="C1877" s="284">
        <f t="shared" si="33"/>
        <v>12</v>
      </c>
      <c r="D1877" s="284">
        <f t="shared" si="34"/>
        <v>1899</v>
      </c>
      <c r="E1877" s="490"/>
      <c r="F1877" s="30"/>
      <c r="G1877" s="30"/>
      <c r="H1877" s="288">
        <f t="shared" si="35"/>
        <v>0</v>
      </c>
      <c r="I1877" s="490"/>
      <c r="J1877" s="276"/>
      <c r="K1877" s="276"/>
      <c r="L1877" s="276"/>
      <c r="M1877" s="276"/>
      <c r="N1877" s="276"/>
      <c r="O1877" s="276"/>
      <c r="P1877" s="276"/>
      <c r="Q1877" s="276"/>
      <c r="R1877" s="276"/>
      <c r="S1877" s="276"/>
      <c r="T1877" s="276"/>
      <c r="U1877" s="276"/>
      <c r="V1877" s="276"/>
      <c r="W1877" s="276"/>
      <c r="X1877" s="276"/>
    </row>
    <row r="1878" ht="15.75" customHeight="1">
      <c r="A1878" s="403"/>
      <c r="B1878" s="284">
        <f t="shared" si="32"/>
        <v>30</v>
      </c>
      <c r="C1878" s="284">
        <f t="shared" si="33"/>
        <v>12</v>
      </c>
      <c r="D1878" s="284">
        <f t="shared" si="34"/>
        <v>1899</v>
      </c>
      <c r="E1878" s="490"/>
      <c r="F1878" s="30"/>
      <c r="G1878" s="30"/>
      <c r="H1878" s="288">
        <f t="shared" si="35"/>
        <v>0</v>
      </c>
      <c r="I1878" s="490"/>
      <c r="J1878" s="276"/>
      <c r="K1878" s="276"/>
      <c r="L1878" s="276"/>
      <c r="M1878" s="276"/>
      <c r="N1878" s="276"/>
      <c r="O1878" s="276"/>
      <c r="P1878" s="276"/>
      <c r="Q1878" s="276"/>
      <c r="R1878" s="276"/>
      <c r="S1878" s="276"/>
      <c r="T1878" s="276"/>
      <c r="U1878" s="276"/>
      <c r="V1878" s="276"/>
      <c r="W1878" s="276"/>
      <c r="X1878" s="276"/>
    </row>
    <row r="1879" ht="15.75" customHeight="1">
      <c r="A1879" s="403"/>
      <c r="B1879" s="284">
        <f t="shared" si="32"/>
        <v>30</v>
      </c>
      <c r="C1879" s="284">
        <f t="shared" si="33"/>
        <v>12</v>
      </c>
      <c r="D1879" s="284">
        <f t="shared" si="34"/>
        <v>1899</v>
      </c>
      <c r="E1879" s="490"/>
      <c r="F1879" s="30"/>
      <c r="G1879" s="30"/>
      <c r="H1879" s="288">
        <f t="shared" si="35"/>
        <v>0</v>
      </c>
      <c r="I1879" s="490"/>
      <c r="J1879" s="276"/>
      <c r="K1879" s="276"/>
      <c r="L1879" s="276"/>
      <c r="M1879" s="276"/>
      <c r="N1879" s="276"/>
      <c r="O1879" s="276"/>
      <c r="P1879" s="276"/>
      <c r="Q1879" s="276"/>
      <c r="R1879" s="276"/>
      <c r="S1879" s="276"/>
      <c r="T1879" s="276"/>
      <c r="U1879" s="276"/>
      <c r="V1879" s="276"/>
      <c r="W1879" s="276"/>
      <c r="X1879" s="276"/>
    </row>
    <row r="1880" ht="15.75" customHeight="1">
      <c r="A1880" s="403"/>
      <c r="B1880" s="284">
        <f t="shared" si="32"/>
        <v>30</v>
      </c>
      <c r="C1880" s="284">
        <f t="shared" si="33"/>
        <v>12</v>
      </c>
      <c r="D1880" s="284">
        <f t="shared" si="34"/>
        <v>1899</v>
      </c>
      <c r="E1880" s="490"/>
      <c r="F1880" s="30"/>
      <c r="G1880" s="30"/>
      <c r="H1880" s="288">
        <f t="shared" si="35"/>
        <v>0</v>
      </c>
      <c r="I1880" s="490"/>
      <c r="J1880" s="276"/>
      <c r="K1880" s="276"/>
      <c r="L1880" s="276"/>
      <c r="M1880" s="276"/>
      <c r="N1880" s="276"/>
      <c r="O1880" s="276"/>
      <c r="P1880" s="276"/>
      <c r="Q1880" s="276"/>
      <c r="R1880" s="276"/>
      <c r="S1880" s="276"/>
      <c r="T1880" s="276"/>
      <c r="U1880" s="276"/>
      <c r="V1880" s="276"/>
      <c r="W1880" s="276"/>
      <c r="X1880" s="276"/>
    </row>
    <row r="1881" ht="15.75" customHeight="1">
      <c r="A1881" s="403"/>
      <c r="B1881" s="284">
        <f t="shared" si="32"/>
        <v>30</v>
      </c>
      <c r="C1881" s="284">
        <f t="shared" si="33"/>
        <v>12</v>
      </c>
      <c r="D1881" s="284">
        <f t="shared" si="34"/>
        <v>1899</v>
      </c>
      <c r="E1881" s="490"/>
      <c r="F1881" s="30"/>
      <c r="G1881" s="30"/>
      <c r="H1881" s="288">
        <f t="shared" si="35"/>
        <v>0</v>
      </c>
      <c r="I1881" s="490"/>
      <c r="J1881" s="276"/>
      <c r="K1881" s="276"/>
      <c r="L1881" s="276"/>
      <c r="M1881" s="276"/>
      <c r="N1881" s="276"/>
      <c r="O1881" s="276"/>
      <c r="P1881" s="276"/>
      <c r="Q1881" s="276"/>
      <c r="R1881" s="276"/>
      <c r="S1881" s="276"/>
      <c r="T1881" s="276"/>
      <c r="U1881" s="276"/>
      <c r="V1881" s="276"/>
      <c r="W1881" s="276"/>
      <c r="X1881" s="276"/>
    </row>
    <row r="1882" ht="15.75" customHeight="1">
      <c r="A1882" s="403"/>
      <c r="B1882" s="284">
        <f t="shared" si="32"/>
        <v>30</v>
      </c>
      <c r="C1882" s="284">
        <f t="shared" si="33"/>
        <v>12</v>
      </c>
      <c r="D1882" s="284">
        <f t="shared" si="34"/>
        <v>1899</v>
      </c>
      <c r="E1882" s="490"/>
      <c r="F1882" s="30"/>
      <c r="G1882" s="30"/>
      <c r="H1882" s="288">
        <f t="shared" si="35"/>
        <v>0</v>
      </c>
      <c r="I1882" s="490"/>
      <c r="J1882" s="276"/>
      <c r="K1882" s="276"/>
      <c r="L1882" s="276"/>
      <c r="M1882" s="276"/>
      <c r="N1882" s="276"/>
      <c r="O1882" s="276"/>
      <c r="P1882" s="276"/>
      <c r="Q1882" s="276"/>
      <c r="R1882" s="276"/>
      <c r="S1882" s="276"/>
      <c r="T1882" s="276"/>
      <c r="U1882" s="276"/>
      <c r="V1882" s="276"/>
      <c r="W1882" s="276"/>
      <c r="X1882" s="276"/>
    </row>
    <row r="1883" ht="15.75" customHeight="1">
      <c r="A1883" s="403"/>
      <c r="B1883" s="284">
        <f t="shared" si="32"/>
        <v>30</v>
      </c>
      <c r="C1883" s="284">
        <f t="shared" si="33"/>
        <v>12</v>
      </c>
      <c r="D1883" s="284">
        <f t="shared" si="34"/>
        <v>1899</v>
      </c>
      <c r="E1883" s="490"/>
      <c r="F1883" s="30"/>
      <c r="G1883" s="30"/>
      <c r="H1883" s="288">
        <f t="shared" si="35"/>
        <v>0</v>
      </c>
      <c r="I1883" s="490"/>
      <c r="J1883" s="276"/>
      <c r="K1883" s="276"/>
      <c r="L1883" s="276"/>
      <c r="M1883" s="276"/>
      <c r="N1883" s="276"/>
      <c r="O1883" s="276"/>
      <c r="P1883" s="276"/>
      <c r="Q1883" s="276"/>
      <c r="R1883" s="276"/>
      <c r="S1883" s="276"/>
      <c r="T1883" s="276"/>
      <c r="U1883" s="276"/>
      <c r="V1883" s="276"/>
      <c r="W1883" s="276"/>
      <c r="X1883" s="276"/>
    </row>
    <row r="1884" ht="15.75" customHeight="1">
      <c r="A1884" s="403"/>
      <c r="B1884" s="284">
        <f t="shared" si="32"/>
        <v>30</v>
      </c>
      <c r="C1884" s="284">
        <f t="shared" si="33"/>
        <v>12</v>
      </c>
      <c r="D1884" s="284">
        <f t="shared" si="34"/>
        <v>1899</v>
      </c>
      <c r="E1884" s="490"/>
      <c r="F1884" s="30"/>
      <c r="G1884" s="30"/>
      <c r="H1884" s="288">
        <f t="shared" si="35"/>
        <v>0</v>
      </c>
      <c r="I1884" s="490"/>
      <c r="J1884" s="276"/>
      <c r="K1884" s="276"/>
      <c r="L1884" s="276"/>
      <c r="M1884" s="276"/>
      <c r="N1884" s="276"/>
      <c r="O1884" s="276"/>
      <c r="P1884" s="276"/>
      <c r="Q1884" s="276"/>
      <c r="R1884" s="276"/>
      <c r="S1884" s="276"/>
      <c r="T1884" s="276"/>
      <c r="U1884" s="276"/>
      <c r="V1884" s="276"/>
      <c r="W1884" s="276"/>
      <c r="X1884" s="276"/>
    </row>
    <row r="1885" ht="15.75" customHeight="1">
      <c r="A1885" s="403"/>
      <c r="B1885" s="284">
        <f t="shared" si="32"/>
        <v>30</v>
      </c>
      <c r="C1885" s="284">
        <f t="shared" si="33"/>
        <v>12</v>
      </c>
      <c r="D1885" s="284">
        <f t="shared" si="34"/>
        <v>1899</v>
      </c>
      <c r="E1885" s="490"/>
      <c r="F1885" s="30"/>
      <c r="G1885" s="30"/>
      <c r="H1885" s="288">
        <f t="shared" si="35"/>
        <v>0</v>
      </c>
      <c r="I1885" s="490"/>
      <c r="J1885" s="276"/>
      <c r="K1885" s="276"/>
      <c r="L1885" s="276"/>
      <c r="M1885" s="276"/>
      <c r="N1885" s="276"/>
      <c r="O1885" s="276"/>
      <c r="P1885" s="276"/>
      <c r="Q1885" s="276"/>
      <c r="R1885" s="276"/>
      <c r="S1885" s="276"/>
      <c r="T1885" s="276"/>
      <c r="U1885" s="276"/>
      <c r="V1885" s="276"/>
      <c r="W1885" s="276"/>
      <c r="X1885" s="276"/>
    </row>
    <row r="1886" ht="15.75" customHeight="1">
      <c r="A1886" s="403"/>
      <c r="B1886" s="284">
        <f t="shared" si="32"/>
        <v>30</v>
      </c>
      <c r="C1886" s="284">
        <f t="shared" si="33"/>
        <v>12</v>
      </c>
      <c r="D1886" s="284">
        <f t="shared" si="34"/>
        <v>1899</v>
      </c>
      <c r="E1886" s="490"/>
      <c r="F1886" s="30"/>
      <c r="G1886" s="30"/>
      <c r="H1886" s="288">
        <f t="shared" si="35"/>
        <v>0</v>
      </c>
      <c r="I1886" s="490"/>
      <c r="J1886" s="276"/>
      <c r="K1886" s="276"/>
      <c r="L1886" s="276"/>
      <c r="M1886" s="276"/>
      <c r="N1886" s="276"/>
      <c r="O1886" s="276"/>
      <c r="P1886" s="276"/>
      <c r="Q1886" s="276"/>
      <c r="R1886" s="276"/>
      <c r="S1886" s="276"/>
      <c r="T1886" s="276"/>
      <c r="U1886" s="276"/>
      <c r="V1886" s="276"/>
      <c r="W1886" s="276"/>
      <c r="X1886" s="276"/>
    </row>
    <row r="1887" ht="15.75" customHeight="1">
      <c r="A1887" s="403"/>
      <c r="B1887" s="284">
        <f t="shared" si="32"/>
        <v>30</v>
      </c>
      <c r="C1887" s="284">
        <f t="shared" si="33"/>
        <v>12</v>
      </c>
      <c r="D1887" s="284">
        <f t="shared" si="34"/>
        <v>1899</v>
      </c>
      <c r="E1887" s="490"/>
      <c r="F1887" s="30"/>
      <c r="G1887" s="30"/>
      <c r="H1887" s="288">
        <f t="shared" si="35"/>
        <v>0</v>
      </c>
      <c r="I1887" s="490"/>
      <c r="J1887" s="276"/>
      <c r="K1887" s="276"/>
      <c r="L1887" s="276"/>
      <c r="M1887" s="276"/>
      <c r="N1887" s="276"/>
      <c r="O1887" s="276"/>
      <c r="P1887" s="276"/>
      <c r="Q1887" s="276"/>
      <c r="R1887" s="276"/>
      <c r="S1887" s="276"/>
      <c r="T1887" s="276"/>
      <c r="U1887" s="276"/>
      <c r="V1887" s="276"/>
      <c r="W1887" s="276"/>
      <c r="X1887" s="276"/>
    </row>
    <row r="1888" ht="15.75" customHeight="1">
      <c r="A1888" s="403"/>
      <c r="B1888" s="284">
        <f t="shared" si="32"/>
        <v>30</v>
      </c>
      <c r="C1888" s="284">
        <f t="shared" si="33"/>
        <v>12</v>
      </c>
      <c r="D1888" s="284">
        <f t="shared" si="34"/>
        <v>1899</v>
      </c>
      <c r="E1888" s="490"/>
      <c r="F1888" s="30"/>
      <c r="G1888" s="30"/>
      <c r="H1888" s="288">
        <f t="shared" si="35"/>
        <v>0</v>
      </c>
      <c r="I1888" s="490"/>
      <c r="J1888" s="276"/>
      <c r="K1888" s="276"/>
      <c r="L1888" s="276"/>
      <c r="M1888" s="276"/>
      <c r="N1888" s="276"/>
      <c r="O1888" s="276"/>
      <c r="P1888" s="276"/>
      <c r="Q1888" s="276"/>
      <c r="R1888" s="276"/>
      <c r="S1888" s="276"/>
      <c r="T1888" s="276"/>
      <c r="U1888" s="276"/>
      <c r="V1888" s="276"/>
      <c r="W1888" s="276"/>
      <c r="X1888" s="276"/>
    </row>
    <row r="1889" ht="15.75" customHeight="1">
      <c r="A1889" s="403"/>
      <c r="B1889" s="284">
        <f t="shared" si="32"/>
        <v>30</v>
      </c>
      <c r="C1889" s="284">
        <f t="shared" si="33"/>
        <v>12</v>
      </c>
      <c r="D1889" s="284">
        <f t="shared" si="34"/>
        <v>1899</v>
      </c>
      <c r="E1889" s="490"/>
      <c r="F1889" s="30"/>
      <c r="G1889" s="30"/>
      <c r="H1889" s="288">
        <f t="shared" si="35"/>
        <v>0</v>
      </c>
      <c r="I1889" s="490"/>
      <c r="J1889" s="276"/>
      <c r="K1889" s="276"/>
      <c r="L1889" s="276"/>
      <c r="M1889" s="276"/>
      <c r="N1889" s="276"/>
      <c r="O1889" s="276"/>
      <c r="P1889" s="276"/>
      <c r="Q1889" s="276"/>
      <c r="R1889" s="276"/>
      <c r="S1889" s="276"/>
      <c r="T1889" s="276"/>
      <c r="U1889" s="276"/>
      <c r="V1889" s="276"/>
      <c r="W1889" s="276"/>
      <c r="X1889" s="276"/>
    </row>
    <row r="1890" ht="15.75" customHeight="1">
      <c r="A1890" s="403"/>
      <c r="B1890" s="284">
        <f t="shared" si="32"/>
        <v>30</v>
      </c>
      <c r="C1890" s="284">
        <f t="shared" si="33"/>
        <v>12</v>
      </c>
      <c r="D1890" s="284">
        <f t="shared" si="34"/>
        <v>1899</v>
      </c>
      <c r="E1890" s="490"/>
      <c r="F1890" s="30"/>
      <c r="G1890" s="30"/>
      <c r="H1890" s="288">
        <f t="shared" si="35"/>
        <v>0</v>
      </c>
      <c r="I1890" s="490"/>
      <c r="J1890" s="276"/>
      <c r="K1890" s="276"/>
      <c r="L1890" s="276"/>
      <c r="M1890" s="276"/>
      <c r="N1890" s="276"/>
      <c r="O1890" s="276"/>
      <c r="P1890" s="276"/>
      <c r="Q1890" s="276"/>
      <c r="R1890" s="276"/>
      <c r="S1890" s="276"/>
      <c r="T1890" s="276"/>
      <c r="U1890" s="276"/>
      <c r="V1890" s="276"/>
      <c r="W1890" s="276"/>
      <c r="X1890" s="276"/>
    </row>
    <row r="1891" ht="15.75" customHeight="1">
      <c r="A1891" s="403"/>
      <c r="B1891" s="284">
        <f t="shared" si="32"/>
        <v>30</v>
      </c>
      <c r="C1891" s="284">
        <f t="shared" si="33"/>
        <v>12</v>
      </c>
      <c r="D1891" s="284">
        <f t="shared" si="34"/>
        <v>1899</v>
      </c>
      <c r="E1891" s="490"/>
      <c r="F1891" s="30"/>
      <c r="G1891" s="30"/>
      <c r="H1891" s="288">
        <f t="shared" si="35"/>
        <v>0</v>
      </c>
      <c r="I1891" s="490"/>
      <c r="J1891" s="276"/>
      <c r="K1891" s="276"/>
      <c r="L1891" s="276"/>
      <c r="M1891" s="276"/>
      <c r="N1891" s="276"/>
      <c r="O1891" s="276"/>
      <c r="P1891" s="276"/>
      <c r="Q1891" s="276"/>
      <c r="R1891" s="276"/>
      <c r="S1891" s="276"/>
      <c r="T1891" s="276"/>
      <c r="U1891" s="276"/>
      <c r="V1891" s="276"/>
      <c r="W1891" s="276"/>
      <c r="X1891" s="276"/>
    </row>
    <row r="1892" ht="15.75" customHeight="1">
      <c r="A1892" s="403"/>
      <c r="B1892" s="284">
        <f t="shared" si="32"/>
        <v>30</v>
      </c>
      <c r="C1892" s="284">
        <f t="shared" si="33"/>
        <v>12</v>
      </c>
      <c r="D1892" s="284">
        <f t="shared" si="34"/>
        <v>1899</v>
      </c>
      <c r="E1892" s="490"/>
      <c r="F1892" s="30"/>
      <c r="G1892" s="30"/>
      <c r="H1892" s="288">
        <f t="shared" si="35"/>
        <v>0</v>
      </c>
      <c r="I1892" s="490"/>
      <c r="J1892" s="276"/>
      <c r="K1892" s="276"/>
      <c r="L1892" s="276"/>
      <c r="M1892" s="276"/>
      <c r="N1892" s="276"/>
      <c r="O1892" s="276"/>
      <c r="P1892" s="276"/>
      <c r="Q1892" s="276"/>
      <c r="R1892" s="276"/>
      <c r="S1892" s="276"/>
      <c r="T1892" s="276"/>
      <c r="U1892" s="276"/>
      <c r="V1892" s="276"/>
      <c r="W1892" s="276"/>
      <c r="X1892" s="276"/>
    </row>
    <row r="1893" ht="15.75" customHeight="1">
      <c r="A1893" s="403"/>
      <c r="B1893" s="284">
        <f t="shared" si="32"/>
        <v>30</v>
      </c>
      <c r="C1893" s="284">
        <f t="shared" si="33"/>
        <v>12</v>
      </c>
      <c r="D1893" s="284">
        <f t="shared" si="34"/>
        <v>1899</v>
      </c>
      <c r="E1893" s="490"/>
      <c r="F1893" s="30"/>
      <c r="G1893" s="30"/>
      <c r="H1893" s="288">
        <f t="shared" si="35"/>
        <v>0</v>
      </c>
      <c r="I1893" s="490"/>
      <c r="J1893" s="276"/>
      <c r="K1893" s="276"/>
      <c r="L1893" s="276"/>
      <c r="M1893" s="276"/>
      <c r="N1893" s="276"/>
      <c r="O1893" s="276"/>
      <c r="P1893" s="276"/>
      <c r="Q1893" s="276"/>
      <c r="R1893" s="276"/>
      <c r="S1893" s="276"/>
      <c r="T1893" s="276"/>
      <c r="U1893" s="276"/>
      <c r="V1893" s="276"/>
      <c r="W1893" s="276"/>
      <c r="X1893" s="276"/>
    </row>
    <row r="1894" ht="15.75" customHeight="1">
      <c r="A1894" s="403"/>
      <c r="B1894" s="284">
        <f t="shared" si="32"/>
        <v>30</v>
      </c>
      <c r="C1894" s="284">
        <f t="shared" si="33"/>
        <v>12</v>
      </c>
      <c r="D1894" s="284">
        <f t="shared" si="34"/>
        <v>1899</v>
      </c>
      <c r="E1894" s="490"/>
      <c r="F1894" s="30"/>
      <c r="G1894" s="30"/>
      <c r="H1894" s="288">
        <f t="shared" si="35"/>
        <v>0</v>
      </c>
      <c r="I1894" s="490"/>
      <c r="J1894" s="276"/>
      <c r="K1894" s="276"/>
      <c r="L1894" s="276"/>
      <c r="M1894" s="276"/>
      <c r="N1894" s="276"/>
      <c r="O1894" s="276"/>
      <c r="P1894" s="276"/>
      <c r="Q1894" s="276"/>
      <c r="R1894" s="276"/>
      <c r="S1894" s="276"/>
      <c r="T1894" s="276"/>
      <c r="U1894" s="276"/>
      <c r="V1894" s="276"/>
      <c r="W1894" s="276"/>
      <c r="X1894" s="276"/>
    </row>
    <row r="1895" ht="15.75" customHeight="1">
      <c r="A1895" s="403"/>
      <c r="B1895" s="284">
        <f t="shared" si="32"/>
        <v>30</v>
      </c>
      <c r="C1895" s="284">
        <f t="shared" si="33"/>
        <v>12</v>
      </c>
      <c r="D1895" s="284">
        <f t="shared" si="34"/>
        <v>1899</v>
      </c>
      <c r="E1895" s="490"/>
      <c r="F1895" s="30"/>
      <c r="G1895" s="30"/>
      <c r="H1895" s="288">
        <f t="shared" si="35"/>
        <v>0</v>
      </c>
      <c r="I1895" s="490"/>
      <c r="J1895" s="276"/>
      <c r="K1895" s="276"/>
      <c r="L1895" s="276"/>
      <c r="M1895" s="276"/>
      <c r="N1895" s="276"/>
      <c r="O1895" s="276"/>
      <c r="P1895" s="276"/>
      <c r="Q1895" s="276"/>
      <c r="R1895" s="276"/>
      <c r="S1895" s="276"/>
      <c r="T1895" s="276"/>
      <c r="U1895" s="276"/>
      <c r="V1895" s="276"/>
      <c r="W1895" s="276"/>
      <c r="X1895" s="276"/>
    </row>
    <row r="1896" ht="15.75" customHeight="1">
      <c r="A1896" s="403"/>
      <c r="B1896" s="284">
        <f t="shared" si="32"/>
        <v>30</v>
      </c>
      <c r="C1896" s="284">
        <f t="shared" si="33"/>
        <v>12</v>
      </c>
      <c r="D1896" s="284">
        <f t="shared" si="34"/>
        <v>1899</v>
      </c>
      <c r="E1896" s="490"/>
      <c r="F1896" s="30"/>
      <c r="G1896" s="30"/>
      <c r="H1896" s="288">
        <f t="shared" si="35"/>
        <v>0</v>
      </c>
      <c r="I1896" s="490"/>
      <c r="J1896" s="276"/>
      <c r="K1896" s="276"/>
      <c r="L1896" s="276"/>
      <c r="M1896" s="276"/>
      <c r="N1896" s="276"/>
      <c r="O1896" s="276"/>
      <c r="P1896" s="276"/>
      <c r="Q1896" s="276"/>
      <c r="R1896" s="276"/>
      <c r="S1896" s="276"/>
      <c r="T1896" s="276"/>
      <c r="U1896" s="276"/>
      <c r="V1896" s="276"/>
      <c r="W1896" s="276"/>
      <c r="X1896" s="276"/>
    </row>
    <row r="1897" ht="15.75" customHeight="1">
      <c r="A1897" s="403"/>
      <c r="B1897" s="284">
        <f t="shared" si="32"/>
        <v>30</v>
      </c>
      <c r="C1897" s="284">
        <f t="shared" si="33"/>
        <v>12</v>
      </c>
      <c r="D1897" s="284">
        <f t="shared" si="34"/>
        <v>1899</v>
      </c>
      <c r="E1897" s="490"/>
      <c r="F1897" s="30"/>
      <c r="G1897" s="30"/>
      <c r="H1897" s="288">
        <f t="shared" si="35"/>
        <v>0</v>
      </c>
      <c r="I1897" s="490"/>
      <c r="J1897" s="276"/>
      <c r="K1897" s="276"/>
      <c r="L1897" s="276"/>
      <c r="M1897" s="276"/>
      <c r="N1897" s="276"/>
      <c r="O1897" s="276"/>
      <c r="P1897" s="276"/>
      <c r="Q1897" s="276"/>
      <c r="R1897" s="276"/>
      <c r="S1897" s="276"/>
      <c r="T1897" s="276"/>
      <c r="U1897" s="276"/>
      <c r="V1897" s="276"/>
      <c r="W1897" s="276"/>
      <c r="X1897" s="276"/>
    </row>
    <row r="1898" ht="15.75" customHeight="1">
      <c r="A1898" s="403"/>
      <c r="B1898" s="284">
        <f t="shared" si="32"/>
        <v>30</v>
      </c>
      <c r="C1898" s="284">
        <f t="shared" si="33"/>
        <v>12</v>
      </c>
      <c r="D1898" s="284">
        <f t="shared" si="34"/>
        <v>1899</v>
      </c>
      <c r="E1898" s="490"/>
      <c r="F1898" s="30"/>
      <c r="G1898" s="30"/>
      <c r="H1898" s="288">
        <f t="shared" si="35"/>
        <v>0</v>
      </c>
      <c r="I1898" s="490"/>
      <c r="J1898" s="276"/>
      <c r="K1898" s="276"/>
      <c r="L1898" s="276"/>
      <c r="M1898" s="276"/>
      <c r="N1898" s="276"/>
      <c r="O1898" s="276"/>
      <c r="P1898" s="276"/>
      <c r="Q1898" s="276"/>
      <c r="R1898" s="276"/>
      <c r="S1898" s="276"/>
      <c r="T1898" s="276"/>
      <c r="U1898" s="276"/>
      <c r="V1898" s="276"/>
      <c r="W1898" s="276"/>
      <c r="X1898" s="276"/>
    </row>
    <row r="1899" ht="15.75" customHeight="1">
      <c r="A1899" s="403"/>
      <c r="B1899" s="284">
        <f t="shared" si="32"/>
        <v>30</v>
      </c>
      <c r="C1899" s="284">
        <f t="shared" si="33"/>
        <v>12</v>
      </c>
      <c r="D1899" s="284">
        <f t="shared" si="34"/>
        <v>1899</v>
      </c>
      <c r="E1899" s="490"/>
      <c r="F1899" s="30"/>
      <c r="G1899" s="30"/>
      <c r="H1899" s="288">
        <f t="shared" si="35"/>
        <v>0</v>
      </c>
      <c r="I1899" s="490"/>
      <c r="J1899" s="276"/>
      <c r="K1899" s="276"/>
      <c r="L1899" s="276"/>
      <c r="M1899" s="276"/>
      <c r="N1899" s="276"/>
      <c r="O1899" s="276"/>
      <c r="P1899" s="276"/>
      <c r="Q1899" s="276"/>
      <c r="R1899" s="276"/>
      <c r="S1899" s="276"/>
      <c r="T1899" s="276"/>
      <c r="U1899" s="276"/>
      <c r="V1899" s="276"/>
      <c r="W1899" s="276"/>
      <c r="X1899" s="276"/>
    </row>
    <row r="1900" ht="15.75" customHeight="1">
      <c r="A1900" s="403"/>
      <c r="B1900" s="284">
        <f t="shared" si="32"/>
        <v>30</v>
      </c>
      <c r="C1900" s="284">
        <f t="shared" si="33"/>
        <v>12</v>
      </c>
      <c r="D1900" s="284">
        <f t="shared" si="34"/>
        <v>1899</v>
      </c>
      <c r="E1900" s="490"/>
      <c r="F1900" s="30"/>
      <c r="G1900" s="30"/>
      <c r="H1900" s="288">
        <f t="shared" si="35"/>
        <v>0</v>
      </c>
      <c r="I1900" s="490"/>
      <c r="J1900" s="276"/>
      <c r="K1900" s="276"/>
      <c r="L1900" s="276"/>
      <c r="M1900" s="276"/>
      <c r="N1900" s="276"/>
      <c r="O1900" s="276"/>
      <c r="P1900" s="276"/>
      <c r="Q1900" s="276"/>
      <c r="R1900" s="276"/>
      <c r="S1900" s="276"/>
      <c r="T1900" s="276"/>
      <c r="U1900" s="276"/>
      <c r="V1900" s="276"/>
      <c r="W1900" s="276"/>
      <c r="X1900" s="276"/>
    </row>
    <row r="1901" ht="15.75" customHeight="1">
      <c r="A1901" s="403"/>
      <c r="B1901" s="284">
        <f t="shared" si="32"/>
        <v>30</v>
      </c>
      <c r="C1901" s="284">
        <f t="shared" si="33"/>
        <v>12</v>
      </c>
      <c r="D1901" s="284">
        <f t="shared" si="34"/>
        <v>1899</v>
      </c>
      <c r="E1901" s="490"/>
      <c r="F1901" s="30"/>
      <c r="G1901" s="30"/>
      <c r="H1901" s="288">
        <f t="shared" si="35"/>
        <v>0</v>
      </c>
      <c r="I1901" s="490"/>
      <c r="J1901" s="276"/>
      <c r="K1901" s="276"/>
      <c r="L1901" s="276"/>
      <c r="M1901" s="276"/>
      <c r="N1901" s="276"/>
      <c r="O1901" s="276"/>
      <c r="P1901" s="276"/>
      <c r="Q1901" s="276"/>
      <c r="R1901" s="276"/>
      <c r="S1901" s="276"/>
      <c r="T1901" s="276"/>
      <c r="U1901" s="276"/>
      <c r="V1901" s="276"/>
      <c r="W1901" s="276"/>
      <c r="X1901" s="276"/>
    </row>
    <row r="1902" ht="15.75" customHeight="1">
      <c r="A1902" s="403"/>
      <c r="B1902" s="284">
        <f t="shared" si="32"/>
        <v>30</v>
      </c>
      <c r="C1902" s="284">
        <f t="shared" si="33"/>
        <v>12</v>
      </c>
      <c r="D1902" s="284">
        <f t="shared" si="34"/>
        <v>1899</v>
      </c>
      <c r="E1902" s="490"/>
      <c r="F1902" s="30"/>
      <c r="G1902" s="30"/>
      <c r="H1902" s="288">
        <f t="shared" si="35"/>
        <v>0</v>
      </c>
      <c r="I1902" s="490"/>
      <c r="J1902" s="276"/>
      <c r="K1902" s="276"/>
      <c r="L1902" s="276"/>
      <c r="M1902" s="276"/>
      <c r="N1902" s="276"/>
      <c r="O1902" s="276"/>
      <c r="P1902" s="276"/>
      <c r="Q1902" s="276"/>
      <c r="R1902" s="276"/>
      <c r="S1902" s="276"/>
      <c r="T1902" s="276"/>
      <c r="U1902" s="276"/>
      <c r="V1902" s="276"/>
      <c r="W1902" s="276"/>
      <c r="X1902" s="276"/>
    </row>
    <row r="1903" ht="15.75" customHeight="1">
      <c r="A1903" s="403"/>
      <c r="B1903" s="284">
        <f t="shared" si="32"/>
        <v>30</v>
      </c>
      <c r="C1903" s="284">
        <f t="shared" si="33"/>
        <v>12</v>
      </c>
      <c r="D1903" s="284">
        <f t="shared" si="34"/>
        <v>1899</v>
      </c>
      <c r="E1903" s="490"/>
      <c r="F1903" s="30"/>
      <c r="G1903" s="30"/>
      <c r="H1903" s="288">
        <f t="shared" si="35"/>
        <v>0</v>
      </c>
      <c r="I1903" s="490"/>
      <c r="J1903" s="276"/>
      <c r="K1903" s="276"/>
      <c r="L1903" s="276"/>
      <c r="M1903" s="276"/>
      <c r="N1903" s="276"/>
      <c r="O1903" s="276"/>
      <c r="P1903" s="276"/>
      <c r="Q1903" s="276"/>
      <c r="R1903" s="276"/>
      <c r="S1903" s="276"/>
      <c r="T1903" s="276"/>
      <c r="U1903" s="276"/>
      <c r="V1903" s="276"/>
      <c r="W1903" s="276"/>
      <c r="X1903" s="276"/>
    </row>
    <row r="1904" ht="15.75" customHeight="1">
      <c r="A1904" s="403"/>
      <c r="B1904" s="284">
        <f t="shared" si="32"/>
        <v>30</v>
      </c>
      <c r="C1904" s="284">
        <f t="shared" si="33"/>
        <v>12</v>
      </c>
      <c r="D1904" s="284">
        <f t="shared" si="34"/>
        <v>1899</v>
      </c>
      <c r="E1904" s="490"/>
      <c r="F1904" s="30"/>
      <c r="G1904" s="30"/>
      <c r="H1904" s="288">
        <f t="shared" si="35"/>
        <v>0</v>
      </c>
      <c r="I1904" s="490"/>
      <c r="J1904" s="276"/>
      <c r="K1904" s="276"/>
      <c r="L1904" s="276"/>
      <c r="M1904" s="276"/>
      <c r="N1904" s="276"/>
      <c r="O1904" s="276"/>
      <c r="P1904" s="276"/>
      <c r="Q1904" s="276"/>
      <c r="R1904" s="276"/>
      <c r="S1904" s="276"/>
      <c r="T1904" s="276"/>
      <c r="U1904" s="276"/>
      <c r="V1904" s="276"/>
      <c r="W1904" s="276"/>
      <c r="X1904" s="276"/>
    </row>
    <row r="1905" ht="15.75" customHeight="1">
      <c r="A1905" s="403"/>
      <c r="B1905" s="284">
        <f t="shared" si="32"/>
        <v>30</v>
      </c>
      <c r="C1905" s="284">
        <f t="shared" si="33"/>
        <v>12</v>
      </c>
      <c r="D1905" s="284">
        <f t="shared" si="34"/>
        <v>1899</v>
      </c>
      <c r="E1905" s="490"/>
      <c r="F1905" s="30"/>
      <c r="G1905" s="30"/>
      <c r="H1905" s="288">
        <f t="shared" si="35"/>
        <v>0</v>
      </c>
      <c r="I1905" s="490"/>
      <c r="J1905" s="276"/>
      <c r="K1905" s="276"/>
      <c r="L1905" s="276"/>
      <c r="M1905" s="276"/>
      <c r="N1905" s="276"/>
      <c r="O1905" s="276"/>
      <c r="P1905" s="276"/>
      <c r="Q1905" s="276"/>
      <c r="R1905" s="276"/>
      <c r="S1905" s="276"/>
      <c r="T1905" s="276"/>
      <c r="U1905" s="276"/>
      <c r="V1905" s="276"/>
      <c r="W1905" s="276"/>
      <c r="X1905" s="276"/>
    </row>
    <row r="1906" ht="15.75" customHeight="1">
      <c r="A1906" s="403"/>
      <c r="B1906" s="284">
        <f t="shared" si="32"/>
        <v>30</v>
      </c>
      <c r="C1906" s="284">
        <f t="shared" si="33"/>
        <v>12</v>
      </c>
      <c r="D1906" s="284">
        <f t="shared" si="34"/>
        <v>1899</v>
      </c>
      <c r="E1906" s="490"/>
      <c r="F1906" s="30"/>
      <c r="G1906" s="30"/>
      <c r="H1906" s="288">
        <f t="shared" si="35"/>
        <v>0</v>
      </c>
      <c r="I1906" s="490"/>
      <c r="J1906" s="276"/>
      <c r="K1906" s="276"/>
      <c r="L1906" s="276"/>
      <c r="M1906" s="276"/>
      <c r="N1906" s="276"/>
      <c r="O1906" s="276"/>
      <c r="P1906" s="276"/>
      <c r="Q1906" s="276"/>
      <c r="R1906" s="276"/>
      <c r="S1906" s="276"/>
      <c r="T1906" s="276"/>
      <c r="U1906" s="276"/>
      <c r="V1906" s="276"/>
      <c r="W1906" s="276"/>
      <c r="X1906" s="276"/>
    </row>
    <row r="1907" ht="15.75" customHeight="1">
      <c r="A1907" s="403"/>
      <c r="B1907" s="284">
        <f t="shared" si="32"/>
        <v>30</v>
      </c>
      <c r="C1907" s="284">
        <f t="shared" si="33"/>
        <v>12</v>
      </c>
      <c r="D1907" s="284">
        <f t="shared" si="34"/>
        <v>1899</v>
      </c>
      <c r="E1907" s="490"/>
      <c r="F1907" s="30"/>
      <c r="G1907" s="30"/>
      <c r="H1907" s="288">
        <f t="shared" si="35"/>
        <v>0</v>
      </c>
      <c r="I1907" s="490"/>
      <c r="J1907" s="276"/>
      <c r="K1907" s="276"/>
      <c r="L1907" s="276"/>
      <c r="M1907" s="276"/>
      <c r="N1907" s="276"/>
      <c r="O1907" s="276"/>
      <c r="P1907" s="276"/>
      <c r="Q1907" s="276"/>
      <c r="R1907" s="276"/>
      <c r="S1907" s="276"/>
      <c r="T1907" s="276"/>
      <c r="U1907" s="276"/>
      <c r="V1907" s="276"/>
      <c r="W1907" s="276"/>
      <c r="X1907" s="276"/>
    </row>
    <row r="1908" ht="15.75" customHeight="1">
      <c r="A1908" s="403"/>
      <c r="B1908" s="284">
        <f t="shared" si="32"/>
        <v>30</v>
      </c>
      <c r="C1908" s="284">
        <f t="shared" si="33"/>
        <v>12</v>
      </c>
      <c r="D1908" s="284">
        <f t="shared" si="34"/>
        <v>1899</v>
      </c>
      <c r="E1908" s="490"/>
      <c r="F1908" s="30"/>
      <c r="G1908" s="30"/>
      <c r="H1908" s="288">
        <f t="shared" si="35"/>
        <v>0</v>
      </c>
      <c r="I1908" s="490"/>
      <c r="J1908" s="276"/>
      <c r="K1908" s="276"/>
      <c r="L1908" s="276"/>
      <c r="M1908" s="276"/>
      <c r="N1908" s="276"/>
      <c r="O1908" s="276"/>
      <c r="P1908" s="276"/>
      <c r="Q1908" s="276"/>
      <c r="R1908" s="276"/>
      <c r="S1908" s="276"/>
      <c r="T1908" s="276"/>
      <c r="U1908" s="276"/>
      <c r="V1908" s="276"/>
      <c r="W1908" s="276"/>
      <c r="X1908" s="276"/>
    </row>
    <row r="1909" ht="15.75" customHeight="1">
      <c r="A1909" s="403"/>
      <c r="B1909" s="284">
        <f t="shared" si="32"/>
        <v>30</v>
      </c>
      <c r="C1909" s="284">
        <f t="shared" si="33"/>
        <v>12</v>
      </c>
      <c r="D1909" s="284">
        <f t="shared" si="34"/>
        <v>1899</v>
      </c>
      <c r="E1909" s="490"/>
      <c r="F1909" s="30"/>
      <c r="G1909" s="30"/>
      <c r="H1909" s="288">
        <f t="shared" si="35"/>
        <v>0</v>
      </c>
      <c r="I1909" s="490"/>
      <c r="J1909" s="276"/>
      <c r="K1909" s="276"/>
      <c r="L1909" s="276"/>
      <c r="M1909" s="276"/>
      <c r="N1909" s="276"/>
      <c r="O1909" s="276"/>
      <c r="P1909" s="276"/>
      <c r="Q1909" s="276"/>
      <c r="R1909" s="276"/>
      <c r="S1909" s="276"/>
      <c r="T1909" s="276"/>
      <c r="U1909" s="276"/>
      <c r="V1909" s="276"/>
      <c r="W1909" s="276"/>
      <c r="X1909" s="276"/>
    </row>
    <row r="1910" ht="15.75" customHeight="1">
      <c r="A1910" s="403"/>
      <c r="B1910" s="284">
        <f t="shared" si="32"/>
        <v>30</v>
      </c>
      <c r="C1910" s="284">
        <f t="shared" si="33"/>
        <v>12</v>
      </c>
      <c r="D1910" s="284">
        <f t="shared" si="34"/>
        <v>1899</v>
      </c>
      <c r="E1910" s="490"/>
      <c r="F1910" s="30"/>
      <c r="G1910" s="30"/>
      <c r="H1910" s="288">
        <f t="shared" si="35"/>
        <v>0</v>
      </c>
      <c r="I1910" s="490"/>
      <c r="J1910" s="276"/>
      <c r="K1910" s="276"/>
      <c r="L1910" s="276"/>
      <c r="M1910" s="276"/>
      <c r="N1910" s="276"/>
      <c r="O1910" s="276"/>
      <c r="P1910" s="276"/>
      <c r="Q1910" s="276"/>
      <c r="R1910" s="276"/>
      <c r="S1910" s="276"/>
      <c r="T1910" s="276"/>
      <c r="U1910" s="276"/>
      <c r="V1910" s="276"/>
      <c r="W1910" s="276"/>
      <c r="X1910" s="276"/>
    </row>
    <row r="1911" ht="15.75" customHeight="1">
      <c r="A1911" s="403"/>
      <c r="B1911" s="284">
        <f t="shared" si="32"/>
        <v>30</v>
      </c>
      <c r="C1911" s="284">
        <f t="shared" si="33"/>
        <v>12</v>
      </c>
      <c r="D1911" s="284">
        <f t="shared" si="34"/>
        <v>1899</v>
      </c>
      <c r="E1911" s="490"/>
      <c r="F1911" s="30"/>
      <c r="G1911" s="30"/>
      <c r="H1911" s="288">
        <f t="shared" si="35"/>
        <v>0</v>
      </c>
      <c r="I1911" s="490"/>
      <c r="J1911" s="276"/>
      <c r="K1911" s="276"/>
      <c r="L1911" s="276"/>
      <c r="M1911" s="276"/>
      <c r="N1911" s="276"/>
      <c r="O1911" s="276"/>
      <c r="P1911" s="276"/>
      <c r="Q1911" s="276"/>
      <c r="R1911" s="276"/>
      <c r="S1911" s="276"/>
      <c r="T1911" s="276"/>
      <c r="U1911" s="276"/>
      <c r="V1911" s="276"/>
      <c r="W1911" s="276"/>
      <c r="X1911" s="276"/>
    </row>
    <row r="1912" ht="15.75" customHeight="1">
      <c r="A1912" s="403"/>
      <c r="B1912" s="284">
        <f t="shared" si="32"/>
        <v>30</v>
      </c>
      <c r="C1912" s="284">
        <f t="shared" si="33"/>
        <v>12</v>
      </c>
      <c r="D1912" s="284">
        <f t="shared" si="34"/>
        <v>1899</v>
      </c>
      <c r="E1912" s="490"/>
      <c r="F1912" s="30"/>
      <c r="G1912" s="30"/>
      <c r="H1912" s="288">
        <f t="shared" si="35"/>
        <v>0</v>
      </c>
      <c r="I1912" s="490"/>
      <c r="J1912" s="276"/>
      <c r="K1912" s="276"/>
      <c r="L1912" s="276"/>
      <c r="M1912" s="276"/>
      <c r="N1912" s="276"/>
      <c r="O1912" s="276"/>
      <c r="P1912" s="276"/>
      <c r="Q1912" s="276"/>
      <c r="R1912" s="276"/>
      <c r="S1912" s="276"/>
      <c r="T1912" s="276"/>
      <c r="U1912" s="276"/>
      <c r="V1912" s="276"/>
      <c r="W1912" s="276"/>
      <c r="X1912" s="276"/>
    </row>
    <row r="1913" ht="15.75" customHeight="1">
      <c r="A1913" s="403"/>
      <c r="B1913" s="284">
        <f t="shared" si="32"/>
        <v>30</v>
      </c>
      <c r="C1913" s="284">
        <f t="shared" si="33"/>
        <v>12</v>
      </c>
      <c r="D1913" s="284">
        <f t="shared" si="34"/>
        <v>1899</v>
      </c>
      <c r="E1913" s="490"/>
      <c r="F1913" s="30"/>
      <c r="G1913" s="30"/>
      <c r="H1913" s="288">
        <f t="shared" si="35"/>
        <v>0</v>
      </c>
      <c r="I1913" s="490"/>
      <c r="J1913" s="276"/>
      <c r="K1913" s="276"/>
      <c r="L1913" s="276"/>
      <c r="M1913" s="276"/>
      <c r="N1913" s="276"/>
      <c r="O1913" s="276"/>
      <c r="P1913" s="276"/>
      <c r="Q1913" s="276"/>
      <c r="R1913" s="276"/>
      <c r="S1913" s="276"/>
      <c r="T1913" s="276"/>
      <c r="U1913" s="276"/>
      <c r="V1913" s="276"/>
      <c r="W1913" s="276"/>
      <c r="X1913" s="276"/>
    </row>
    <row r="1914" ht="15.75" customHeight="1">
      <c r="A1914" s="403"/>
      <c r="B1914" s="284">
        <f t="shared" si="32"/>
        <v>30</v>
      </c>
      <c r="C1914" s="284">
        <f t="shared" si="33"/>
        <v>12</v>
      </c>
      <c r="D1914" s="284">
        <f t="shared" si="34"/>
        <v>1899</v>
      </c>
      <c r="E1914" s="490"/>
      <c r="F1914" s="30"/>
      <c r="G1914" s="30"/>
      <c r="H1914" s="288">
        <f t="shared" si="35"/>
        <v>0</v>
      </c>
      <c r="I1914" s="490"/>
      <c r="J1914" s="276"/>
      <c r="K1914" s="276"/>
      <c r="L1914" s="276"/>
      <c r="M1914" s="276"/>
      <c r="N1914" s="276"/>
      <c r="O1914" s="276"/>
      <c r="P1914" s="276"/>
      <c r="Q1914" s="276"/>
      <c r="R1914" s="276"/>
      <c r="S1914" s="276"/>
      <c r="T1914" s="276"/>
      <c r="U1914" s="276"/>
      <c r="V1914" s="276"/>
      <c r="W1914" s="276"/>
      <c r="X1914" s="276"/>
    </row>
    <row r="1915" ht="15.75" customHeight="1">
      <c r="A1915" s="403"/>
      <c r="B1915" s="284">
        <f t="shared" si="32"/>
        <v>30</v>
      </c>
      <c r="C1915" s="284">
        <f t="shared" si="33"/>
        <v>12</v>
      </c>
      <c r="D1915" s="284">
        <f t="shared" si="34"/>
        <v>1899</v>
      </c>
      <c r="E1915" s="490"/>
      <c r="F1915" s="30"/>
      <c r="G1915" s="30"/>
      <c r="H1915" s="288">
        <f t="shared" si="35"/>
        <v>0</v>
      </c>
      <c r="I1915" s="490"/>
      <c r="J1915" s="276"/>
      <c r="K1915" s="276"/>
      <c r="L1915" s="276"/>
      <c r="M1915" s="276"/>
      <c r="N1915" s="276"/>
      <c r="O1915" s="276"/>
      <c r="P1915" s="276"/>
      <c r="Q1915" s="276"/>
      <c r="R1915" s="276"/>
      <c r="S1915" s="276"/>
      <c r="T1915" s="276"/>
      <c r="U1915" s="276"/>
      <c r="V1915" s="276"/>
      <c r="W1915" s="276"/>
      <c r="X1915" s="276"/>
    </row>
    <row r="1916" ht="15.75" customHeight="1">
      <c r="A1916" s="403"/>
      <c r="B1916" s="284">
        <f t="shared" si="32"/>
        <v>30</v>
      </c>
      <c r="C1916" s="284">
        <f t="shared" si="33"/>
        <v>12</v>
      </c>
      <c r="D1916" s="284">
        <f t="shared" si="34"/>
        <v>1899</v>
      </c>
      <c r="E1916" s="490"/>
      <c r="F1916" s="30"/>
      <c r="G1916" s="30"/>
      <c r="H1916" s="288">
        <f t="shared" si="35"/>
        <v>0</v>
      </c>
      <c r="I1916" s="490"/>
      <c r="J1916" s="276"/>
      <c r="K1916" s="276"/>
      <c r="L1916" s="276"/>
      <c r="M1916" s="276"/>
      <c r="N1916" s="276"/>
      <c r="O1916" s="276"/>
      <c r="P1916" s="276"/>
      <c r="Q1916" s="276"/>
      <c r="R1916" s="276"/>
      <c r="S1916" s="276"/>
      <c r="T1916" s="276"/>
      <c r="U1916" s="276"/>
      <c r="V1916" s="276"/>
      <c r="W1916" s="276"/>
      <c r="X1916" s="276"/>
    </row>
    <row r="1917" ht="15.75" customHeight="1">
      <c r="A1917" s="403"/>
      <c r="B1917" s="284">
        <f t="shared" si="32"/>
        <v>30</v>
      </c>
      <c r="C1917" s="284">
        <f t="shared" si="33"/>
        <v>12</v>
      </c>
      <c r="D1917" s="284">
        <f t="shared" si="34"/>
        <v>1899</v>
      </c>
      <c r="E1917" s="490"/>
      <c r="F1917" s="30"/>
      <c r="G1917" s="30"/>
      <c r="H1917" s="288">
        <f t="shared" si="35"/>
        <v>0</v>
      </c>
      <c r="I1917" s="490"/>
      <c r="J1917" s="276"/>
      <c r="K1917" s="276"/>
      <c r="L1917" s="276"/>
      <c r="M1917" s="276"/>
      <c r="N1917" s="276"/>
      <c r="O1917" s="276"/>
      <c r="P1917" s="276"/>
      <c r="Q1917" s="276"/>
      <c r="R1917" s="276"/>
      <c r="S1917" s="276"/>
      <c r="T1917" s="276"/>
      <c r="U1917" s="276"/>
      <c r="V1917" s="276"/>
      <c r="W1917" s="276"/>
      <c r="X1917" s="276"/>
    </row>
    <row r="1918" ht="15.75" customHeight="1">
      <c r="A1918" s="403"/>
      <c r="B1918" s="284">
        <f t="shared" si="32"/>
        <v>30</v>
      </c>
      <c r="C1918" s="284">
        <f t="shared" si="33"/>
        <v>12</v>
      </c>
      <c r="D1918" s="284">
        <f t="shared" si="34"/>
        <v>1899</v>
      </c>
      <c r="E1918" s="490"/>
      <c r="F1918" s="30"/>
      <c r="G1918" s="30"/>
      <c r="H1918" s="288">
        <f t="shared" si="35"/>
        <v>0</v>
      </c>
      <c r="I1918" s="490"/>
      <c r="J1918" s="276"/>
      <c r="K1918" s="276"/>
      <c r="L1918" s="276"/>
      <c r="M1918" s="276"/>
      <c r="N1918" s="276"/>
      <c r="O1918" s="276"/>
      <c r="P1918" s="276"/>
      <c r="Q1918" s="276"/>
      <c r="R1918" s="276"/>
      <c r="S1918" s="276"/>
      <c r="T1918" s="276"/>
      <c r="U1918" s="276"/>
      <c r="V1918" s="276"/>
      <c r="W1918" s="276"/>
      <c r="X1918" s="276"/>
    </row>
    <row r="1919" ht="15.75" customHeight="1">
      <c r="A1919" s="403"/>
      <c r="B1919" s="284">
        <f t="shared" si="32"/>
        <v>30</v>
      </c>
      <c r="C1919" s="284">
        <f t="shared" si="33"/>
        <v>12</v>
      </c>
      <c r="D1919" s="284">
        <f t="shared" si="34"/>
        <v>1899</v>
      </c>
      <c r="E1919" s="490"/>
      <c r="F1919" s="30"/>
      <c r="G1919" s="30"/>
      <c r="H1919" s="288">
        <f t="shared" si="35"/>
        <v>0</v>
      </c>
      <c r="I1919" s="490"/>
      <c r="J1919" s="276"/>
      <c r="K1919" s="276"/>
      <c r="L1919" s="276"/>
      <c r="M1919" s="276"/>
      <c r="N1919" s="276"/>
      <c r="O1919" s="276"/>
      <c r="P1919" s="276"/>
      <c r="Q1919" s="276"/>
      <c r="R1919" s="276"/>
      <c r="S1919" s="276"/>
      <c r="T1919" s="276"/>
      <c r="U1919" s="276"/>
      <c r="V1919" s="276"/>
      <c r="W1919" s="276"/>
      <c r="X1919" s="276"/>
    </row>
    <row r="1920" ht="15.75" customHeight="1">
      <c r="A1920" s="403"/>
      <c r="B1920" s="284">
        <f t="shared" si="32"/>
        <v>30</v>
      </c>
      <c r="C1920" s="284">
        <f t="shared" si="33"/>
        <v>12</v>
      </c>
      <c r="D1920" s="284">
        <f t="shared" si="34"/>
        <v>1899</v>
      </c>
      <c r="E1920" s="490"/>
      <c r="F1920" s="30"/>
      <c r="G1920" s="30"/>
      <c r="H1920" s="288">
        <f t="shared" si="35"/>
        <v>0</v>
      </c>
      <c r="I1920" s="490"/>
      <c r="J1920" s="276"/>
      <c r="K1920" s="276"/>
      <c r="L1920" s="276"/>
      <c r="M1920" s="276"/>
      <c r="N1920" s="276"/>
      <c r="O1920" s="276"/>
      <c r="P1920" s="276"/>
      <c r="Q1920" s="276"/>
      <c r="R1920" s="276"/>
      <c r="S1920" s="276"/>
      <c r="T1920" s="276"/>
      <c r="U1920" s="276"/>
      <c r="V1920" s="276"/>
      <c r="W1920" s="276"/>
      <c r="X1920" s="276"/>
    </row>
    <row r="1921" ht="15.75" customHeight="1">
      <c r="A1921" s="403"/>
      <c r="B1921" s="284">
        <f t="shared" si="32"/>
        <v>30</v>
      </c>
      <c r="C1921" s="284">
        <f t="shared" si="33"/>
        <v>12</v>
      </c>
      <c r="D1921" s="284">
        <f t="shared" si="34"/>
        <v>1899</v>
      </c>
      <c r="E1921" s="490"/>
      <c r="F1921" s="30"/>
      <c r="G1921" s="30"/>
      <c r="H1921" s="288">
        <f t="shared" si="35"/>
        <v>0</v>
      </c>
      <c r="I1921" s="490"/>
      <c r="J1921" s="276"/>
      <c r="K1921" s="276"/>
      <c r="L1921" s="276"/>
      <c r="M1921" s="276"/>
      <c r="N1921" s="276"/>
      <c r="O1921" s="276"/>
      <c r="P1921" s="276"/>
      <c r="Q1921" s="276"/>
      <c r="R1921" s="276"/>
      <c r="S1921" s="276"/>
      <c r="T1921" s="276"/>
      <c r="U1921" s="276"/>
      <c r="V1921" s="276"/>
      <c r="W1921" s="276"/>
      <c r="X1921" s="276"/>
    </row>
    <row r="1922" ht="15.75" customHeight="1">
      <c r="A1922" s="403"/>
      <c r="B1922" s="284">
        <f t="shared" si="32"/>
        <v>30</v>
      </c>
      <c r="C1922" s="284">
        <f t="shared" si="33"/>
        <v>12</v>
      </c>
      <c r="D1922" s="284">
        <f t="shared" si="34"/>
        <v>1899</v>
      </c>
      <c r="E1922" s="490"/>
      <c r="F1922" s="30"/>
      <c r="G1922" s="30"/>
      <c r="H1922" s="288">
        <f t="shared" si="35"/>
        <v>0</v>
      </c>
      <c r="I1922" s="490"/>
      <c r="J1922" s="276"/>
      <c r="K1922" s="276"/>
      <c r="L1922" s="276"/>
      <c r="M1922" s="276"/>
      <c r="N1922" s="276"/>
      <c r="O1922" s="276"/>
      <c r="P1922" s="276"/>
      <c r="Q1922" s="276"/>
      <c r="R1922" s="276"/>
      <c r="S1922" s="276"/>
      <c r="T1922" s="276"/>
      <c r="U1922" s="276"/>
      <c r="V1922" s="276"/>
      <c r="W1922" s="276"/>
      <c r="X1922" s="276"/>
    </row>
    <row r="1923" ht="15.75" customHeight="1">
      <c r="A1923" s="403"/>
      <c r="B1923" s="284">
        <f t="shared" si="32"/>
        <v>30</v>
      </c>
      <c r="C1923" s="284">
        <f t="shared" si="33"/>
        <v>12</v>
      </c>
      <c r="D1923" s="284">
        <f t="shared" si="34"/>
        <v>1899</v>
      </c>
      <c r="E1923" s="490"/>
      <c r="F1923" s="30"/>
      <c r="G1923" s="30"/>
      <c r="H1923" s="288">
        <f t="shared" si="35"/>
        <v>0</v>
      </c>
      <c r="I1923" s="490"/>
      <c r="J1923" s="276"/>
      <c r="K1923" s="276"/>
      <c r="L1923" s="276"/>
      <c r="M1923" s="276"/>
      <c r="N1923" s="276"/>
      <c r="O1923" s="276"/>
      <c r="P1923" s="276"/>
      <c r="Q1923" s="276"/>
      <c r="R1923" s="276"/>
      <c r="S1923" s="276"/>
      <c r="T1923" s="276"/>
      <c r="U1923" s="276"/>
      <c r="V1923" s="276"/>
      <c r="W1923" s="276"/>
      <c r="X1923" s="276"/>
    </row>
    <row r="1924" ht="15.75" customHeight="1">
      <c r="A1924" s="403"/>
      <c r="B1924" s="284">
        <f t="shared" si="32"/>
        <v>30</v>
      </c>
      <c r="C1924" s="284">
        <f t="shared" si="33"/>
        <v>12</v>
      </c>
      <c r="D1924" s="284">
        <f t="shared" si="34"/>
        <v>1899</v>
      </c>
      <c r="E1924" s="490"/>
      <c r="F1924" s="30"/>
      <c r="G1924" s="30"/>
      <c r="H1924" s="288">
        <f t="shared" si="35"/>
        <v>0</v>
      </c>
      <c r="I1924" s="490"/>
      <c r="J1924" s="276"/>
      <c r="K1924" s="276"/>
      <c r="L1924" s="276"/>
      <c r="M1924" s="276"/>
      <c r="N1924" s="276"/>
      <c r="O1924" s="276"/>
      <c r="P1924" s="276"/>
      <c r="Q1924" s="276"/>
      <c r="R1924" s="276"/>
      <c r="S1924" s="276"/>
      <c r="T1924" s="276"/>
      <c r="U1924" s="276"/>
      <c r="V1924" s="276"/>
      <c r="W1924" s="276"/>
      <c r="X1924" s="276"/>
    </row>
    <row r="1925" ht="15.75" customHeight="1">
      <c r="A1925" s="403"/>
      <c r="B1925" s="284">
        <f t="shared" si="32"/>
        <v>30</v>
      </c>
      <c r="C1925" s="284">
        <f t="shared" si="33"/>
        <v>12</v>
      </c>
      <c r="D1925" s="284">
        <f t="shared" si="34"/>
        <v>1899</v>
      </c>
      <c r="E1925" s="490"/>
      <c r="F1925" s="30"/>
      <c r="G1925" s="30"/>
      <c r="H1925" s="288">
        <f t="shared" si="35"/>
        <v>0</v>
      </c>
      <c r="I1925" s="490"/>
      <c r="J1925" s="276"/>
      <c r="K1925" s="276"/>
      <c r="L1925" s="276"/>
      <c r="M1925" s="276"/>
      <c r="N1925" s="276"/>
      <c r="O1925" s="276"/>
      <c r="P1925" s="276"/>
      <c r="Q1925" s="276"/>
      <c r="R1925" s="276"/>
      <c r="S1925" s="276"/>
      <c r="T1925" s="276"/>
      <c r="U1925" s="276"/>
      <c r="V1925" s="276"/>
      <c r="W1925" s="276"/>
      <c r="X1925" s="276"/>
    </row>
    <row r="1926" ht="15.75" customHeight="1">
      <c r="A1926" s="403"/>
      <c r="B1926" s="284">
        <f t="shared" si="32"/>
        <v>30</v>
      </c>
      <c r="C1926" s="284">
        <f t="shared" si="33"/>
        <v>12</v>
      </c>
      <c r="D1926" s="284">
        <f t="shared" si="34"/>
        <v>1899</v>
      </c>
      <c r="E1926" s="490"/>
      <c r="F1926" s="30"/>
      <c r="G1926" s="30"/>
      <c r="H1926" s="288">
        <f t="shared" si="35"/>
        <v>0</v>
      </c>
      <c r="I1926" s="490"/>
      <c r="J1926" s="276"/>
      <c r="K1926" s="276"/>
      <c r="L1926" s="276"/>
      <c r="M1926" s="276"/>
      <c r="N1926" s="276"/>
      <c r="O1926" s="276"/>
      <c r="P1926" s="276"/>
      <c r="Q1926" s="276"/>
      <c r="R1926" s="276"/>
      <c r="S1926" s="276"/>
      <c r="T1926" s="276"/>
      <c r="U1926" s="276"/>
      <c r="V1926" s="276"/>
      <c r="W1926" s="276"/>
      <c r="X1926" s="276"/>
    </row>
    <row r="1927" ht="15.75" customHeight="1">
      <c r="A1927" s="403"/>
      <c r="B1927" s="284">
        <f t="shared" si="32"/>
        <v>30</v>
      </c>
      <c r="C1927" s="284">
        <f t="shared" si="33"/>
        <v>12</v>
      </c>
      <c r="D1927" s="284">
        <f t="shared" si="34"/>
        <v>1899</v>
      </c>
      <c r="E1927" s="490"/>
      <c r="F1927" s="30"/>
      <c r="G1927" s="30"/>
      <c r="H1927" s="288">
        <f t="shared" si="35"/>
        <v>0</v>
      </c>
      <c r="I1927" s="490"/>
      <c r="J1927" s="276"/>
      <c r="K1927" s="276"/>
      <c r="L1927" s="276"/>
      <c r="M1927" s="276"/>
      <c r="N1927" s="276"/>
      <c r="O1927" s="276"/>
      <c r="P1927" s="276"/>
      <c r="Q1927" s="276"/>
      <c r="R1927" s="276"/>
      <c r="S1927" s="276"/>
      <c r="T1927" s="276"/>
      <c r="U1927" s="276"/>
      <c r="V1927" s="276"/>
      <c r="W1927" s="276"/>
      <c r="X1927" s="276"/>
    </row>
    <row r="1928" ht="15.75" customHeight="1">
      <c r="A1928" s="403"/>
      <c r="B1928" s="284">
        <f t="shared" si="32"/>
        <v>30</v>
      </c>
      <c r="C1928" s="284">
        <f t="shared" si="33"/>
        <v>12</v>
      </c>
      <c r="D1928" s="284">
        <f t="shared" si="34"/>
        <v>1899</v>
      </c>
      <c r="E1928" s="490"/>
      <c r="F1928" s="30"/>
      <c r="G1928" s="30"/>
      <c r="H1928" s="288">
        <f t="shared" si="35"/>
        <v>0</v>
      </c>
      <c r="I1928" s="490"/>
      <c r="J1928" s="276"/>
      <c r="K1928" s="276"/>
      <c r="L1928" s="276"/>
      <c r="M1928" s="276"/>
      <c r="N1928" s="276"/>
      <c r="O1928" s="276"/>
      <c r="P1928" s="276"/>
      <c r="Q1928" s="276"/>
      <c r="R1928" s="276"/>
      <c r="S1928" s="276"/>
      <c r="T1928" s="276"/>
      <c r="U1928" s="276"/>
      <c r="V1928" s="276"/>
      <c r="W1928" s="276"/>
      <c r="X1928" s="276"/>
    </row>
    <row r="1929" ht="15.75" customHeight="1">
      <c r="A1929" s="403"/>
      <c r="B1929" s="284">
        <f t="shared" si="32"/>
        <v>30</v>
      </c>
      <c r="C1929" s="284">
        <f t="shared" si="33"/>
        <v>12</v>
      </c>
      <c r="D1929" s="284">
        <f t="shared" si="34"/>
        <v>1899</v>
      </c>
      <c r="E1929" s="490"/>
      <c r="F1929" s="30"/>
      <c r="G1929" s="30"/>
      <c r="H1929" s="288">
        <f t="shared" si="35"/>
        <v>0</v>
      </c>
      <c r="I1929" s="490"/>
      <c r="J1929" s="276"/>
      <c r="K1929" s="276"/>
      <c r="L1929" s="276"/>
      <c r="M1929" s="276"/>
      <c r="N1929" s="276"/>
      <c r="O1929" s="276"/>
      <c r="P1929" s="276"/>
      <c r="Q1929" s="276"/>
      <c r="R1929" s="276"/>
      <c r="S1929" s="276"/>
      <c r="T1929" s="276"/>
      <c r="U1929" s="276"/>
      <c r="V1929" s="276"/>
      <c r="W1929" s="276"/>
      <c r="X1929" s="276"/>
    </row>
    <row r="1930" ht="15.75" customHeight="1">
      <c r="A1930" s="403"/>
      <c r="B1930" s="284">
        <f t="shared" si="32"/>
        <v>30</v>
      </c>
      <c r="C1930" s="284">
        <f t="shared" si="33"/>
        <v>12</v>
      </c>
      <c r="D1930" s="284">
        <f t="shared" si="34"/>
        <v>1899</v>
      </c>
      <c r="E1930" s="490"/>
      <c r="F1930" s="30"/>
      <c r="G1930" s="30"/>
      <c r="H1930" s="288">
        <f t="shared" si="35"/>
        <v>0</v>
      </c>
      <c r="I1930" s="490"/>
      <c r="J1930" s="276"/>
      <c r="K1930" s="276"/>
      <c r="L1930" s="276"/>
      <c r="M1930" s="276"/>
      <c r="N1930" s="276"/>
      <c r="O1930" s="276"/>
      <c r="P1930" s="276"/>
      <c r="Q1930" s="276"/>
      <c r="R1930" s="276"/>
      <c r="S1930" s="276"/>
      <c r="T1930" s="276"/>
      <c r="U1930" s="276"/>
      <c r="V1930" s="276"/>
      <c r="W1930" s="276"/>
      <c r="X1930" s="276"/>
    </row>
    <row r="1931" ht="15.75" customHeight="1">
      <c r="A1931" s="403"/>
      <c r="B1931" s="284">
        <f t="shared" si="32"/>
        <v>30</v>
      </c>
      <c r="C1931" s="284">
        <f t="shared" si="33"/>
        <v>12</v>
      </c>
      <c r="D1931" s="284">
        <f t="shared" si="34"/>
        <v>1899</v>
      </c>
      <c r="E1931" s="490"/>
      <c r="F1931" s="30"/>
      <c r="G1931" s="30"/>
      <c r="H1931" s="288">
        <f t="shared" si="35"/>
        <v>0</v>
      </c>
      <c r="I1931" s="490"/>
      <c r="J1931" s="276"/>
      <c r="K1931" s="276"/>
      <c r="L1931" s="276"/>
      <c r="M1931" s="276"/>
      <c r="N1931" s="276"/>
      <c r="O1931" s="276"/>
      <c r="P1931" s="276"/>
      <c r="Q1931" s="276"/>
      <c r="R1931" s="276"/>
      <c r="S1931" s="276"/>
      <c r="T1931" s="276"/>
      <c r="U1931" s="276"/>
      <c r="V1931" s="276"/>
      <c r="W1931" s="276"/>
      <c r="X1931" s="276"/>
    </row>
    <row r="1932" ht="15.75" customHeight="1">
      <c r="A1932" s="403"/>
      <c r="B1932" s="284">
        <f t="shared" si="32"/>
        <v>30</v>
      </c>
      <c r="C1932" s="284">
        <f t="shared" si="33"/>
        <v>12</v>
      </c>
      <c r="D1932" s="284">
        <f t="shared" si="34"/>
        <v>1899</v>
      </c>
      <c r="E1932" s="490"/>
      <c r="F1932" s="30"/>
      <c r="G1932" s="30"/>
      <c r="H1932" s="288">
        <f t="shared" si="35"/>
        <v>0</v>
      </c>
      <c r="I1932" s="490"/>
      <c r="J1932" s="276"/>
      <c r="K1932" s="276"/>
      <c r="L1932" s="276"/>
      <c r="M1932" s="276"/>
      <c r="N1932" s="276"/>
      <c r="O1932" s="276"/>
      <c r="P1932" s="276"/>
      <c r="Q1932" s="276"/>
      <c r="R1932" s="276"/>
      <c r="S1932" s="276"/>
      <c r="T1932" s="276"/>
      <c r="U1932" s="276"/>
      <c r="V1932" s="276"/>
      <c r="W1932" s="276"/>
      <c r="X1932" s="276"/>
    </row>
    <row r="1933" ht="15.75" customHeight="1">
      <c r="A1933" s="403"/>
      <c r="B1933" s="284">
        <f t="shared" si="32"/>
        <v>30</v>
      </c>
      <c r="C1933" s="284">
        <f t="shared" si="33"/>
        <v>12</v>
      </c>
      <c r="D1933" s="284">
        <f t="shared" si="34"/>
        <v>1899</v>
      </c>
      <c r="E1933" s="490"/>
      <c r="F1933" s="30"/>
      <c r="G1933" s="30"/>
      <c r="H1933" s="288">
        <f t="shared" si="35"/>
        <v>0</v>
      </c>
      <c r="I1933" s="490"/>
      <c r="J1933" s="276"/>
      <c r="K1933" s="276"/>
      <c r="L1933" s="276"/>
      <c r="M1933" s="276"/>
      <c r="N1933" s="276"/>
      <c r="O1933" s="276"/>
      <c r="P1933" s="276"/>
      <c r="Q1933" s="276"/>
      <c r="R1933" s="276"/>
      <c r="S1933" s="276"/>
      <c r="T1933" s="276"/>
      <c r="U1933" s="276"/>
      <c r="V1933" s="276"/>
      <c r="W1933" s="276"/>
      <c r="X1933" s="276"/>
    </row>
    <row r="1934" ht="15.75" customHeight="1">
      <c r="A1934" s="403"/>
      <c r="B1934" s="284">
        <f t="shared" si="32"/>
        <v>30</v>
      </c>
      <c r="C1934" s="284">
        <f t="shared" si="33"/>
        <v>12</v>
      </c>
      <c r="D1934" s="284">
        <f t="shared" si="34"/>
        <v>1899</v>
      </c>
      <c r="E1934" s="490"/>
      <c r="F1934" s="30"/>
      <c r="G1934" s="30"/>
      <c r="H1934" s="288">
        <f t="shared" si="35"/>
        <v>0</v>
      </c>
      <c r="I1934" s="490"/>
      <c r="J1934" s="276"/>
      <c r="K1934" s="276"/>
      <c r="L1934" s="276"/>
      <c r="M1934" s="276"/>
      <c r="N1934" s="276"/>
      <c r="O1934" s="276"/>
      <c r="P1934" s="276"/>
      <c r="Q1934" s="276"/>
      <c r="R1934" s="276"/>
      <c r="S1934" s="276"/>
      <c r="T1934" s="276"/>
      <c r="U1934" s="276"/>
      <c r="V1934" s="276"/>
      <c r="W1934" s="276"/>
      <c r="X1934" s="276"/>
    </row>
    <row r="1935" ht="15.75" customHeight="1">
      <c r="A1935" s="403"/>
      <c r="B1935" s="284">
        <f t="shared" si="32"/>
        <v>30</v>
      </c>
      <c r="C1935" s="284">
        <f t="shared" si="33"/>
        <v>12</v>
      </c>
      <c r="D1935" s="284">
        <f t="shared" si="34"/>
        <v>1899</v>
      </c>
      <c r="E1935" s="490"/>
      <c r="F1935" s="30"/>
      <c r="G1935" s="30"/>
      <c r="H1935" s="288">
        <f t="shared" si="35"/>
        <v>0</v>
      </c>
      <c r="I1935" s="490"/>
      <c r="J1935" s="276"/>
      <c r="K1935" s="276"/>
      <c r="L1935" s="276"/>
      <c r="M1935" s="276"/>
      <c r="N1935" s="276"/>
      <c r="O1935" s="276"/>
      <c r="P1935" s="276"/>
      <c r="Q1935" s="276"/>
      <c r="R1935" s="276"/>
      <c r="S1935" s="276"/>
      <c r="T1935" s="276"/>
      <c r="U1935" s="276"/>
      <c r="V1935" s="276"/>
      <c r="W1935" s="276"/>
      <c r="X1935" s="276"/>
    </row>
    <row r="1936" ht="15.75" customHeight="1">
      <c r="A1936" s="403"/>
      <c r="B1936" s="284">
        <f t="shared" si="32"/>
        <v>30</v>
      </c>
      <c r="C1936" s="284">
        <f t="shared" si="33"/>
        <v>12</v>
      </c>
      <c r="D1936" s="284">
        <f t="shared" si="34"/>
        <v>1899</v>
      </c>
      <c r="E1936" s="490"/>
      <c r="F1936" s="30"/>
      <c r="G1936" s="30"/>
      <c r="H1936" s="288">
        <f t="shared" si="35"/>
        <v>0</v>
      </c>
      <c r="I1936" s="490"/>
      <c r="J1936" s="276"/>
      <c r="K1936" s="276"/>
      <c r="L1936" s="276"/>
      <c r="M1936" s="276"/>
      <c r="N1936" s="276"/>
      <c r="O1936" s="276"/>
      <c r="P1936" s="276"/>
      <c r="Q1936" s="276"/>
      <c r="R1936" s="276"/>
      <c r="S1936" s="276"/>
      <c r="T1936" s="276"/>
      <c r="U1936" s="276"/>
      <c r="V1936" s="276"/>
      <c r="W1936" s="276"/>
      <c r="X1936" s="276"/>
    </row>
    <row r="1937" ht="15.75" customHeight="1">
      <c r="A1937" s="403"/>
      <c r="B1937" s="284">
        <f t="shared" si="32"/>
        <v>30</v>
      </c>
      <c r="C1937" s="284">
        <f t="shared" si="33"/>
        <v>12</v>
      </c>
      <c r="D1937" s="284">
        <f t="shared" si="34"/>
        <v>1899</v>
      </c>
      <c r="E1937" s="490"/>
      <c r="F1937" s="30"/>
      <c r="G1937" s="30"/>
      <c r="H1937" s="288">
        <f t="shared" si="35"/>
        <v>0</v>
      </c>
      <c r="I1937" s="490"/>
      <c r="J1937" s="276"/>
      <c r="K1937" s="276"/>
      <c r="L1937" s="276"/>
      <c r="M1937" s="276"/>
      <c r="N1937" s="276"/>
      <c r="O1937" s="276"/>
      <c r="P1937" s="276"/>
      <c r="Q1937" s="276"/>
      <c r="R1937" s="276"/>
      <c r="S1937" s="276"/>
      <c r="T1937" s="276"/>
      <c r="U1937" s="276"/>
      <c r="V1937" s="276"/>
      <c r="W1937" s="276"/>
      <c r="X1937" s="276"/>
    </row>
    <row r="1938" ht="15.75" customHeight="1">
      <c r="A1938" s="403"/>
      <c r="B1938" s="284">
        <f t="shared" si="32"/>
        <v>30</v>
      </c>
      <c r="C1938" s="284">
        <f t="shared" si="33"/>
        <v>12</v>
      </c>
      <c r="D1938" s="284">
        <f t="shared" si="34"/>
        <v>1899</v>
      </c>
      <c r="E1938" s="490"/>
      <c r="F1938" s="30"/>
      <c r="G1938" s="30"/>
      <c r="H1938" s="288">
        <f t="shared" si="35"/>
        <v>0</v>
      </c>
      <c r="I1938" s="490"/>
      <c r="J1938" s="276"/>
      <c r="K1938" s="276"/>
      <c r="L1938" s="276"/>
      <c r="M1938" s="276"/>
      <c r="N1938" s="276"/>
      <c r="O1938" s="276"/>
      <c r="P1938" s="276"/>
      <c r="Q1938" s="276"/>
      <c r="R1938" s="276"/>
      <c r="S1938" s="276"/>
      <c r="T1938" s="276"/>
      <c r="U1938" s="276"/>
      <c r="V1938" s="276"/>
      <c r="W1938" s="276"/>
      <c r="X1938" s="276"/>
    </row>
    <row r="1939" ht="15.75" customHeight="1">
      <c r="A1939" s="403"/>
      <c r="B1939" s="284">
        <f t="shared" si="32"/>
        <v>30</v>
      </c>
      <c r="C1939" s="284">
        <f t="shared" si="33"/>
        <v>12</v>
      </c>
      <c r="D1939" s="284">
        <f t="shared" si="34"/>
        <v>1899</v>
      </c>
      <c r="E1939" s="490"/>
      <c r="F1939" s="30"/>
      <c r="G1939" s="30"/>
      <c r="H1939" s="288">
        <f t="shared" si="35"/>
        <v>0</v>
      </c>
      <c r="I1939" s="490"/>
      <c r="J1939" s="276"/>
      <c r="K1939" s="276"/>
      <c r="L1939" s="276"/>
      <c r="M1939" s="276"/>
      <c r="N1939" s="276"/>
      <c r="O1939" s="276"/>
      <c r="P1939" s="276"/>
      <c r="Q1939" s="276"/>
      <c r="R1939" s="276"/>
      <c r="S1939" s="276"/>
      <c r="T1939" s="276"/>
      <c r="U1939" s="276"/>
      <c r="V1939" s="276"/>
      <c r="W1939" s="276"/>
      <c r="X1939" s="276"/>
    </row>
    <row r="1940" ht="15.75" customHeight="1">
      <c r="A1940" s="403"/>
      <c r="B1940" s="284">
        <f t="shared" si="32"/>
        <v>30</v>
      </c>
      <c r="C1940" s="284">
        <f t="shared" si="33"/>
        <v>12</v>
      </c>
      <c r="D1940" s="284">
        <f t="shared" si="34"/>
        <v>1899</v>
      </c>
      <c r="E1940" s="490"/>
      <c r="F1940" s="30"/>
      <c r="G1940" s="30"/>
      <c r="H1940" s="288">
        <f t="shared" si="35"/>
        <v>0</v>
      </c>
      <c r="I1940" s="490"/>
      <c r="J1940" s="276"/>
      <c r="K1940" s="276"/>
      <c r="L1940" s="276"/>
      <c r="M1940" s="276"/>
      <c r="N1940" s="276"/>
      <c r="O1940" s="276"/>
      <c r="P1940" s="276"/>
      <c r="Q1940" s="276"/>
      <c r="R1940" s="276"/>
      <c r="S1940" s="276"/>
      <c r="T1940" s="276"/>
      <c r="U1940" s="276"/>
      <c r="V1940" s="276"/>
      <c r="W1940" s="276"/>
      <c r="X1940" s="276"/>
    </row>
    <row r="1941" ht="15.75" customHeight="1">
      <c r="A1941" s="403"/>
      <c r="B1941" s="284">
        <f t="shared" si="32"/>
        <v>30</v>
      </c>
      <c r="C1941" s="284">
        <f t="shared" si="33"/>
        <v>12</v>
      </c>
      <c r="D1941" s="284">
        <f t="shared" si="34"/>
        <v>1899</v>
      </c>
      <c r="E1941" s="490"/>
      <c r="F1941" s="30"/>
      <c r="G1941" s="30"/>
      <c r="H1941" s="288">
        <f t="shared" si="35"/>
        <v>0</v>
      </c>
      <c r="I1941" s="490"/>
      <c r="J1941" s="276"/>
      <c r="K1941" s="276"/>
      <c r="L1941" s="276"/>
      <c r="M1941" s="276"/>
      <c r="N1941" s="276"/>
      <c r="O1941" s="276"/>
      <c r="P1941" s="276"/>
      <c r="Q1941" s="276"/>
      <c r="R1941" s="276"/>
      <c r="S1941" s="276"/>
      <c r="T1941" s="276"/>
      <c r="U1941" s="276"/>
      <c r="V1941" s="276"/>
      <c r="W1941" s="276"/>
      <c r="X1941" s="276"/>
    </row>
    <row r="1942" ht="15.75" customHeight="1">
      <c r="A1942" s="403"/>
      <c r="B1942" s="284">
        <f t="shared" si="32"/>
        <v>30</v>
      </c>
      <c r="C1942" s="284">
        <f t="shared" si="33"/>
        <v>12</v>
      </c>
      <c r="D1942" s="284">
        <f t="shared" si="34"/>
        <v>1899</v>
      </c>
      <c r="E1942" s="490"/>
      <c r="F1942" s="30"/>
      <c r="G1942" s="30"/>
      <c r="H1942" s="288">
        <f t="shared" si="35"/>
        <v>0</v>
      </c>
      <c r="I1942" s="490"/>
      <c r="J1942" s="276"/>
      <c r="K1942" s="276"/>
      <c r="L1942" s="276"/>
      <c r="M1942" s="276"/>
      <c r="N1942" s="276"/>
      <c r="O1942" s="276"/>
      <c r="P1942" s="276"/>
      <c r="Q1942" s="276"/>
      <c r="R1942" s="276"/>
      <c r="S1942" s="276"/>
      <c r="T1942" s="276"/>
      <c r="U1942" s="276"/>
      <c r="V1942" s="276"/>
      <c r="W1942" s="276"/>
      <c r="X1942" s="276"/>
    </row>
    <row r="1943" ht="15.75" customHeight="1">
      <c r="A1943" s="403"/>
      <c r="B1943" s="284">
        <f t="shared" si="32"/>
        <v>30</v>
      </c>
      <c r="C1943" s="284">
        <f t="shared" si="33"/>
        <v>12</v>
      </c>
      <c r="D1943" s="284">
        <f t="shared" si="34"/>
        <v>1899</v>
      </c>
      <c r="E1943" s="490"/>
      <c r="F1943" s="30"/>
      <c r="G1943" s="30"/>
      <c r="H1943" s="288">
        <f t="shared" si="35"/>
        <v>0</v>
      </c>
      <c r="I1943" s="490"/>
      <c r="J1943" s="276"/>
      <c r="K1943" s="276"/>
      <c r="L1943" s="276"/>
      <c r="M1943" s="276"/>
      <c r="N1943" s="276"/>
      <c r="O1943" s="276"/>
      <c r="P1943" s="276"/>
      <c r="Q1943" s="276"/>
      <c r="R1943" s="276"/>
      <c r="S1943" s="276"/>
      <c r="T1943" s="276"/>
      <c r="U1943" s="276"/>
      <c r="V1943" s="276"/>
      <c r="W1943" s="276"/>
      <c r="X1943" s="276"/>
    </row>
    <row r="1944" ht="15.75" customHeight="1">
      <c r="A1944" s="403"/>
      <c r="B1944" s="284">
        <f t="shared" si="32"/>
        <v>30</v>
      </c>
      <c r="C1944" s="284">
        <f t="shared" si="33"/>
        <v>12</v>
      </c>
      <c r="D1944" s="284">
        <f t="shared" si="34"/>
        <v>1899</v>
      </c>
      <c r="E1944" s="490"/>
      <c r="F1944" s="30"/>
      <c r="G1944" s="30"/>
      <c r="H1944" s="288">
        <f t="shared" si="35"/>
        <v>0</v>
      </c>
      <c r="I1944" s="490"/>
      <c r="J1944" s="276"/>
      <c r="K1944" s="276"/>
      <c r="L1944" s="276"/>
      <c r="M1944" s="276"/>
      <c r="N1944" s="276"/>
      <c r="O1944" s="276"/>
      <c r="P1944" s="276"/>
      <c r="Q1944" s="276"/>
      <c r="R1944" s="276"/>
      <c r="S1944" s="276"/>
      <c r="T1944" s="276"/>
      <c r="U1944" s="276"/>
      <c r="V1944" s="276"/>
      <c r="W1944" s="276"/>
      <c r="X1944" s="276"/>
    </row>
    <row r="1945" ht="15.75" customHeight="1">
      <c r="A1945" s="403"/>
      <c r="B1945" s="284">
        <f t="shared" si="32"/>
        <v>30</v>
      </c>
      <c r="C1945" s="284">
        <f t="shared" si="33"/>
        <v>12</v>
      </c>
      <c r="D1945" s="284">
        <f t="shared" si="34"/>
        <v>1899</v>
      </c>
      <c r="E1945" s="490"/>
      <c r="F1945" s="30"/>
      <c r="G1945" s="30"/>
      <c r="H1945" s="288">
        <f t="shared" si="35"/>
        <v>0</v>
      </c>
      <c r="I1945" s="490"/>
      <c r="J1945" s="276"/>
      <c r="K1945" s="276"/>
      <c r="L1945" s="276"/>
      <c r="M1945" s="276"/>
      <c r="N1945" s="276"/>
      <c r="O1945" s="276"/>
      <c r="P1945" s="276"/>
      <c r="Q1945" s="276"/>
      <c r="R1945" s="276"/>
      <c r="S1945" s="276"/>
      <c r="T1945" s="276"/>
      <c r="U1945" s="276"/>
      <c r="V1945" s="276"/>
      <c r="W1945" s="276"/>
      <c r="X1945" s="276"/>
    </row>
    <row r="1946" ht="15.75" customHeight="1">
      <c r="A1946" s="403"/>
      <c r="B1946" s="284">
        <f t="shared" si="32"/>
        <v>30</v>
      </c>
      <c r="C1946" s="284">
        <f t="shared" si="33"/>
        <v>12</v>
      </c>
      <c r="D1946" s="284">
        <f t="shared" si="34"/>
        <v>1899</v>
      </c>
      <c r="E1946" s="490"/>
      <c r="F1946" s="30"/>
      <c r="G1946" s="30"/>
      <c r="H1946" s="288">
        <f t="shared" si="35"/>
        <v>0</v>
      </c>
      <c r="I1946" s="490"/>
      <c r="J1946" s="276"/>
      <c r="K1946" s="276"/>
      <c r="L1946" s="276"/>
      <c r="M1946" s="276"/>
      <c r="N1946" s="276"/>
      <c r="O1946" s="276"/>
      <c r="P1946" s="276"/>
      <c r="Q1946" s="276"/>
      <c r="R1946" s="276"/>
      <c r="S1946" s="276"/>
      <c r="T1946" s="276"/>
      <c r="U1946" s="276"/>
      <c r="V1946" s="276"/>
      <c r="W1946" s="276"/>
      <c r="X1946" s="276"/>
    </row>
    <row r="1947" ht="15.75" customHeight="1">
      <c r="A1947" s="403"/>
      <c r="B1947" s="284">
        <f t="shared" si="32"/>
        <v>30</v>
      </c>
      <c r="C1947" s="284">
        <f t="shared" si="33"/>
        <v>12</v>
      </c>
      <c r="D1947" s="284">
        <f t="shared" si="34"/>
        <v>1899</v>
      </c>
      <c r="E1947" s="490"/>
      <c r="F1947" s="30"/>
      <c r="G1947" s="30"/>
      <c r="H1947" s="288">
        <f t="shared" si="35"/>
        <v>0</v>
      </c>
      <c r="I1947" s="490"/>
      <c r="J1947" s="276"/>
      <c r="K1947" s="276"/>
      <c r="L1947" s="276"/>
      <c r="M1947" s="276"/>
      <c r="N1947" s="276"/>
      <c r="O1947" s="276"/>
      <c r="P1947" s="276"/>
      <c r="Q1947" s="276"/>
      <c r="R1947" s="276"/>
      <c r="S1947" s="276"/>
      <c r="T1947" s="276"/>
      <c r="U1947" s="276"/>
      <c r="V1947" s="276"/>
      <c r="W1947" s="276"/>
      <c r="X1947" s="276"/>
    </row>
    <row r="1948" ht="15.75" customHeight="1">
      <c r="A1948" s="403"/>
      <c r="B1948" s="284">
        <f t="shared" si="32"/>
        <v>30</v>
      </c>
      <c r="C1948" s="284">
        <f t="shared" si="33"/>
        <v>12</v>
      </c>
      <c r="D1948" s="284">
        <f t="shared" si="34"/>
        <v>1899</v>
      </c>
      <c r="E1948" s="490"/>
      <c r="F1948" s="30"/>
      <c r="G1948" s="30"/>
      <c r="H1948" s="288">
        <f t="shared" si="35"/>
        <v>0</v>
      </c>
      <c r="I1948" s="490"/>
      <c r="J1948" s="276"/>
      <c r="K1948" s="276"/>
      <c r="L1948" s="276"/>
      <c r="M1948" s="276"/>
      <c r="N1948" s="276"/>
      <c r="O1948" s="276"/>
      <c r="P1948" s="276"/>
      <c r="Q1948" s="276"/>
      <c r="R1948" s="276"/>
      <c r="S1948" s="276"/>
      <c r="T1948" s="276"/>
      <c r="U1948" s="276"/>
      <c r="V1948" s="276"/>
      <c r="W1948" s="276"/>
      <c r="X1948" s="276"/>
    </row>
    <row r="1949" ht="15.75" customHeight="1">
      <c r="A1949" s="403"/>
      <c r="B1949" s="284">
        <f t="shared" si="32"/>
        <v>30</v>
      </c>
      <c r="C1949" s="284">
        <f t="shared" si="33"/>
        <v>12</v>
      </c>
      <c r="D1949" s="284">
        <f t="shared" si="34"/>
        <v>1899</v>
      </c>
      <c r="E1949" s="490"/>
      <c r="F1949" s="30"/>
      <c r="G1949" s="30"/>
      <c r="H1949" s="288">
        <f t="shared" si="35"/>
        <v>0</v>
      </c>
      <c r="I1949" s="490"/>
      <c r="J1949" s="276"/>
      <c r="K1949" s="276"/>
      <c r="L1949" s="276"/>
      <c r="M1949" s="276"/>
      <c r="N1949" s="276"/>
      <c r="O1949" s="276"/>
      <c r="P1949" s="276"/>
      <c r="Q1949" s="276"/>
      <c r="R1949" s="276"/>
      <c r="S1949" s="276"/>
      <c r="T1949" s="276"/>
      <c r="U1949" s="276"/>
      <c r="V1949" s="276"/>
      <c r="W1949" s="276"/>
      <c r="X1949" s="276"/>
    </row>
    <row r="1950" ht="15.75" customHeight="1">
      <c r="A1950" s="403"/>
      <c r="B1950" s="284">
        <f t="shared" si="32"/>
        <v>30</v>
      </c>
      <c r="C1950" s="284">
        <f t="shared" si="33"/>
        <v>12</v>
      </c>
      <c r="D1950" s="284">
        <f t="shared" si="34"/>
        <v>1899</v>
      </c>
      <c r="E1950" s="490"/>
      <c r="F1950" s="30"/>
      <c r="G1950" s="30"/>
      <c r="H1950" s="288">
        <f t="shared" si="35"/>
        <v>0</v>
      </c>
      <c r="I1950" s="490"/>
      <c r="J1950" s="276"/>
      <c r="K1950" s="276"/>
      <c r="L1950" s="276"/>
      <c r="M1950" s="276"/>
      <c r="N1950" s="276"/>
      <c r="O1950" s="276"/>
      <c r="P1950" s="276"/>
      <c r="Q1950" s="276"/>
      <c r="R1950" s="276"/>
      <c r="S1950" s="276"/>
      <c r="T1950" s="276"/>
      <c r="U1950" s="276"/>
      <c r="V1950" s="276"/>
      <c r="W1950" s="276"/>
      <c r="X1950" s="276"/>
    </row>
    <row r="1951" ht="15.75" customHeight="1">
      <c r="A1951" s="403"/>
      <c r="B1951" s="284">
        <f t="shared" si="32"/>
        <v>30</v>
      </c>
      <c r="C1951" s="284">
        <f t="shared" si="33"/>
        <v>12</v>
      </c>
      <c r="D1951" s="284">
        <f t="shared" si="34"/>
        <v>1899</v>
      </c>
      <c r="E1951" s="490"/>
      <c r="F1951" s="30"/>
      <c r="G1951" s="30"/>
      <c r="H1951" s="288">
        <f t="shared" si="35"/>
        <v>0</v>
      </c>
      <c r="I1951" s="490"/>
      <c r="J1951" s="276"/>
      <c r="K1951" s="276"/>
      <c r="L1951" s="276"/>
      <c r="M1951" s="276"/>
      <c r="N1951" s="276"/>
      <c r="O1951" s="276"/>
      <c r="P1951" s="276"/>
      <c r="Q1951" s="276"/>
      <c r="R1951" s="276"/>
      <c r="S1951" s="276"/>
      <c r="T1951" s="276"/>
      <c r="U1951" s="276"/>
      <c r="V1951" s="276"/>
      <c r="W1951" s="276"/>
      <c r="X1951" s="276"/>
    </row>
    <row r="1952" ht="15.75" customHeight="1">
      <c r="A1952" s="403"/>
      <c r="B1952" s="284">
        <f t="shared" si="32"/>
        <v>30</v>
      </c>
      <c r="C1952" s="284">
        <f t="shared" si="33"/>
        <v>12</v>
      </c>
      <c r="D1952" s="284">
        <f t="shared" si="34"/>
        <v>1899</v>
      </c>
      <c r="E1952" s="490"/>
      <c r="F1952" s="30"/>
      <c r="G1952" s="30"/>
      <c r="H1952" s="288">
        <f t="shared" si="35"/>
        <v>0</v>
      </c>
      <c r="I1952" s="490"/>
      <c r="J1952" s="276"/>
      <c r="K1952" s="276"/>
      <c r="L1952" s="276"/>
      <c r="M1952" s="276"/>
      <c r="N1952" s="276"/>
      <c r="O1952" s="276"/>
      <c r="P1952" s="276"/>
      <c r="Q1952" s="276"/>
      <c r="R1952" s="276"/>
      <c r="S1952" s="276"/>
      <c r="T1952" s="276"/>
      <c r="U1952" s="276"/>
      <c r="V1952" s="276"/>
      <c r="W1952" s="276"/>
      <c r="X1952" s="276"/>
    </row>
    <row r="1953" ht="15.75" customHeight="1">
      <c r="A1953" s="403"/>
      <c r="B1953" s="284">
        <f t="shared" si="32"/>
        <v>30</v>
      </c>
      <c r="C1953" s="284">
        <f t="shared" si="33"/>
        <v>12</v>
      </c>
      <c r="D1953" s="284">
        <f t="shared" si="34"/>
        <v>1899</v>
      </c>
      <c r="E1953" s="490"/>
      <c r="F1953" s="30"/>
      <c r="G1953" s="30"/>
      <c r="H1953" s="288">
        <f t="shared" si="35"/>
        <v>0</v>
      </c>
      <c r="I1953" s="490"/>
      <c r="J1953" s="276"/>
      <c r="K1953" s="276"/>
      <c r="L1953" s="276"/>
      <c r="M1953" s="276"/>
      <c r="N1953" s="276"/>
      <c r="O1953" s="276"/>
      <c r="P1953" s="276"/>
      <c r="Q1953" s="276"/>
      <c r="R1953" s="276"/>
      <c r="S1953" s="276"/>
      <c r="T1953" s="276"/>
      <c r="U1953" s="276"/>
      <c r="V1953" s="276"/>
      <c r="W1953" s="276"/>
      <c r="X1953" s="276"/>
    </row>
    <row r="1954" ht="15.75" customHeight="1">
      <c r="A1954" s="403"/>
      <c r="B1954" s="284">
        <f t="shared" si="32"/>
        <v>30</v>
      </c>
      <c r="C1954" s="284">
        <f t="shared" si="33"/>
        <v>12</v>
      </c>
      <c r="D1954" s="284">
        <f t="shared" si="34"/>
        <v>1899</v>
      </c>
      <c r="E1954" s="490"/>
      <c r="F1954" s="30"/>
      <c r="G1954" s="30"/>
      <c r="H1954" s="288">
        <f t="shared" si="35"/>
        <v>0</v>
      </c>
      <c r="I1954" s="490"/>
      <c r="J1954" s="276"/>
      <c r="K1954" s="276"/>
      <c r="L1954" s="276"/>
      <c r="M1954" s="276"/>
      <c r="N1954" s="276"/>
      <c r="O1954" s="276"/>
      <c r="P1954" s="276"/>
      <c r="Q1954" s="276"/>
      <c r="R1954" s="276"/>
      <c r="S1954" s="276"/>
      <c r="T1954" s="276"/>
      <c r="U1954" s="276"/>
      <c r="V1954" s="276"/>
      <c r="W1954" s="276"/>
      <c r="X1954" s="276"/>
    </row>
    <row r="1955" ht="15.75" customHeight="1">
      <c r="A1955" s="403"/>
      <c r="B1955" s="284">
        <f t="shared" si="32"/>
        <v>30</v>
      </c>
      <c r="C1955" s="284">
        <f t="shared" si="33"/>
        <v>12</v>
      </c>
      <c r="D1955" s="284">
        <f t="shared" si="34"/>
        <v>1899</v>
      </c>
      <c r="E1955" s="490"/>
      <c r="F1955" s="30"/>
      <c r="G1955" s="30"/>
      <c r="H1955" s="288">
        <f t="shared" si="35"/>
        <v>0</v>
      </c>
      <c r="I1955" s="490"/>
      <c r="J1955" s="276"/>
      <c r="K1955" s="276"/>
      <c r="L1955" s="276"/>
      <c r="M1955" s="276"/>
      <c r="N1955" s="276"/>
      <c r="O1955" s="276"/>
      <c r="P1955" s="276"/>
      <c r="Q1955" s="276"/>
      <c r="R1955" s="276"/>
      <c r="S1955" s="276"/>
      <c r="T1955" s="276"/>
      <c r="U1955" s="276"/>
      <c r="V1955" s="276"/>
      <c r="W1955" s="276"/>
      <c r="X1955" s="276"/>
    </row>
    <row r="1956" ht="15.75" customHeight="1">
      <c r="A1956" s="403"/>
      <c r="B1956" s="284">
        <f t="shared" si="32"/>
        <v>30</v>
      </c>
      <c r="C1956" s="284">
        <f t="shared" si="33"/>
        <v>12</v>
      </c>
      <c r="D1956" s="284">
        <f t="shared" si="34"/>
        <v>1899</v>
      </c>
      <c r="E1956" s="490"/>
      <c r="F1956" s="30"/>
      <c r="G1956" s="30"/>
      <c r="H1956" s="288">
        <f t="shared" si="35"/>
        <v>0</v>
      </c>
      <c r="I1956" s="490"/>
      <c r="J1956" s="276"/>
      <c r="K1956" s="276"/>
      <c r="L1956" s="276"/>
      <c r="M1956" s="276"/>
      <c r="N1956" s="276"/>
      <c r="O1956" s="276"/>
      <c r="P1956" s="276"/>
      <c r="Q1956" s="276"/>
      <c r="R1956" s="276"/>
      <c r="S1956" s="276"/>
      <c r="T1956" s="276"/>
      <c r="U1956" s="276"/>
      <c r="V1956" s="276"/>
      <c r="W1956" s="276"/>
      <c r="X1956" s="276"/>
    </row>
    <row r="1957" ht="15.75" customHeight="1">
      <c r="A1957" s="403"/>
      <c r="B1957" s="284">
        <f t="shared" si="32"/>
        <v>30</v>
      </c>
      <c r="C1957" s="284">
        <f t="shared" si="33"/>
        <v>12</v>
      </c>
      <c r="D1957" s="284">
        <f t="shared" si="34"/>
        <v>1899</v>
      </c>
      <c r="E1957" s="490"/>
      <c r="F1957" s="30"/>
      <c r="G1957" s="30"/>
      <c r="H1957" s="288">
        <f t="shared" si="35"/>
        <v>0</v>
      </c>
      <c r="I1957" s="490"/>
      <c r="J1957" s="276"/>
      <c r="K1957" s="276"/>
      <c r="L1957" s="276"/>
      <c r="M1957" s="276"/>
      <c r="N1957" s="276"/>
      <c r="O1957" s="276"/>
      <c r="P1957" s="276"/>
      <c r="Q1957" s="276"/>
      <c r="R1957" s="276"/>
      <c r="S1957" s="276"/>
      <c r="T1957" s="276"/>
      <c r="U1957" s="276"/>
      <c r="V1957" s="276"/>
      <c r="W1957" s="276"/>
      <c r="X1957" s="276"/>
    </row>
    <row r="1958" ht="15.75" customHeight="1">
      <c r="A1958" s="403"/>
      <c r="B1958" s="284">
        <f t="shared" si="32"/>
        <v>30</v>
      </c>
      <c r="C1958" s="284">
        <f t="shared" si="33"/>
        <v>12</v>
      </c>
      <c r="D1958" s="284">
        <f t="shared" si="34"/>
        <v>1899</v>
      </c>
      <c r="E1958" s="490"/>
      <c r="F1958" s="30"/>
      <c r="G1958" s="30"/>
      <c r="H1958" s="288">
        <f t="shared" si="35"/>
        <v>0</v>
      </c>
      <c r="I1958" s="490"/>
      <c r="J1958" s="276"/>
      <c r="K1958" s="276"/>
      <c r="L1958" s="276"/>
      <c r="M1958" s="276"/>
      <c r="N1958" s="276"/>
      <c r="O1958" s="276"/>
      <c r="P1958" s="276"/>
      <c r="Q1958" s="276"/>
      <c r="R1958" s="276"/>
      <c r="S1958" s="276"/>
      <c r="T1958" s="276"/>
      <c r="U1958" s="276"/>
      <c r="V1958" s="276"/>
      <c r="W1958" s="276"/>
      <c r="X1958" s="276"/>
    </row>
    <row r="1959" ht="15.75" customHeight="1">
      <c r="A1959" s="403"/>
      <c r="B1959" s="284">
        <f t="shared" si="32"/>
        <v>30</v>
      </c>
      <c r="C1959" s="284">
        <f t="shared" si="33"/>
        <v>12</v>
      </c>
      <c r="D1959" s="284">
        <f t="shared" si="34"/>
        <v>1899</v>
      </c>
      <c r="E1959" s="490"/>
      <c r="F1959" s="30"/>
      <c r="G1959" s="30"/>
      <c r="H1959" s="288">
        <f t="shared" si="35"/>
        <v>0</v>
      </c>
      <c r="I1959" s="490"/>
      <c r="J1959" s="276"/>
      <c r="K1959" s="276"/>
      <c r="L1959" s="276"/>
      <c r="M1959" s="276"/>
      <c r="N1959" s="276"/>
      <c r="O1959" s="276"/>
      <c r="P1959" s="276"/>
      <c r="Q1959" s="276"/>
      <c r="R1959" s="276"/>
      <c r="S1959" s="276"/>
      <c r="T1959" s="276"/>
      <c r="U1959" s="276"/>
      <c r="V1959" s="276"/>
      <c r="W1959" s="276"/>
      <c r="X1959" s="276"/>
    </row>
    <row r="1960" ht="15.75" customHeight="1">
      <c r="A1960" s="403"/>
      <c r="B1960" s="284">
        <f t="shared" si="32"/>
        <v>30</v>
      </c>
      <c r="C1960" s="284">
        <f t="shared" si="33"/>
        <v>12</v>
      </c>
      <c r="D1960" s="284">
        <f t="shared" si="34"/>
        <v>1899</v>
      </c>
      <c r="E1960" s="490"/>
      <c r="F1960" s="30"/>
      <c r="G1960" s="30"/>
      <c r="H1960" s="288">
        <f t="shared" si="35"/>
        <v>0</v>
      </c>
      <c r="I1960" s="490"/>
      <c r="J1960" s="276"/>
      <c r="K1960" s="276"/>
      <c r="L1960" s="276"/>
      <c r="M1960" s="276"/>
      <c r="N1960" s="276"/>
      <c r="O1960" s="276"/>
      <c r="P1960" s="276"/>
      <c r="Q1960" s="276"/>
      <c r="R1960" s="276"/>
      <c r="S1960" s="276"/>
      <c r="T1960" s="276"/>
      <c r="U1960" s="276"/>
      <c r="V1960" s="276"/>
      <c r="W1960" s="276"/>
      <c r="X1960" s="276"/>
    </row>
    <row r="1961" ht="15.75" customHeight="1">
      <c r="A1961" s="403"/>
      <c r="B1961" s="284">
        <f t="shared" si="32"/>
        <v>30</v>
      </c>
      <c r="C1961" s="284">
        <f t="shared" si="33"/>
        <v>12</v>
      </c>
      <c r="D1961" s="284">
        <f t="shared" si="34"/>
        <v>1899</v>
      </c>
      <c r="E1961" s="490"/>
      <c r="F1961" s="30"/>
      <c r="G1961" s="30"/>
      <c r="H1961" s="288">
        <f t="shared" si="35"/>
        <v>0</v>
      </c>
      <c r="I1961" s="490"/>
      <c r="J1961" s="276"/>
      <c r="K1961" s="276"/>
      <c r="L1961" s="276"/>
      <c r="M1961" s="276"/>
      <c r="N1961" s="276"/>
      <c r="O1961" s="276"/>
      <c r="P1961" s="276"/>
      <c r="Q1961" s="276"/>
      <c r="R1961" s="276"/>
      <c r="S1961" s="276"/>
      <c r="T1961" s="276"/>
      <c r="U1961" s="276"/>
      <c r="V1961" s="276"/>
      <c r="W1961" s="276"/>
      <c r="X1961" s="276"/>
    </row>
    <row r="1962" ht="15.75" customHeight="1">
      <c r="A1962" s="403"/>
      <c r="B1962" s="284">
        <f t="shared" si="32"/>
        <v>30</v>
      </c>
      <c r="C1962" s="284">
        <f t="shared" si="33"/>
        <v>12</v>
      </c>
      <c r="D1962" s="284">
        <f t="shared" si="34"/>
        <v>1899</v>
      </c>
      <c r="E1962" s="490"/>
      <c r="F1962" s="30"/>
      <c r="G1962" s="30"/>
      <c r="H1962" s="288">
        <f t="shared" si="35"/>
        <v>0</v>
      </c>
      <c r="I1962" s="490"/>
      <c r="J1962" s="276"/>
      <c r="K1962" s="276"/>
      <c r="L1962" s="276"/>
      <c r="M1962" s="276"/>
      <c r="N1962" s="276"/>
      <c r="O1962" s="276"/>
      <c r="P1962" s="276"/>
      <c r="Q1962" s="276"/>
      <c r="R1962" s="276"/>
      <c r="S1962" s="276"/>
      <c r="T1962" s="276"/>
      <c r="U1962" s="276"/>
      <c r="V1962" s="276"/>
      <c r="W1962" s="276"/>
      <c r="X1962" s="276"/>
    </row>
    <row r="1963" ht="15.75" customHeight="1">
      <c r="A1963" s="403"/>
      <c r="B1963" s="284">
        <f t="shared" si="32"/>
        <v>30</v>
      </c>
      <c r="C1963" s="284">
        <f t="shared" si="33"/>
        <v>12</v>
      </c>
      <c r="D1963" s="284">
        <f t="shared" si="34"/>
        <v>1899</v>
      </c>
      <c r="E1963" s="490"/>
      <c r="F1963" s="30"/>
      <c r="G1963" s="30"/>
      <c r="H1963" s="288">
        <f t="shared" si="35"/>
        <v>0</v>
      </c>
      <c r="I1963" s="490"/>
      <c r="J1963" s="276"/>
      <c r="K1963" s="276"/>
      <c r="L1963" s="276"/>
      <c r="M1963" s="276"/>
      <c r="N1963" s="276"/>
      <c r="O1963" s="276"/>
      <c r="P1963" s="276"/>
      <c r="Q1963" s="276"/>
      <c r="R1963" s="276"/>
      <c r="S1963" s="276"/>
      <c r="T1963" s="276"/>
      <c r="U1963" s="276"/>
      <c r="V1963" s="276"/>
      <c r="W1963" s="276"/>
      <c r="X1963" s="276"/>
    </row>
    <row r="1964" ht="15.75" customHeight="1">
      <c r="A1964" s="403"/>
      <c r="B1964" s="284">
        <f t="shared" si="32"/>
        <v>30</v>
      </c>
      <c r="C1964" s="284">
        <f t="shared" si="33"/>
        <v>12</v>
      </c>
      <c r="D1964" s="284">
        <f t="shared" si="34"/>
        <v>1899</v>
      </c>
      <c r="E1964" s="490"/>
      <c r="F1964" s="30"/>
      <c r="G1964" s="30"/>
      <c r="H1964" s="288">
        <f t="shared" si="35"/>
        <v>0</v>
      </c>
      <c r="I1964" s="490"/>
      <c r="J1964" s="276"/>
      <c r="K1964" s="276"/>
      <c r="L1964" s="276"/>
      <c r="M1964" s="276"/>
      <c r="N1964" s="276"/>
      <c r="O1964" s="276"/>
      <c r="P1964" s="276"/>
      <c r="Q1964" s="276"/>
      <c r="R1964" s="276"/>
      <c r="S1964" s="276"/>
      <c r="T1964" s="276"/>
      <c r="U1964" s="276"/>
      <c r="V1964" s="276"/>
      <c r="W1964" s="276"/>
      <c r="X1964" s="276"/>
    </row>
    <row r="1965" ht="15.75" customHeight="1">
      <c r="A1965" s="403"/>
      <c r="B1965" s="284">
        <f t="shared" si="32"/>
        <v>30</v>
      </c>
      <c r="C1965" s="284">
        <f t="shared" si="33"/>
        <v>12</v>
      </c>
      <c r="D1965" s="284">
        <f t="shared" si="34"/>
        <v>1899</v>
      </c>
      <c r="E1965" s="490"/>
      <c r="F1965" s="30"/>
      <c r="G1965" s="30"/>
      <c r="H1965" s="288">
        <f t="shared" si="35"/>
        <v>0</v>
      </c>
      <c r="I1965" s="490"/>
      <c r="J1965" s="276"/>
      <c r="K1965" s="276"/>
      <c r="L1965" s="276"/>
      <c r="M1965" s="276"/>
      <c r="N1965" s="276"/>
      <c r="O1965" s="276"/>
      <c r="P1965" s="276"/>
      <c r="Q1965" s="276"/>
      <c r="R1965" s="276"/>
      <c r="S1965" s="276"/>
      <c r="T1965" s="276"/>
      <c r="U1965" s="276"/>
      <c r="V1965" s="276"/>
      <c r="W1965" s="276"/>
      <c r="X1965" s="276"/>
    </row>
    <row r="1966" ht="15.75" customHeight="1">
      <c r="A1966" s="403"/>
      <c r="B1966" s="284">
        <f t="shared" si="32"/>
        <v>30</v>
      </c>
      <c r="C1966" s="284">
        <f t="shared" si="33"/>
        <v>12</v>
      </c>
      <c r="D1966" s="284">
        <f t="shared" si="34"/>
        <v>1899</v>
      </c>
      <c r="E1966" s="490"/>
      <c r="F1966" s="30"/>
      <c r="G1966" s="30"/>
      <c r="H1966" s="288">
        <f t="shared" si="35"/>
        <v>0</v>
      </c>
      <c r="I1966" s="490"/>
      <c r="J1966" s="276"/>
      <c r="K1966" s="276"/>
      <c r="L1966" s="276"/>
      <c r="M1966" s="276"/>
      <c r="N1966" s="276"/>
      <c r="O1966" s="276"/>
      <c r="P1966" s="276"/>
      <c r="Q1966" s="276"/>
      <c r="R1966" s="276"/>
      <c r="S1966" s="276"/>
      <c r="T1966" s="276"/>
      <c r="U1966" s="276"/>
      <c r="V1966" s="276"/>
      <c r="W1966" s="276"/>
      <c r="X1966" s="276"/>
    </row>
    <row r="1967" ht="15.75" customHeight="1">
      <c r="A1967" s="403"/>
      <c r="B1967" s="284">
        <f t="shared" si="32"/>
        <v>30</v>
      </c>
      <c r="C1967" s="284">
        <f t="shared" si="33"/>
        <v>12</v>
      </c>
      <c r="D1967" s="284">
        <f t="shared" si="34"/>
        <v>1899</v>
      </c>
      <c r="E1967" s="490"/>
      <c r="F1967" s="30"/>
      <c r="G1967" s="30"/>
      <c r="H1967" s="288">
        <f t="shared" si="35"/>
        <v>0</v>
      </c>
      <c r="I1967" s="490"/>
      <c r="J1967" s="276"/>
      <c r="K1967" s="276"/>
      <c r="L1967" s="276"/>
      <c r="M1967" s="276"/>
      <c r="N1967" s="276"/>
      <c r="O1967" s="276"/>
      <c r="P1967" s="276"/>
      <c r="Q1967" s="276"/>
      <c r="R1967" s="276"/>
      <c r="S1967" s="276"/>
      <c r="T1967" s="276"/>
      <c r="U1967" s="276"/>
      <c r="V1967" s="276"/>
      <c r="W1967" s="276"/>
      <c r="X1967" s="276"/>
    </row>
    <row r="1968" ht="15.75" customHeight="1">
      <c r="A1968" s="403"/>
      <c r="B1968" s="284">
        <f t="shared" si="32"/>
        <v>30</v>
      </c>
      <c r="C1968" s="284">
        <f t="shared" si="33"/>
        <v>12</v>
      </c>
      <c r="D1968" s="284">
        <f t="shared" si="34"/>
        <v>1899</v>
      </c>
      <c r="E1968" s="490"/>
      <c r="F1968" s="30"/>
      <c r="G1968" s="30"/>
      <c r="H1968" s="288">
        <f t="shared" si="35"/>
        <v>0</v>
      </c>
      <c r="I1968" s="490"/>
      <c r="J1968" s="276"/>
      <c r="K1968" s="276"/>
      <c r="L1968" s="276"/>
      <c r="M1968" s="276"/>
      <c r="N1968" s="276"/>
      <c r="O1968" s="276"/>
      <c r="P1968" s="276"/>
      <c r="Q1968" s="276"/>
      <c r="R1968" s="276"/>
      <c r="S1968" s="276"/>
      <c r="T1968" s="276"/>
      <c r="U1968" s="276"/>
      <c r="V1968" s="276"/>
      <c r="W1968" s="276"/>
      <c r="X1968" s="276"/>
    </row>
    <row r="1969" ht="15.75" customHeight="1">
      <c r="A1969" s="403"/>
      <c r="B1969" s="284">
        <f t="shared" si="32"/>
        <v>30</v>
      </c>
      <c r="C1969" s="284">
        <f t="shared" si="33"/>
        <v>12</v>
      </c>
      <c r="D1969" s="284">
        <f t="shared" si="34"/>
        <v>1899</v>
      </c>
      <c r="E1969" s="490"/>
      <c r="F1969" s="30"/>
      <c r="G1969" s="30"/>
      <c r="H1969" s="288">
        <f t="shared" si="35"/>
        <v>0</v>
      </c>
      <c r="I1969" s="490"/>
      <c r="J1969" s="276"/>
      <c r="K1969" s="276"/>
      <c r="L1969" s="276"/>
      <c r="M1969" s="276"/>
      <c r="N1969" s="276"/>
      <c r="O1969" s="276"/>
      <c r="P1969" s="276"/>
      <c r="Q1969" s="276"/>
      <c r="R1969" s="276"/>
      <c r="S1969" s="276"/>
      <c r="T1969" s="276"/>
      <c r="U1969" s="276"/>
      <c r="V1969" s="276"/>
      <c r="W1969" s="276"/>
      <c r="X1969" s="276"/>
    </row>
    <row r="1970" ht="15.75" customHeight="1">
      <c r="A1970" s="403"/>
      <c r="B1970" s="284">
        <f t="shared" si="32"/>
        <v>30</v>
      </c>
      <c r="C1970" s="284">
        <f t="shared" si="33"/>
        <v>12</v>
      </c>
      <c r="D1970" s="284">
        <f t="shared" si="34"/>
        <v>1899</v>
      </c>
      <c r="E1970" s="490"/>
      <c r="F1970" s="30"/>
      <c r="G1970" s="30"/>
      <c r="H1970" s="288">
        <f t="shared" si="35"/>
        <v>0</v>
      </c>
      <c r="I1970" s="490"/>
      <c r="J1970" s="276"/>
      <c r="K1970" s="276"/>
      <c r="L1970" s="276"/>
      <c r="M1970" s="276"/>
      <c r="N1970" s="276"/>
      <c r="O1970" s="276"/>
      <c r="P1970" s="276"/>
      <c r="Q1970" s="276"/>
      <c r="R1970" s="276"/>
      <c r="S1970" s="276"/>
      <c r="T1970" s="276"/>
      <c r="U1970" s="276"/>
      <c r="V1970" s="276"/>
      <c r="W1970" s="276"/>
      <c r="X1970" s="276"/>
    </row>
    <row r="1971" ht="15.75" customHeight="1">
      <c r="A1971" s="403"/>
      <c r="B1971" s="284">
        <f t="shared" si="32"/>
        <v>30</v>
      </c>
      <c r="C1971" s="284">
        <f t="shared" si="33"/>
        <v>12</v>
      </c>
      <c r="D1971" s="284">
        <f t="shared" si="34"/>
        <v>1899</v>
      </c>
      <c r="E1971" s="490"/>
      <c r="F1971" s="30"/>
      <c r="G1971" s="30"/>
      <c r="H1971" s="288">
        <f t="shared" si="35"/>
        <v>0</v>
      </c>
      <c r="I1971" s="490"/>
      <c r="J1971" s="276"/>
      <c r="K1971" s="276"/>
      <c r="L1971" s="276"/>
      <c r="M1971" s="276"/>
      <c r="N1971" s="276"/>
      <c r="O1971" s="276"/>
      <c r="P1971" s="276"/>
      <c r="Q1971" s="276"/>
      <c r="R1971" s="276"/>
      <c r="S1971" s="276"/>
      <c r="T1971" s="276"/>
      <c r="U1971" s="276"/>
      <c r="V1971" s="276"/>
      <c r="W1971" s="276"/>
      <c r="X1971" s="276"/>
    </row>
    <row r="1972" ht="15.75" customHeight="1">
      <c r="A1972" s="403"/>
      <c r="B1972" s="284">
        <f t="shared" si="32"/>
        <v>30</v>
      </c>
      <c r="C1972" s="284">
        <f t="shared" si="33"/>
        <v>12</v>
      </c>
      <c r="D1972" s="284">
        <f t="shared" si="34"/>
        <v>1899</v>
      </c>
      <c r="E1972" s="490"/>
      <c r="F1972" s="30"/>
      <c r="G1972" s="30"/>
      <c r="H1972" s="288">
        <f t="shared" si="35"/>
        <v>0</v>
      </c>
      <c r="I1972" s="490"/>
      <c r="J1972" s="276"/>
      <c r="K1972" s="276"/>
      <c r="L1972" s="276"/>
      <c r="M1972" s="276"/>
      <c r="N1972" s="276"/>
      <c r="O1972" s="276"/>
      <c r="P1972" s="276"/>
      <c r="Q1972" s="276"/>
      <c r="R1972" s="276"/>
      <c r="S1972" s="276"/>
      <c r="T1972" s="276"/>
      <c r="U1972" s="276"/>
      <c r="V1972" s="276"/>
      <c r="W1972" s="276"/>
      <c r="X1972" s="276"/>
    </row>
    <row r="1973" ht="15.75" customHeight="1">
      <c r="A1973" s="403"/>
      <c r="B1973" s="284">
        <f t="shared" si="32"/>
        <v>30</v>
      </c>
      <c r="C1973" s="284">
        <f t="shared" si="33"/>
        <v>12</v>
      </c>
      <c r="D1973" s="284">
        <f t="shared" si="34"/>
        <v>1899</v>
      </c>
      <c r="E1973" s="490"/>
      <c r="F1973" s="30"/>
      <c r="G1973" s="30"/>
      <c r="H1973" s="288">
        <f t="shared" si="35"/>
        <v>0</v>
      </c>
      <c r="I1973" s="490"/>
      <c r="J1973" s="276"/>
      <c r="K1973" s="276"/>
      <c r="L1973" s="276"/>
      <c r="M1973" s="276"/>
      <c r="N1973" s="276"/>
      <c r="O1973" s="276"/>
      <c r="P1973" s="276"/>
      <c r="Q1973" s="276"/>
      <c r="R1973" s="276"/>
      <c r="S1973" s="276"/>
      <c r="T1973" s="276"/>
      <c r="U1973" s="276"/>
      <c r="V1973" s="276"/>
      <c r="W1973" s="276"/>
      <c r="X1973" s="276"/>
    </row>
    <row r="1974" ht="15.75" customHeight="1">
      <c r="A1974" s="403"/>
      <c r="B1974" s="284">
        <f t="shared" si="32"/>
        <v>30</v>
      </c>
      <c r="C1974" s="284">
        <f t="shared" si="33"/>
        <v>12</v>
      </c>
      <c r="D1974" s="284">
        <f t="shared" si="34"/>
        <v>1899</v>
      </c>
      <c r="E1974" s="490"/>
      <c r="F1974" s="30"/>
      <c r="G1974" s="30"/>
      <c r="H1974" s="288">
        <f t="shared" si="35"/>
        <v>0</v>
      </c>
      <c r="I1974" s="490"/>
      <c r="J1974" s="276"/>
      <c r="K1974" s="276"/>
      <c r="L1974" s="276"/>
      <c r="M1974" s="276"/>
      <c r="N1974" s="276"/>
      <c r="O1974" s="276"/>
      <c r="P1974" s="276"/>
      <c r="Q1974" s="276"/>
      <c r="R1974" s="276"/>
      <c r="S1974" s="276"/>
      <c r="T1974" s="276"/>
      <c r="U1974" s="276"/>
      <c r="V1974" s="276"/>
      <c r="W1974" s="276"/>
      <c r="X1974" s="276"/>
    </row>
    <row r="1975" ht="15.75" customHeight="1">
      <c r="A1975" s="403"/>
      <c r="B1975" s="284">
        <f t="shared" si="32"/>
        <v>30</v>
      </c>
      <c r="C1975" s="284">
        <f t="shared" si="33"/>
        <v>12</v>
      </c>
      <c r="D1975" s="284">
        <f t="shared" si="34"/>
        <v>1899</v>
      </c>
      <c r="E1975" s="490"/>
      <c r="F1975" s="30"/>
      <c r="G1975" s="30"/>
      <c r="H1975" s="288">
        <f t="shared" si="35"/>
        <v>0</v>
      </c>
      <c r="I1975" s="490"/>
      <c r="J1975" s="276"/>
      <c r="K1975" s="276"/>
      <c r="L1975" s="276"/>
      <c r="M1975" s="276"/>
      <c r="N1975" s="276"/>
      <c r="O1975" s="276"/>
      <c r="P1975" s="276"/>
      <c r="Q1975" s="276"/>
      <c r="R1975" s="276"/>
      <c r="S1975" s="276"/>
      <c r="T1975" s="276"/>
      <c r="U1975" s="276"/>
      <c r="V1975" s="276"/>
      <c r="W1975" s="276"/>
      <c r="X1975" s="276"/>
    </row>
    <row r="1976" ht="15.75" customHeight="1">
      <c r="A1976" s="403"/>
      <c r="B1976" s="284">
        <f t="shared" si="32"/>
        <v>30</v>
      </c>
      <c r="C1976" s="284">
        <f t="shared" si="33"/>
        <v>12</v>
      </c>
      <c r="D1976" s="284">
        <f t="shared" si="34"/>
        <v>1899</v>
      </c>
      <c r="E1976" s="490"/>
      <c r="F1976" s="30"/>
      <c r="G1976" s="30"/>
      <c r="H1976" s="288">
        <f t="shared" si="35"/>
        <v>0</v>
      </c>
      <c r="I1976" s="490"/>
      <c r="J1976" s="276"/>
      <c r="K1976" s="276"/>
      <c r="L1976" s="276"/>
      <c r="M1976" s="276"/>
      <c r="N1976" s="276"/>
      <c r="O1976" s="276"/>
      <c r="P1976" s="276"/>
      <c r="Q1976" s="276"/>
      <c r="R1976" s="276"/>
      <c r="S1976" s="276"/>
      <c r="T1976" s="276"/>
      <c r="U1976" s="276"/>
      <c r="V1976" s="276"/>
      <c r="W1976" s="276"/>
      <c r="X1976" s="276"/>
    </row>
    <row r="1977" ht="15.75" customHeight="1">
      <c r="A1977" s="403"/>
      <c r="B1977" s="284">
        <f t="shared" si="32"/>
        <v>30</v>
      </c>
      <c r="C1977" s="284">
        <f t="shared" si="33"/>
        <v>12</v>
      </c>
      <c r="D1977" s="284">
        <f t="shared" si="34"/>
        <v>1899</v>
      </c>
      <c r="E1977" s="490"/>
      <c r="F1977" s="30"/>
      <c r="G1977" s="30"/>
      <c r="H1977" s="288">
        <f t="shared" si="35"/>
        <v>0</v>
      </c>
      <c r="I1977" s="490"/>
      <c r="J1977" s="276"/>
      <c r="K1977" s="276"/>
      <c r="L1977" s="276"/>
      <c r="M1977" s="276"/>
      <c r="N1977" s="276"/>
      <c r="O1977" s="276"/>
      <c r="P1977" s="276"/>
      <c r="Q1977" s="276"/>
      <c r="R1977" s="276"/>
      <c r="S1977" s="276"/>
      <c r="T1977" s="276"/>
      <c r="U1977" s="276"/>
      <c r="V1977" s="276"/>
      <c r="W1977" s="276"/>
      <c r="X1977" s="276"/>
    </row>
    <row r="1978" ht="15.75" customHeight="1">
      <c r="A1978" s="403"/>
      <c r="B1978" s="284">
        <f t="shared" si="32"/>
        <v>30</v>
      </c>
      <c r="C1978" s="284">
        <f t="shared" si="33"/>
        <v>12</v>
      </c>
      <c r="D1978" s="284">
        <f t="shared" si="34"/>
        <v>1899</v>
      </c>
      <c r="E1978" s="490"/>
      <c r="F1978" s="30"/>
      <c r="G1978" s="30"/>
      <c r="H1978" s="288">
        <f t="shared" si="35"/>
        <v>0</v>
      </c>
      <c r="I1978" s="490"/>
      <c r="J1978" s="276"/>
      <c r="K1978" s="276"/>
      <c r="L1978" s="276"/>
      <c r="M1978" s="276"/>
      <c r="N1978" s="276"/>
      <c r="O1978" s="276"/>
      <c r="P1978" s="276"/>
      <c r="Q1978" s="276"/>
      <c r="R1978" s="276"/>
      <c r="S1978" s="276"/>
      <c r="T1978" s="276"/>
      <c r="U1978" s="276"/>
      <c r="V1978" s="276"/>
      <c r="W1978" s="276"/>
      <c r="X1978" s="276"/>
    </row>
    <row r="1979" ht="15.75" customHeight="1">
      <c r="A1979" s="403"/>
      <c r="B1979" s="284">
        <f t="shared" si="32"/>
        <v>30</v>
      </c>
      <c r="C1979" s="284">
        <f t="shared" si="33"/>
        <v>12</v>
      </c>
      <c r="D1979" s="284">
        <f t="shared" si="34"/>
        <v>1899</v>
      </c>
      <c r="E1979" s="490"/>
      <c r="F1979" s="30"/>
      <c r="G1979" s="30"/>
      <c r="H1979" s="288">
        <f t="shared" si="35"/>
        <v>0</v>
      </c>
      <c r="I1979" s="490"/>
      <c r="J1979" s="276"/>
      <c r="K1979" s="276"/>
      <c r="L1979" s="276"/>
      <c r="M1979" s="276"/>
      <c r="N1979" s="276"/>
      <c r="O1979" s="276"/>
      <c r="P1979" s="276"/>
      <c r="Q1979" s="276"/>
      <c r="R1979" s="276"/>
      <c r="S1979" s="276"/>
      <c r="T1979" s="276"/>
      <c r="U1979" s="276"/>
      <c r="V1979" s="276"/>
      <c r="W1979" s="276"/>
      <c r="X1979" s="276"/>
    </row>
    <row r="1980" ht="15.75" customHeight="1">
      <c r="A1980" s="403"/>
      <c r="B1980" s="284">
        <f t="shared" si="32"/>
        <v>30</v>
      </c>
      <c r="C1980" s="284">
        <f t="shared" si="33"/>
        <v>12</v>
      </c>
      <c r="D1980" s="284">
        <f t="shared" si="34"/>
        <v>1899</v>
      </c>
      <c r="E1980" s="490"/>
      <c r="F1980" s="30"/>
      <c r="G1980" s="30"/>
      <c r="H1980" s="288">
        <f t="shared" si="35"/>
        <v>0</v>
      </c>
      <c r="I1980" s="490"/>
      <c r="J1980" s="276"/>
      <c r="K1980" s="276"/>
      <c r="L1980" s="276"/>
      <c r="M1980" s="276"/>
      <c r="N1980" s="276"/>
      <c r="O1980" s="276"/>
      <c r="P1980" s="276"/>
      <c r="Q1980" s="276"/>
      <c r="R1980" s="276"/>
      <c r="S1980" s="276"/>
      <c r="T1980" s="276"/>
      <c r="U1980" s="276"/>
      <c r="V1980" s="276"/>
      <c r="W1980" s="276"/>
      <c r="X1980" s="276"/>
    </row>
    <row r="1981" ht="15.75" customHeight="1">
      <c r="A1981" s="403"/>
      <c r="B1981" s="284">
        <f t="shared" si="32"/>
        <v>30</v>
      </c>
      <c r="C1981" s="284">
        <f t="shared" si="33"/>
        <v>12</v>
      </c>
      <c r="D1981" s="284">
        <f t="shared" si="34"/>
        <v>1899</v>
      </c>
      <c r="E1981" s="490"/>
      <c r="F1981" s="30"/>
      <c r="G1981" s="30"/>
      <c r="H1981" s="288">
        <f t="shared" si="35"/>
        <v>0</v>
      </c>
      <c r="I1981" s="490"/>
      <c r="J1981" s="276"/>
      <c r="K1981" s="276"/>
      <c r="L1981" s="276"/>
      <c r="M1981" s="276"/>
      <c r="N1981" s="276"/>
      <c r="O1981" s="276"/>
      <c r="P1981" s="276"/>
      <c r="Q1981" s="276"/>
      <c r="R1981" s="276"/>
      <c r="S1981" s="276"/>
      <c r="T1981" s="276"/>
      <c r="U1981" s="276"/>
      <c r="V1981" s="276"/>
      <c r="W1981" s="276"/>
      <c r="X1981" s="276"/>
    </row>
    <row r="1982" ht="15.75" customHeight="1">
      <c r="A1982" s="403"/>
      <c r="B1982" s="284">
        <f t="shared" si="32"/>
        <v>30</v>
      </c>
      <c r="C1982" s="284">
        <f t="shared" si="33"/>
        <v>12</v>
      </c>
      <c r="D1982" s="284">
        <f t="shared" si="34"/>
        <v>1899</v>
      </c>
      <c r="E1982" s="490"/>
      <c r="F1982" s="30"/>
      <c r="G1982" s="30"/>
      <c r="H1982" s="288">
        <f t="shared" si="35"/>
        <v>0</v>
      </c>
      <c r="I1982" s="490"/>
      <c r="J1982" s="276"/>
      <c r="K1982" s="276"/>
      <c r="L1982" s="276"/>
      <c r="M1982" s="276"/>
      <c r="N1982" s="276"/>
      <c r="O1982" s="276"/>
      <c r="P1982" s="276"/>
      <c r="Q1982" s="276"/>
      <c r="R1982" s="276"/>
      <c r="S1982" s="276"/>
      <c r="T1982" s="276"/>
      <c r="U1982" s="276"/>
      <c r="V1982" s="276"/>
      <c r="W1982" s="276"/>
      <c r="X1982" s="276"/>
    </row>
    <row r="1983" ht="15.75" customHeight="1">
      <c r="A1983" s="403"/>
      <c r="B1983" s="284">
        <f t="shared" si="32"/>
        <v>30</v>
      </c>
      <c r="C1983" s="284">
        <f t="shared" si="33"/>
        <v>12</v>
      </c>
      <c r="D1983" s="284">
        <f t="shared" si="34"/>
        <v>1899</v>
      </c>
      <c r="E1983" s="490"/>
      <c r="F1983" s="30"/>
      <c r="G1983" s="30"/>
      <c r="H1983" s="288">
        <f t="shared" si="35"/>
        <v>0</v>
      </c>
      <c r="I1983" s="490"/>
      <c r="J1983" s="276"/>
      <c r="K1983" s="276"/>
      <c r="L1983" s="276"/>
      <c r="M1983" s="276"/>
      <c r="N1983" s="276"/>
      <c r="O1983" s="276"/>
      <c r="P1983" s="276"/>
      <c r="Q1983" s="276"/>
      <c r="R1983" s="276"/>
      <c r="S1983" s="276"/>
      <c r="T1983" s="276"/>
      <c r="U1983" s="276"/>
      <c r="V1983" s="276"/>
      <c r="W1983" s="276"/>
      <c r="X1983" s="276"/>
    </row>
    <row r="1984" ht="15.75" customHeight="1">
      <c r="A1984" s="403"/>
      <c r="B1984" s="284">
        <f t="shared" si="32"/>
        <v>30</v>
      </c>
      <c r="C1984" s="284">
        <f t="shared" si="33"/>
        <v>12</v>
      </c>
      <c r="D1984" s="284">
        <f t="shared" si="34"/>
        <v>1899</v>
      </c>
      <c r="E1984" s="490"/>
      <c r="F1984" s="30"/>
      <c r="G1984" s="30"/>
      <c r="H1984" s="288">
        <f t="shared" si="35"/>
        <v>0</v>
      </c>
      <c r="I1984" s="490"/>
      <c r="J1984" s="276"/>
      <c r="K1984" s="276"/>
      <c r="L1984" s="276"/>
      <c r="M1984" s="276"/>
      <c r="N1984" s="276"/>
      <c r="O1984" s="276"/>
      <c r="P1984" s="276"/>
      <c r="Q1984" s="276"/>
      <c r="R1984" s="276"/>
      <c r="S1984" s="276"/>
      <c r="T1984" s="276"/>
      <c r="U1984" s="276"/>
      <c r="V1984" s="276"/>
      <c r="W1984" s="276"/>
      <c r="X1984" s="276"/>
    </row>
    <row r="1985" ht="15.75" customHeight="1">
      <c r="A1985" s="403"/>
      <c r="B1985" s="284">
        <f t="shared" si="32"/>
        <v>30</v>
      </c>
      <c r="C1985" s="284">
        <f t="shared" si="33"/>
        <v>12</v>
      </c>
      <c r="D1985" s="284">
        <f t="shared" si="34"/>
        <v>1899</v>
      </c>
      <c r="E1985" s="490"/>
      <c r="F1985" s="30"/>
      <c r="G1985" s="30"/>
      <c r="H1985" s="288">
        <f t="shared" si="35"/>
        <v>0</v>
      </c>
      <c r="I1985" s="490"/>
      <c r="J1985" s="276"/>
      <c r="K1985" s="276"/>
      <c r="L1985" s="276"/>
      <c r="M1985" s="276"/>
      <c r="N1985" s="276"/>
      <c r="O1985" s="276"/>
      <c r="P1985" s="276"/>
      <c r="Q1985" s="276"/>
      <c r="R1985" s="276"/>
      <c r="S1985" s="276"/>
      <c r="T1985" s="276"/>
      <c r="U1985" s="276"/>
      <c r="V1985" s="276"/>
      <c r="W1985" s="276"/>
      <c r="X1985" s="276"/>
    </row>
    <row r="1986" ht="15.75" customHeight="1">
      <c r="A1986" s="403"/>
      <c r="B1986" s="284">
        <f t="shared" si="32"/>
        <v>30</v>
      </c>
      <c r="C1986" s="284">
        <f t="shared" si="33"/>
        <v>12</v>
      </c>
      <c r="D1986" s="284">
        <f t="shared" si="34"/>
        <v>1899</v>
      </c>
      <c r="E1986" s="490"/>
      <c r="F1986" s="30"/>
      <c r="G1986" s="30"/>
      <c r="H1986" s="288">
        <f t="shared" si="35"/>
        <v>0</v>
      </c>
      <c r="I1986" s="490"/>
      <c r="J1986" s="276"/>
      <c r="K1986" s="276"/>
      <c r="L1986" s="276"/>
      <c r="M1986" s="276"/>
      <c r="N1986" s="276"/>
      <c r="O1986" s="276"/>
      <c r="P1986" s="276"/>
      <c r="Q1986" s="276"/>
      <c r="R1986" s="276"/>
      <c r="S1986" s="276"/>
      <c r="T1986" s="276"/>
      <c r="U1986" s="276"/>
      <c r="V1986" s="276"/>
      <c r="W1986" s="276"/>
      <c r="X1986" s="276"/>
    </row>
    <row r="1987" ht="15.75" customHeight="1">
      <c r="A1987" s="403"/>
      <c r="B1987" s="284">
        <f t="shared" si="32"/>
        <v>30</v>
      </c>
      <c r="C1987" s="284">
        <f t="shared" si="33"/>
        <v>12</v>
      </c>
      <c r="D1987" s="284">
        <f t="shared" si="34"/>
        <v>1899</v>
      </c>
      <c r="E1987" s="490"/>
      <c r="F1987" s="30"/>
      <c r="G1987" s="30"/>
      <c r="H1987" s="288">
        <f t="shared" si="35"/>
        <v>0</v>
      </c>
      <c r="I1987" s="490"/>
      <c r="J1987" s="276"/>
      <c r="K1987" s="276"/>
      <c r="L1987" s="276"/>
      <c r="M1987" s="276"/>
      <c r="N1987" s="276"/>
      <c r="O1987" s="276"/>
      <c r="P1987" s="276"/>
      <c r="Q1987" s="276"/>
      <c r="R1987" s="276"/>
      <c r="S1987" s="276"/>
      <c r="T1987" s="276"/>
      <c r="U1987" s="276"/>
      <c r="V1987" s="276"/>
      <c r="W1987" s="276"/>
      <c r="X1987" s="276"/>
    </row>
    <row r="1988" ht="15.75" customHeight="1">
      <c r="A1988" s="403"/>
      <c r="B1988" s="284">
        <f t="shared" si="32"/>
        <v>30</v>
      </c>
      <c r="C1988" s="284">
        <f t="shared" si="33"/>
        <v>12</v>
      </c>
      <c r="D1988" s="284">
        <f t="shared" si="34"/>
        <v>1899</v>
      </c>
      <c r="E1988" s="490"/>
      <c r="F1988" s="30"/>
      <c r="G1988" s="30"/>
      <c r="H1988" s="288">
        <f t="shared" si="35"/>
        <v>0</v>
      </c>
      <c r="I1988" s="490"/>
      <c r="J1988" s="276"/>
      <c r="K1988" s="276"/>
      <c r="L1988" s="276"/>
      <c r="M1988" s="276"/>
      <c r="N1988" s="276"/>
      <c r="O1988" s="276"/>
      <c r="P1988" s="276"/>
      <c r="Q1988" s="276"/>
      <c r="R1988" s="276"/>
      <c r="S1988" s="276"/>
      <c r="T1988" s="276"/>
      <c r="U1988" s="276"/>
      <c r="V1988" s="276"/>
      <c r="W1988" s="276"/>
      <c r="X1988" s="276"/>
    </row>
    <row r="1989" ht="15.75" customHeight="1">
      <c r="A1989" s="403"/>
      <c r="B1989" s="284">
        <f t="shared" si="32"/>
        <v>30</v>
      </c>
      <c r="C1989" s="284">
        <f t="shared" si="33"/>
        <v>12</v>
      </c>
      <c r="D1989" s="284">
        <f t="shared" si="34"/>
        <v>1899</v>
      </c>
      <c r="E1989" s="490"/>
      <c r="F1989" s="30"/>
      <c r="G1989" s="30"/>
      <c r="H1989" s="288">
        <f t="shared" si="35"/>
        <v>0</v>
      </c>
      <c r="I1989" s="490"/>
      <c r="J1989" s="276"/>
      <c r="K1989" s="276"/>
      <c r="L1989" s="276"/>
      <c r="M1989" s="276"/>
      <c r="N1989" s="276"/>
      <c r="O1989" s="276"/>
      <c r="P1989" s="276"/>
      <c r="Q1989" s="276"/>
      <c r="R1989" s="276"/>
      <c r="S1989" s="276"/>
      <c r="T1989" s="276"/>
      <c r="U1989" s="276"/>
      <c r="V1989" s="276"/>
      <c r="W1989" s="276"/>
      <c r="X1989" s="276"/>
    </row>
  </sheetData>
  <autoFilter ref="$A$2:$I$268">
    <sortState ref="A2:I268">
      <sortCondition ref="I2:I268"/>
      <sortCondition descending="1" ref="H2:H268"/>
      <sortCondition ref="B2:B268"/>
    </sortState>
  </autoFilter>
  <mergeCells count="1">
    <mergeCell ref="A1:I1"/>
  </mergeCells>
  <conditionalFormatting sqref="I3:I1989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E3:E1989">
      <formula1>'Lista 2'!$C$2:$C$100</formula1>
    </dataValidation>
    <dataValidation type="custom" allowBlank="1" showDropDown="1" showErrorMessage="1" sqref="A14:A15 A36:A37 A39:A46 A48:A52 A215 A226:A228 A460:A466 A535:A543 A623 A683:A687 A691:A697 A807:A813 A876:A879 A895:A902 A944 A958:A967 A978:A991 A1015:A1021 A1028:A1030 A1061:A1072 A1074 A1076:A1077 A1090">
      <formula1>OR(NOT(ISERROR(DATEVALUE(A14))), AND(ISNUMBER(A14), LEFT(CELL("format", A14))="D"))</formula1>
    </dataValidation>
    <dataValidation type="list" allowBlank="1" showErrorMessage="1" sqref="I3:I1989">
      <formula1>'Lista 2'!$B$2:$B$999</formula1>
    </dataValidation>
  </dataValidations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2" width="19.63"/>
  </cols>
  <sheetData>
    <row r="1">
      <c r="A1" s="235" t="s">
        <v>494</v>
      </c>
      <c r="B1" s="235" t="s">
        <v>495</v>
      </c>
      <c r="C1" s="235" t="s">
        <v>385</v>
      </c>
      <c r="D1" s="235" t="s">
        <v>496</v>
      </c>
      <c r="E1" s="235" t="s">
        <v>497</v>
      </c>
      <c r="F1" s="235" t="s">
        <v>498</v>
      </c>
      <c r="G1" s="235" t="s">
        <v>386</v>
      </c>
      <c r="H1" s="235" t="s">
        <v>499</v>
      </c>
      <c r="I1" s="235" t="s">
        <v>500</v>
      </c>
      <c r="J1" s="235" t="s">
        <v>501</v>
      </c>
      <c r="K1" s="235" t="s">
        <v>502</v>
      </c>
      <c r="L1" s="235" t="s">
        <v>503</v>
      </c>
      <c r="M1" s="235" t="s">
        <v>504</v>
      </c>
      <c r="N1" s="235" t="s">
        <v>505</v>
      </c>
      <c r="O1" s="235" t="s">
        <v>355</v>
      </c>
      <c r="P1" s="235" t="s">
        <v>506</v>
      </c>
      <c r="Q1" s="292" t="s">
        <v>507</v>
      </c>
      <c r="R1" s="292" t="s">
        <v>508</v>
      </c>
      <c r="S1" s="235" t="s">
        <v>509</v>
      </c>
      <c r="T1" s="164" t="s">
        <v>510</v>
      </c>
      <c r="U1" s="235" t="s">
        <v>356</v>
      </c>
      <c r="V1" s="235" t="s">
        <v>511</v>
      </c>
      <c r="W1" s="235" t="s">
        <v>512</v>
      </c>
      <c r="X1" s="235" t="s">
        <v>513</v>
      </c>
      <c r="Y1" s="235" t="s">
        <v>514</v>
      </c>
      <c r="Z1" s="235" t="s">
        <v>515</v>
      </c>
    </row>
    <row r="2">
      <c r="A2" s="293" t="s">
        <v>516</v>
      </c>
      <c r="B2" s="294" t="s">
        <v>517</v>
      </c>
      <c r="C2" s="295">
        <v>46153.0</v>
      </c>
      <c r="D2" s="296">
        <v>11.0</v>
      </c>
      <c r="E2" s="296">
        <v>5.0</v>
      </c>
      <c r="F2" s="296">
        <v>2026.0</v>
      </c>
      <c r="G2" s="295">
        <v>46154.0</v>
      </c>
      <c r="H2" s="296">
        <v>12.0</v>
      </c>
      <c r="I2" s="269">
        <v>5.0</v>
      </c>
      <c r="J2" s="296">
        <v>2026.0</v>
      </c>
      <c r="K2" s="235" t="s">
        <v>43</v>
      </c>
      <c r="L2" s="235" t="s">
        <v>518</v>
      </c>
      <c r="M2" s="296">
        <v>1.0</v>
      </c>
      <c r="N2" s="296">
        <v>1.0</v>
      </c>
      <c r="O2" s="296">
        <v>2.0</v>
      </c>
      <c r="P2" s="295">
        <v>46153.0</v>
      </c>
      <c r="Q2" s="213">
        <v>11.0</v>
      </c>
      <c r="R2" s="213">
        <v>5.0</v>
      </c>
      <c r="S2" s="296">
        <v>2026.0</v>
      </c>
      <c r="T2" s="82" t="s">
        <v>319</v>
      </c>
      <c r="U2" s="298">
        <v>37.9233</v>
      </c>
      <c r="V2" s="295">
        <v>46153.0</v>
      </c>
      <c r="W2" s="213">
        <v>11.0</v>
      </c>
      <c r="X2" s="213">
        <v>5.0</v>
      </c>
      <c r="Y2" s="296">
        <v>2026.0</v>
      </c>
      <c r="Z2" s="235" t="s">
        <v>7</v>
      </c>
    </row>
    <row r="3">
      <c r="A3" s="293" t="s">
        <v>519</v>
      </c>
      <c r="B3" s="294" t="s">
        <v>520</v>
      </c>
      <c r="C3" s="295">
        <v>46147.0</v>
      </c>
      <c r="D3" s="296">
        <v>5.0</v>
      </c>
      <c r="E3" s="296">
        <v>5.0</v>
      </c>
      <c r="F3" s="296">
        <v>2026.0</v>
      </c>
      <c r="G3" s="295">
        <v>46149.0</v>
      </c>
      <c r="H3" s="296">
        <v>7.0</v>
      </c>
      <c r="I3" s="269">
        <v>5.0</v>
      </c>
      <c r="J3" s="296">
        <v>2026.0</v>
      </c>
      <c r="K3" s="235" t="s">
        <v>43</v>
      </c>
      <c r="L3" s="235" t="s">
        <v>518</v>
      </c>
      <c r="M3" s="296">
        <v>1.0</v>
      </c>
      <c r="N3" s="296">
        <v>2.0</v>
      </c>
      <c r="O3" s="296">
        <v>4.0</v>
      </c>
      <c r="P3" s="295">
        <v>46147.0</v>
      </c>
      <c r="Q3" s="213">
        <v>5.0</v>
      </c>
      <c r="R3" s="213">
        <v>5.0</v>
      </c>
      <c r="S3" s="296">
        <v>2026.0</v>
      </c>
      <c r="T3" s="235" t="s">
        <v>352</v>
      </c>
      <c r="U3" s="298">
        <v>79.21755999999999</v>
      </c>
      <c r="V3" s="295">
        <v>46147.0</v>
      </c>
      <c r="W3" s="213">
        <v>5.0</v>
      </c>
      <c r="X3" s="213">
        <v>5.0</v>
      </c>
      <c r="Y3" s="296">
        <v>2026.0</v>
      </c>
      <c r="Z3" s="235" t="s">
        <v>7</v>
      </c>
    </row>
    <row r="4">
      <c r="A4" s="293" t="s">
        <v>521</v>
      </c>
      <c r="B4" s="294" t="s">
        <v>522</v>
      </c>
      <c r="C4" s="295">
        <v>46153.0</v>
      </c>
      <c r="D4" s="296">
        <v>11.0</v>
      </c>
      <c r="E4" s="296">
        <v>5.0</v>
      </c>
      <c r="F4" s="296">
        <v>2026.0</v>
      </c>
      <c r="G4" s="295">
        <v>46156.0</v>
      </c>
      <c r="H4" s="296">
        <v>14.0</v>
      </c>
      <c r="I4" s="269">
        <v>5.0</v>
      </c>
      <c r="J4" s="296">
        <v>2026.0</v>
      </c>
      <c r="K4" s="235" t="s">
        <v>43</v>
      </c>
      <c r="L4" s="235" t="s">
        <v>518</v>
      </c>
      <c r="M4" s="296">
        <v>1.0</v>
      </c>
      <c r="N4" s="296">
        <v>3.0</v>
      </c>
      <c r="O4" s="235"/>
      <c r="P4" s="295">
        <v>46153.0</v>
      </c>
      <c r="Q4" s="213">
        <v>11.0</v>
      </c>
      <c r="R4" s="213">
        <v>5.0</v>
      </c>
      <c r="S4" s="296">
        <v>2026.0</v>
      </c>
      <c r="T4" s="235" t="s">
        <v>7</v>
      </c>
      <c r="U4" s="298">
        <v>118.82634</v>
      </c>
      <c r="V4" s="295">
        <v>46153.0</v>
      </c>
      <c r="W4" s="213">
        <v>11.0</v>
      </c>
      <c r="X4" s="213">
        <v>5.0</v>
      </c>
      <c r="Y4" s="296">
        <v>2026.0</v>
      </c>
      <c r="Z4" s="235" t="s">
        <v>7</v>
      </c>
    </row>
    <row r="5">
      <c r="A5" s="293" t="s">
        <v>523</v>
      </c>
      <c r="B5" s="294" t="s">
        <v>524</v>
      </c>
      <c r="C5" s="299">
        <v>46170.0</v>
      </c>
      <c r="D5" s="296">
        <v>28.0</v>
      </c>
      <c r="E5" s="296">
        <v>5.0</v>
      </c>
      <c r="F5" s="296">
        <v>2026.0</v>
      </c>
      <c r="G5" s="299">
        <v>46172.0</v>
      </c>
      <c r="H5" s="296">
        <v>30.0</v>
      </c>
      <c r="I5" s="269">
        <v>5.0</v>
      </c>
      <c r="J5" s="296">
        <v>2026.0</v>
      </c>
      <c r="K5" s="164" t="s">
        <v>43</v>
      </c>
      <c r="L5" s="164" t="s">
        <v>518</v>
      </c>
      <c r="M5" s="235">
        <v>7.0</v>
      </c>
      <c r="N5" s="235">
        <v>2.0</v>
      </c>
      <c r="O5" s="82">
        <v>28.0</v>
      </c>
      <c r="P5" s="300">
        <v>46170.0</v>
      </c>
      <c r="Q5" s="301">
        <v>28.0</v>
      </c>
      <c r="R5" s="301">
        <v>5.0</v>
      </c>
      <c r="S5" s="296">
        <v>2026.0</v>
      </c>
      <c r="T5" s="82" t="s">
        <v>319</v>
      </c>
      <c r="U5" s="303">
        <v>436.83427900000004</v>
      </c>
      <c r="V5" s="300">
        <v>46170.0</v>
      </c>
      <c r="W5" s="301">
        <v>28.0</v>
      </c>
      <c r="X5" s="301">
        <v>5.0</v>
      </c>
      <c r="Y5" s="296">
        <v>2026.0</v>
      </c>
      <c r="Z5" s="235" t="s">
        <v>7</v>
      </c>
    </row>
    <row r="6">
      <c r="A6" s="293" t="s">
        <v>525</v>
      </c>
      <c r="B6" s="294" t="s">
        <v>526</v>
      </c>
      <c r="C6" s="295">
        <v>46163.0</v>
      </c>
      <c r="D6" s="296">
        <v>21.0</v>
      </c>
      <c r="E6" s="296">
        <v>5.0</v>
      </c>
      <c r="F6" s="296">
        <v>2026.0</v>
      </c>
      <c r="G6" s="295">
        <v>46164.0</v>
      </c>
      <c r="H6" s="296">
        <v>22.0</v>
      </c>
      <c r="I6" s="269">
        <v>5.0</v>
      </c>
      <c r="J6" s="296">
        <v>2026.0</v>
      </c>
      <c r="K6" s="235" t="s">
        <v>43</v>
      </c>
      <c r="L6" s="235" t="s">
        <v>518</v>
      </c>
      <c r="M6" s="296">
        <v>1.0</v>
      </c>
      <c r="N6" s="296">
        <v>1.0</v>
      </c>
      <c r="O6" s="296">
        <v>2.0</v>
      </c>
      <c r="P6" s="295">
        <v>46163.0</v>
      </c>
      <c r="Q6" s="213">
        <v>21.0</v>
      </c>
      <c r="R6" s="213">
        <v>5.0</v>
      </c>
      <c r="S6" s="296">
        <v>2026.0</v>
      </c>
      <c r="T6" s="235" t="s">
        <v>7</v>
      </c>
      <c r="U6" s="298">
        <v>37.9233</v>
      </c>
      <c r="V6" s="295">
        <v>46163.0</v>
      </c>
      <c r="W6" s="213">
        <v>21.0</v>
      </c>
      <c r="X6" s="213">
        <v>5.0</v>
      </c>
      <c r="Y6" s="296">
        <v>2026.0</v>
      </c>
      <c r="Z6" s="235" t="s">
        <v>7</v>
      </c>
    </row>
    <row r="7">
      <c r="A7" s="293" t="s">
        <v>527</v>
      </c>
      <c r="B7" s="294" t="s">
        <v>528</v>
      </c>
      <c r="C7" s="295">
        <v>46165.0</v>
      </c>
      <c r="D7" s="296">
        <v>23.0</v>
      </c>
      <c r="E7" s="296">
        <v>5.0</v>
      </c>
      <c r="F7" s="296">
        <v>2026.0</v>
      </c>
      <c r="G7" s="295">
        <v>46166.0</v>
      </c>
      <c r="H7" s="296">
        <v>24.0</v>
      </c>
      <c r="I7" s="269">
        <v>5.0</v>
      </c>
      <c r="J7" s="296">
        <v>2026.0</v>
      </c>
      <c r="K7" s="235" t="s">
        <v>43</v>
      </c>
      <c r="L7" s="235" t="s">
        <v>518</v>
      </c>
      <c r="M7" s="296">
        <v>1.0</v>
      </c>
      <c r="N7" s="296">
        <v>1.0</v>
      </c>
      <c r="O7" s="235"/>
      <c r="P7" s="295">
        <v>46165.0</v>
      </c>
      <c r="Q7" s="213">
        <v>23.0</v>
      </c>
      <c r="R7" s="213">
        <v>5.0</v>
      </c>
      <c r="S7" s="296">
        <v>2026.0</v>
      </c>
      <c r="T7" s="235" t="s">
        <v>7</v>
      </c>
      <c r="U7" s="298">
        <v>37.9233</v>
      </c>
      <c r="V7" s="295">
        <v>46165.0</v>
      </c>
      <c r="W7" s="213">
        <v>23.0</v>
      </c>
      <c r="X7" s="213">
        <v>5.0</v>
      </c>
      <c r="Y7" s="296">
        <v>2026.0</v>
      </c>
      <c r="Z7" s="235" t="s">
        <v>7</v>
      </c>
    </row>
    <row r="8">
      <c r="A8" s="293" t="s">
        <v>529</v>
      </c>
      <c r="B8" s="294" t="s">
        <v>530</v>
      </c>
      <c r="C8" s="295">
        <v>46149.0</v>
      </c>
      <c r="D8" s="296">
        <v>7.0</v>
      </c>
      <c r="E8" s="296">
        <v>5.0</v>
      </c>
      <c r="F8" s="296">
        <v>2026.0</v>
      </c>
      <c r="G8" s="295">
        <v>46150.0</v>
      </c>
      <c r="H8" s="296">
        <v>8.0</v>
      </c>
      <c r="I8" s="269">
        <v>5.0</v>
      </c>
      <c r="J8" s="296">
        <v>2026.0</v>
      </c>
      <c r="K8" s="235" t="s">
        <v>43</v>
      </c>
      <c r="L8" s="235" t="s">
        <v>518</v>
      </c>
      <c r="M8" s="296">
        <v>1.0</v>
      </c>
      <c r="N8" s="296">
        <v>1.0</v>
      </c>
      <c r="O8" s="235"/>
      <c r="P8" s="295">
        <v>46149.0</v>
      </c>
      <c r="Q8" s="213">
        <v>7.0</v>
      </c>
      <c r="R8" s="213">
        <v>5.0</v>
      </c>
      <c r="S8" s="296">
        <v>2026.0</v>
      </c>
      <c r="T8" s="235" t="s">
        <v>7</v>
      </c>
      <c r="U8" s="298">
        <v>43.82248</v>
      </c>
      <c r="V8" s="295">
        <v>46149.0</v>
      </c>
      <c r="W8" s="213">
        <v>7.0</v>
      </c>
      <c r="X8" s="213">
        <v>5.0</v>
      </c>
      <c r="Y8" s="296">
        <v>2026.0</v>
      </c>
      <c r="Z8" s="235" t="s">
        <v>7</v>
      </c>
    </row>
    <row r="9">
      <c r="A9" s="293" t="s">
        <v>532</v>
      </c>
      <c r="B9" s="294" t="s">
        <v>533</v>
      </c>
      <c r="C9" s="295">
        <v>46146.0</v>
      </c>
      <c r="D9" s="296">
        <v>4.0</v>
      </c>
      <c r="E9" s="296">
        <v>5.0</v>
      </c>
      <c r="F9" s="296">
        <v>2026.0</v>
      </c>
      <c r="G9" s="295">
        <v>46150.0</v>
      </c>
      <c r="H9" s="296">
        <v>8.0</v>
      </c>
      <c r="I9" s="269">
        <v>5.0</v>
      </c>
      <c r="J9" s="296">
        <v>2026.0</v>
      </c>
      <c r="K9" s="235" t="s">
        <v>43</v>
      </c>
      <c r="L9" s="235" t="s">
        <v>518</v>
      </c>
      <c r="M9" s="296">
        <v>1.0</v>
      </c>
      <c r="N9" s="296">
        <v>4.0</v>
      </c>
      <c r="O9" s="296">
        <v>8.0</v>
      </c>
      <c r="P9" s="295">
        <v>46147.0</v>
      </c>
      <c r="Q9" s="213">
        <v>5.0</v>
      </c>
      <c r="R9" s="213">
        <v>5.0</v>
      </c>
      <c r="S9" s="296">
        <v>2026.0</v>
      </c>
      <c r="T9" s="82" t="s">
        <v>319</v>
      </c>
      <c r="U9" s="298">
        <v>151.6932</v>
      </c>
      <c r="V9" s="295">
        <v>46147.0</v>
      </c>
      <c r="W9" s="213">
        <v>5.0</v>
      </c>
      <c r="X9" s="213">
        <v>5.0</v>
      </c>
      <c r="Y9" s="296">
        <v>2026.0</v>
      </c>
      <c r="Z9" s="235" t="s">
        <v>7</v>
      </c>
    </row>
    <row r="10">
      <c r="A10" s="293" t="s">
        <v>534</v>
      </c>
      <c r="B10" s="294" t="s">
        <v>535</v>
      </c>
      <c r="C10" s="295">
        <v>46160.0</v>
      </c>
      <c r="D10" s="296">
        <v>18.0</v>
      </c>
      <c r="E10" s="296">
        <v>5.0</v>
      </c>
      <c r="F10" s="296">
        <v>2026.0</v>
      </c>
      <c r="G10" s="295">
        <v>46163.0</v>
      </c>
      <c r="H10" s="296">
        <v>21.0</v>
      </c>
      <c r="I10" s="269">
        <v>5.0</v>
      </c>
      <c r="J10" s="296">
        <v>2026.0</v>
      </c>
      <c r="K10" s="235" t="s">
        <v>43</v>
      </c>
      <c r="L10" s="235" t="s">
        <v>518</v>
      </c>
      <c r="M10" s="296">
        <v>1.0</v>
      </c>
      <c r="N10" s="296">
        <v>3.0</v>
      </c>
      <c r="O10" s="296">
        <v>6.0</v>
      </c>
      <c r="P10" s="295">
        <v>46160.0</v>
      </c>
      <c r="Q10" s="213">
        <v>18.0</v>
      </c>
      <c r="R10" s="213">
        <v>5.0</v>
      </c>
      <c r="S10" s="296">
        <v>2026.0</v>
      </c>
      <c r="T10" s="82" t="s">
        <v>319</v>
      </c>
      <c r="U10" s="298">
        <v>113.7699</v>
      </c>
      <c r="V10" s="295">
        <v>46160.0</v>
      </c>
      <c r="W10" s="213">
        <v>18.0</v>
      </c>
      <c r="X10" s="213">
        <v>5.0</v>
      </c>
      <c r="Y10" s="296">
        <v>2026.0</v>
      </c>
      <c r="Z10" s="235" t="s">
        <v>7</v>
      </c>
    </row>
    <row r="11">
      <c r="A11" s="293" t="s">
        <v>536</v>
      </c>
      <c r="B11" s="294" t="s">
        <v>537</v>
      </c>
      <c r="C11" s="295">
        <v>46149.0</v>
      </c>
      <c r="D11" s="296">
        <v>7.0</v>
      </c>
      <c r="E11" s="296">
        <v>5.0</v>
      </c>
      <c r="F11" s="296">
        <v>2026.0</v>
      </c>
      <c r="G11" s="295">
        <v>46150.0</v>
      </c>
      <c r="H11" s="296">
        <v>8.0</v>
      </c>
      <c r="I11" s="269">
        <v>5.0</v>
      </c>
      <c r="J11" s="296">
        <v>2026.0</v>
      </c>
      <c r="K11" s="235" t="s">
        <v>43</v>
      </c>
      <c r="L11" s="235" t="s">
        <v>518</v>
      </c>
      <c r="M11" s="296">
        <v>1.0</v>
      </c>
      <c r="N11" s="296">
        <v>1.0</v>
      </c>
      <c r="O11" s="235"/>
      <c r="P11" s="295">
        <v>46149.0</v>
      </c>
      <c r="Q11" s="213">
        <v>7.0</v>
      </c>
      <c r="R11" s="213">
        <v>5.0</v>
      </c>
      <c r="S11" s="296">
        <v>2026.0</v>
      </c>
      <c r="T11" s="235" t="s">
        <v>7</v>
      </c>
      <c r="U11" s="298">
        <v>39.608779999999996</v>
      </c>
      <c r="V11" s="295">
        <v>46149.0</v>
      </c>
      <c r="W11" s="213">
        <v>7.0</v>
      </c>
      <c r="X11" s="213">
        <v>5.0</v>
      </c>
      <c r="Y11" s="296">
        <v>2026.0</v>
      </c>
      <c r="Z11" s="235" t="s">
        <v>7</v>
      </c>
    </row>
    <row r="12">
      <c r="A12" s="293" t="s">
        <v>538</v>
      </c>
      <c r="B12" s="294" t="s">
        <v>539</v>
      </c>
      <c r="C12" s="295">
        <v>46156.0</v>
      </c>
      <c r="D12" s="296">
        <v>14.0</v>
      </c>
      <c r="E12" s="296">
        <v>5.0</v>
      </c>
      <c r="F12" s="296">
        <v>2026.0</v>
      </c>
      <c r="G12" s="295">
        <v>46157.0</v>
      </c>
      <c r="H12" s="296">
        <v>15.0</v>
      </c>
      <c r="I12" s="269">
        <v>5.0</v>
      </c>
      <c r="J12" s="296">
        <v>2026.0</v>
      </c>
      <c r="K12" s="235" t="s">
        <v>43</v>
      </c>
      <c r="L12" s="235" t="s">
        <v>518</v>
      </c>
      <c r="M12" s="296">
        <v>1.0</v>
      </c>
      <c r="N12" s="296">
        <v>1.0</v>
      </c>
      <c r="O12" s="296">
        <v>2.0</v>
      </c>
      <c r="P12" s="295">
        <v>46156.0</v>
      </c>
      <c r="Q12" s="213">
        <v>14.0</v>
      </c>
      <c r="R12" s="213">
        <v>5.0</v>
      </c>
      <c r="S12" s="296">
        <v>2026.0</v>
      </c>
      <c r="T12" s="82" t="s">
        <v>319</v>
      </c>
      <c r="U12" s="298">
        <v>37.9233</v>
      </c>
      <c r="V12" s="295">
        <v>46156.0</v>
      </c>
      <c r="W12" s="213">
        <v>14.0</v>
      </c>
      <c r="X12" s="213">
        <v>5.0</v>
      </c>
      <c r="Y12" s="296">
        <v>2026.0</v>
      </c>
      <c r="Z12" s="235" t="s">
        <v>7</v>
      </c>
    </row>
    <row r="13">
      <c r="A13" s="293" t="s">
        <v>540</v>
      </c>
      <c r="B13" s="294" t="s">
        <v>541</v>
      </c>
      <c r="C13" s="295">
        <v>46152.0</v>
      </c>
      <c r="D13" s="296">
        <v>10.0</v>
      </c>
      <c r="E13" s="296">
        <v>5.0</v>
      </c>
      <c r="F13" s="296">
        <v>2026.0</v>
      </c>
      <c r="G13" s="295">
        <v>46153.0</v>
      </c>
      <c r="H13" s="296">
        <v>11.0</v>
      </c>
      <c r="I13" s="269">
        <v>5.0</v>
      </c>
      <c r="J13" s="296">
        <v>2026.0</v>
      </c>
      <c r="K13" s="235" t="s">
        <v>43</v>
      </c>
      <c r="L13" s="235" t="s">
        <v>518</v>
      </c>
      <c r="M13" s="296">
        <v>1.0</v>
      </c>
      <c r="N13" s="296">
        <v>1.0</v>
      </c>
      <c r="O13" s="296">
        <v>2.0</v>
      </c>
      <c r="P13" s="295">
        <v>46152.0</v>
      </c>
      <c r="Q13" s="213">
        <v>10.0</v>
      </c>
      <c r="R13" s="213">
        <v>5.0</v>
      </c>
      <c r="S13" s="296">
        <v>2026.0</v>
      </c>
      <c r="T13" s="82" t="s">
        <v>319</v>
      </c>
      <c r="U13" s="298">
        <v>37.9233</v>
      </c>
      <c r="V13" s="295">
        <v>46152.0</v>
      </c>
      <c r="W13" s="213">
        <v>10.0</v>
      </c>
      <c r="X13" s="213">
        <v>5.0</v>
      </c>
      <c r="Y13" s="296">
        <v>2026.0</v>
      </c>
      <c r="Z13" s="235" t="s">
        <v>7</v>
      </c>
    </row>
    <row r="14">
      <c r="A14" s="293" t="s">
        <v>542</v>
      </c>
      <c r="B14" s="294" t="s">
        <v>543</v>
      </c>
      <c r="C14" s="295">
        <v>46163.0</v>
      </c>
      <c r="D14" s="296">
        <v>21.0</v>
      </c>
      <c r="E14" s="296">
        <v>5.0</v>
      </c>
      <c r="F14" s="296">
        <v>2026.0</v>
      </c>
      <c r="G14" s="295">
        <v>46165.0</v>
      </c>
      <c r="H14" s="296">
        <v>23.0</v>
      </c>
      <c r="I14" s="269">
        <v>5.0</v>
      </c>
      <c r="J14" s="296">
        <v>2026.0</v>
      </c>
      <c r="K14" s="235" t="s">
        <v>43</v>
      </c>
      <c r="L14" s="235" t="s">
        <v>518</v>
      </c>
      <c r="M14" s="296">
        <v>1.0</v>
      </c>
      <c r="N14" s="296">
        <v>2.0</v>
      </c>
      <c r="O14" s="296">
        <v>16.0</v>
      </c>
      <c r="P14" s="295">
        <v>46163.0</v>
      </c>
      <c r="Q14" s="213">
        <v>21.0</v>
      </c>
      <c r="R14" s="213">
        <v>5.0</v>
      </c>
      <c r="S14" s="296">
        <v>2026.0</v>
      </c>
      <c r="T14" s="235" t="s">
        <v>7</v>
      </c>
      <c r="U14" s="298">
        <v>75.8466</v>
      </c>
      <c r="V14" s="295">
        <v>46163.0</v>
      </c>
      <c r="W14" s="213">
        <v>21.0</v>
      </c>
      <c r="X14" s="213">
        <v>5.0</v>
      </c>
      <c r="Y14" s="296">
        <v>2026.0</v>
      </c>
      <c r="Z14" s="235" t="s">
        <v>7</v>
      </c>
    </row>
    <row r="15">
      <c r="A15" s="293" t="s">
        <v>544</v>
      </c>
      <c r="B15" s="294" t="s">
        <v>545</v>
      </c>
      <c r="C15" s="295">
        <v>46166.0</v>
      </c>
      <c r="D15" s="296">
        <v>24.0</v>
      </c>
      <c r="E15" s="296">
        <v>5.0</v>
      </c>
      <c r="F15" s="296">
        <v>2026.0</v>
      </c>
      <c r="G15" s="295">
        <v>46167.0</v>
      </c>
      <c r="H15" s="296">
        <v>25.0</v>
      </c>
      <c r="I15" s="269">
        <v>5.0</v>
      </c>
      <c r="J15" s="296">
        <v>2026.0</v>
      </c>
      <c r="K15" s="235" t="s">
        <v>43</v>
      </c>
      <c r="L15" s="235" t="s">
        <v>518</v>
      </c>
      <c r="M15" s="296">
        <v>1.0</v>
      </c>
      <c r="N15" s="296">
        <v>1.0</v>
      </c>
      <c r="O15" s="235"/>
      <c r="P15" s="295">
        <v>46167.0</v>
      </c>
      <c r="Q15" s="213">
        <v>25.0</v>
      </c>
      <c r="R15" s="213">
        <v>5.0</v>
      </c>
      <c r="S15" s="296">
        <v>2026.0</v>
      </c>
      <c r="T15" s="235" t="s">
        <v>7</v>
      </c>
      <c r="U15" s="298">
        <v>37.9233</v>
      </c>
      <c r="V15" s="295">
        <v>46167.0</v>
      </c>
      <c r="W15" s="213">
        <v>25.0</v>
      </c>
      <c r="X15" s="213">
        <v>5.0</v>
      </c>
      <c r="Y15" s="296">
        <v>2026.0</v>
      </c>
      <c r="Z15" s="235" t="s">
        <v>7</v>
      </c>
    </row>
    <row r="16">
      <c r="A16" s="293" t="s">
        <v>546</v>
      </c>
      <c r="B16" s="294" t="s">
        <v>547</v>
      </c>
      <c r="C16" s="295">
        <v>46145.0</v>
      </c>
      <c r="D16" s="296">
        <v>3.0</v>
      </c>
      <c r="E16" s="296">
        <v>5.0</v>
      </c>
      <c r="F16" s="296">
        <v>2026.0</v>
      </c>
      <c r="G16" s="295">
        <v>46148.0</v>
      </c>
      <c r="H16" s="296">
        <v>6.0</v>
      </c>
      <c r="I16" s="269">
        <v>5.0</v>
      </c>
      <c r="J16" s="296">
        <v>2026.0</v>
      </c>
      <c r="K16" s="164" t="s">
        <v>43</v>
      </c>
      <c r="L16" s="235" t="s">
        <v>518</v>
      </c>
      <c r="M16" s="296">
        <v>1.0</v>
      </c>
      <c r="N16" s="296">
        <v>3.0</v>
      </c>
      <c r="O16" s="235"/>
      <c r="P16" s="295">
        <v>46145.0</v>
      </c>
      <c r="Q16" s="213">
        <v>3.0</v>
      </c>
      <c r="R16" s="213">
        <v>5.0</v>
      </c>
      <c r="S16" s="296">
        <v>2026.0</v>
      </c>
      <c r="T16" s="235" t="s">
        <v>7</v>
      </c>
      <c r="U16" s="298">
        <v>118.82634</v>
      </c>
      <c r="V16" s="295">
        <v>46145.0</v>
      </c>
      <c r="W16" s="213">
        <v>3.0</v>
      </c>
      <c r="X16" s="213">
        <v>5.0</v>
      </c>
      <c r="Y16" s="296">
        <v>2026.0</v>
      </c>
      <c r="Z16" s="235" t="s">
        <v>7</v>
      </c>
    </row>
    <row r="17">
      <c r="A17" s="293" t="s">
        <v>548</v>
      </c>
      <c r="B17" s="294" t="s">
        <v>549</v>
      </c>
      <c r="C17" s="295">
        <v>46145.0</v>
      </c>
      <c r="D17" s="296">
        <v>3.0</v>
      </c>
      <c r="E17" s="296">
        <v>5.0</v>
      </c>
      <c r="F17" s="296">
        <v>2026.0</v>
      </c>
      <c r="G17" s="295">
        <v>46147.0</v>
      </c>
      <c r="H17" s="296">
        <v>5.0</v>
      </c>
      <c r="I17" s="269">
        <v>5.0</v>
      </c>
      <c r="J17" s="296">
        <v>2026.0</v>
      </c>
      <c r="K17" s="235" t="s">
        <v>43</v>
      </c>
      <c r="L17" s="235" t="s">
        <v>518</v>
      </c>
      <c r="M17" s="296">
        <v>1.0</v>
      </c>
      <c r="N17" s="296">
        <v>2.0</v>
      </c>
      <c r="O17" s="296">
        <v>4.0</v>
      </c>
      <c r="P17" s="295">
        <v>46145.0</v>
      </c>
      <c r="Q17" s="213">
        <v>3.0</v>
      </c>
      <c r="R17" s="213">
        <v>5.0</v>
      </c>
      <c r="S17" s="296">
        <v>2026.0</v>
      </c>
      <c r="T17" s="82" t="s">
        <v>319</v>
      </c>
      <c r="U17" s="298">
        <v>75.8466</v>
      </c>
      <c r="V17" s="295">
        <v>46145.0</v>
      </c>
      <c r="W17" s="213">
        <v>3.0</v>
      </c>
      <c r="X17" s="213">
        <v>5.0</v>
      </c>
      <c r="Y17" s="296">
        <v>2026.0</v>
      </c>
      <c r="Z17" s="235" t="s">
        <v>7</v>
      </c>
    </row>
    <row r="18">
      <c r="A18" s="293" t="s">
        <v>550</v>
      </c>
      <c r="B18" s="294" t="s">
        <v>551</v>
      </c>
      <c r="C18" s="295">
        <v>46167.0</v>
      </c>
      <c r="D18" s="296">
        <v>25.0</v>
      </c>
      <c r="E18" s="296">
        <v>5.0</v>
      </c>
      <c r="F18" s="296">
        <v>2026.0</v>
      </c>
      <c r="G18" s="295">
        <v>46171.0</v>
      </c>
      <c r="H18" s="296">
        <v>29.0</v>
      </c>
      <c r="I18" s="269">
        <v>5.0</v>
      </c>
      <c r="J18" s="296">
        <v>2026.0</v>
      </c>
      <c r="K18" s="235" t="s">
        <v>43</v>
      </c>
      <c r="L18" s="235" t="s">
        <v>518</v>
      </c>
      <c r="M18" s="296">
        <v>1.0</v>
      </c>
      <c r="N18" s="296">
        <v>4.0</v>
      </c>
      <c r="O18" s="296">
        <v>8.0</v>
      </c>
      <c r="P18" s="295">
        <v>46167.0</v>
      </c>
      <c r="Q18" s="213">
        <v>25.0</v>
      </c>
      <c r="R18" s="213">
        <v>5.0</v>
      </c>
      <c r="S18" s="296">
        <v>2026.0</v>
      </c>
      <c r="T18" s="235" t="s">
        <v>7</v>
      </c>
      <c r="U18" s="298">
        <v>151.6932</v>
      </c>
      <c r="V18" s="295">
        <v>46167.0</v>
      </c>
      <c r="W18" s="213">
        <v>25.0</v>
      </c>
      <c r="X18" s="213">
        <v>5.0</v>
      </c>
      <c r="Y18" s="296">
        <v>2026.0</v>
      </c>
      <c r="Z18" s="235" t="s">
        <v>7</v>
      </c>
    </row>
    <row r="19">
      <c r="A19" s="293" t="s">
        <v>553</v>
      </c>
      <c r="B19" s="294" t="s">
        <v>554</v>
      </c>
      <c r="C19" s="295">
        <v>46167.0</v>
      </c>
      <c r="D19" s="296">
        <v>25.0</v>
      </c>
      <c r="E19" s="296">
        <v>5.0</v>
      </c>
      <c r="F19" s="296">
        <v>2026.0</v>
      </c>
      <c r="G19" s="295">
        <v>46170.0</v>
      </c>
      <c r="H19" s="296">
        <v>28.0</v>
      </c>
      <c r="I19" s="269">
        <v>5.0</v>
      </c>
      <c r="J19" s="296">
        <v>2026.0</v>
      </c>
      <c r="K19" s="235" t="s">
        <v>43</v>
      </c>
      <c r="L19" s="235" t="s">
        <v>518</v>
      </c>
      <c r="M19" s="296">
        <v>1.0</v>
      </c>
      <c r="N19" s="296">
        <v>3.0</v>
      </c>
      <c r="O19" s="296">
        <v>6.0</v>
      </c>
      <c r="P19" s="295">
        <v>46167.0</v>
      </c>
      <c r="Q19" s="213">
        <v>25.0</v>
      </c>
      <c r="R19" s="213">
        <v>5.0</v>
      </c>
      <c r="S19" s="296">
        <v>2026.0</v>
      </c>
      <c r="T19" s="82" t="s">
        <v>319</v>
      </c>
      <c r="U19" s="298">
        <v>113.7699</v>
      </c>
      <c r="V19" s="295">
        <v>46167.0</v>
      </c>
      <c r="W19" s="213">
        <v>25.0</v>
      </c>
      <c r="X19" s="213">
        <v>5.0</v>
      </c>
      <c r="Y19" s="296">
        <v>2026.0</v>
      </c>
      <c r="Z19" s="235" t="s">
        <v>7</v>
      </c>
    </row>
    <row r="20">
      <c r="A20" s="293" t="s">
        <v>555</v>
      </c>
      <c r="B20" s="294" t="s">
        <v>556</v>
      </c>
      <c r="C20" s="295">
        <v>46143.0</v>
      </c>
      <c r="D20" s="296">
        <v>1.0</v>
      </c>
      <c r="E20" s="296">
        <v>5.0</v>
      </c>
      <c r="F20" s="296">
        <v>2026.0</v>
      </c>
      <c r="G20" s="295">
        <v>46144.0</v>
      </c>
      <c r="H20" s="296">
        <v>2.0</v>
      </c>
      <c r="I20" s="269">
        <v>5.0</v>
      </c>
      <c r="J20" s="296">
        <v>2026.0</v>
      </c>
      <c r="K20" s="164" t="s">
        <v>43</v>
      </c>
      <c r="L20" s="235" t="s">
        <v>518</v>
      </c>
      <c r="M20" s="296">
        <v>1.0</v>
      </c>
      <c r="N20" s="296">
        <v>1.0</v>
      </c>
      <c r="O20" s="235"/>
      <c r="P20" s="295">
        <v>46144.0</v>
      </c>
      <c r="Q20" s="213">
        <v>2.0</v>
      </c>
      <c r="R20" s="213">
        <v>5.0</v>
      </c>
      <c r="S20" s="296">
        <v>2026.0</v>
      </c>
      <c r="T20" s="235" t="s">
        <v>7</v>
      </c>
      <c r="U20" s="298">
        <v>37.9233</v>
      </c>
      <c r="V20" s="295">
        <v>46144.0</v>
      </c>
      <c r="W20" s="213">
        <v>2.0</v>
      </c>
      <c r="X20" s="213">
        <v>5.0</v>
      </c>
      <c r="Y20" s="296">
        <v>2026.0</v>
      </c>
      <c r="Z20" s="235" t="s">
        <v>7</v>
      </c>
    </row>
    <row r="21">
      <c r="A21" s="293" t="s">
        <v>557</v>
      </c>
      <c r="B21" s="294" t="s">
        <v>558</v>
      </c>
      <c r="C21" s="295">
        <v>46151.0</v>
      </c>
      <c r="D21" s="296">
        <v>9.0</v>
      </c>
      <c r="E21" s="296">
        <v>5.0</v>
      </c>
      <c r="F21" s="296">
        <v>2026.0</v>
      </c>
      <c r="G21" s="295">
        <v>46153.0</v>
      </c>
      <c r="H21" s="296">
        <v>11.0</v>
      </c>
      <c r="I21" s="269">
        <v>5.0</v>
      </c>
      <c r="J21" s="296">
        <v>2026.0</v>
      </c>
      <c r="K21" s="235" t="s">
        <v>43</v>
      </c>
      <c r="L21" s="235" t="s">
        <v>518</v>
      </c>
      <c r="M21" s="296">
        <v>1.0</v>
      </c>
      <c r="N21" s="296">
        <v>2.0</v>
      </c>
      <c r="O21" s="296">
        <v>4.0</v>
      </c>
      <c r="P21" s="295">
        <v>46151.0</v>
      </c>
      <c r="Q21" s="213">
        <v>9.0</v>
      </c>
      <c r="R21" s="213">
        <v>5.0</v>
      </c>
      <c r="S21" s="296">
        <v>2026.0</v>
      </c>
      <c r="T21" s="82" t="s">
        <v>319</v>
      </c>
      <c r="U21" s="298">
        <v>75.8466</v>
      </c>
      <c r="V21" s="295">
        <v>46151.0</v>
      </c>
      <c r="W21" s="213">
        <v>9.0</v>
      </c>
      <c r="X21" s="213">
        <v>5.0</v>
      </c>
      <c r="Y21" s="296">
        <v>2026.0</v>
      </c>
      <c r="Z21" s="235" t="s">
        <v>7</v>
      </c>
    </row>
    <row r="22">
      <c r="A22" s="293" t="s">
        <v>559</v>
      </c>
      <c r="B22" s="294" t="s">
        <v>560</v>
      </c>
      <c r="C22" s="295">
        <v>46148.0</v>
      </c>
      <c r="D22" s="296">
        <v>6.0</v>
      </c>
      <c r="E22" s="296">
        <v>5.0</v>
      </c>
      <c r="F22" s="296">
        <v>2026.0</v>
      </c>
      <c r="G22" s="295">
        <v>46149.0</v>
      </c>
      <c r="H22" s="296">
        <v>7.0</v>
      </c>
      <c r="I22" s="269">
        <v>5.0</v>
      </c>
      <c r="J22" s="296">
        <v>2026.0</v>
      </c>
      <c r="K22" s="235" t="s">
        <v>43</v>
      </c>
      <c r="L22" s="235" t="s">
        <v>518</v>
      </c>
      <c r="M22" s="296">
        <v>1.0</v>
      </c>
      <c r="N22" s="296">
        <v>1.0</v>
      </c>
      <c r="O22" s="296">
        <v>2.0</v>
      </c>
      <c r="P22" s="295">
        <v>46148.0</v>
      </c>
      <c r="Q22" s="213">
        <v>6.0</v>
      </c>
      <c r="R22" s="213">
        <v>5.0</v>
      </c>
      <c r="S22" s="296">
        <v>2026.0</v>
      </c>
      <c r="T22" s="82" t="s">
        <v>319</v>
      </c>
      <c r="U22" s="298">
        <v>37.9233</v>
      </c>
      <c r="V22" s="295">
        <v>46148.0</v>
      </c>
      <c r="W22" s="213">
        <v>6.0</v>
      </c>
      <c r="X22" s="213">
        <v>5.0</v>
      </c>
      <c r="Y22" s="296">
        <v>2026.0</v>
      </c>
      <c r="Z22" s="235" t="s">
        <v>7</v>
      </c>
    </row>
    <row r="23">
      <c r="A23" s="293" t="s">
        <v>561</v>
      </c>
      <c r="B23" s="294" t="s">
        <v>562</v>
      </c>
      <c r="C23" s="295">
        <v>46151.0</v>
      </c>
      <c r="D23" s="296">
        <v>9.0</v>
      </c>
      <c r="E23" s="296">
        <v>5.0</v>
      </c>
      <c r="F23" s="296">
        <v>2026.0</v>
      </c>
      <c r="G23" s="295">
        <v>46152.0</v>
      </c>
      <c r="H23" s="296">
        <v>10.0</v>
      </c>
      <c r="I23" s="269">
        <v>5.0</v>
      </c>
      <c r="J23" s="296">
        <v>2026.0</v>
      </c>
      <c r="K23" s="235" t="s">
        <v>43</v>
      </c>
      <c r="L23" s="235" t="s">
        <v>518</v>
      </c>
      <c r="M23" s="296">
        <v>1.0</v>
      </c>
      <c r="N23" s="296">
        <v>1.0</v>
      </c>
      <c r="O23" s="235"/>
      <c r="P23" s="295">
        <v>46151.0</v>
      </c>
      <c r="Q23" s="213">
        <v>9.0</v>
      </c>
      <c r="R23" s="213">
        <v>5.0</v>
      </c>
      <c r="S23" s="296">
        <v>2026.0</v>
      </c>
      <c r="T23" s="235" t="s">
        <v>7</v>
      </c>
      <c r="U23" s="298">
        <v>46.3507</v>
      </c>
      <c r="V23" s="295">
        <v>46151.0</v>
      </c>
      <c r="W23" s="213">
        <v>9.0</v>
      </c>
      <c r="X23" s="213">
        <v>5.0</v>
      </c>
      <c r="Y23" s="296">
        <v>2026.0</v>
      </c>
      <c r="Z23" s="235" t="s">
        <v>7</v>
      </c>
    </row>
    <row r="24">
      <c r="A24" s="293" t="s">
        <v>564</v>
      </c>
      <c r="B24" s="294" t="s">
        <v>565</v>
      </c>
      <c r="C24" s="295">
        <v>46153.0</v>
      </c>
      <c r="D24" s="296">
        <v>11.0</v>
      </c>
      <c r="E24" s="296">
        <v>5.0</v>
      </c>
      <c r="F24" s="296">
        <v>2026.0</v>
      </c>
      <c r="G24" s="295">
        <v>46154.0</v>
      </c>
      <c r="H24" s="296">
        <v>12.0</v>
      </c>
      <c r="I24" s="269">
        <v>5.0</v>
      </c>
      <c r="J24" s="296">
        <v>2026.0</v>
      </c>
      <c r="K24" s="235" t="s">
        <v>43</v>
      </c>
      <c r="L24" s="235" t="s">
        <v>518</v>
      </c>
      <c r="M24" s="296">
        <v>1.0</v>
      </c>
      <c r="N24" s="296">
        <v>1.0</v>
      </c>
      <c r="O24" s="235"/>
      <c r="P24" s="295">
        <v>46153.0</v>
      </c>
      <c r="Q24" s="213">
        <v>11.0</v>
      </c>
      <c r="R24" s="213">
        <v>5.0</v>
      </c>
      <c r="S24" s="296">
        <v>2026.0</v>
      </c>
      <c r="T24" s="235" t="s">
        <v>7</v>
      </c>
      <c r="U24" s="298">
        <v>35.39508</v>
      </c>
      <c r="V24" s="295">
        <v>46153.0</v>
      </c>
      <c r="W24" s="213">
        <v>11.0</v>
      </c>
      <c r="X24" s="213">
        <v>5.0</v>
      </c>
      <c r="Y24" s="296">
        <v>2026.0</v>
      </c>
      <c r="Z24" s="235" t="s">
        <v>7</v>
      </c>
    </row>
    <row r="25">
      <c r="A25" s="293" t="s">
        <v>566</v>
      </c>
      <c r="B25" s="294" t="s">
        <v>567</v>
      </c>
      <c r="C25" s="295">
        <v>46152.0</v>
      </c>
      <c r="D25" s="296">
        <v>10.0</v>
      </c>
      <c r="E25" s="296">
        <v>5.0</v>
      </c>
      <c r="F25" s="296">
        <v>2026.0</v>
      </c>
      <c r="G25" s="295">
        <v>46156.0</v>
      </c>
      <c r="H25" s="296">
        <v>14.0</v>
      </c>
      <c r="I25" s="269">
        <v>5.0</v>
      </c>
      <c r="J25" s="296">
        <v>2026.0</v>
      </c>
      <c r="K25" s="235" t="s">
        <v>43</v>
      </c>
      <c r="L25" s="235" t="s">
        <v>518</v>
      </c>
      <c r="M25" s="296">
        <v>1.0</v>
      </c>
      <c r="N25" s="296">
        <v>4.0</v>
      </c>
      <c r="O25" s="296">
        <v>8.0</v>
      </c>
      <c r="P25" s="295">
        <v>46152.0</v>
      </c>
      <c r="Q25" s="213">
        <v>10.0</v>
      </c>
      <c r="R25" s="213">
        <v>5.0</v>
      </c>
      <c r="S25" s="296">
        <v>2026.0</v>
      </c>
      <c r="T25" s="82" t="s">
        <v>319</v>
      </c>
      <c r="U25" s="298">
        <v>151.6932</v>
      </c>
      <c r="V25" s="295">
        <v>46152.0</v>
      </c>
      <c r="W25" s="213">
        <v>10.0</v>
      </c>
      <c r="X25" s="213">
        <v>5.0</v>
      </c>
      <c r="Y25" s="296">
        <v>2026.0</v>
      </c>
      <c r="Z25" s="235" t="s">
        <v>7</v>
      </c>
    </row>
    <row r="26">
      <c r="A26" s="293" t="s">
        <v>568</v>
      </c>
      <c r="B26" s="294" t="s">
        <v>569</v>
      </c>
      <c r="C26" s="295">
        <v>46167.0</v>
      </c>
      <c r="D26" s="296">
        <v>25.0</v>
      </c>
      <c r="E26" s="296">
        <v>5.0</v>
      </c>
      <c r="F26" s="296">
        <v>2026.0</v>
      </c>
      <c r="G26" s="295">
        <v>46168.0</v>
      </c>
      <c r="H26" s="296">
        <v>26.0</v>
      </c>
      <c r="I26" s="269">
        <v>5.0</v>
      </c>
      <c r="J26" s="296">
        <v>2026.0</v>
      </c>
      <c r="K26" s="164" t="s">
        <v>43</v>
      </c>
      <c r="L26" s="235" t="s">
        <v>518</v>
      </c>
      <c r="M26" s="296">
        <v>1.0</v>
      </c>
      <c r="N26" s="296">
        <v>1.0</v>
      </c>
      <c r="O26" s="296">
        <v>4.0</v>
      </c>
      <c r="P26" s="295">
        <v>46167.0</v>
      </c>
      <c r="Q26" s="213">
        <v>25.0</v>
      </c>
      <c r="R26" s="213">
        <v>5.0</v>
      </c>
      <c r="S26" s="296">
        <v>2026.0</v>
      </c>
      <c r="T26" s="235" t="s">
        <v>7</v>
      </c>
      <c r="U26" s="298">
        <v>39.608779999999996</v>
      </c>
      <c r="V26" s="295">
        <v>46167.0</v>
      </c>
      <c r="W26" s="213">
        <v>25.0</v>
      </c>
      <c r="X26" s="213">
        <v>5.0</v>
      </c>
      <c r="Y26" s="296">
        <v>2026.0</v>
      </c>
      <c r="Z26" s="235" t="s">
        <v>7</v>
      </c>
    </row>
    <row r="27">
      <c r="A27" s="293" t="s">
        <v>570</v>
      </c>
      <c r="B27" s="294" t="s">
        <v>571</v>
      </c>
      <c r="C27" s="295">
        <v>46147.0</v>
      </c>
      <c r="D27" s="296">
        <v>5.0</v>
      </c>
      <c r="E27" s="296">
        <v>5.0</v>
      </c>
      <c r="F27" s="296">
        <v>2026.0</v>
      </c>
      <c r="G27" s="295">
        <v>46149.0</v>
      </c>
      <c r="H27" s="296">
        <v>7.0</v>
      </c>
      <c r="I27" s="269">
        <v>5.0</v>
      </c>
      <c r="J27" s="296">
        <v>2026.0</v>
      </c>
      <c r="K27" s="235" t="s">
        <v>43</v>
      </c>
      <c r="L27" s="235" t="s">
        <v>518</v>
      </c>
      <c r="M27" s="296">
        <v>1.0</v>
      </c>
      <c r="N27" s="296">
        <v>2.0</v>
      </c>
      <c r="O27" s="235"/>
      <c r="P27" s="295">
        <v>46147.0</v>
      </c>
      <c r="Q27" s="213">
        <v>5.0</v>
      </c>
      <c r="R27" s="213">
        <v>5.0</v>
      </c>
      <c r="S27" s="296">
        <v>2026.0</v>
      </c>
      <c r="T27" s="235" t="s">
        <v>7</v>
      </c>
      <c r="U27" s="298">
        <v>75.8466</v>
      </c>
      <c r="V27" s="295">
        <v>46147.0</v>
      </c>
      <c r="W27" s="213">
        <v>5.0</v>
      </c>
      <c r="X27" s="213">
        <v>5.0</v>
      </c>
      <c r="Y27" s="296">
        <v>2026.0</v>
      </c>
      <c r="Z27" s="235" t="s">
        <v>7</v>
      </c>
    </row>
    <row r="28">
      <c r="A28" s="293" t="s">
        <v>573</v>
      </c>
      <c r="B28" s="294" t="s">
        <v>574</v>
      </c>
      <c r="C28" s="295">
        <v>46156.0</v>
      </c>
      <c r="D28" s="296">
        <v>14.0</v>
      </c>
      <c r="E28" s="296">
        <v>5.0</v>
      </c>
      <c r="F28" s="296">
        <v>2026.0</v>
      </c>
      <c r="G28" s="295">
        <v>46158.0</v>
      </c>
      <c r="H28" s="296">
        <v>16.0</v>
      </c>
      <c r="I28" s="269">
        <v>5.0</v>
      </c>
      <c r="J28" s="296">
        <v>2026.0</v>
      </c>
      <c r="K28" s="235" t="s">
        <v>43</v>
      </c>
      <c r="L28" s="235" t="s">
        <v>518</v>
      </c>
      <c r="M28" s="296">
        <v>1.0</v>
      </c>
      <c r="N28" s="296">
        <v>2.0</v>
      </c>
      <c r="O28" s="296">
        <v>4.0</v>
      </c>
      <c r="P28" s="295">
        <v>46156.0</v>
      </c>
      <c r="Q28" s="213">
        <v>14.0</v>
      </c>
      <c r="R28" s="213">
        <v>5.0</v>
      </c>
      <c r="S28" s="296">
        <v>2026.0</v>
      </c>
      <c r="T28" s="235" t="s">
        <v>7</v>
      </c>
      <c r="U28" s="298">
        <v>67.4192</v>
      </c>
      <c r="V28" s="295">
        <v>46156.0</v>
      </c>
      <c r="W28" s="213">
        <v>14.0</v>
      </c>
      <c r="X28" s="213">
        <v>5.0</v>
      </c>
      <c r="Y28" s="296">
        <v>2026.0</v>
      </c>
      <c r="Z28" s="235" t="s">
        <v>7</v>
      </c>
    </row>
    <row r="29">
      <c r="A29" s="293" t="s">
        <v>575</v>
      </c>
      <c r="B29" s="294" t="s">
        <v>576</v>
      </c>
      <c r="C29" s="295">
        <v>46161.0</v>
      </c>
      <c r="D29" s="296">
        <v>19.0</v>
      </c>
      <c r="E29" s="296">
        <v>5.0</v>
      </c>
      <c r="F29" s="296">
        <v>2026.0</v>
      </c>
      <c r="G29" s="295">
        <v>46165.0</v>
      </c>
      <c r="H29" s="296">
        <v>23.0</v>
      </c>
      <c r="I29" s="269">
        <v>5.0</v>
      </c>
      <c r="J29" s="296">
        <v>2026.0</v>
      </c>
      <c r="K29" s="235" t="s">
        <v>43</v>
      </c>
      <c r="L29" s="235" t="s">
        <v>518</v>
      </c>
      <c r="M29" s="296">
        <v>1.0</v>
      </c>
      <c r="N29" s="296">
        <v>4.0</v>
      </c>
      <c r="O29" s="296">
        <v>8.0</v>
      </c>
      <c r="P29" s="295">
        <v>46164.0</v>
      </c>
      <c r="Q29" s="213">
        <v>22.0</v>
      </c>
      <c r="R29" s="213">
        <v>5.0</v>
      </c>
      <c r="S29" s="296">
        <v>2026.0</v>
      </c>
      <c r="T29" s="235" t="s">
        <v>7</v>
      </c>
      <c r="U29" s="298">
        <v>151.6932</v>
      </c>
      <c r="V29" s="295">
        <v>46164.0</v>
      </c>
      <c r="W29" s="213">
        <v>22.0</v>
      </c>
      <c r="X29" s="213">
        <v>5.0</v>
      </c>
      <c r="Y29" s="296">
        <v>2026.0</v>
      </c>
      <c r="Z29" s="235" t="s">
        <v>7</v>
      </c>
    </row>
    <row r="30">
      <c r="A30" s="293" t="s">
        <v>579</v>
      </c>
      <c r="B30" s="294" t="s">
        <v>580</v>
      </c>
      <c r="C30" s="295">
        <v>46143.0</v>
      </c>
      <c r="D30" s="296">
        <v>1.0</v>
      </c>
      <c r="E30" s="296">
        <v>5.0</v>
      </c>
      <c r="F30" s="296">
        <v>2026.0</v>
      </c>
      <c r="G30" s="295">
        <v>46146.0</v>
      </c>
      <c r="H30" s="296">
        <v>4.0</v>
      </c>
      <c r="I30" s="269">
        <v>5.0</v>
      </c>
      <c r="J30" s="296">
        <v>2026.0</v>
      </c>
      <c r="K30" s="235" t="s">
        <v>43</v>
      </c>
      <c r="L30" s="235" t="s">
        <v>518</v>
      </c>
      <c r="M30" s="296">
        <v>1.0</v>
      </c>
      <c r="N30" s="296">
        <v>3.0</v>
      </c>
      <c r="O30" s="235"/>
      <c r="P30" s="245">
        <v>33047.0</v>
      </c>
      <c r="Q30" s="213">
        <v>1.0</v>
      </c>
      <c r="R30" s="213">
        <v>5.0</v>
      </c>
      <c r="S30" s="296">
        <v>2026.0</v>
      </c>
      <c r="T30" s="235" t="s">
        <v>7</v>
      </c>
      <c r="U30" s="298">
        <v>118.82634</v>
      </c>
      <c r="V30" s="245">
        <v>33047.0</v>
      </c>
      <c r="W30" s="213">
        <v>1.0</v>
      </c>
      <c r="X30" s="213">
        <v>5.0</v>
      </c>
      <c r="Y30" s="296">
        <v>2026.0</v>
      </c>
      <c r="Z30" s="235" t="s">
        <v>7</v>
      </c>
    </row>
    <row r="31">
      <c r="A31" s="293" t="s">
        <v>581</v>
      </c>
      <c r="B31" s="294" t="s">
        <v>582</v>
      </c>
      <c r="C31" s="295">
        <v>46144.0</v>
      </c>
      <c r="D31" s="296">
        <v>2.0</v>
      </c>
      <c r="E31" s="296">
        <v>5.0</v>
      </c>
      <c r="F31" s="296">
        <v>2026.0</v>
      </c>
      <c r="G31" s="295">
        <v>46145.0</v>
      </c>
      <c r="H31" s="296">
        <v>3.0</v>
      </c>
      <c r="I31" s="269">
        <v>5.0</v>
      </c>
      <c r="J31" s="296">
        <v>2026.0</v>
      </c>
      <c r="K31" s="235" t="s">
        <v>43</v>
      </c>
      <c r="L31" s="235" t="s">
        <v>518</v>
      </c>
      <c r="M31" s="296">
        <v>1.0</v>
      </c>
      <c r="N31" s="296">
        <v>1.0</v>
      </c>
      <c r="O31" s="235"/>
      <c r="P31" s="295">
        <v>46144.0</v>
      </c>
      <c r="Q31" s="213">
        <v>2.0</v>
      </c>
      <c r="R31" s="213">
        <v>5.0</v>
      </c>
      <c r="S31" s="296">
        <v>2026.0</v>
      </c>
      <c r="T31" s="235" t="s">
        <v>7</v>
      </c>
      <c r="U31" s="298">
        <v>37.9233</v>
      </c>
      <c r="V31" s="295">
        <v>46144.0</v>
      </c>
      <c r="W31" s="213">
        <v>2.0</v>
      </c>
      <c r="X31" s="213">
        <v>5.0</v>
      </c>
      <c r="Y31" s="296">
        <v>2026.0</v>
      </c>
      <c r="Z31" s="235" t="s">
        <v>7</v>
      </c>
    </row>
    <row r="32">
      <c r="A32" s="293" t="s">
        <v>581</v>
      </c>
      <c r="B32" s="294" t="s">
        <v>585</v>
      </c>
      <c r="C32" s="295">
        <v>46143.0</v>
      </c>
      <c r="D32" s="296">
        <v>1.0</v>
      </c>
      <c r="E32" s="296">
        <v>5.0</v>
      </c>
      <c r="F32" s="296">
        <v>2026.0</v>
      </c>
      <c r="G32" s="295">
        <v>46144.0</v>
      </c>
      <c r="H32" s="296">
        <v>2.0</v>
      </c>
      <c r="I32" s="269">
        <v>5.0</v>
      </c>
      <c r="J32" s="296">
        <v>2026.0</v>
      </c>
      <c r="K32" s="235" t="s">
        <v>43</v>
      </c>
      <c r="L32" s="235" t="s">
        <v>518</v>
      </c>
      <c r="M32" s="296">
        <v>1.0</v>
      </c>
      <c r="N32" s="296">
        <v>1.0</v>
      </c>
      <c r="O32" s="235"/>
      <c r="P32" s="295">
        <v>46143.0</v>
      </c>
      <c r="Q32" s="213">
        <v>1.0</v>
      </c>
      <c r="R32" s="213">
        <v>5.0</v>
      </c>
      <c r="S32" s="296">
        <v>2026.0</v>
      </c>
      <c r="T32" s="235" t="s">
        <v>7</v>
      </c>
      <c r="U32" s="298">
        <v>39.608779999999996</v>
      </c>
      <c r="V32" s="295">
        <v>46143.0</v>
      </c>
      <c r="W32" s="213">
        <v>1.0</v>
      </c>
      <c r="X32" s="213">
        <v>5.0</v>
      </c>
      <c r="Y32" s="296">
        <v>2026.0</v>
      </c>
      <c r="Z32" s="235" t="s">
        <v>7</v>
      </c>
    </row>
    <row r="33">
      <c r="A33" s="293" t="s">
        <v>587</v>
      </c>
      <c r="B33" s="294" t="s">
        <v>588</v>
      </c>
      <c r="C33" s="295">
        <v>46158.0</v>
      </c>
      <c r="D33" s="296">
        <v>16.0</v>
      </c>
      <c r="E33" s="296">
        <v>5.0</v>
      </c>
      <c r="F33" s="296">
        <v>2026.0</v>
      </c>
      <c r="G33" s="295">
        <v>46160.0</v>
      </c>
      <c r="H33" s="296">
        <v>18.0</v>
      </c>
      <c r="I33" s="269">
        <v>5.0</v>
      </c>
      <c r="J33" s="296">
        <v>2026.0</v>
      </c>
      <c r="K33" s="235" t="s">
        <v>43</v>
      </c>
      <c r="L33" s="235" t="s">
        <v>518</v>
      </c>
      <c r="M33" s="296">
        <v>1.0</v>
      </c>
      <c r="N33" s="296">
        <v>2.0</v>
      </c>
      <c r="O33" s="296">
        <v>4.0</v>
      </c>
      <c r="P33" s="295">
        <v>46158.0</v>
      </c>
      <c r="Q33" s="213">
        <v>16.0</v>
      </c>
      <c r="R33" s="213">
        <v>5.0</v>
      </c>
      <c r="S33" s="296">
        <v>2026.0</v>
      </c>
      <c r="T33" s="235" t="s">
        <v>7</v>
      </c>
      <c r="U33" s="298">
        <v>75.00386</v>
      </c>
      <c r="V33" s="295">
        <v>46158.0</v>
      </c>
      <c r="W33" s="213">
        <v>16.0</v>
      </c>
      <c r="X33" s="213">
        <v>5.0</v>
      </c>
      <c r="Y33" s="296">
        <v>2026.0</v>
      </c>
      <c r="Z33" s="235" t="s">
        <v>7</v>
      </c>
    </row>
    <row r="34">
      <c r="A34" s="293" t="s">
        <v>590</v>
      </c>
      <c r="B34" s="294" t="s">
        <v>591</v>
      </c>
      <c r="C34" s="295">
        <v>46160.0</v>
      </c>
      <c r="D34" s="296">
        <v>18.0</v>
      </c>
      <c r="E34" s="296">
        <v>5.0</v>
      </c>
      <c r="F34" s="296">
        <v>2026.0</v>
      </c>
      <c r="G34" s="295">
        <v>46164.0</v>
      </c>
      <c r="H34" s="296">
        <v>22.0</v>
      </c>
      <c r="I34" s="269">
        <v>5.0</v>
      </c>
      <c r="J34" s="296">
        <v>2026.0</v>
      </c>
      <c r="K34" s="235" t="s">
        <v>43</v>
      </c>
      <c r="L34" s="235" t="s">
        <v>518</v>
      </c>
      <c r="M34" s="296">
        <v>1.0</v>
      </c>
      <c r="N34" s="296">
        <v>4.0</v>
      </c>
      <c r="O34" s="82"/>
      <c r="P34" s="295">
        <v>46160.0</v>
      </c>
      <c r="Q34" s="213">
        <v>18.0</v>
      </c>
      <c r="R34" s="213">
        <v>5.0</v>
      </c>
      <c r="S34" s="296">
        <v>2026.0</v>
      </c>
      <c r="T34" s="235" t="s">
        <v>7</v>
      </c>
      <c r="U34" s="298">
        <v>151.6932</v>
      </c>
      <c r="V34" s="295">
        <v>46160.0</v>
      </c>
      <c r="W34" s="213">
        <v>18.0</v>
      </c>
      <c r="X34" s="213">
        <v>5.0</v>
      </c>
      <c r="Y34" s="296">
        <v>2026.0</v>
      </c>
      <c r="Z34" s="235" t="s">
        <v>7</v>
      </c>
    </row>
    <row r="35">
      <c r="A35" s="293" t="s">
        <v>593</v>
      </c>
      <c r="B35" s="294" t="s">
        <v>594</v>
      </c>
      <c r="C35" s="295">
        <v>46144.0</v>
      </c>
      <c r="D35" s="296">
        <v>2.0</v>
      </c>
      <c r="E35" s="296">
        <v>5.0</v>
      </c>
      <c r="F35" s="296">
        <v>2026.0</v>
      </c>
      <c r="G35" s="295">
        <v>46145.0</v>
      </c>
      <c r="H35" s="296">
        <v>3.0</v>
      </c>
      <c r="I35" s="269">
        <v>5.0</v>
      </c>
      <c r="J35" s="296">
        <v>2026.0</v>
      </c>
      <c r="K35" s="235" t="s">
        <v>43</v>
      </c>
      <c r="L35" s="235" t="s">
        <v>518</v>
      </c>
      <c r="M35" s="296">
        <v>1.0</v>
      </c>
      <c r="N35" s="296">
        <v>1.0</v>
      </c>
      <c r="O35" s="296">
        <v>4.0</v>
      </c>
      <c r="P35" s="295">
        <v>46144.0</v>
      </c>
      <c r="Q35" s="213">
        <v>2.0</v>
      </c>
      <c r="R35" s="213">
        <v>5.0</v>
      </c>
      <c r="S35" s="296">
        <v>2026.0</v>
      </c>
      <c r="T35" s="82" t="s">
        <v>319</v>
      </c>
      <c r="U35" s="298">
        <v>75.8466</v>
      </c>
      <c r="V35" s="295">
        <v>46144.0</v>
      </c>
      <c r="W35" s="213">
        <v>2.0</v>
      </c>
      <c r="X35" s="213">
        <v>5.0</v>
      </c>
      <c r="Y35" s="296">
        <v>2026.0</v>
      </c>
      <c r="Z35" s="235" t="s">
        <v>7</v>
      </c>
    </row>
    <row r="36">
      <c r="A36" s="293" t="s">
        <v>596</v>
      </c>
      <c r="B36" s="294" t="s">
        <v>597</v>
      </c>
      <c r="C36" s="295">
        <v>46146.0</v>
      </c>
      <c r="D36" s="296">
        <v>4.0</v>
      </c>
      <c r="E36" s="296">
        <v>5.0</v>
      </c>
      <c r="F36" s="296">
        <v>2026.0</v>
      </c>
      <c r="G36" s="295">
        <v>46149.0</v>
      </c>
      <c r="H36" s="296">
        <v>7.0</v>
      </c>
      <c r="I36" s="269">
        <v>5.0</v>
      </c>
      <c r="J36" s="296">
        <v>2026.0</v>
      </c>
      <c r="K36" s="235" t="s">
        <v>43</v>
      </c>
      <c r="L36" s="235" t="s">
        <v>518</v>
      </c>
      <c r="M36" s="296">
        <v>1.0</v>
      </c>
      <c r="N36" s="296">
        <v>3.0</v>
      </c>
      <c r="O36" s="296">
        <v>8.0</v>
      </c>
      <c r="P36" s="295">
        <v>46146.0</v>
      </c>
      <c r="Q36" s="213">
        <v>4.0</v>
      </c>
      <c r="R36" s="213">
        <v>5.0</v>
      </c>
      <c r="S36" s="296">
        <v>2026.0</v>
      </c>
      <c r="T36" s="82" t="s">
        <v>319</v>
      </c>
      <c r="U36" s="298">
        <v>151.6932</v>
      </c>
      <c r="V36" s="295">
        <v>46146.0</v>
      </c>
      <c r="W36" s="213">
        <v>4.0</v>
      </c>
      <c r="X36" s="213">
        <v>5.0</v>
      </c>
      <c r="Y36" s="296">
        <v>2026.0</v>
      </c>
      <c r="Z36" s="235" t="s">
        <v>7</v>
      </c>
    </row>
    <row r="37">
      <c r="A37" s="293" t="s">
        <v>599</v>
      </c>
      <c r="B37" s="294" t="s">
        <v>600</v>
      </c>
      <c r="C37" s="295">
        <v>46147.0</v>
      </c>
      <c r="D37" s="296">
        <v>5.0</v>
      </c>
      <c r="E37" s="296">
        <v>5.0</v>
      </c>
      <c r="F37" s="296">
        <v>2026.0</v>
      </c>
      <c r="G37" s="295">
        <v>46148.0</v>
      </c>
      <c r="H37" s="296">
        <v>6.0</v>
      </c>
      <c r="I37" s="269">
        <v>5.0</v>
      </c>
      <c r="J37" s="296">
        <v>2026.0</v>
      </c>
      <c r="K37" s="235" t="s">
        <v>43</v>
      </c>
      <c r="L37" s="235" t="s">
        <v>518</v>
      </c>
      <c r="M37" s="296">
        <v>1.0</v>
      </c>
      <c r="N37" s="296">
        <v>1.0</v>
      </c>
      <c r="O37" s="296">
        <v>2.0</v>
      </c>
      <c r="P37" s="295">
        <v>46147.0</v>
      </c>
      <c r="Q37" s="213">
        <v>5.0</v>
      </c>
      <c r="R37" s="213">
        <v>5.0</v>
      </c>
      <c r="S37" s="296">
        <v>2026.0</v>
      </c>
      <c r="T37" s="82" t="s">
        <v>319</v>
      </c>
      <c r="U37" s="298">
        <v>37.9233</v>
      </c>
      <c r="V37" s="295">
        <v>46147.0</v>
      </c>
      <c r="W37" s="213">
        <v>5.0</v>
      </c>
      <c r="X37" s="213">
        <v>5.0</v>
      </c>
      <c r="Y37" s="296">
        <v>2026.0</v>
      </c>
      <c r="Z37" s="235" t="s">
        <v>7</v>
      </c>
    </row>
    <row r="38">
      <c r="A38" s="293" t="s">
        <v>601</v>
      </c>
      <c r="B38" s="294" t="s">
        <v>603</v>
      </c>
      <c r="C38" s="295">
        <v>46164.0</v>
      </c>
      <c r="D38" s="296">
        <v>22.0</v>
      </c>
      <c r="E38" s="296">
        <v>5.0</v>
      </c>
      <c r="F38" s="296">
        <v>2026.0</v>
      </c>
      <c r="G38" s="295">
        <v>46166.0</v>
      </c>
      <c r="H38" s="296">
        <v>24.0</v>
      </c>
      <c r="I38" s="269">
        <v>5.0</v>
      </c>
      <c r="J38" s="296">
        <v>2026.0</v>
      </c>
      <c r="K38" s="235" t="s">
        <v>43</v>
      </c>
      <c r="L38" s="235" t="s">
        <v>518</v>
      </c>
      <c r="M38" s="296">
        <v>1.0</v>
      </c>
      <c r="N38" s="296">
        <v>2.0</v>
      </c>
      <c r="O38" s="296">
        <v>4.0</v>
      </c>
      <c r="P38" s="295">
        <v>46164.0</v>
      </c>
      <c r="Q38" s="213">
        <v>22.0</v>
      </c>
      <c r="R38" s="213">
        <v>5.0</v>
      </c>
      <c r="S38" s="296">
        <v>2026.0</v>
      </c>
      <c r="T38" s="235" t="s">
        <v>7</v>
      </c>
      <c r="U38" s="298">
        <v>80.0603</v>
      </c>
      <c r="V38" s="295">
        <v>46164.0</v>
      </c>
      <c r="W38" s="213">
        <v>22.0</v>
      </c>
      <c r="X38" s="213">
        <v>5.0</v>
      </c>
      <c r="Y38" s="296">
        <v>2026.0</v>
      </c>
      <c r="Z38" s="235" t="s">
        <v>7</v>
      </c>
    </row>
    <row r="39">
      <c r="A39" s="293" t="s">
        <v>604</v>
      </c>
      <c r="B39" s="294" t="s">
        <v>605</v>
      </c>
      <c r="C39" s="295">
        <v>46145.0</v>
      </c>
      <c r="D39" s="296">
        <v>3.0</v>
      </c>
      <c r="E39" s="296">
        <v>5.0</v>
      </c>
      <c r="F39" s="296">
        <v>2026.0</v>
      </c>
      <c r="G39" s="295">
        <v>46147.0</v>
      </c>
      <c r="H39" s="296">
        <v>5.0</v>
      </c>
      <c r="I39" s="269">
        <v>5.0</v>
      </c>
      <c r="J39" s="296">
        <v>2026.0</v>
      </c>
      <c r="K39" s="164" t="s">
        <v>43</v>
      </c>
      <c r="L39" s="235" t="s">
        <v>518</v>
      </c>
      <c r="M39" s="296">
        <v>1.0</v>
      </c>
      <c r="N39" s="296">
        <v>2.0</v>
      </c>
      <c r="O39" s="235"/>
      <c r="P39" s="295">
        <v>46145.0</v>
      </c>
      <c r="Q39" s="213">
        <v>3.0</v>
      </c>
      <c r="R39" s="213">
        <v>5.0</v>
      </c>
      <c r="S39" s="296">
        <v>2026.0</v>
      </c>
      <c r="T39" s="235" t="s">
        <v>7</v>
      </c>
      <c r="U39" s="298">
        <v>79.21755999999999</v>
      </c>
      <c r="V39" s="295">
        <v>46145.0</v>
      </c>
      <c r="W39" s="213">
        <v>3.0</v>
      </c>
      <c r="X39" s="213">
        <v>5.0</v>
      </c>
      <c r="Y39" s="296">
        <v>2026.0</v>
      </c>
      <c r="Z39" s="235" t="s">
        <v>7</v>
      </c>
    </row>
    <row r="40">
      <c r="A40" s="293" t="s">
        <v>607</v>
      </c>
      <c r="B40" s="294" t="s">
        <v>608</v>
      </c>
      <c r="C40" s="295">
        <v>46154.0</v>
      </c>
      <c r="D40" s="296">
        <v>12.0</v>
      </c>
      <c r="E40" s="296">
        <v>5.0</v>
      </c>
      <c r="F40" s="296">
        <v>2026.0</v>
      </c>
      <c r="G40" s="295">
        <v>46156.0</v>
      </c>
      <c r="H40" s="296">
        <v>14.0</v>
      </c>
      <c r="I40" s="269">
        <v>5.0</v>
      </c>
      <c r="J40" s="296">
        <v>2026.0</v>
      </c>
      <c r="K40" s="235" t="s">
        <v>43</v>
      </c>
      <c r="L40" s="235" t="s">
        <v>518</v>
      </c>
      <c r="M40" s="296">
        <v>1.0</v>
      </c>
      <c r="N40" s="296">
        <v>2.0</v>
      </c>
      <c r="O40" s="235"/>
      <c r="P40" s="295">
        <v>46154.0</v>
      </c>
      <c r="Q40" s="213">
        <v>12.0</v>
      </c>
      <c r="R40" s="213">
        <v>5.0</v>
      </c>
      <c r="S40" s="296">
        <v>2026.0</v>
      </c>
      <c r="T40" s="235" t="s">
        <v>7</v>
      </c>
      <c r="U40" s="298">
        <v>79.21755999999999</v>
      </c>
      <c r="V40" s="295">
        <v>46154.0</v>
      </c>
      <c r="W40" s="213">
        <v>12.0</v>
      </c>
      <c r="X40" s="213">
        <v>5.0</v>
      </c>
      <c r="Y40" s="296">
        <v>2026.0</v>
      </c>
      <c r="Z40" s="235" t="s">
        <v>7</v>
      </c>
    </row>
    <row r="41">
      <c r="A41" s="293" t="s">
        <v>610</v>
      </c>
      <c r="B41" s="294" t="s">
        <v>611</v>
      </c>
      <c r="C41" s="295">
        <v>46165.0</v>
      </c>
      <c r="D41" s="296">
        <v>23.0</v>
      </c>
      <c r="E41" s="296">
        <v>5.0</v>
      </c>
      <c r="F41" s="296">
        <v>2026.0</v>
      </c>
      <c r="G41" s="295">
        <v>46167.0</v>
      </c>
      <c r="H41" s="296">
        <v>25.0</v>
      </c>
      <c r="I41" s="269">
        <v>5.0</v>
      </c>
      <c r="J41" s="296">
        <v>2026.0</v>
      </c>
      <c r="K41" s="235" t="s">
        <v>43</v>
      </c>
      <c r="L41" s="235" t="s">
        <v>518</v>
      </c>
      <c r="M41" s="296">
        <v>1.0</v>
      </c>
      <c r="N41" s="296">
        <v>2.0</v>
      </c>
      <c r="O41" s="296">
        <v>4.0</v>
      </c>
      <c r="P41" s="295">
        <v>46167.0</v>
      </c>
      <c r="Q41" s="213">
        <v>25.0</v>
      </c>
      <c r="R41" s="213">
        <v>5.0</v>
      </c>
      <c r="S41" s="296">
        <v>2026.0</v>
      </c>
      <c r="T41" s="82" t="s">
        <v>319</v>
      </c>
      <c r="U41" s="298">
        <v>75.8466</v>
      </c>
      <c r="V41" s="295">
        <v>46167.0</v>
      </c>
      <c r="W41" s="213">
        <v>25.0</v>
      </c>
      <c r="X41" s="213">
        <v>5.0</v>
      </c>
      <c r="Y41" s="296">
        <v>2026.0</v>
      </c>
      <c r="Z41" s="235" t="s">
        <v>7</v>
      </c>
    </row>
    <row r="42">
      <c r="A42" s="293" t="s">
        <v>613</v>
      </c>
      <c r="B42" s="294" t="s">
        <v>615</v>
      </c>
      <c r="C42" s="295">
        <v>46162.0</v>
      </c>
      <c r="D42" s="296">
        <v>20.0</v>
      </c>
      <c r="E42" s="296">
        <v>5.0</v>
      </c>
      <c r="F42" s="296">
        <v>2026.0</v>
      </c>
      <c r="G42" s="295">
        <v>46163.0</v>
      </c>
      <c r="H42" s="296">
        <v>21.0</v>
      </c>
      <c r="I42" s="269">
        <v>5.0</v>
      </c>
      <c r="J42" s="296">
        <v>2026.0</v>
      </c>
      <c r="K42" s="235" t="s">
        <v>43</v>
      </c>
      <c r="L42" s="235" t="s">
        <v>518</v>
      </c>
      <c r="M42" s="296">
        <v>1.0</v>
      </c>
      <c r="N42" s="296">
        <v>1.0</v>
      </c>
      <c r="O42" s="296">
        <v>2.0</v>
      </c>
      <c r="P42" s="295">
        <v>46162.0</v>
      </c>
      <c r="Q42" s="213">
        <v>20.0</v>
      </c>
      <c r="R42" s="213">
        <v>5.0</v>
      </c>
      <c r="S42" s="296">
        <v>2026.0</v>
      </c>
      <c r="T42" s="82" t="s">
        <v>319</v>
      </c>
      <c r="U42" s="298">
        <v>37.9233</v>
      </c>
      <c r="V42" s="295">
        <v>46162.0</v>
      </c>
      <c r="W42" s="213">
        <v>20.0</v>
      </c>
      <c r="X42" s="213">
        <v>5.0</v>
      </c>
      <c r="Y42" s="296">
        <v>2026.0</v>
      </c>
      <c r="Z42" s="235" t="s">
        <v>7</v>
      </c>
    </row>
    <row r="43">
      <c r="A43" s="293" t="s">
        <v>616</v>
      </c>
      <c r="B43" s="294" t="s">
        <v>618</v>
      </c>
      <c r="C43" s="295">
        <v>46159.0</v>
      </c>
      <c r="D43" s="296">
        <v>17.0</v>
      </c>
      <c r="E43" s="296">
        <v>5.0</v>
      </c>
      <c r="F43" s="296">
        <v>2026.0</v>
      </c>
      <c r="G43" s="295">
        <v>46163.0</v>
      </c>
      <c r="H43" s="296">
        <v>21.0</v>
      </c>
      <c r="I43" s="269">
        <v>5.0</v>
      </c>
      <c r="J43" s="296">
        <v>2026.0</v>
      </c>
      <c r="K43" s="235" t="s">
        <v>43</v>
      </c>
      <c r="L43" s="235" t="s">
        <v>518</v>
      </c>
      <c r="M43" s="296">
        <v>1.0</v>
      </c>
      <c r="N43" s="296">
        <v>4.0</v>
      </c>
      <c r="O43" s="296">
        <v>8.0</v>
      </c>
      <c r="P43" s="295">
        <v>46159.0</v>
      </c>
      <c r="Q43" s="213">
        <v>17.0</v>
      </c>
      <c r="R43" s="213">
        <v>5.0</v>
      </c>
      <c r="S43" s="296">
        <v>2026.0</v>
      </c>
      <c r="T43" s="82" t="s">
        <v>319</v>
      </c>
      <c r="U43" s="298">
        <v>151.6932</v>
      </c>
      <c r="V43" s="295">
        <v>46159.0</v>
      </c>
      <c r="W43" s="213">
        <v>17.0</v>
      </c>
      <c r="X43" s="213">
        <v>5.0</v>
      </c>
      <c r="Y43" s="296">
        <v>2026.0</v>
      </c>
      <c r="Z43" s="235" t="s">
        <v>7</v>
      </c>
    </row>
    <row r="44">
      <c r="A44" s="293" t="s">
        <v>620</v>
      </c>
      <c r="B44" s="294" t="s">
        <v>621</v>
      </c>
      <c r="C44" s="295">
        <v>46156.0</v>
      </c>
      <c r="D44" s="296">
        <v>14.0</v>
      </c>
      <c r="E44" s="296">
        <v>5.0</v>
      </c>
      <c r="F44" s="296">
        <v>2026.0</v>
      </c>
      <c r="G44" s="295">
        <v>46159.0</v>
      </c>
      <c r="H44" s="296">
        <v>17.0</v>
      </c>
      <c r="I44" s="269">
        <v>5.0</v>
      </c>
      <c r="J44" s="296">
        <v>2026.0</v>
      </c>
      <c r="K44" s="235" t="s">
        <v>43</v>
      </c>
      <c r="L44" s="235" t="s">
        <v>518</v>
      </c>
      <c r="M44" s="296">
        <v>1.0</v>
      </c>
      <c r="N44" s="296">
        <v>3.0</v>
      </c>
      <c r="O44" s="296">
        <v>6.0</v>
      </c>
      <c r="P44" s="295">
        <v>46156.0</v>
      </c>
      <c r="Q44" s="213">
        <v>14.0</v>
      </c>
      <c r="R44" s="213">
        <v>5.0</v>
      </c>
      <c r="S44" s="296">
        <v>2026.0</v>
      </c>
      <c r="T44" s="82" t="s">
        <v>319</v>
      </c>
      <c r="U44" s="298">
        <v>113.7699</v>
      </c>
      <c r="V44" s="295">
        <v>46156.0</v>
      </c>
      <c r="W44" s="213">
        <v>14.0</v>
      </c>
      <c r="X44" s="213">
        <v>5.0</v>
      </c>
      <c r="Y44" s="296">
        <v>2026.0</v>
      </c>
      <c r="Z44" s="235" t="s">
        <v>7</v>
      </c>
    </row>
    <row r="45">
      <c r="A45" s="293" t="s">
        <v>622</v>
      </c>
      <c r="B45" s="294" t="s">
        <v>623</v>
      </c>
      <c r="C45" s="295">
        <v>46150.0</v>
      </c>
      <c r="D45" s="296">
        <v>8.0</v>
      </c>
      <c r="E45" s="296">
        <v>5.0</v>
      </c>
      <c r="F45" s="296">
        <v>2026.0</v>
      </c>
      <c r="G45" s="295">
        <v>46151.0</v>
      </c>
      <c r="H45" s="296">
        <v>9.0</v>
      </c>
      <c r="I45" s="269">
        <v>5.0</v>
      </c>
      <c r="J45" s="296">
        <v>2026.0</v>
      </c>
      <c r="K45" s="235" t="s">
        <v>43</v>
      </c>
      <c r="L45" s="235" t="s">
        <v>518</v>
      </c>
      <c r="M45" s="296">
        <v>1.0</v>
      </c>
      <c r="N45" s="296">
        <v>1.0</v>
      </c>
      <c r="O45" s="296">
        <v>2.0</v>
      </c>
      <c r="P45" s="295">
        <v>46150.0</v>
      </c>
      <c r="Q45" s="213">
        <v>8.0</v>
      </c>
      <c r="R45" s="213">
        <v>5.0</v>
      </c>
      <c r="S45" s="296">
        <v>2026.0</v>
      </c>
      <c r="T45" s="82" t="s">
        <v>319</v>
      </c>
      <c r="U45" s="298">
        <v>37.9233</v>
      </c>
      <c r="V45" s="295">
        <v>46150.0</v>
      </c>
      <c r="W45" s="213">
        <v>8.0</v>
      </c>
      <c r="X45" s="213">
        <v>5.0</v>
      </c>
      <c r="Y45" s="296">
        <v>2026.0</v>
      </c>
      <c r="Z45" s="235" t="s">
        <v>7</v>
      </c>
    </row>
    <row r="46">
      <c r="A46" s="293" t="s">
        <v>625</v>
      </c>
      <c r="B46" s="294" t="s">
        <v>626</v>
      </c>
      <c r="C46" s="295">
        <v>46154.0</v>
      </c>
      <c r="D46" s="296">
        <v>12.0</v>
      </c>
      <c r="E46" s="296">
        <v>5.0</v>
      </c>
      <c r="F46" s="296">
        <v>2026.0</v>
      </c>
      <c r="G46" s="295">
        <v>46160.0</v>
      </c>
      <c r="H46" s="296">
        <v>18.0</v>
      </c>
      <c r="I46" s="269">
        <v>5.0</v>
      </c>
      <c r="J46" s="296">
        <v>2026.0</v>
      </c>
      <c r="K46" s="164" t="s">
        <v>43</v>
      </c>
      <c r="L46" s="235" t="s">
        <v>518</v>
      </c>
      <c r="M46" s="296">
        <v>1.0</v>
      </c>
      <c r="N46" s="296">
        <v>6.0</v>
      </c>
      <c r="O46" s="82">
        <v>12.0</v>
      </c>
      <c r="P46" s="295">
        <v>46154.0</v>
      </c>
      <c r="Q46" s="213">
        <v>12.0</v>
      </c>
      <c r="R46" s="213">
        <v>5.0</v>
      </c>
      <c r="S46" s="296">
        <v>2026.0</v>
      </c>
      <c r="T46" s="82" t="s">
        <v>319</v>
      </c>
      <c r="U46" s="298">
        <v>216.5926074</v>
      </c>
      <c r="V46" s="295">
        <v>46154.0</v>
      </c>
      <c r="W46" s="213">
        <v>12.0</v>
      </c>
      <c r="X46" s="213">
        <v>5.0</v>
      </c>
      <c r="Y46" s="296">
        <v>2026.0</v>
      </c>
      <c r="Z46" s="235" t="s">
        <v>7</v>
      </c>
    </row>
    <row r="47">
      <c r="A47" s="293" t="s">
        <v>628</v>
      </c>
      <c r="B47" s="294" t="s">
        <v>629</v>
      </c>
      <c r="C47" s="295">
        <v>46144.0</v>
      </c>
      <c r="D47" s="296">
        <v>2.0</v>
      </c>
      <c r="E47" s="296">
        <v>5.0</v>
      </c>
      <c r="F47" s="296">
        <v>2026.0</v>
      </c>
      <c r="G47" s="295">
        <v>46145.0</v>
      </c>
      <c r="H47" s="296">
        <v>3.0</v>
      </c>
      <c r="I47" s="269">
        <v>5.0</v>
      </c>
      <c r="J47" s="296">
        <v>2026.0</v>
      </c>
      <c r="K47" s="235" t="s">
        <v>43</v>
      </c>
      <c r="L47" s="235" t="s">
        <v>518</v>
      </c>
      <c r="M47" s="296">
        <v>1.0</v>
      </c>
      <c r="N47" s="296">
        <v>1.0</v>
      </c>
      <c r="O47" s="296">
        <v>2.0</v>
      </c>
      <c r="P47" s="295">
        <v>46144.0</v>
      </c>
      <c r="Q47" s="213">
        <v>2.0</v>
      </c>
      <c r="R47" s="213">
        <v>5.0</v>
      </c>
      <c r="S47" s="296">
        <v>2026.0</v>
      </c>
      <c r="T47" s="82" t="s">
        <v>319</v>
      </c>
      <c r="U47" s="298">
        <v>37.9233</v>
      </c>
      <c r="V47" s="295">
        <v>46144.0</v>
      </c>
      <c r="W47" s="213">
        <v>2.0</v>
      </c>
      <c r="X47" s="213">
        <v>5.0</v>
      </c>
      <c r="Y47" s="296">
        <v>2026.0</v>
      </c>
      <c r="Z47" s="235" t="s">
        <v>7</v>
      </c>
    </row>
    <row r="48">
      <c r="A48" s="293" t="s">
        <v>631</v>
      </c>
      <c r="B48" s="294" t="s">
        <v>632</v>
      </c>
      <c r="C48" s="295">
        <v>46147.0</v>
      </c>
      <c r="D48" s="296">
        <v>5.0</v>
      </c>
      <c r="E48" s="296">
        <v>5.0</v>
      </c>
      <c r="F48" s="296">
        <v>2026.0</v>
      </c>
      <c r="G48" s="295">
        <v>46150.0</v>
      </c>
      <c r="H48" s="296">
        <v>8.0</v>
      </c>
      <c r="I48" s="269">
        <v>5.0</v>
      </c>
      <c r="J48" s="296">
        <v>2026.0</v>
      </c>
      <c r="K48" s="235" t="s">
        <v>43</v>
      </c>
      <c r="L48" s="235" t="s">
        <v>518</v>
      </c>
      <c r="M48" s="296">
        <v>1.0</v>
      </c>
      <c r="N48" s="296">
        <v>3.0</v>
      </c>
      <c r="O48" s="296">
        <v>4.0</v>
      </c>
      <c r="P48" s="295">
        <v>46147.0</v>
      </c>
      <c r="Q48" s="213">
        <v>5.0</v>
      </c>
      <c r="R48" s="213">
        <v>5.0</v>
      </c>
      <c r="S48" s="296">
        <v>2026.0</v>
      </c>
      <c r="T48" s="235" t="s">
        <v>7</v>
      </c>
      <c r="U48" s="298">
        <v>115.45537999999999</v>
      </c>
      <c r="V48" s="295">
        <v>46147.0</v>
      </c>
      <c r="W48" s="213">
        <v>5.0</v>
      </c>
      <c r="X48" s="213">
        <v>5.0</v>
      </c>
      <c r="Y48" s="296">
        <v>2026.0</v>
      </c>
      <c r="Z48" s="235" t="s">
        <v>7</v>
      </c>
    </row>
    <row r="49">
      <c r="A49" s="293" t="s">
        <v>634</v>
      </c>
      <c r="B49" s="294" t="s">
        <v>635</v>
      </c>
      <c r="C49" s="295">
        <v>46158.0</v>
      </c>
      <c r="D49" s="296">
        <v>16.0</v>
      </c>
      <c r="E49" s="296">
        <v>5.0</v>
      </c>
      <c r="F49" s="296">
        <v>2026.0</v>
      </c>
      <c r="G49" s="295">
        <v>46159.0</v>
      </c>
      <c r="H49" s="296">
        <v>17.0</v>
      </c>
      <c r="I49" s="269">
        <v>5.0</v>
      </c>
      <c r="J49" s="296">
        <v>2026.0</v>
      </c>
      <c r="K49" s="235" t="s">
        <v>43</v>
      </c>
      <c r="L49" s="235" t="s">
        <v>518</v>
      </c>
      <c r="M49" s="296">
        <v>1.0</v>
      </c>
      <c r="N49" s="296">
        <v>1.0</v>
      </c>
      <c r="O49" s="235"/>
      <c r="P49" s="295">
        <v>46159.0</v>
      </c>
      <c r="Q49" s="213">
        <v>17.0</v>
      </c>
      <c r="R49" s="213">
        <v>5.0</v>
      </c>
      <c r="S49" s="296">
        <v>2026.0</v>
      </c>
      <c r="T49" s="235" t="s">
        <v>7</v>
      </c>
      <c r="U49" s="298">
        <v>31.18138</v>
      </c>
      <c r="V49" s="295">
        <v>46159.0</v>
      </c>
      <c r="W49" s="213">
        <v>17.0</v>
      </c>
      <c r="X49" s="213">
        <v>5.0</v>
      </c>
      <c r="Y49" s="296">
        <v>2026.0</v>
      </c>
      <c r="Z49" s="235" t="s">
        <v>7</v>
      </c>
    </row>
    <row r="50">
      <c r="A50" s="293" t="s">
        <v>637</v>
      </c>
      <c r="B50" s="294" t="s">
        <v>638</v>
      </c>
      <c r="C50" s="295">
        <v>46171.0</v>
      </c>
      <c r="D50" s="296">
        <v>29.0</v>
      </c>
      <c r="E50" s="296">
        <v>5.0</v>
      </c>
      <c r="F50" s="296">
        <v>2026.0</v>
      </c>
      <c r="G50" s="295">
        <v>46175.0</v>
      </c>
      <c r="H50" s="296">
        <v>2.0</v>
      </c>
      <c r="I50" s="269">
        <v>6.0</v>
      </c>
      <c r="J50" s="296">
        <v>2026.0</v>
      </c>
      <c r="K50" s="164" t="s">
        <v>43</v>
      </c>
      <c r="L50" s="235" t="s">
        <v>639</v>
      </c>
      <c r="M50" s="296">
        <v>1.0</v>
      </c>
      <c r="N50" s="296">
        <v>4.0</v>
      </c>
      <c r="O50" s="235"/>
      <c r="P50" s="295">
        <v>46166.0</v>
      </c>
      <c r="Q50" s="213">
        <v>24.0</v>
      </c>
      <c r="R50" s="213">
        <v>5.0</v>
      </c>
      <c r="S50" s="296">
        <v>2026.0</v>
      </c>
      <c r="T50" s="235" t="s">
        <v>7</v>
      </c>
      <c r="U50" s="298">
        <v>32.0409748</v>
      </c>
      <c r="V50" s="295">
        <v>46166.0</v>
      </c>
      <c r="W50" s="213">
        <v>24.0</v>
      </c>
      <c r="X50" s="213">
        <v>5.0</v>
      </c>
      <c r="Y50" s="296">
        <v>2026.0</v>
      </c>
      <c r="Z50" s="235" t="s">
        <v>7</v>
      </c>
    </row>
    <row r="51">
      <c r="A51" s="293" t="s">
        <v>641</v>
      </c>
      <c r="B51" s="294" t="s">
        <v>642</v>
      </c>
      <c r="C51" s="295">
        <v>46168.0</v>
      </c>
      <c r="D51" s="296">
        <v>26.0</v>
      </c>
      <c r="E51" s="296">
        <v>5.0</v>
      </c>
      <c r="F51" s="296">
        <v>2026.0</v>
      </c>
      <c r="G51" s="295">
        <v>46169.0</v>
      </c>
      <c r="H51" s="296">
        <v>27.0</v>
      </c>
      <c r="I51" s="269">
        <v>5.0</v>
      </c>
      <c r="J51" s="296">
        <v>2026.0</v>
      </c>
      <c r="K51" s="235" t="s">
        <v>43</v>
      </c>
      <c r="L51" s="235" t="s">
        <v>518</v>
      </c>
      <c r="M51" s="296">
        <v>1.0</v>
      </c>
      <c r="N51" s="296">
        <v>1.0</v>
      </c>
      <c r="O51" s="296">
        <v>2.0</v>
      </c>
      <c r="P51" s="315">
        <v>46174.0</v>
      </c>
      <c r="Q51" s="296">
        <v>1.0</v>
      </c>
      <c r="R51" s="296">
        <v>6.0</v>
      </c>
      <c r="S51" s="296">
        <v>2026.0</v>
      </c>
      <c r="T51" s="235" t="s">
        <v>7</v>
      </c>
      <c r="U51" s="296">
        <v>47.0</v>
      </c>
      <c r="V51" s="315">
        <v>46174.0</v>
      </c>
      <c r="W51" s="296">
        <v>1.0</v>
      </c>
      <c r="X51" s="296">
        <v>6.0</v>
      </c>
      <c r="Y51" s="296">
        <v>2026.0</v>
      </c>
      <c r="Z51" s="235" t="s">
        <v>7</v>
      </c>
    </row>
    <row r="52">
      <c r="A52" s="293" t="s">
        <v>644</v>
      </c>
      <c r="B52" s="294" t="s">
        <v>645</v>
      </c>
      <c r="C52" s="299">
        <v>46170.0</v>
      </c>
      <c r="D52" s="296">
        <v>28.0</v>
      </c>
      <c r="E52" s="296">
        <v>5.0</v>
      </c>
      <c r="F52" s="296">
        <v>2026.0</v>
      </c>
      <c r="G52" s="299">
        <v>46174.0</v>
      </c>
      <c r="H52" s="296">
        <v>1.0</v>
      </c>
      <c r="I52" s="269">
        <v>6.0</v>
      </c>
      <c r="J52" s="296">
        <v>2026.0</v>
      </c>
      <c r="K52" s="164" t="s">
        <v>43</v>
      </c>
      <c r="L52" s="164" t="s">
        <v>518</v>
      </c>
      <c r="M52" s="235">
        <v>1.0</v>
      </c>
      <c r="N52" s="235">
        <v>4.0</v>
      </c>
      <c r="O52" s="235">
        <v>8.0</v>
      </c>
      <c r="P52" s="315">
        <v>46174.0</v>
      </c>
      <c r="Q52" s="213">
        <v>1.0</v>
      </c>
      <c r="R52" s="213">
        <v>6.0</v>
      </c>
      <c r="S52" s="296">
        <v>2026.0</v>
      </c>
      <c r="T52" s="235" t="s">
        <v>7</v>
      </c>
      <c r="U52" s="235">
        <v>152.1</v>
      </c>
      <c r="V52" s="315">
        <v>46174.0</v>
      </c>
      <c r="W52" s="213">
        <v>1.0</v>
      </c>
      <c r="X52" s="213">
        <v>6.0</v>
      </c>
      <c r="Y52" s="296">
        <v>2026.0</v>
      </c>
      <c r="Z52" s="235" t="s">
        <v>7</v>
      </c>
    </row>
    <row r="53">
      <c r="A53" s="293" t="s">
        <v>647</v>
      </c>
      <c r="B53" s="294" t="s">
        <v>648</v>
      </c>
      <c r="C53" s="295">
        <v>46168.0</v>
      </c>
      <c r="D53" s="296">
        <v>26.0</v>
      </c>
      <c r="E53" s="296">
        <v>5.0</v>
      </c>
      <c r="F53" s="296">
        <v>2026.0</v>
      </c>
      <c r="G53" s="295">
        <v>46171.0</v>
      </c>
      <c r="H53" s="296">
        <v>29.0</v>
      </c>
      <c r="I53" s="269">
        <v>5.0</v>
      </c>
      <c r="J53" s="296">
        <v>2026.0</v>
      </c>
      <c r="K53" s="235" t="s">
        <v>43</v>
      </c>
      <c r="L53" s="235" t="s">
        <v>518</v>
      </c>
      <c r="M53" s="296">
        <v>1.0</v>
      </c>
      <c r="N53" s="296">
        <v>3.0</v>
      </c>
      <c r="O53" s="296">
        <v>6.0</v>
      </c>
      <c r="P53" s="315">
        <v>46174.0</v>
      </c>
      <c r="Q53" s="296">
        <v>1.0</v>
      </c>
      <c r="R53" s="296">
        <v>6.0</v>
      </c>
      <c r="S53" s="296">
        <v>2026.0</v>
      </c>
      <c r="T53" s="235" t="s">
        <v>7</v>
      </c>
      <c r="U53" s="296">
        <v>141.0</v>
      </c>
      <c r="V53" s="315">
        <v>46174.0</v>
      </c>
      <c r="W53" s="296">
        <v>1.0</v>
      </c>
      <c r="X53" s="296">
        <v>6.0</v>
      </c>
      <c r="Y53" s="296">
        <v>2026.0</v>
      </c>
      <c r="Z53" s="235" t="s">
        <v>7</v>
      </c>
    </row>
    <row r="54">
      <c r="A54" s="293" t="s">
        <v>650</v>
      </c>
      <c r="B54" s="294" t="s">
        <v>651</v>
      </c>
      <c r="C54" s="295">
        <v>46168.0</v>
      </c>
      <c r="D54" s="296">
        <v>26.0</v>
      </c>
      <c r="E54" s="296">
        <v>5.0</v>
      </c>
      <c r="F54" s="296">
        <v>2026.0</v>
      </c>
      <c r="G54" s="295">
        <v>46170.0</v>
      </c>
      <c r="H54" s="296">
        <v>28.0</v>
      </c>
      <c r="I54" s="269">
        <v>5.0</v>
      </c>
      <c r="J54" s="296">
        <v>2026.0</v>
      </c>
      <c r="K54" s="235" t="s">
        <v>43</v>
      </c>
      <c r="L54" s="235" t="s">
        <v>518</v>
      </c>
      <c r="M54" s="296">
        <v>1.0</v>
      </c>
      <c r="N54" s="296">
        <v>2.0</v>
      </c>
      <c r="O54" s="296">
        <v>4.0</v>
      </c>
      <c r="P54" s="315">
        <v>46174.0</v>
      </c>
      <c r="Q54" s="296">
        <v>1.0</v>
      </c>
      <c r="R54" s="296">
        <v>6.0</v>
      </c>
      <c r="S54" s="296">
        <v>2026.0</v>
      </c>
      <c r="T54" s="235" t="s">
        <v>7</v>
      </c>
      <c r="U54" s="296">
        <v>90.0</v>
      </c>
      <c r="V54" s="315">
        <v>46174.0</v>
      </c>
      <c r="W54" s="296">
        <v>1.0</v>
      </c>
      <c r="X54" s="296">
        <v>6.0</v>
      </c>
      <c r="Y54" s="296">
        <v>2026.0</v>
      </c>
      <c r="Z54" s="235" t="s">
        <v>7</v>
      </c>
    </row>
    <row r="55">
      <c r="A55" s="293" t="s">
        <v>653</v>
      </c>
      <c r="B55" s="294" t="s">
        <v>654</v>
      </c>
      <c r="C55" s="295">
        <v>46169.0</v>
      </c>
      <c r="D55" s="296">
        <v>27.0</v>
      </c>
      <c r="E55" s="296">
        <v>5.0</v>
      </c>
      <c r="F55" s="296">
        <v>2026.0</v>
      </c>
      <c r="G55" s="295">
        <v>46173.0</v>
      </c>
      <c r="H55" s="296">
        <v>31.0</v>
      </c>
      <c r="I55" s="269">
        <v>5.0</v>
      </c>
      <c r="J55" s="296">
        <v>2026.0</v>
      </c>
      <c r="K55" s="235" t="s">
        <v>43</v>
      </c>
      <c r="L55" s="235" t="s">
        <v>518</v>
      </c>
      <c r="M55" s="296">
        <v>1.0</v>
      </c>
      <c r="N55" s="296">
        <v>4.0</v>
      </c>
      <c r="O55" s="235"/>
      <c r="P55" s="315">
        <v>46174.0</v>
      </c>
      <c r="Q55" s="296">
        <v>1.0</v>
      </c>
      <c r="R55" s="296">
        <v>6.0</v>
      </c>
      <c r="S55" s="296">
        <v>2026.0</v>
      </c>
      <c r="T55" s="235" t="s">
        <v>7</v>
      </c>
      <c r="U55" s="296">
        <v>180.0</v>
      </c>
      <c r="V55" s="315">
        <v>46174.0</v>
      </c>
      <c r="W55" s="296">
        <v>1.0</v>
      </c>
      <c r="X55" s="296">
        <v>6.0</v>
      </c>
      <c r="Y55" s="296">
        <v>2026.0</v>
      </c>
      <c r="Z55" s="235" t="s">
        <v>7</v>
      </c>
    </row>
    <row r="56">
      <c r="A56" s="293" t="s">
        <v>656</v>
      </c>
      <c r="B56" s="294" t="s">
        <v>657</v>
      </c>
      <c r="C56" s="299">
        <v>46170.0</v>
      </c>
      <c r="D56" s="296">
        <v>28.0</v>
      </c>
      <c r="E56" s="296">
        <v>5.0</v>
      </c>
      <c r="F56" s="296">
        <v>2026.0</v>
      </c>
      <c r="G56" s="299">
        <v>46171.0</v>
      </c>
      <c r="H56" s="296">
        <v>29.0</v>
      </c>
      <c r="I56" s="269">
        <v>5.0</v>
      </c>
      <c r="J56" s="296">
        <v>2026.0</v>
      </c>
      <c r="K56" s="235" t="s">
        <v>43</v>
      </c>
      <c r="L56" s="235" t="s">
        <v>518</v>
      </c>
      <c r="M56" s="235">
        <v>1.0</v>
      </c>
      <c r="N56" s="235">
        <v>1.0</v>
      </c>
      <c r="O56" s="235">
        <v>2.0</v>
      </c>
      <c r="P56" s="315">
        <v>46174.0</v>
      </c>
      <c r="Q56" s="213">
        <v>1.0</v>
      </c>
      <c r="R56" s="213">
        <v>6.0</v>
      </c>
      <c r="S56" s="296">
        <v>2026.0</v>
      </c>
      <c r="T56" s="82" t="s">
        <v>319</v>
      </c>
      <c r="U56" s="235">
        <v>36.02</v>
      </c>
      <c r="V56" s="315">
        <v>46174.0</v>
      </c>
      <c r="W56" s="213">
        <v>1.0</v>
      </c>
      <c r="X56" s="213">
        <v>6.0</v>
      </c>
      <c r="Y56" s="296">
        <v>2026.0</v>
      </c>
      <c r="Z56" s="235" t="s">
        <v>7</v>
      </c>
    </row>
    <row r="57">
      <c r="A57" s="293" t="s">
        <v>660</v>
      </c>
      <c r="B57" s="294" t="s">
        <v>661</v>
      </c>
      <c r="C57" s="295">
        <v>46168.0</v>
      </c>
      <c r="D57" s="296">
        <v>26.0</v>
      </c>
      <c r="E57" s="296">
        <v>5.0</v>
      </c>
      <c r="F57" s="296">
        <v>2026.0</v>
      </c>
      <c r="G57" s="295">
        <v>46170.0</v>
      </c>
      <c r="H57" s="296">
        <v>28.0</v>
      </c>
      <c r="I57" s="269">
        <v>5.0</v>
      </c>
      <c r="J57" s="296">
        <v>2026.0</v>
      </c>
      <c r="K57" s="164" t="s">
        <v>43</v>
      </c>
      <c r="L57" s="235" t="s">
        <v>518</v>
      </c>
      <c r="M57" s="296">
        <v>1.0</v>
      </c>
      <c r="N57" s="296">
        <v>2.0</v>
      </c>
      <c r="O57" s="296">
        <v>8.0</v>
      </c>
      <c r="P57" s="295">
        <v>46169.0</v>
      </c>
      <c r="Q57" s="213">
        <v>27.0</v>
      </c>
      <c r="R57" s="213">
        <v>5.0</v>
      </c>
      <c r="S57" s="296">
        <v>2026.0</v>
      </c>
      <c r="T57" s="82" t="s">
        <v>319</v>
      </c>
      <c r="U57" s="296">
        <v>180.0</v>
      </c>
      <c r="V57" s="315">
        <v>46174.0</v>
      </c>
      <c r="W57" s="296">
        <v>1.0</v>
      </c>
      <c r="X57" s="296">
        <v>6.0</v>
      </c>
      <c r="Y57" s="296">
        <v>2026.0</v>
      </c>
      <c r="Z57" s="235" t="s">
        <v>7</v>
      </c>
    </row>
    <row r="58">
      <c r="A58" s="293" t="s">
        <v>663</v>
      </c>
      <c r="B58" s="294" t="s">
        <v>664</v>
      </c>
      <c r="C58" s="295">
        <v>46169.0</v>
      </c>
      <c r="D58" s="296">
        <v>27.0</v>
      </c>
      <c r="E58" s="296">
        <v>5.0</v>
      </c>
      <c r="F58" s="296">
        <v>2026.0</v>
      </c>
      <c r="G58" s="295">
        <v>46171.0</v>
      </c>
      <c r="H58" s="296">
        <v>29.0</v>
      </c>
      <c r="I58" s="269">
        <v>5.0</v>
      </c>
      <c r="J58" s="296">
        <v>2026.0</v>
      </c>
      <c r="K58" s="235" t="s">
        <v>43</v>
      </c>
      <c r="L58" s="235" t="s">
        <v>518</v>
      </c>
      <c r="M58" s="296">
        <v>1.0</v>
      </c>
      <c r="N58" s="296">
        <v>2.0</v>
      </c>
      <c r="O58" s="296">
        <v>4.0</v>
      </c>
      <c r="P58" s="315">
        <v>46174.0</v>
      </c>
      <c r="Q58" s="296">
        <v>1.0</v>
      </c>
      <c r="R58" s="296">
        <v>6.0</v>
      </c>
      <c r="S58" s="296">
        <v>2026.0</v>
      </c>
      <c r="T58" s="235" t="s">
        <v>7</v>
      </c>
      <c r="U58" s="296">
        <v>94.0</v>
      </c>
      <c r="V58" s="315">
        <v>46174.0</v>
      </c>
      <c r="W58" s="296">
        <v>1.0</v>
      </c>
      <c r="X58" s="296">
        <v>6.0</v>
      </c>
      <c r="Y58" s="296">
        <v>2026.0</v>
      </c>
      <c r="Z58" s="235" t="s">
        <v>7</v>
      </c>
    </row>
    <row r="59">
      <c r="A59" s="317" t="s">
        <v>666</v>
      </c>
      <c r="B59" s="294" t="s">
        <v>667</v>
      </c>
      <c r="C59" s="299">
        <v>46171.0</v>
      </c>
      <c r="D59" s="296">
        <v>29.0</v>
      </c>
      <c r="E59" s="296">
        <v>5.0</v>
      </c>
      <c r="F59" s="296">
        <v>2026.0</v>
      </c>
      <c r="G59" s="299">
        <v>46174.0</v>
      </c>
      <c r="H59" s="296">
        <v>1.0</v>
      </c>
      <c r="I59" s="269">
        <v>6.0</v>
      </c>
      <c r="J59" s="296">
        <v>2026.0</v>
      </c>
      <c r="K59" s="164" t="s">
        <v>43</v>
      </c>
      <c r="L59" s="164" t="s">
        <v>518</v>
      </c>
      <c r="M59" s="235">
        <v>1.0</v>
      </c>
      <c r="N59" s="235">
        <v>3.0</v>
      </c>
      <c r="O59" s="235">
        <v>6.0</v>
      </c>
      <c r="P59" s="315">
        <v>46174.0</v>
      </c>
      <c r="Q59" s="213">
        <v>1.0</v>
      </c>
      <c r="R59" s="213">
        <v>6.0</v>
      </c>
      <c r="S59" s="296">
        <v>2026.0</v>
      </c>
      <c r="T59" s="235" t="s">
        <v>7</v>
      </c>
      <c r="U59" s="235">
        <v>88.7299999999999</v>
      </c>
      <c r="V59" s="315">
        <v>46174.0</v>
      </c>
      <c r="W59" s="213">
        <v>1.0</v>
      </c>
      <c r="X59" s="213">
        <v>6.0</v>
      </c>
      <c r="Y59" s="296">
        <v>2026.0</v>
      </c>
      <c r="Z59" s="235" t="s">
        <v>7</v>
      </c>
    </row>
    <row r="60">
      <c r="A60" s="293" t="s">
        <v>669</v>
      </c>
      <c r="B60" s="294" t="s">
        <v>670</v>
      </c>
      <c r="C60" s="299">
        <v>46189.0</v>
      </c>
      <c r="D60" s="296">
        <v>16.0</v>
      </c>
      <c r="E60" s="296">
        <v>6.0</v>
      </c>
      <c r="F60" s="296">
        <v>2026.0</v>
      </c>
      <c r="G60" s="299">
        <v>46192.0</v>
      </c>
      <c r="H60" s="296">
        <v>19.0</v>
      </c>
      <c r="I60" s="269">
        <v>6.0</v>
      </c>
      <c r="J60" s="296">
        <v>2026.0</v>
      </c>
      <c r="K60" s="164" t="s">
        <v>43</v>
      </c>
      <c r="L60" s="164" t="s">
        <v>518</v>
      </c>
      <c r="M60" s="235">
        <v>1.0</v>
      </c>
      <c r="N60" s="235">
        <v>3.0</v>
      </c>
      <c r="O60" s="235">
        <v>6.0</v>
      </c>
      <c r="P60" s="315">
        <v>46174.0</v>
      </c>
      <c r="Q60" s="213">
        <v>1.0</v>
      </c>
      <c r="R60" s="213">
        <v>6.0</v>
      </c>
      <c r="S60" s="296">
        <v>2026.0</v>
      </c>
      <c r="T60" s="235" t="s">
        <v>7</v>
      </c>
      <c r="U60" s="235">
        <v>114.07</v>
      </c>
      <c r="V60" s="315">
        <v>46174.0</v>
      </c>
      <c r="W60" s="296">
        <v>1.0</v>
      </c>
      <c r="X60" s="296">
        <v>6.0</v>
      </c>
      <c r="Y60" s="296">
        <v>2026.0</v>
      </c>
      <c r="Z60" s="235" t="s">
        <v>7</v>
      </c>
    </row>
    <row r="61">
      <c r="A61" s="293" t="s">
        <v>671</v>
      </c>
      <c r="B61" s="294" t="s">
        <v>672</v>
      </c>
      <c r="C61" s="299">
        <v>46187.0</v>
      </c>
      <c r="D61" s="296">
        <v>14.0</v>
      </c>
      <c r="E61" s="296">
        <v>6.0</v>
      </c>
      <c r="F61" s="296">
        <v>2026.0</v>
      </c>
      <c r="G61" s="299">
        <v>46191.0</v>
      </c>
      <c r="H61" s="296">
        <v>18.0</v>
      </c>
      <c r="I61" s="269">
        <v>6.0</v>
      </c>
      <c r="J61" s="296">
        <v>2026.0</v>
      </c>
      <c r="K61" s="164" t="s">
        <v>43</v>
      </c>
      <c r="L61" s="164" t="s">
        <v>518</v>
      </c>
      <c r="M61" s="235">
        <v>1.0</v>
      </c>
      <c r="N61" s="235">
        <v>4.0</v>
      </c>
      <c r="O61" s="235">
        <v>8.0</v>
      </c>
      <c r="P61" s="315">
        <v>46174.0</v>
      </c>
      <c r="Q61" s="213">
        <v>1.0</v>
      </c>
      <c r="R61" s="213">
        <v>6.0</v>
      </c>
      <c r="S61" s="296">
        <v>2026.0</v>
      </c>
      <c r="T61" s="235" t="s">
        <v>7</v>
      </c>
      <c r="U61" s="235">
        <v>152.1</v>
      </c>
      <c r="V61" s="315">
        <v>46174.0</v>
      </c>
      <c r="W61" s="296">
        <v>1.0</v>
      </c>
      <c r="X61" s="296">
        <v>6.0</v>
      </c>
      <c r="Y61" s="296">
        <v>2026.0</v>
      </c>
      <c r="Z61" s="235" t="s">
        <v>7</v>
      </c>
    </row>
    <row r="62">
      <c r="A62" s="293" t="s">
        <v>673</v>
      </c>
      <c r="B62" s="294" t="s">
        <v>674</v>
      </c>
      <c r="C62" s="299">
        <v>46197.0</v>
      </c>
      <c r="D62" s="296">
        <v>24.0</v>
      </c>
      <c r="E62" s="296">
        <v>6.0</v>
      </c>
      <c r="F62" s="296">
        <v>2026.0</v>
      </c>
      <c r="G62" s="299">
        <v>46201.0</v>
      </c>
      <c r="H62" s="296">
        <v>28.0</v>
      </c>
      <c r="I62" s="269">
        <v>6.0</v>
      </c>
      <c r="J62" s="296">
        <v>2026.0</v>
      </c>
      <c r="K62" s="164" t="s">
        <v>43</v>
      </c>
      <c r="L62" s="164" t="s">
        <v>518</v>
      </c>
      <c r="M62" s="235">
        <v>1.0</v>
      </c>
      <c r="N62" s="235">
        <v>4.0</v>
      </c>
      <c r="O62" s="235">
        <v>8.0</v>
      </c>
      <c r="P62" s="315">
        <v>46174.0</v>
      </c>
      <c r="Q62" s="213">
        <v>1.0</v>
      </c>
      <c r="R62" s="213">
        <v>6.0</v>
      </c>
      <c r="S62" s="296">
        <v>2026.0</v>
      </c>
      <c r="T62" s="235" t="s">
        <v>7</v>
      </c>
      <c r="U62" s="235">
        <v>152.1</v>
      </c>
      <c r="V62" s="315">
        <v>46174.0</v>
      </c>
      <c r="W62" s="296">
        <v>1.0</v>
      </c>
      <c r="X62" s="296">
        <v>6.0</v>
      </c>
      <c r="Y62" s="296">
        <v>2026.0</v>
      </c>
      <c r="Z62" s="235" t="s">
        <v>7</v>
      </c>
    </row>
    <row r="63">
      <c r="A63" s="293" t="s">
        <v>675</v>
      </c>
      <c r="B63" s="294" t="s">
        <v>676</v>
      </c>
      <c r="C63" s="299">
        <v>46185.0</v>
      </c>
      <c r="D63" s="296">
        <v>12.0</v>
      </c>
      <c r="E63" s="296">
        <v>6.0</v>
      </c>
      <c r="F63" s="296">
        <v>2026.0</v>
      </c>
      <c r="G63" s="299">
        <v>46188.0</v>
      </c>
      <c r="H63" s="296">
        <v>15.0</v>
      </c>
      <c r="I63" s="269">
        <v>6.0</v>
      </c>
      <c r="J63" s="296">
        <v>2026.0</v>
      </c>
      <c r="K63" s="164" t="s">
        <v>43</v>
      </c>
      <c r="L63" s="164" t="s">
        <v>518</v>
      </c>
      <c r="M63" s="235">
        <v>1.0</v>
      </c>
      <c r="N63" s="235">
        <v>3.0</v>
      </c>
      <c r="O63" s="235">
        <v>6.0</v>
      </c>
      <c r="P63" s="315">
        <v>46174.0</v>
      </c>
      <c r="Q63" s="213">
        <v>1.0</v>
      </c>
      <c r="R63" s="213">
        <v>6.0</v>
      </c>
      <c r="S63" s="296">
        <v>2026.0</v>
      </c>
      <c r="T63" s="82" t="s">
        <v>319</v>
      </c>
      <c r="U63" s="235">
        <v>108.07</v>
      </c>
      <c r="V63" s="315">
        <v>46174.0</v>
      </c>
      <c r="W63" s="296">
        <v>1.0</v>
      </c>
      <c r="X63" s="296">
        <v>6.0</v>
      </c>
      <c r="Y63" s="296">
        <v>2026.0</v>
      </c>
      <c r="Z63" s="235" t="s">
        <v>7</v>
      </c>
    </row>
    <row r="64">
      <c r="A64" s="293" t="s">
        <v>678</v>
      </c>
      <c r="B64" s="294" t="s">
        <v>679</v>
      </c>
      <c r="C64" s="299">
        <v>46184.0</v>
      </c>
      <c r="D64" s="296">
        <v>11.0</v>
      </c>
      <c r="E64" s="296">
        <v>6.0</v>
      </c>
      <c r="F64" s="296">
        <v>2026.0</v>
      </c>
      <c r="G64" s="299">
        <v>46187.0</v>
      </c>
      <c r="H64" s="296">
        <v>14.0</v>
      </c>
      <c r="I64" s="269">
        <v>6.0</v>
      </c>
      <c r="J64" s="296">
        <v>2026.0</v>
      </c>
      <c r="K64" s="235" t="s">
        <v>43</v>
      </c>
      <c r="L64" s="235" t="s">
        <v>518</v>
      </c>
      <c r="M64" s="235">
        <v>2.0</v>
      </c>
      <c r="N64" s="235">
        <v>3.0</v>
      </c>
      <c r="O64" s="235">
        <v>12.0</v>
      </c>
      <c r="P64" s="315">
        <v>46174.0</v>
      </c>
      <c r="Q64" s="213">
        <v>1.0</v>
      </c>
      <c r="R64" s="213">
        <v>6.0</v>
      </c>
      <c r="S64" s="296">
        <v>2026.0</v>
      </c>
      <c r="T64" s="235" t="s">
        <v>7</v>
      </c>
      <c r="U64" s="235">
        <v>245.05</v>
      </c>
      <c r="V64" s="315">
        <v>46174.0</v>
      </c>
      <c r="W64" s="296">
        <v>1.0</v>
      </c>
      <c r="X64" s="296">
        <v>6.0</v>
      </c>
      <c r="Y64" s="296">
        <v>2026.0</v>
      </c>
      <c r="Z64" s="235" t="s">
        <v>7</v>
      </c>
    </row>
    <row r="65">
      <c r="A65" s="293" t="s">
        <v>681</v>
      </c>
      <c r="B65" s="294" t="s">
        <v>682</v>
      </c>
      <c r="C65" s="299">
        <v>46182.0</v>
      </c>
      <c r="D65" s="296">
        <v>9.0</v>
      </c>
      <c r="E65" s="296">
        <v>6.0</v>
      </c>
      <c r="F65" s="296">
        <v>2026.0</v>
      </c>
      <c r="G65" s="299">
        <v>46185.0</v>
      </c>
      <c r="H65" s="296">
        <v>12.0</v>
      </c>
      <c r="I65" s="269">
        <v>6.0</v>
      </c>
      <c r="J65" s="296">
        <v>2026.0</v>
      </c>
      <c r="K65" s="235" t="s">
        <v>43</v>
      </c>
      <c r="L65" s="235" t="s">
        <v>518</v>
      </c>
      <c r="M65" s="235">
        <v>2.0</v>
      </c>
      <c r="N65" s="235">
        <v>3.0</v>
      </c>
      <c r="O65" s="235">
        <v>12.0</v>
      </c>
      <c r="P65" s="315">
        <v>46174.0</v>
      </c>
      <c r="Q65" s="213">
        <v>1.0</v>
      </c>
      <c r="R65" s="213">
        <v>6.0</v>
      </c>
      <c r="S65" s="296">
        <v>2026.0</v>
      </c>
      <c r="T65" s="82" t="s">
        <v>319</v>
      </c>
      <c r="U65" s="235">
        <v>102.07</v>
      </c>
      <c r="V65" s="315">
        <v>46174.0</v>
      </c>
      <c r="W65" s="296">
        <v>1.0</v>
      </c>
      <c r="X65" s="296">
        <v>6.0</v>
      </c>
      <c r="Y65" s="296">
        <v>2026.0</v>
      </c>
      <c r="Z65" s="235" t="s">
        <v>7</v>
      </c>
    </row>
    <row r="66">
      <c r="A66" s="293" t="s">
        <v>684</v>
      </c>
      <c r="B66" s="294" t="s">
        <v>685</v>
      </c>
      <c r="C66" s="299">
        <v>46196.0</v>
      </c>
      <c r="D66" s="296">
        <v>23.0</v>
      </c>
      <c r="E66" s="296">
        <v>6.0</v>
      </c>
      <c r="F66" s="296">
        <v>2026.0</v>
      </c>
      <c r="G66" s="299">
        <v>46199.0</v>
      </c>
      <c r="H66" s="296">
        <v>26.0</v>
      </c>
      <c r="I66" s="269">
        <v>6.0</v>
      </c>
      <c r="J66" s="296">
        <v>2026.0</v>
      </c>
      <c r="K66" s="164" t="s">
        <v>43</v>
      </c>
      <c r="L66" s="164" t="s">
        <v>518</v>
      </c>
      <c r="M66" s="235">
        <v>1.0</v>
      </c>
      <c r="N66" s="235">
        <v>3.0</v>
      </c>
      <c r="O66" s="235">
        <v>6.0</v>
      </c>
      <c r="P66" s="315">
        <v>46174.0</v>
      </c>
      <c r="Q66" s="213">
        <v>1.0</v>
      </c>
      <c r="R66" s="213">
        <v>6.0</v>
      </c>
      <c r="S66" s="296">
        <v>2026.0</v>
      </c>
      <c r="T66" s="235" t="s">
        <v>7</v>
      </c>
      <c r="U66" s="235">
        <v>88.73</v>
      </c>
      <c r="V66" s="315">
        <v>46174.0</v>
      </c>
      <c r="W66" s="296">
        <v>1.0</v>
      </c>
      <c r="X66" s="296">
        <v>6.0</v>
      </c>
      <c r="Y66" s="296">
        <v>2026.0</v>
      </c>
      <c r="Z66" s="235" t="s">
        <v>7</v>
      </c>
    </row>
    <row r="67">
      <c r="A67" s="293" t="s">
        <v>686</v>
      </c>
      <c r="B67" s="294" t="s">
        <v>687</v>
      </c>
      <c r="C67" s="299">
        <v>46177.0</v>
      </c>
      <c r="D67" s="296">
        <v>4.0</v>
      </c>
      <c r="E67" s="296">
        <v>6.0</v>
      </c>
      <c r="F67" s="296">
        <v>2026.0</v>
      </c>
      <c r="G67" s="299">
        <v>46191.0</v>
      </c>
      <c r="H67" s="296">
        <v>18.0</v>
      </c>
      <c r="I67" s="269">
        <v>6.0</v>
      </c>
      <c r="J67" s="296">
        <v>2026.0</v>
      </c>
      <c r="K67" s="164" t="s">
        <v>43</v>
      </c>
      <c r="L67" s="235" t="s">
        <v>518</v>
      </c>
      <c r="M67" s="235">
        <v>1.0</v>
      </c>
      <c r="N67" s="235">
        <v>14.0</v>
      </c>
      <c r="O67" s="235">
        <v>14.0</v>
      </c>
      <c r="P67" s="315">
        <v>46174.0</v>
      </c>
      <c r="Q67" s="213">
        <v>1.0</v>
      </c>
      <c r="R67" s="213">
        <v>6.0</v>
      </c>
      <c r="S67" s="296">
        <v>2026.0</v>
      </c>
      <c r="T67" s="235" t="s">
        <v>7</v>
      </c>
      <c r="U67" s="235">
        <v>550.09</v>
      </c>
      <c r="V67" s="315">
        <v>46174.0</v>
      </c>
      <c r="W67" s="296">
        <v>1.0</v>
      </c>
      <c r="X67" s="296">
        <v>6.0</v>
      </c>
      <c r="Y67" s="296">
        <v>2026.0</v>
      </c>
      <c r="Z67" s="235" t="s">
        <v>7</v>
      </c>
    </row>
    <row r="68">
      <c r="A68" s="293" t="s">
        <v>688</v>
      </c>
      <c r="B68" s="294" t="s">
        <v>689</v>
      </c>
      <c r="C68" s="299">
        <v>46194.0</v>
      </c>
      <c r="D68" s="296">
        <v>21.0</v>
      </c>
      <c r="E68" s="296">
        <v>6.0</v>
      </c>
      <c r="F68" s="296">
        <v>2026.0</v>
      </c>
      <c r="G68" s="299">
        <v>46195.0</v>
      </c>
      <c r="H68" s="296">
        <v>22.0</v>
      </c>
      <c r="I68" s="269">
        <v>6.0</v>
      </c>
      <c r="J68" s="296">
        <v>2026.0</v>
      </c>
      <c r="K68" s="164" t="s">
        <v>43</v>
      </c>
      <c r="L68" s="235" t="s">
        <v>518</v>
      </c>
      <c r="M68" s="235">
        <v>1.0</v>
      </c>
      <c r="N68" s="235">
        <v>1.0</v>
      </c>
      <c r="O68" s="235">
        <v>2.0</v>
      </c>
      <c r="P68" s="315">
        <v>46174.0</v>
      </c>
      <c r="Q68" s="213">
        <v>1.0</v>
      </c>
      <c r="R68" s="213">
        <v>6.0</v>
      </c>
      <c r="S68" s="296">
        <v>2026.0</v>
      </c>
      <c r="T68" s="235" t="s">
        <v>7</v>
      </c>
      <c r="U68" s="235">
        <v>39.82</v>
      </c>
      <c r="V68" s="315">
        <v>46174.0</v>
      </c>
      <c r="W68" s="296">
        <v>1.0</v>
      </c>
      <c r="X68" s="296">
        <v>6.0</v>
      </c>
      <c r="Y68" s="296">
        <v>2026.0</v>
      </c>
      <c r="Z68" s="235" t="s">
        <v>7</v>
      </c>
    </row>
    <row r="69">
      <c r="A69" s="293" t="s">
        <v>690</v>
      </c>
      <c r="B69" s="294" t="s">
        <v>691</v>
      </c>
      <c r="C69" s="299">
        <v>46201.0</v>
      </c>
      <c r="D69" s="296">
        <v>28.0</v>
      </c>
      <c r="E69" s="296">
        <v>6.0</v>
      </c>
      <c r="F69" s="296">
        <v>2026.0</v>
      </c>
      <c r="G69" s="299">
        <v>46205.0</v>
      </c>
      <c r="H69" s="296">
        <v>2.0</v>
      </c>
      <c r="I69" s="269">
        <v>7.0</v>
      </c>
      <c r="J69" s="296">
        <v>2026.0</v>
      </c>
      <c r="K69" s="235" t="s">
        <v>43</v>
      </c>
      <c r="L69" s="235" t="s">
        <v>518</v>
      </c>
      <c r="M69" s="235">
        <v>1.0</v>
      </c>
      <c r="N69" s="235">
        <v>4.0</v>
      </c>
      <c r="O69" s="235">
        <v>8.0</v>
      </c>
      <c r="P69" s="315">
        <v>46174.0</v>
      </c>
      <c r="Q69" s="213">
        <v>1.0</v>
      </c>
      <c r="R69" s="213">
        <v>6.0</v>
      </c>
      <c r="S69" s="296">
        <v>2026.0</v>
      </c>
      <c r="T69" s="235" t="s">
        <v>7</v>
      </c>
      <c r="U69" s="235">
        <v>190.05</v>
      </c>
      <c r="V69" s="315">
        <v>46174.0</v>
      </c>
      <c r="W69" s="296">
        <v>1.0</v>
      </c>
      <c r="X69" s="296">
        <v>6.0</v>
      </c>
      <c r="Y69" s="296">
        <v>2026.0</v>
      </c>
      <c r="Z69" s="235" t="s">
        <v>7</v>
      </c>
    </row>
    <row r="70">
      <c r="A70" s="293" t="s">
        <v>693</v>
      </c>
      <c r="B70" s="294" t="s">
        <v>694</v>
      </c>
      <c r="C70" s="299">
        <v>46183.0</v>
      </c>
      <c r="D70" s="296">
        <v>10.0</v>
      </c>
      <c r="E70" s="296">
        <v>6.0</v>
      </c>
      <c r="F70" s="296">
        <v>2026.0</v>
      </c>
      <c r="G70" s="299">
        <v>46184.0</v>
      </c>
      <c r="H70" s="296">
        <v>11.0</v>
      </c>
      <c r="I70" s="269">
        <v>6.0</v>
      </c>
      <c r="J70" s="296">
        <v>2026.0</v>
      </c>
      <c r="K70" s="235" t="s">
        <v>43</v>
      </c>
      <c r="L70" s="235" t="s">
        <v>518</v>
      </c>
      <c r="M70" s="235">
        <v>1.0</v>
      </c>
      <c r="N70" s="235">
        <v>1.0</v>
      </c>
      <c r="O70" s="235">
        <v>2.0</v>
      </c>
      <c r="P70" s="315">
        <v>46174.0</v>
      </c>
      <c r="Q70" s="213">
        <v>1.0</v>
      </c>
      <c r="R70" s="213">
        <v>6.0</v>
      </c>
      <c r="S70" s="296">
        <v>2026.0</v>
      </c>
      <c r="T70" s="235" t="s">
        <v>7</v>
      </c>
      <c r="U70" s="235">
        <v>49.77</v>
      </c>
      <c r="V70" s="315">
        <v>46174.0</v>
      </c>
      <c r="W70" s="296">
        <v>1.0</v>
      </c>
      <c r="X70" s="296">
        <v>6.0</v>
      </c>
      <c r="Y70" s="296">
        <v>2026.0</v>
      </c>
      <c r="Z70" s="235" t="s">
        <v>7</v>
      </c>
    </row>
    <row r="71">
      <c r="A71" s="293" t="s">
        <v>696</v>
      </c>
      <c r="B71" s="294" t="s">
        <v>697</v>
      </c>
      <c r="C71" s="299">
        <v>46176.0</v>
      </c>
      <c r="D71" s="296">
        <v>3.0</v>
      </c>
      <c r="E71" s="296">
        <v>6.0</v>
      </c>
      <c r="F71" s="296">
        <v>2026.0</v>
      </c>
      <c r="G71" s="299">
        <v>46185.0</v>
      </c>
      <c r="H71" s="296">
        <v>12.0</v>
      </c>
      <c r="I71" s="269">
        <v>6.0</v>
      </c>
      <c r="J71" s="296">
        <v>2026.0</v>
      </c>
      <c r="K71" s="164" t="s">
        <v>43</v>
      </c>
      <c r="L71" s="164" t="s">
        <v>518</v>
      </c>
      <c r="M71" s="235">
        <v>1.0</v>
      </c>
      <c r="N71" s="235">
        <v>9.0</v>
      </c>
      <c r="O71" s="235">
        <v>14.0</v>
      </c>
      <c r="P71" s="315">
        <v>46174.0</v>
      </c>
      <c r="Q71" s="213">
        <v>1.0</v>
      </c>
      <c r="R71" s="213">
        <v>6.0</v>
      </c>
      <c r="S71" s="296">
        <v>2026.0</v>
      </c>
      <c r="T71" s="235" t="s">
        <v>7</v>
      </c>
      <c r="U71" s="235">
        <v>348.98</v>
      </c>
      <c r="V71" s="315">
        <v>46174.0</v>
      </c>
      <c r="W71" s="296">
        <v>1.0</v>
      </c>
      <c r="X71" s="296">
        <v>6.0</v>
      </c>
      <c r="Y71" s="296">
        <v>2026.0</v>
      </c>
      <c r="Z71" s="235" t="s">
        <v>7</v>
      </c>
    </row>
    <row r="72">
      <c r="A72" s="293" t="s">
        <v>698</v>
      </c>
      <c r="B72" s="294" t="s">
        <v>700</v>
      </c>
      <c r="C72" s="299">
        <v>46188.0</v>
      </c>
      <c r="D72" s="296">
        <v>15.0</v>
      </c>
      <c r="E72" s="296">
        <v>6.0</v>
      </c>
      <c r="F72" s="296">
        <v>2026.0</v>
      </c>
      <c r="G72" s="299">
        <v>46193.0</v>
      </c>
      <c r="H72" s="296">
        <v>20.0</v>
      </c>
      <c r="I72" s="269">
        <v>6.0</v>
      </c>
      <c r="J72" s="296">
        <v>2026.0</v>
      </c>
      <c r="K72" s="164" t="s">
        <v>43</v>
      </c>
      <c r="L72" s="164" t="s">
        <v>518</v>
      </c>
      <c r="M72" s="235">
        <v>1.0</v>
      </c>
      <c r="N72" s="235">
        <v>5.0</v>
      </c>
      <c r="O72" s="235">
        <v>10.0</v>
      </c>
      <c r="P72" s="315">
        <v>46174.0</v>
      </c>
      <c r="Q72" s="213">
        <v>1.0</v>
      </c>
      <c r="R72" s="213">
        <v>6.0</v>
      </c>
      <c r="S72" s="296">
        <v>2026.0</v>
      </c>
      <c r="T72" s="235" t="s">
        <v>7</v>
      </c>
      <c r="U72" s="235">
        <v>190.12</v>
      </c>
      <c r="V72" s="315">
        <v>46174.0</v>
      </c>
      <c r="W72" s="296">
        <v>1.0</v>
      </c>
      <c r="X72" s="296">
        <v>6.0</v>
      </c>
      <c r="Y72" s="296">
        <v>2026.0</v>
      </c>
      <c r="Z72" s="235" t="s">
        <v>7</v>
      </c>
    </row>
    <row r="73">
      <c r="A73" s="293" t="s">
        <v>701</v>
      </c>
      <c r="B73" s="294" t="s">
        <v>702</v>
      </c>
      <c r="C73" s="299">
        <v>46183.0</v>
      </c>
      <c r="D73" s="296">
        <v>10.0</v>
      </c>
      <c r="E73" s="296">
        <v>6.0</v>
      </c>
      <c r="F73" s="296">
        <v>2026.0</v>
      </c>
      <c r="G73" s="299">
        <v>46186.0</v>
      </c>
      <c r="H73" s="296">
        <v>13.0</v>
      </c>
      <c r="I73" s="269">
        <v>6.0</v>
      </c>
      <c r="J73" s="296">
        <v>2026.0</v>
      </c>
      <c r="K73" s="235" t="s">
        <v>43</v>
      </c>
      <c r="L73" s="235" t="s">
        <v>518</v>
      </c>
      <c r="M73" s="235">
        <v>1.0</v>
      </c>
      <c r="N73" s="235">
        <v>3.0</v>
      </c>
      <c r="O73" s="235">
        <v>6.0</v>
      </c>
      <c r="P73" s="315">
        <v>46174.0</v>
      </c>
      <c r="Q73" s="213">
        <v>1.0</v>
      </c>
      <c r="R73" s="213">
        <v>6.0</v>
      </c>
      <c r="S73" s="296">
        <v>2026.0</v>
      </c>
      <c r="T73" s="235" t="s">
        <v>7</v>
      </c>
      <c r="U73" s="235">
        <v>111.54</v>
      </c>
      <c r="V73" s="315">
        <v>46174.0</v>
      </c>
      <c r="W73" s="296">
        <v>1.0</v>
      </c>
      <c r="X73" s="296">
        <v>6.0</v>
      </c>
      <c r="Y73" s="296">
        <v>2026.0</v>
      </c>
      <c r="Z73" s="235" t="s">
        <v>7</v>
      </c>
    </row>
    <row r="74">
      <c r="A74" s="293" t="s">
        <v>703</v>
      </c>
      <c r="B74" s="294" t="s">
        <v>704</v>
      </c>
      <c r="C74" s="299">
        <v>46200.0</v>
      </c>
      <c r="D74" s="296">
        <v>27.0</v>
      </c>
      <c r="E74" s="296">
        <v>6.0</v>
      </c>
      <c r="F74" s="296">
        <v>2026.0</v>
      </c>
      <c r="G74" s="299">
        <v>46201.0</v>
      </c>
      <c r="H74" s="296">
        <v>28.0</v>
      </c>
      <c r="I74" s="269">
        <v>6.0</v>
      </c>
      <c r="J74" s="296">
        <v>2026.0</v>
      </c>
      <c r="K74" s="235" t="s">
        <v>43</v>
      </c>
      <c r="L74" s="235" t="s">
        <v>518</v>
      </c>
      <c r="M74" s="235">
        <v>1.0</v>
      </c>
      <c r="N74" s="235">
        <v>1.0</v>
      </c>
      <c r="O74" s="235">
        <v>2.0</v>
      </c>
      <c r="P74" s="315">
        <v>46174.0</v>
      </c>
      <c r="Q74" s="213">
        <v>1.0</v>
      </c>
      <c r="R74" s="213">
        <v>6.0</v>
      </c>
      <c r="S74" s="296">
        <v>2026.0</v>
      </c>
      <c r="T74" s="235" t="s">
        <v>7</v>
      </c>
      <c r="U74" s="235">
        <v>29.57</v>
      </c>
      <c r="V74" s="315">
        <v>46174.0</v>
      </c>
      <c r="W74" s="296">
        <v>1.0</v>
      </c>
      <c r="X74" s="296">
        <v>6.0</v>
      </c>
      <c r="Y74" s="296">
        <v>2026.0</v>
      </c>
      <c r="Z74" s="235" t="s">
        <v>7</v>
      </c>
    </row>
    <row r="75">
      <c r="A75" s="293" t="s">
        <v>705</v>
      </c>
      <c r="B75" s="294" t="s">
        <v>706</v>
      </c>
      <c r="C75" s="299">
        <v>46178.0</v>
      </c>
      <c r="D75" s="296">
        <v>5.0</v>
      </c>
      <c r="E75" s="296">
        <v>6.0</v>
      </c>
      <c r="F75" s="296">
        <v>2026.0</v>
      </c>
      <c r="G75" s="299">
        <v>46179.0</v>
      </c>
      <c r="H75" s="296">
        <v>6.0</v>
      </c>
      <c r="I75" s="269">
        <v>6.0</v>
      </c>
      <c r="J75" s="296">
        <v>2026.0</v>
      </c>
      <c r="K75" s="235" t="s">
        <v>43</v>
      </c>
      <c r="L75" s="235" t="s">
        <v>518</v>
      </c>
      <c r="M75" s="235">
        <v>1.0</v>
      </c>
      <c r="N75" s="235">
        <v>1.0</v>
      </c>
      <c r="O75" s="235">
        <v>2.0</v>
      </c>
      <c r="P75" s="315">
        <v>46174.0</v>
      </c>
      <c r="Q75" s="213">
        <v>1.0</v>
      </c>
      <c r="R75" s="213">
        <v>6.0</v>
      </c>
      <c r="S75" s="296">
        <v>2026.0</v>
      </c>
      <c r="T75" s="235" t="s">
        <v>7</v>
      </c>
      <c r="U75" s="235">
        <v>38.02</v>
      </c>
      <c r="V75" s="315">
        <v>46174.0</v>
      </c>
      <c r="W75" s="296">
        <v>1.0</v>
      </c>
      <c r="X75" s="296">
        <v>6.0</v>
      </c>
      <c r="Y75" s="296">
        <v>2026.0</v>
      </c>
      <c r="Z75" s="235" t="s">
        <v>7</v>
      </c>
    </row>
    <row r="76">
      <c r="A76" s="293" t="s">
        <v>705</v>
      </c>
      <c r="B76" s="294" t="s">
        <v>707</v>
      </c>
      <c r="C76" s="299">
        <v>46184.0</v>
      </c>
      <c r="D76" s="296">
        <v>11.0</v>
      </c>
      <c r="E76" s="296">
        <v>6.0</v>
      </c>
      <c r="F76" s="296">
        <v>2026.0</v>
      </c>
      <c r="G76" s="299">
        <v>46185.0</v>
      </c>
      <c r="H76" s="296">
        <v>12.0</v>
      </c>
      <c r="I76" s="269">
        <v>6.0</v>
      </c>
      <c r="J76" s="296">
        <v>2026.0</v>
      </c>
      <c r="K76" s="235" t="s">
        <v>43</v>
      </c>
      <c r="L76" s="235" t="s">
        <v>518</v>
      </c>
      <c r="M76" s="235">
        <v>1.0</v>
      </c>
      <c r="N76" s="235">
        <v>1.0</v>
      </c>
      <c r="O76" s="235">
        <v>2.0</v>
      </c>
      <c r="P76" s="315">
        <v>46174.0</v>
      </c>
      <c r="Q76" s="213">
        <v>1.0</v>
      </c>
      <c r="R76" s="213">
        <v>6.0</v>
      </c>
      <c r="S76" s="296">
        <v>2026.0</v>
      </c>
      <c r="T76" s="235" t="s">
        <v>7</v>
      </c>
      <c r="U76" s="235">
        <v>35.49</v>
      </c>
      <c r="V76" s="315">
        <v>46174.0</v>
      </c>
      <c r="W76" s="296">
        <v>1.0</v>
      </c>
      <c r="X76" s="296">
        <v>6.0</v>
      </c>
      <c r="Y76" s="296">
        <v>2026.0</v>
      </c>
      <c r="Z76" s="235" t="s">
        <v>7</v>
      </c>
    </row>
    <row r="77">
      <c r="A77" s="293" t="s">
        <v>709</v>
      </c>
      <c r="B77" s="294" t="s">
        <v>710</v>
      </c>
      <c r="C77" s="299">
        <v>46175.0</v>
      </c>
      <c r="D77" s="296">
        <v>2.0</v>
      </c>
      <c r="E77" s="296">
        <v>6.0</v>
      </c>
      <c r="F77" s="296">
        <v>2026.0</v>
      </c>
      <c r="G77" s="299">
        <v>46177.0</v>
      </c>
      <c r="H77" s="296">
        <v>4.0</v>
      </c>
      <c r="I77" s="269">
        <v>6.0</v>
      </c>
      <c r="J77" s="296">
        <v>2026.0</v>
      </c>
      <c r="K77" s="164" t="s">
        <v>43</v>
      </c>
      <c r="L77" s="164" t="s">
        <v>518</v>
      </c>
      <c r="M77" s="235">
        <v>1.0</v>
      </c>
      <c r="N77" s="235">
        <v>2.0</v>
      </c>
      <c r="O77" s="235">
        <v>4.0</v>
      </c>
      <c r="P77" s="315">
        <v>46174.0</v>
      </c>
      <c r="Q77" s="213">
        <v>1.0</v>
      </c>
      <c r="R77" s="213">
        <v>6.0</v>
      </c>
      <c r="S77" s="296">
        <v>2026.0</v>
      </c>
      <c r="T77" s="235" t="s">
        <v>7</v>
      </c>
      <c r="U77" s="235">
        <v>76.05</v>
      </c>
      <c r="V77" s="315">
        <v>46174.0</v>
      </c>
      <c r="W77" s="296">
        <v>1.0</v>
      </c>
      <c r="X77" s="296">
        <v>6.0</v>
      </c>
      <c r="Y77" s="296">
        <v>2026.0</v>
      </c>
      <c r="Z77" s="235" t="s">
        <v>7</v>
      </c>
    </row>
    <row r="78">
      <c r="A78" s="293" t="s">
        <v>712</v>
      </c>
      <c r="B78" s="294" t="s">
        <v>713</v>
      </c>
      <c r="C78" s="299">
        <v>46188.0</v>
      </c>
      <c r="D78" s="296">
        <v>15.0</v>
      </c>
      <c r="E78" s="296">
        <v>6.0</v>
      </c>
      <c r="F78" s="296">
        <v>2026.0</v>
      </c>
      <c r="G78" s="299">
        <v>46195.0</v>
      </c>
      <c r="H78" s="296">
        <v>22.0</v>
      </c>
      <c r="I78" s="269">
        <v>6.0</v>
      </c>
      <c r="J78" s="296">
        <v>2026.0</v>
      </c>
      <c r="K78" s="164" t="s">
        <v>43</v>
      </c>
      <c r="L78" s="164" t="s">
        <v>639</v>
      </c>
      <c r="M78" s="235">
        <v>1.0</v>
      </c>
      <c r="N78" s="235">
        <v>7.0</v>
      </c>
      <c r="O78" s="235">
        <v>14.0</v>
      </c>
      <c r="P78" s="315">
        <v>46174.0</v>
      </c>
      <c r="Q78" s="213">
        <v>1.0</v>
      </c>
      <c r="R78" s="213">
        <v>6.0</v>
      </c>
      <c r="S78" s="296">
        <v>2026.0</v>
      </c>
      <c r="T78" s="235" t="s">
        <v>7</v>
      </c>
      <c r="U78" s="235">
        <v>92.7</v>
      </c>
      <c r="V78" s="315">
        <v>46174.0</v>
      </c>
      <c r="W78" s="296">
        <v>1.0</v>
      </c>
      <c r="X78" s="296">
        <v>6.0</v>
      </c>
      <c r="Y78" s="296">
        <v>2026.0</v>
      </c>
      <c r="Z78" s="235" t="s">
        <v>7</v>
      </c>
    </row>
    <row r="79">
      <c r="A79" s="293" t="s">
        <v>715</v>
      </c>
      <c r="B79" s="294" t="s">
        <v>716</v>
      </c>
      <c r="C79" s="299">
        <v>46184.0</v>
      </c>
      <c r="D79" s="296">
        <v>11.0</v>
      </c>
      <c r="E79" s="296">
        <v>6.0</v>
      </c>
      <c r="F79" s="296">
        <v>2026.0</v>
      </c>
      <c r="G79" s="299">
        <v>46185.0</v>
      </c>
      <c r="H79" s="296">
        <v>12.0</v>
      </c>
      <c r="I79" s="269">
        <v>6.0</v>
      </c>
      <c r="J79" s="296">
        <v>2026.0</v>
      </c>
      <c r="K79" s="235" t="s">
        <v>43</v>
      </c>
      <c r="L79" s="235" t="s">
        <v>518</v>
      </c>
      <c r="M79" s="235">
        <v>2.0</v>
      </c>
      <c r="N79" s="235">
        <v>1.0</v>
      </c>
      <c r="O79" s="235">
        <v>4.0</v>
      </c>
      <c r="P79" s="315">
        <v>46174.0</v>
      </c>
      <c r="Q79" s="213">
        <v>1.0</v>
      </c>
      <c r="R79" s="213">
        <v>6.0</v>
      </c>
      <c r="S79" s="296">
        <v>2026.0</v>
      </c>
      <c r="T79" s="235" t="s">
        <v>7</v>
      </c>
      <c r="U79" s="235">
        <v>99.55</v>
      </c>
      <c r="V79" s="315">
        <v>46174.0</v>
      </c>
      <c r="W79" s="296">
        <v>1.0</v>
      </c>
      <c r="X79" s="296">
        <v>6.0</v>
      </c>
      <c r="Y79" s="296">
        <v>2026.0</v>
      </c>
      <c r="Z79" s="235" t="s">
        <v>7</v>
      </c>
    </row>
    <row r="80">
      <c r="A80" s="293" t="s">
        <v>718</v>
      </c>
      <c r="B80" s="294" t="s">
        <v>719</v>
      </c>
      <c r="C80" s="299">
        <v>46177.0</v>
      </c>
      <c r="D80" s="296">
        <v>4.0</v>
      </c>
      <c r="E80" s="296">
        <v>6.0</v>
      </c>
      <c r="F80" s="296">
        <v>2026.0</v>
      </c>
      <c r="G80" s="299">
        <v>46182.0</v>
      </c>
      <c r="H80" s="296">
        <v>9.0</v>
      </c>
      <c r="I80" s="269">
        <v>6.0</v>
      </c>
      <c r="J80" s="296">
        <v>2026.0</v>
      </c>
      <c r="K80" s="164" t="s">
        <v>43</v>
      </c>
      <c r="L80" s="235" t="s">
        <v>518</v>
      </c>
      <c r="M80" s="235">
        <v>1.0</v>
      </c>
      <c r="N80" s="235">
        <v>5.0</v>
      </c>
      <c r="O80" s="235">
        <v>10.0</v>
      </c>
      <c r="P80" s="315">
        <v>46174.0</v>
      </c>
      <c r="Q80" s="213">
        <v>1.0</v>
      </c>
      <c r="R80" s="213">
        <v>6.0</v>
      </c>
      <c r="S80" s="296">
        <v>2026.0</v>
      </c>
      <c r="T80" s="235" t="s">
        <v>7</v>
      </c>
      <c r="U80" s="235">
        <v>157.16</v>
      </c>
      <c r="V80" s="315">
        <v>46174.0</v>
      </c>
      <c r="W80" s="296">
        <v>1.0</v>
      </c>
      <c r="X80" s="296">
        <v>6.0</v>
      </c>
      <c r="Y80" s="296">
        <v>2026.0</v>
      </c>
      <c r="Z80" s="235" t="s">
        <v>7</v>
      </c>
    </row>
    <row r="81">
      <c r="A81" s="293" t="s">
        <v>721</v>
      </c>
      <c r="B81" s="294" t="s">
        <v>722</v>
      </c>
      <c r="C81" s="299">
        <v>46182.0</v>
      </c>
      <c r="D81" s="296">
        <v>9.0</v>
      </c>
      <c r="E81" s="296">
        <v>6.0</v>
      </c>
      <c r="F81" s="296">
        <v>2026.0</v>
      </c>
      <c r="G81" s="299">
        <v>46185.0</v>
      </c>
      <c r="H81" s="296">
        <v>12.0</v>
      </c>
      <c r="I81" s="269">
        <v>6.0</v>
      </c>
      <c r="J81" s="296">
        <v>2026.0</v>
      </c>
      <c r="K81" s="164" t="s">
        <v>43</v>
      </c>
      <c r="L81" s="164" t="s">
        <v>518</v>
      </c>
      <c r="M81" s="235">
        <v>1.0</v>
      </c>
      <c r="N81" s="235">
        <v>3.0</v>
      </c>
      <c r="O81" s="235">
        <v>6.0</v>
      </c>
      <c r="P81" s="315">
        <v>46174.0</v>
      </c>
      <c r="Q81" s="213">
        <v>1.0</v>
      </c>
      <c r="R81" s="213">
        <v>6.0</v>
      </c>
      <c r="S81" s="296">
        <v>2026.0</v>
      </c>
      <c r="T81" s="82" t="s">
        <v>319</v>
      </c>
      <c r="U81" s="235">
        <v>108.07</v>
      </c>
      <c r="V81" s="315">
        <v>46174.0</v>
      </c>
      <c r="W81" s="296">
        <v>1.0</v>
      </c>
      <c r="X81" s="296">
        <v>6.0</v>
      </c>
      <c r="Y81" s="296">
        <v>2026.0</v>
      </c>
      <c r="Z81" s="235" t="s">
        <v>7</v>
      </c>
    </row>
    <row r="82">
      <c r="A82" s="293" t="s">
        <v>724</v>
      </c>
      <c r="B82" s="294" t="s">
        <v>725</v>
      </c>
      <c r="C82" s="299">
        <v>46177.0</v>
      </c>
      <c r="D82" s="296">
        <v>4.0</v>
      </c>
      <c r="E82" s="296">
        <v>6.0</v>
      </c>
      <c r="F82" s="296">
        <v>2026.0</v>
      </c>
      <c r="G82" s="299">
        <v>46178.0</v>
      </c>
      <c r="H82" s="296">
        <v>5.0</v>
      </c>
      <c r="I82" s="269">
        <v>6.0</v>
      </c>
      <c r="J82" s="296">
        <v>2026.0</v>
      </c>
      <c r="K82" s="235" t="s">
        <v>43</v>
      </c>
      <c r="L82" s="235" t="s">
        <v>518</v>
      </c>
      <c r="M82" s="235">
        <v>1.0</v>
      </c>
      <c r="N82" s="235">
        <v>1.0</v>
      </c>
      <c r="O82" s="235">
        <v>2.0</v>
      </c>
      <c r="P82" s="315">
        <v>46174.0</v>
      </c>
      <c r="Q82" s="213">
        <v>1.0</v>
      </c>
      <c r="R82" s="213">
        <v>6.0</v>
      </c>
      <c r="S82" s="296">
        <v>2026.0</v>
      </c>
      <c r="T82" s="235" t="s">
        <v>7</v>
      </c>
      <c r="U82" s="235">
        <v>27.04</v>
      </c>
      <c r="V82" s="315">
        <v>46174.0</v>
      </c>
      <c r="W82" s="296">
        <v>1.0</v>
      </c>
      <c r="X82" s="296">
        <v>6.0</v>
      </c>
      <c r="Y82" s="296">
        <v>2026.0</v>
      </c>
      <c r="Z82" s="235" t="s">
        <v>7</v>
      </c>
    </row>
    <row r="83">
      <c r="A83" s="293" t="s">
        <v>727</v>
      </c>
      <c r="B83" s="294" t="s">
        <v>728</v>
      </c>
      <c r="C83" s="299">
        <v>46187.0</v>
      </c>
      <c r="D83" s="296">
        <v>14.0</v>
      </c>
      <c r="E83" s="296">
        <v>6.0</v>
      </c>
      <c r="F83" s="296">
        <v>2026.0</v>
      </c>
      <c r="G83" s="299">
        <v>46190.0</v>
      </c>
      <c r="H83" s="296">
        <v>17.0</v>
      </c>
      <c r="I83" s="269">
        <v>6.0</v>
      </c>
      <c r="J83" s="296">
        <v>2026.0</v>
      </c>
      <c r="K83" s="164" t="s">
        <v>43</v>
      </c>
      <c r="L83" s="164" t="s">
        <v>518</v>
      </c>
      <c r="M83" s="235">
        <v>1.0</v>
      </c>
      <c r="N83" s="235">
        <v>3.0</v>
      </c>
      <c r="O83" s="235">
        <v>6.0</v>
      </c>
      <c r="P83" s="315">
        <v>46174.0</v>
      </c>
      <c r="Q83" s="213">
        <v>1.0</v>
      </c>
      <c r="R83" s="213">
        <v>6.0</v>
      </c>
      <c r="S83" s="296">
        <v>2026.0</v>
      </c>
      <c r="T83" s="82" t="s">
        <v>319</v>
      </c>
      <c r="U83" s="235">
        <v>108.07</v>
      </c>
      <c r="V83" s="315">
        <v>46174.0</v>
      </c>
      <c r="W83" s="296">
        <v>1.0</v>
      </c>
      <c r="X83" s="296">
        <v>6.0</v>
      </c>
      <c r="Y83" s="296">
        <v>2026.0</v>
      </c>
      <c r="Z83" s="235" t="s">
        <v>7</v>
      </c>
    </row>
    <row r="84">
      <c r="A84" s="293" t="s">
        <v>729</v>
      </c>
      <c r="B84" s="294" t="s">
        <v>730</v>
      </c>
      <c r="C84" s="299">
        <v>46201.0</v>
      </c>
      <c r="D84" s="296">
        <v>28.0</v>
      </c>
      <c r="E84" s="296">
        <v>6.0</v>
      </c>
      <c r="F84" s="296">
        <v>2026.0</v>
      </c>
      <c r="G84" s="299">
        <v>46203.0</v>
      </c>
      <c r="H84" s="296">
        <v>30.0</v>
      </c>
      <c r="I84" s="269">
        <v>6.0</v>
      </c>
      <c r="J84" s="296">
        <v>2026.0</v>
      </c>
      <c r="K84" s="164" t="s">
        <v>43</v>
      </c>
      <c r="L84" s="164" t="s">
        <v>518</v>
      </c>
      <c r="M84" s="235">
        <v>1.0</v>
      </c>
      <c r="N84" s="235">
        <v>2.0</v>
      </c>
      <c r="O84" s="235">
        <v>4.0</v>
      </c>
      <c r="P84" s="315">
        <v>46174.0</v>
      </c>
      <c r="Q84" s="213">
        <v>1.0</v>
      </c>
      <c r="R84" s="213">
        <v>6.0</v>
      </c>
      <c r="S84" s="296">
        <v>2026.0</v>
      </c>
      <c r="T84" s="235" t="s">
        <v>7</v>
      </c>
      <c r="U84" s="235">
        <v>67.6</v>
      </c>
      <c r="V84" s="315">
        <v>46174.0</v>
      </c>
      <c r="W84" s="296">
        <v>1.0</v>
      </c>
      <c r="X84" s="296">
        <v>6.0</v>
      </c>
      <c r="Y84" s="296">
        <v>2026.0</v>
      </c>
      <c r="Z84" s="235" t="s">
        <v>7</v>
      </c>
    </row>
    <row r="85">
      <c r="A85" s="293" t="s">
        <v>731</v>
      </c>
      <c r="B85" s="294" t="s">
        <v>732</v>
      </c>
      <c r="C85" s="299">
        <v>46193.0</v>
      </c>
      <c r="D85" s="296">
        <v>20.0</v>
      </c>
      <c r="E85" s="296">
        <v>6.0</v>
      </c>
      <c r="F85" s="296">
        <v>2026.0</v>
      </c>
      <c r="G85" s="299">
        <v>46194.0</v>
      </c>
      <c r="H85" s="296">
        <v>21.0</v>
      </c>
      <c r="I85" s="269">
        <v>6.0</v>
      </c>
      <c r="J85" s="296">
        <v>2026.0</v>
      </c>
      <c r="K85" s="235" t="s">
        <v>43</v>
      </c>
      <c r="L85" s="235" t="s">
        <v>518</v>
      </c>
      <c r="M85" s="235">
        <v>4.0</v>
      </c>
      <c r="N85" s="235">
        <v>1.0</v>
      </c>
      <c r="O85" s="235">
        <v>8.0</v>
      </c>
      <c r="P85" s="315">
        <v>46174.0</v>
      </c>
      <c r="Q85" s="213">
        <v>1.0</v>
      </c>
      <c r="R85" s="213">
        <v>6.0</v>
      </c>
      <c r="S85" s="296">
        <v>2026.0</v>
      </c>
      <c r="T85" s="82" t="s">
        <v>319</v>
      </c>
      <c r="U85" s="235">
        <v>144.1</v>
      </c>
      <c r="V85" s="315">
        <v>46174.0</v>
      </c>
      <c r="W85" s="296">
        <v>1.0</v>
      </c>
      <c r="X85" s="296">
        <v>6.0</v>
      </c>
      <c r="Y85" s="296">
        <v>2026.0</v>
      </c>
      <c r="Z85" s="235" t="s">
        <v>7</v>
      </c>
    </row>
    <row r="86">
      <c r="A86" s="293" t="s">
        <v>733</v>
      </c>
      <c r="B86" s="294" t="s">
        <v>734</v>
      </c>
      <c r="C86" s="299">
        <v>46191.0</v>
      </c>
      <c r="D86" s="296">
        <v>18.0</v>
      </c>
      <c r="E86" s="296">
        <v>6.0</v>
      </c>
      <c r="F86" s="296">
        <v>2026.0</v>
      </c>
      <c r="G86" s="299">
        <v>46192.0</v>
      </c>
      <c r="H86" s="296">
        <v>19.0</v>
      </c>
      <c r="I86" s="269">
        <v>6.0</v>
      </c>
      <c r="J86" s="296">
        <v>2026.0</v>
      </c>
      <c r="K86" s="235" t="s">
        <v>43</v>
      </c>
      <c r="L86" s="235" t="s">
        <v>518</v>
      </c>
      <c r="M86" s="235">
        <v>1.0</v>
      </c>
      <c r="N86" s="235">
        <v>1.0</v>
      </c>
      <c r="O86" s="235">
        <v>2.0</v>
      </c>
      <c r="P86" s="315">
        <v>46174.0</v>
      </c>
      <c r="Q86" s="213">
        <v>1.0</v>
      </c>
      <c r="R86" s="213">
        <v>6.0</v>
      </c>
      <c r="S86" s="296">
        <v>2026.0</v>
      </c>
      <c r="T86" s="82" t="s">
        <v>319</v>
      </c>
      <c r="U86" s="235">
        <v>36.02</v>
      </c>
      <c r="V86" s="315">
        <v>46174.0</v>
      </c>
      <c r="W86" s="296">
        <v>1.0</v>
      </c>
      <c r="X86" s="296">
        <v>6.0</v>
      </c>
      <c r="Y86" s="296">
        <v>2026.0</v>
      </c>
      <c r="Z86" s="235" t="s">
        <v>7</v>
      </c>
    </row>
    <row r="87">
      <c r="A87" s="293" t="s">
        <v>735</v>
      </c>
      <c r="B87" s="294" t="s">
        <v>736</v>
      </c>
      <c r="C87" s="299">
        <v>46179.0</v>
      </c>
      <c r="D87" s="296">
        <v>6.0</v>
      </c>
      <c r="E87" s="296">
        <v>6.0</v>
      </c>
      <c r="F87" s="296">
        <v>2026.0</v>
      </c>
      <c r="G87" s="299">
        <v>46182.0</v>
      </c>
      <c r="H87" s="296">
        <v>9.0</v>
      </c>
      <c r="I87" s="269">
        <v>6.0</v>
      </c>
      <c r="J87" s="296">
        <v>2026.0</v>
      </c>
      <c r="K87" s="235" t="s">
        <v>43</v>
      </c>
      <c r="L87" s="235" t="s">
        <v>518</v>
      </c>
      <c r="M87" s="235">
        <v>1.0</v>
      </c>
      <c r="N87" s="235">
        <v>3.0</v>
      </c>
      <c r="O87" s="235">
        <v>6.0</v>
      </c>
      <c r="P87" s="315">
        <v>46174.0</v>
      </c>
      <c r="Q87" s="213">
        <v>1.0</v>
      </c>
      <c r="R87" s="213">
        <v>6.0</v>
      </c>
      <c r="S87" s="296">
        <v>2026.0</v>
      </c>
      <c r="T87" s="235" t="s">
        <v>7</v>
      </c>
      <c r="U87" s="235">
        <v>105.62</v>
      </c>
      <c r="V87" s="315">
        <v>46174.0</v>
      </c>
      <c r="W87" s="296">
        <v>1.0</v>
      </c>
      <c r="X87" s="296">
        <v>6.0</v>
      </c>
      <c r="Y87" s="296">
        <v>2026.0</v>
      </c>
      <c r="Z87" s="235" t="s">
        <v>7</v>
      </c>
    </row>
    <row r="88">
      <c r="A88" s="293" t="s">
        <v>738</v>
      </c>
      <c r="B88" s="294" t="s">
        <v>739</v>
      </c>
      <c r="C88" s="299">
        <v>46192.0</v>
      </c>
      <c r="D88" s="296">
        <v>19.0</v>
      </c>
      <c r="E88" s="296">
        <v>6.0</v>
      </c>
      <c r="F88" s="296">
        <v>2026.0</v>
      </c>
      <c r="G88" s="299">
        <v>46193.0</v>
      </c>
      <c r="H88" s="296">
        <v>20.0</v>
      </c>
      <c r="I88" s="269">
        <v>6.0</v>
      </c>
      <c r="J88" s="296">
        <v>2026.0</v>
      </c>
      <c r="K88" s="164" t="s">
        <v>43</v>
      </c>
      <c r="L88" s="164" t="s">
        <v>518</v>
      </c>
      <c r="M88" s="235">
        <v>1.0</v>
      </c>
      <c r="N88" s="235">
        <v>1.0</v>
      </c>
      <c r="O88" s="235">
        <v>2.0</v>
      </c>
      <c r="P88" s="315">
        <v>46174.0</v>
      </c>
      <c r="Q88" s="213">
        <v>1.0</v>
      </c>
      <c r="R88" s="213">
        <v>6.0</v>
      </c>
      <c r="S88" s="296">
        <v>2026.0</v>
      </c>
      <c r="T88" s="235" t="s">
        <v>7</v>
      </c>
      <c r="U88" s="235">
        <v>45.32</v>
      </c>
      <c r="V88" s="315">
        <v>46174.0</v>
      </c>
      <c r="W88" s="296">
        <v>1.0</v>
      </c>
      <c r="X88" s="296">
        <v>6.0</v>
      </c>
      <c r="Y88" s="296">
        <v>2026.0</v>
      </c>
      <c r="Z88" s="235" t="s">
        <v>7</v>
      </c>
    </row>
    <row r="89">
      <c r="A89" s="293" t="s">
        <v>740</v>
      </c>
      <c r="B89" s="294" t="s">
        <v>741</v>
      </c>
      <c r="C89" s="299">
        <v>46195.0</v>
      </c>
      <c r="D89" s="296">
        <v>22.0</v>
      </c>
      <c r="E89" s="296">
        <v>6.0</v>
      </c>
      <c r="F89" s="296">
        <v>2026.0</v>
      </c>
      <c r="G89" s="299">
        <v>46196.0</v>
      </c>
      <c r="H89" s="296">
        <v>23.0</v>
      </c>
      <c r="I89" s="269">
        <v>6.0</v>
      </c>
      <c r="J89" s="296">
        <v>2026.0</v>
      </c>
      <c r="K89" s="164" t="s">
        <v>43</v>
      </c>
      <c r="L89" s="235" t="s">
        <v>639</v>
      </c>
      <c r="M89" s="235">
        <v>1.0</v>
      </c>
      <c r="N89" s="235">
        <v>1.0</v>
      </c>
      <c r="O89" s="235">
        <v>2.0</v>
      </c>
      <c r="P89" s="315">
        <v>46174.0</v>
      </c>
      <c r="Q89" s="213">
        <v>1.0</v>
      </c>
      <c r="R89" s="213">
        <v>6.0</v>
      </c>
      <c r="S89" s="296">
        <v>2026.0</v>
      </c>
      <c r="T89" s="235" t="s">
        <v>7</v>
      </c>
      <c r="U89" s="235">
        <v>29.57</v>
      </c>
      <c r="V89" s="315">
        <v>46174.0</v>
      </c>
      <c r="W89" s="296">
        <v>1.0</v>
      </c>
      <c r="X89" s="296">
        <v>6.0</v>
      </c>
      <c r="Y89" s="296">
        <v>2026.0</v>
      </c>
      <c r="Z89" s="235" t="s">
        <v>7</v>
      </c>
    </row>
    <row r="90">
      <c r="A90" s="293" t="s">
        <v>742</v>
      </c>
      <c r="B90" s="294" t="s">
        <v>743</v>
      </c>
      <c r="C90" s="299">
        <v>46183.0</v>
      </c>
      <c r="D90" s="296">
        <v>10.0</v>
      </c>
      <c r="E90" s="296">
        <v>6.0</v>
      </c>
      <c r="F90" s="296">
        <v>2026.0</v>
      </c>
      <c r="G90" s="299">
        <v>46185.0</v>
      </c>
      <c r="H90" s="296">
        <v>12.0</v>
      </c>
      <c r="I90" s="269">
        <v>6.0</v>
      </c>
      <c r="J90" s="296">
        <v>2026.0</v>
      </c>
      <c r="K90" s="164" t="s">
        <v>43</v>
      </c>
      <c r="L90" s="235" t="s">
        <v>518</v>
      </c>
      <c r="M90" s="235">
        <v>1.0</v>
      </c>
      <c r="N90" s="235">
        <v>2.0</v>
      </c>
      <c r="O90" s="235">
        <v>4.0</v>
      </c>
      <c r="P90" s="315">
        <v>46174.0</v>
      </c>
      <c r="Q90" s="213">
        <v>1.0</v>
      </c>
      <c r="R90" s="213">
        <v>6.0</v>
      </c>
      <c r="S90" s="296">
        <v>2026.0</v>
      </c>
      <c r="T90" s="235" t="s">
        <v>7</v>
      </c>
      <c r="U90" s="235">
        <v>97.55</v>
      </c>
      <c r="V90" s="315">
        <v>46174.0</v>
      </c>
      <c r="W90" s="296">
        <v>1.0</v>
      </c>
      <c r="X90" s="296">
        <v>6.0</v>
      </c>
      <c r="Y90" s="296">
        <v>2026.0</v>
      </c>
      <c r="Z90" s="235" t="s">
        <v>7</v>
      </c>
    </row>
    <row r="91">
      <c r="A91" s="293" t="s">
        <v>744</v>
      </c>
      <c r="B91" s="294" t="s">
        <v>745</v>
      </c>
      <c r="C91" s="299">
        <v>46179.0</v>
      </c>
      <c r="D91" s="296">
        <v>6.0</v>
      </c>
      <c r="E91" s="296">
        <v>6.0</v>
      </c>
      <c r="F91" s="296">
        <v>2026.0</v>
      </c>
      <c r="G91" s="299">
        <v>46183.0</v>
      </c>
      <c r="H91" s="296">
        <v>10.0</v>
      </c>
      <c r="I91" s="269">
        <v>6.0</v>
      </c>
      <c r="J91" s="296">
        <v>2026.0</v>
      </c>
      <c r="K91" s="164" t="s">
        <v>43</v>
      </c>
      <c r="L91" s="164" t="s">
        <v>518</v>
      </c>
      <c r="M91" s="235">
        <v>1.0</v>
      </c>
      <c r="N91" s="235">
        <v>4.0</v>
      </c>
      <c r="O91" s="235">
        <v>8.0</v>
      </c>
      <c r="P91" s="315">
        <v>46174.0</v>
      </c>
      <c r="Q91" s="213">
        <v>1.0</v>
      </c>
      <c r="R91" s="213">
        <v>6.0</v>
      </c>
      <c r="S91" s="296">
        <v>2026.0</v>
      </c>
      <c r="T91" s="235" t="s">
        <v>7</v>
      </c>
      <c r="U91" s="235">
        <v>152.1</v>
      </c>
      <c r="V91" s="315">
        <v>46174.0</v>
      </c>
      <c r="W91" s="296">
        <v>1.0</v>
      </c>
      <c r="X91" s="296">
        <v>6.0</v>
      </c>
      <c r="Y91" s="296">
        <v>2026.0</v>
      </c>
      <c r="Z91" s="235" t="s">
        <v>7</v>
      </c>
    </row>
    <row r="92">
      <c r="A92" s="293" t="s">
        <v>747</v>
      </c>
      <c r="B92" s="294" t="s">
        <v>748</v>
      </c>
      <c r="C92" s="299">
        <v>46178.0</v>
      </c>
      <c r="D92" s="296">
        <v>5.0</v>
      </c>
      <c r="E92" s="296">
        <v>6.0</v>
      </c>
      <c r="F92" s="296">
        <v>2026.0</v>
      </c>
      <c r="G92" s="299">
        <v>46179.0</v>
      </c>
      <c r="H92" s="296">
        <v>6.0</v>
      </c>
      <c r="I92" s="269">
        <v>6.0</v>
      </c>
      <c r="J92" s="296">
        <v>2026.0</v>
      </c>
      <c r="K92" s="235" t="s">
        <v>43</v>
      </c>
      <c r="L92" s="235" t="s">
        <v>518</v>
      </c>
      <c r="M92" s="235">
        <v>1.0</v>
      </c>
      <c r="N92" s="235">
        <v>1.0</v>
      </c>
      <c r="O92" s="235">
        <v>2.0</v>
      </c>
      <c r="P92" s="315">
        <v>46174.0</v>
      </c>
      <c r="Q92" s="213">
        <v>1.0</v>
      </c>
      <c r="R92" s="213">
        <v>6.0</v>
      </c>
      <c r="S92" s="296">
        <v>2026.0</v>
      </c>
      <c r="T92" s="235" t="s">
        <v>7</v>
      </c>
      <c r="U92" s="235">
        <v>31.67</v>
      </c>
      <c r="V92" s="315">
        <v>46174.0</v>
      </c>
      <c r="W92" s="296">
        <v>1.0</v>
      </c>
      <c r="X92" s="296">
        <v>6.0</v>
      </c>
      <c r="Y92" s="296">
        <v>2026.0</v>
      </c>
      <c r="Z92" s="235" t="s">
        <v>7</v>
      </c>
    </row>
    <row r="93">
      <c r="A93" s="293" t="s">
        <v>750</v>
      </c>
      <c r="B93" s="294" t="s">
        <v>751</v>
      </c>
      <c r="C93" s="299">
        <v>46174.0</v>
      </c>
      <c r="D93" s="296">
        <v>1.0</v>
      </c>
      <c r="E93" s="296">
        <v>6.0</v>
      </c>
      <c r="F93" s="296">
        <v>2026.0</v>
      </c>
      <c r="G93" s="299">
        <v>46175.0</v>
      </c>
      <c r="H93" s="296">
        <v>2.0</v>
      </c>
      <c r="I93" s="269">
        <v>6.0</v>
      </c>
      <c r="J93" s="296">
        <v>2026.0</v>
      </c>
      <c r="K93" s="235" t="s">
        <v>43</v>
      </c>
      <c r="L93" s="235" t="s">
        <v>518</v>
      </c>
      <c r="M93" s="235">
        <v>2.0</v>
      </c>
      <c r="N93" s="235">
        <v>1.0</v>
      </c>
      <c r="O93" s="235">
        <v>4.0</v>
      </c>
      <c r="P93" s="315">
        <v>46174.0</v>
      </c>
      <c r="Q93" s="213">
        <v>1.0</v>
      </c>
      <c r="R93" s="213">
        <v>6.0</v>
      </c>
      <c r="S93" s="296">
        <v>2026.0</v>
      </c>
      <c r="T93" s="82" t="s">
        <v>319</v>
      </c>
      <c r="U93" s="235">
        <v>72.05</v>
      </c>
      <c r="V93" s="315">
        <v>46174.0</v>
      </c>
      <c r="W93" s="296">
        <v>1.0</v>
      </c>
      <c r="X93" s="296">
        <v>6.0</v>
      </c>
      <c r="Y93" s="296">
        <v>2026.0</v>
      </c>
      <c r="Z93" s="235" t="s">
        <v>7</v>
      </c>
    </row>
    <row r="94">
      <c r="A94" s="293" t="s">
        <v>753</v>
      </c>
      <c r="B94" s="294" t="s">
        <v>754</v>
      </c>
      <c r="C94" s="299">
        <v>46182.0</v>
      </c>
      <c r="D94" s="296">
        <v>9.0</v>
      </c>
      <c r="E94" s="296">
        <v>6.0</v>
      </c>
      <c r="F94" s="296">
        <v>2026.0</v>
      </c>
      <c r="G94" s="299">
        <v>46184.0</v>
      </c>
      <c r="H94" s="296">
        <v>11.0</v>
      </c>
      <c r="I94" s="269">
        <v>6.0</v>
      </c>
      <c r="J94" s="296">
        <v>2026.0</v>
      </c>
      <c r="K94" s="164" t="s">
        <v>43</v>
      </c>
      <c r="L94" s="164" t="s">
        <v>518</v>
      </c>
      <c r="M94" s="235">
        <v>1.0</v>
      </c>
      <c r="N94" s="235">
        <v>2.0</v>
      </c>
      <c r="O94" s="235">
        <v>4.0</v>
      </c>
      <c r="P94" s="315">
        <v>46174.0</v>
      </c>
      <c r="Q94" s="213">
        <v>1.0</v>
      </c>
      <c r="R94" s="213">
        <v>6.0</v>
      </c>
      <c r="S94" s="296">
        <v>2026.0</v>
      </c>
      <c r="T94" s="235" t="s">
        <v>7</v>
      </c>
      <c r="U94" s="235">
        <v>58.63</v>
      </c>
      <c r="V94" s="315">
        <v>46174.0</v>
      </c>
      <c r="W94" s="296">
        <v>1.0</v>
      </c>
      <c r="X94" s="296">
        <v>6.0</v>
      </c>
      <c r="Y94" s="296">
        <v>2026.0</v>
      </c>
      <c r="Z94" s="235" t="s">
        <v>7</v>
      </c>
    </row>
    <row r="95">
      <c r="A95" s="293" t="s">
        <v>757</v>
      </c>
      <c r="B95" s="294" t="s">
        <v>758</v>
      </c>
      <c r="C95" s="299">
        <v>46193.0</v>
      </c>
      <c r="D95" s="296">
        <v>20.0</v>
      </c>
      <c r="E95" s="296">
        <v>6.0</v>
      </c>
      <c r="F95" s="296">
        <v>2026.0</v>
      </c>
      <c r="G95" s="299">
        <v>46196.0</v>
      </c>
      <c r="H95" s="296">
        <v>23.0</v>
      </c>
      <c r="I95" s="269">
        <v>6.0</v>
      </c>
      <c r="J95" s="296">
        <v>2026.0</v>
      </c>
      <c r="K95" s="235" t="s">
        <v>43</v>
      </c>
      <c r="L95" s="235" t="s">
        <v>518</v>
      </c>
      <c r="M95" s="235">
        <v>1.0</v>
      </c>
      <c r="N95" s="235">
        <v>3.0</v>
      </c>
      <c r="O95" s="235">
        <v>6.0</v>
      </c>
      <c r="P95" s="315">
        <v>46174.0</v>
      </c>
      <c r="Q95" s="213">
        <v>1.0</v>
      </c>
      <c r="R95" s="213">
        <v>6.0</v>
      </c>
      <c r="S95" s="296">
        <v>2026.0</v>
      </c>
      <c r="T95" s="235" t="s">
        <v>7</v>
      </c>
      <c r="U95" s="235">
        <v>104.07</v>
      </c>
      <c r="V95" s="315">
        <v>46174.0</v>
      </c>
      <c r="W95" s="296">
        <v>1.0</v>
      </c>
      <c r="X95" s="296">
        <v>6.0</v>
      </c>
      <c r="Y95" s="296">
        <v>2026.0</v>
      </c>
      <c r="Z95" s="235" t="s">
        <v>7</v>
      </c>
    </row>
    <row r="96">
      <c r="A96" s="293" t="s">
        <v>760</v>
      </c>
      <c r="B96" s="294" t="s">
        <v>761</v>
      </c>
      <c r="C96" s="299">
        <v>46200.0</v>
      </c>
      <c r="D96" s="296">
        <v>27.0</v>
      </c>
      <c r="E96" s="296">
        <v>6.0</v>
      </c>
      <c r="F96" s="296">
        <v>2026.0</v>
      </c>
      <c r="G96" s="299">
        <v>46204.0</v>
      </c>
      <c r="H96" s="296">
        <v>1.0</v>
      </c>
      <c r="I96" s="269">
        <v>7.0</v>
      </c>
      <c r="J96" s="296">
        <v>2026.0</v>
      </c>
      <c r="K96" s="235" t="s">
        <v>43</v>
      </c>
      <c r="L96" s="235" t="s">
        <v>518</v>
      </c>
      <c r="M96" s="235">
        <v>1.0</v>
      </c>
      <c r="N96" s="235">
        <v>4.0</v>
      </c>
      <c r="O96" s="235">
        <v>8.0</v>
      </c>
      <c r="P96" s="315">
        <v>46174.0</v>
      </c>
      <c r="Q96" s="213">
        <v>1.0</v>
      </c>
      <c r="R96" s="213">
        <v>6.0</v>
      </c>
      <c r="S96" s="296">
        <v>2026.0</v>
      </c>
      <c r="T96" s="235" t="s">
        <v>7</v>
      </c>
      <c r="U96" s="235">
        <v>118.3</v>
      </c>
      <c r="V96" s="315">
        <v>46174.0</v>
      </c>
      <c r="W96" s="296">
        <v>1.0</v>
      </c>
      <c r="X96" s="296">
        <v>6.0</v>
      </c>
      <c r="Y96" s="296">
        <v>2026.0</v>
      </c>
      <c r="Z96" s="235" t="s">
        <v>7</v>
      </c>
    </row>
    <row r="97">
      <c r="A97" s="293" t="s">
        <v>762</v>
      </c>
      <c r="B97" s="294" t="s">
        <v>763</v>
      </c>
      <c r="C97" s="299">
        <v>46178.0</v>
      </c>
      <c r="D97" s="296">
        <v>5.0</v>
      </c>
      <c r="E97" s="296">
        <v>6.0</v>
      </c>
      <c r="F97" s="296">
        <v>2026.0</v>
      </c>
      <c r="G97" s="299">
        <v>46180.0</v>
      </c>
      <c r="H97" s="296">
        <v>7.0</v>
      </c>
      <c r="I97" s="269">
        <v>6.0</v>
      </c>
      <c r="J97" s="296">
        <v>2026.0</v>
      </c>
      <c r="K97" s="164" t="s">
        <v>43</v>
      </c>
      <c r="L97" s="164" t="s">
        <v>518</v>
      </c>
      <c r="M97" s="235">
        <v>2.0</v>
      </c>
      <c r="N97" s="235">
        <v>2.0</v>
      </c>
      <c r="O97" s="235">
        <v>8.0</v>
      </c>
      <c r="P97" s="315">
        <v>46174.0</v>
      </c>
      <c r="Q97" s="213">
        <v>1.0</v>
      </c>
      <c r="R97" s="213">
        <v>6.0</v>
      </c>
      <c r="S97" s="296">
        <v>2026.0</v>
      </c>
      <c r="T97" s="82" t="s">
        <v>319</v>
      </c>
      <c r="U97" s="235">
        <v>114.3</v>
      </c>
      <c r="V97" s="315">
        <v>46174.0</v>
      </c>
      <c r="W97" s="296">
        <v>1.0</v>
      </c>
      <c r="X97" s="296">
        <v>6.0</v>
      </c>
      <c r="Y97" s="296">
        <v>2026.0</v>
      </c>
      <c r="Z97" s="235" t="s">
        <v>7</v>
      </c>
    </row>
    <row r="98">
      <c r="A98" s="293" t="s">
        <v>764</v>
      </c>
      <c r="B98" s="294" t="s">
        <v>765</v>
      </c>
      <c r="C98" s="299">
        <v>46192.0</v>
      </c>
      <c r="D98" s="296">
        <v>19.0</v>
      </c>
      <c r="E98" s="296">
        <v>6.0</v>
      </c>
      <c r="F98" s="296">
        <v>2026.0</v>
      </c>
      <c r="G98" s="299">
        <v>46194.0</v>
      </c>
      <c r="H98" s="296">
        <v>21.0</v>
      </c>
      <c r="I98" s="269">
        <v>6.0</v>
      </c>
      <c r="J98" s="296">
        <v>2026.0</v>
      </c>
      <c r="K98" s="164" t="s">
        <v>43</v>
      </c>
      <c r="L98" s="164" t="s">
        <v>518</v>
      </c>
      <c r="M98" s="235">
        <v>1.0</v>
      </c>
      <c r="N98" s="235">
        <v>2.0</v>
      </c>
      <c r="O98" s="235">
        <v>4.0</v>
      </c>
      <c r="P98" s="315">
        <v>46174.0</v>
      </c>
      <c r="Q98" s="213">
        <v>1.0</v>
      </c>
      <c r="R98" s="213">
        <v>6.0</v>
      </c>
      <c r="S98" s="296">
        <v>2026.0</v>
      </c>
      <c r="T98" s="235" t="s">
        <v>7</v>
      </c>
      <c r="U98" s="235">
        <v>72.05</v>
      </c>
      <c r="V98" s="315">
        <v>46174.0</v>
      </c>
      <c r="W98" s="296">
        <v>1.0</v>
      </c>
      <c r="X98" s="296">
        <v>6.0</v>
      </c>
      <c r="Y98" s="296">
        <v>2026.0</v>
      </c>
      <c r="Z98" s="235" t="s">
        <v>7</v>
      </c>
    </row>
    <row r="99">
      <c r="A99" s="293" t="s">
        <v>766</v>
      </c>
      <c r="B99" s="294" t="s">
        <v>767</v>
      </c>
      <c r="C99" s="299">
        <v>46181.0</v>
      </c>
      <c r="D99" s="296">
        <v>8.0</v>
      </c>
      <c r="E99" s="296">
        <v>6.0</v>
      </c>
      <c r="F99" s="296">
        <v>2026.0</v>
      </c>
      <c r="G99" s="299">
        <v>46184.0</v>
      </c>
      <c r="H99" s="296">
        <v>11.0</v>
      </c>
      <c r="I99" s="269">
        <v>6.0</v>
      </c>
      <c r="J99" s="296">
        <v>2026.0</v>
      </c>
      <c r="K99" s="235" t="s">
        <v>43</v>
      </c>
      <c r="L99" s="235" t="s">
        <v>518</v>
      </c>
      <c r="M99" s="235">
        <v>1.0</v>
      </c>
      <c r="N99" s="235">
        <v>3.0</v>
      </c>
      <c r="O99" s="235">
        <v>6.0</v>
      </c>
      <c r="P99" s="315">
        <v>46174.0</v>
      </c>
      <c r="Q99" s="213">
        <v>1.0</v>
      </c>
      <c r="R99" s="213">
        <v>6.0</v>
      </c>
      <c r="S99" s="296">
        <v>2026.0</v>
      </c>
      <c r="T99" s="82" t="s">
        <v>319</v>
      </c>
      <c r="U99" s="235">
        <v>108.07</v>
      </c>
      <c r="V99" s="315">
        <v>46174.0</v>
      </c>
      <c r="W99" s="296">
        <v>1.0</v>
      </c>
      <c r="X99" s="296">
        <v>6.0</v>
      </c>
      <c r="Y99" s="296">
        <v>2026.0</v>
      </c>
      <c r="Z99" s="235" t="s">
        <v>7</v>
      </c>
    </row>
    <row r="100">
      <c r="A100" s="293" t="s">
        <v>768</v>
      </c>
      <c r="B100" s="294" t="s">
        <v>769</v>
      </c>
      <c r="C100" s="299">
        <v>46180.0</v>
      </c>
      <c r="D100" s="296">
        <v>7.0</v>
      </c>
      <c r="E100" s="296">
        <v>6.0</v>
      </c>
      <c r="F100" s="296">
        <v>2026.0</v>
      </c>
      <c r="G100" s="299">
        <v>46182.0</v>
      </c>
      <c r="H100" s="296">
        <v>9.0</v>
      </c>
      <c r="I100" s="269">
        <v>6.0</v>
      </c>
      <c r="J100" s="296">
        <v>2026.0</v>
      </c>
      <c r="K100" s="164" t="s">
        <v>43</v>
      </c>
      <c r="L100" s="164" t="s">
        <v>518</v>
      </c>
      <c r="M100" s="235">
        <v>1.0</v>
      </c>
      <c r="N100" s="235">
        <v>2.0</v>
      </c>
      <c r="O100" s="235">
        <v>4.0</v>
      </c>
      <c r="P100" s="315">
        <v>46174.0</v>
      </c>
      <c r="Q100" s="213">
        <v>1.0</v>
      </c>
      <c r="R100" s="213">
        <v>6.0</v>
      </c>
      <c r="S100" s="296">
        <v>2026.0</v>
      </c>
      <c r="T100" s="82" t="s">
        <v>319</v>
      </c>
      <c r="U100" s="235">
        <v>72.05</v>
      </c>
      <c r="V100" s="315">
        <v>46174.0</v>
      </c>
      <c r="W100" s="296">
        <v>1.0</v>
      </c>
      <c r="X100" s="296">
        <v>6.0</v>
      </c>
      <c r="Y100" s="296">
        <v>2026.0</v>
      </c>
      <c r="Z100" s="235" t="s">
        <v>7</v>
      </c>
    </row>
    <row r="101">
      <c r="A101" s="293" t="s">
        <v>770</v>
      </c>
      <c r="B101" s="294" t="s">
        <v>771</v>
      </c>
      <c r="C101" s="299">
        <v>46192.0</v>
      </c>
      <c r="D101" s="296">
        <v>19.0</v>
      </c>
      <c r="E101" s="296">
        <v>6.0</v>
      </c>
      <c r="F101" s="296">
        <v>2026.0</v>
      </c>
      <c r="G101" s="299">
        <v>46194.0</v>
      </c>
      <c r="H101" s="296">
        <v>21.0</v>
      </c>
      <c r="I101" s="269">
        <v>6.0</v>
      </c>
      <c r="J101" s="296">
        <v>2026.0</v>
      </c>
      <c r="K101" s="235" t="s">
        <v>43</v>
      </c>
      <c r="L101" s="235" t="s">
        <v>518</v>
      </c>
      <c r="M101" s="235">
        <v>1.0</v>
      </c>
      <c r="N101" s="235">
        <v>2.0</v>
      </c>
      <c r="O101" s="235">
        <v>4.0</v>
      </c>
      <c r="P101" s="315">
        <v>46174.0</v>
      </c>
      <c r="Q101" s="213">
        <v>1.0</v>
      </c>
      <c r="R101" s="213">
        <v>6.0</v>
      </c>
      <c r="S101" s="296">
        <v>2026.0</v>
      </c>
      <c r="T101" s="235" t="s">
        <v>7</v>
      </c>
      <c r="U101" s="235">
        <v>90.64</v>
      </c>
      <c r="V101" s="315">
        <v>46174.0</v>
      </c>
      <c r="W101" s="296">
        <v>1.0</v>
      </c>
      <c r="X101" s="296">
        <v>6.0</v>
      </c>
      <c r="Y101" s="296">
        <v>2026.0</v>
      </c>
      <c r="Z101" s="235" t="s">
        <v>7</v>
      </c>
    </row>
    <row r="102">
      <c r="A102" s="293" t="s">
        <v>772</v>
      </c>
      <c r="B102" s="294" t="s">
        <v>773</v>
      </c>
      <c r="C102" s="299">
        <v>46185.0</v>
      </c>
      <c r="D102" s="296">
        <v>12.0</v>
      </c>
      <c r="E102" s="296">
        <v>6.0</v>
      </c>
      <c r="F102" s="296">
        <v>2026.0</v>
      </c>
      <c r="G102" s="299">
        <v>46186.0</v>
      </c>
      <c r="H102" s="296">
        <v>13.0</v>
      </c>
      <c r="I102" s="269">
        <v>6.0</v>
      </c>
      <c r="J102" s="296">
        <v>2026.0</v>
      </c>
      <c r="K102" s="235" t="s">
        <v>43</v>
      </c>
      <c r="L102" s="235" t="s">
        <v>518</v>
      </c>
      <c r="M102" s="235">
        <v>8.0</v>
      </c>
      <c r="N102" s="235">
        <v>1.0</v>
      </c>
      <c r="O102" s="235">
        <v>14.0</v>
      </c>
      <c r="P102" s="315">
        <v>46174.0</v>
      </c>
      <c r="Q102" s="213">
        <v>1.0</v>
      </c>
      <c r="R102" s="213">
        <v>6.0</v>
      </c>
      <c r="S102" s="296">
        <v>2026.0</v>
      </c>
      <c r="T102" s="82" t="s">
        <v>319</v>
      </c>
      <c r="U102" s="235">
        <v>290.2</v>
      </c>
      <c r="V102" s="315">
        <v>46174.0</v>
      </c>
      <c r="W102" s="296">
        <v>1.0</v>
      </c>
      <c r="X102" s="296">
        <v>6.0</v>
      </c>
      <c r="Y102" s="296">
        <v>2026.0</v>
      </c>
      <c r="Z102" s="235" t="s">
        <v>7</v>
      </c>
    </row>
    <row r="103">
      <c r="A103" s="293" t="s">
        <v>774</v>
      </c>
      <c r="B103" s="294" t="s">
        <v>775</v>
      </c>
      <c r="C103" s="299">
        <v>46180.0</v>
      </c>
      <c r="D103" s="296">
        <v>7.0</v>
      </c>
      <c r="E103" s="296">
        <v>6.0</v>
      </c>
      <c r="F103" s="296">
        <v>2026.0</v>
      </c>
      <c r="G103" s="299">
        <v>46184.0</v>
      </c>
      <c r="H103" s="296">
        <v>11.0</v>
      </c>
      <c r="I103" s="269">
        <v>6.0</v>
      </c>
      <c r="J103" s="296">
        <v>2026.0</v>
      </c>
      <c r="K103" s="235" t="s">
        <v>43</v>
      </c>
      <c r="L103" s="235" t="s">
        <v>518</v>
      </c>
      <c r="M103" s="235">
        <v>1.0</v>
      </c>
      <c r="N103" s="235">
        <v>4.0</v>
      </c>
      <c r="O103" s="235">
        <v>8.0</v>
      </c>
      <c r="P103" s="315">
        <v>46174.0</v>
      </c>
      <c r="Q103" s="213">
        <v>1.0</v>
      </c>
      <c r="R103" s="213">
        <v>6.0</v>
      </c>
      <c r="S103" s="296">
        <v>2026.0</v>
      </c>
      <c r="T103" s="235" t="s">
        <v>7</v>
      </c>
      <c r="U103" s="235">
        <v>136.99</v>
      </c>
      <c r="V103" s="315">
        <v>46174.0</v>
      </c>
      <c r="W103" s="296">
        <v>1.0</v>
      </c>
      <c r="X103" s="296">
        <v>6.0</v>
      </c>
      <c r="Y103" s="296">
        <v>2026.0</v>
      </c>
      <c r="Z103" s="235" t="s">
        <v>7</v>
      </c>
    </row>
    <row r="104">
      <c r="A104" s="293" t="s">
        <v>776</v>
      </c>
      <c r="B104" s="294" t="s">
        <v>777</v>
      </c>
      <c r="C104" s="299">
        <v>46177.0</v>
      </c>
      <c r="D104" s="296">
        <v>4.0</v>
      </c>
      <c r="E104" s="296">
        <v>6.0</v>
      </c>
      <c r="F104" s="296">
        <v>2026.0</v>
      </c>
      <c r="G104" s="299">
        <v>46179.0</v>
      </c>
      <c r="H104" s="296">
        <v>6.0</v>
      </c>
      <c r="I104" s="269">
        <v>6.0</v>
      </c>
      <c r="J104" s="296">
        <v>2026.0</v>
      </c>
      <c r="K104" s="235" t="s">
        <v>43</v>
      </c>
      <c r="L104" s="235" t="s">
        <v>518</v>
      </c>
      <c r="M104" s="235">
        <v>1.0</v>
      </c>
      <c r="N104" s="235">
        <v>2.0</v>
      </c>
      <c r="O104" s="235">
        <v>4.0</v>
      </c>
      <c r="P104" s="315">
        <v>46174.0</v>
      </c>
      <c r="Q104" s="213">
        <v>1.0</v>
      </c>
      <c r="R104" s="213">
        <v>6.0</v>
      </c>
      <c r="S104" s="296">
        <v>2026.0</v>
      </c>
      <c r="T104" s="235" t="s">
        <v>7</v>
      </c>
      <c r="U104" s="235">
        <v>56.61</v>
      </c>
      <c r="V104" s="315">
        <v>46174.0</v>
      </c>
      <c r="W104" s="296">
        <v>1.0</v>
      </c>
      <c r="X104" s="296">
        <v>6.0</v>
      </c>
      <c r="Y104" s="296">
        <v>2026.0</v>
      </c>
      <c r="Z104" s="235" t="s">
        <v>7</v>
      </c>
    </row>
    <row r="105">
      <c r="A105" s="293" t="s">
        <v>778</v>
      </c>
      <c r="B105" s="294" t="s">
        <v>779</v>
      </c>
      <c r="C105" s="299">
        <v>46200.0</v>
      </c>
      <c r="D105" s="296">
        <v>27.0</v>
      </c>
      <c r="E105" s="296">
        <v>6.0</v>
      </c>
      <c r="F105" s="296">
        <v>2026.0</v>
      </c>
      <c r="G105" s="299">
        <v>46203.0</v>
      </c>
      <c r="H105" s="296">
        <v>30.0</v>
      </c>
      <c r="I105" s="269">
        <v>6.0</v>
      </c>
      <c r="J105" s="296">
        <v>2026.0</v>
      </c>
      <c r="K105" s="235" t="s">
        <v>43</v>
      </c>
      <c r="L105" s="235" t="s">
        <v>518</v>
      </c>
      <c r="M105" s="235">
        <v>1.0</v>
      </c>
      <c r="N105" s="235">
        <v>3.0</v>
      </c>
      <c r="O105" s="235">
        <v>6.0</v>
      </c>
      <c r="P105" s="315">
        <v>46174.0</v>
      </c>
      <c r="Q105" s="213">
        <v>1.0</v>
      </c>
      <c r="R105" s="213">
        <v>6.0</v>
      </c>
      <c r="S105" s="296">
        <v>2026.0</v>
      </c>
      <c r="T105" s="235" t="s">
        <v>7</v>
      </c>
      <c r="U105" s="235">
        <v>88.73</v>
      </c>
      <c r="V105" s="315">
        <v>46174.0</v>
      </c>
      <c r="W105" s="296">
        <v>1.0</v>
      </c>
      <c r="X105" s="296">
        <v>6.0</v>
      </c>
      <c r="Y105" s="296">
        <v>2026.0</v>
      </c>
      <c r="Z105" s="235" t="s">
        <v>7</v>
      </c>
    </row>
    <row r="106">
      <c r="A106" s="293" t="s">
        <v>780</v>
      </c>
      <c r="B106" s="294" t="s">
        <v>781</v>
      </c>
      <c r="C106" s="299">
        <v>46200.0</v>
      </c>
      <c r="D106" s="296">
        <v>27.0</v>
      </c>
      <c r="E106" s="296">
        <v>6.0</v>
      </c>
      <c r="F106" s="296">
        <v>2026.0</v>
      </c>
      <c r="G106" s="299">
        <v>46202.0</v>
      </c>
      <c r="H106" s="296">
        <v>29.0</v>
      </c>
      <c r="I106" s="269">
        <v>6.0</v>
      </c>
      <c r="J106" s="296">
        <v>2026.0</v>
      </c>
      <c r="K106" s="235" t="s">
        <v>43</v>
      </c>
      <c r="L106" s="235" t="s">
        <v>518</v>
      </c>
      <c r="M106" s="235">
        <v>1.0</v>
      </c>
      <c r="N106" s="235">
        <v>2.0</v>
      </c>
      <c r="O106" s="235">
        <v>4.0</v>
      </c>
      <c r="P106" s="315">
        <v>46174.0</v>
      </c>
      <c r="Q106" s="213">
        <v>1.0</v>
      </c>
      <c r="R106" s="213">
        <v>6.0</v>
      </c>
      <c r="S106" s="296">
        <v>2026.0</v>
      </c>
      <c r="T106" s="235" t="s">
        <v>7</v>
      </c>
      <c r="U106" s="235">
        <v>76.05</v>
      </c>
      <c r="V106" s="315">
        <v>46174.0</v>
      </c>
      <c r="W106" s="296">
        <v>1.0</v>
      </c>
      <c r="X106" s="296">
        <v>6.0</v>
      </c>
      <c r="Y106" s="296">
        <v>2026.0</v>
      </c>
      <c r="Z106" s="235" t="s">
        <v>7</v>
      </c>
    </row>
    <row r="107">
      <c r="A107" s="293" t="s">
        <v>782</v>
      </c>
      <c r="B107" s="294" t="s">
        <v>783</v>
      </c>
      <c r="C107" s="299">
        <v>46175.0</v>
      </c>
      <c r="D107" s="296">
        <v>2.0</v>
      </c>
      <c r="E107" s="296">
        <v>6.0</v>
      </c>
      <c r="F107" s="296">
        <v>2026.0</v>
      </c>
      <c r="G107" s="299">
        <v>46178.0</v>
      </c>
      <c r="H107" s="296">
        <v>5.0</v>
      </c>
      <c r="I107" s="269">
        <v>6.0</v>
      </c>
      <c r="J107" s="296">
        <v>2026.0</v>
      </c>
      <c r="K107" s="164" t="s">
        <v>43</v>
      </c>
      <c r="L107" s="164" t="s">
        <v>639</v>
      </c>
      <c r="M107" s="235">
        <v>1.0</v>
      </c>
      <c r="N107" s="235">
        <v>3.0</v>
      </c>
      <c r="O107" s="235">
        <v>6.0</v>
      </c>
      <c r="P107" s="315">
        <v>46174.0</v>
      </c>
      <c r="Q107" s="213">
        <v>1.0</v>
      </c>
      <c r="R107" s="213">
        <v>6.0</v>
      </c>
      <c r="S107" s="296">
        <v>2026.0</v>
      </c>
      <c r="T107" s="235" t="s">
        <v>7</v>
      </c>
      <c r="U107" s="235">
        <v>35.49</v>
      </c>
      <c r="V107" s="315">
        <v>46174.0</v>
      </c>
      <c r="W107" s="296">
        <v>1.0</v>
      </c>
      <c r="X107" s="296">
        <v>6.0</v>
      </c>
      <c r="Y107" s="296">
        <v>2026.0</v>
      </c>
      <c r="Z107" s="235" t="s">
        <v>7</v>
      </c>
    </row>
    <row r="108">
      <c r="A108" s="293" t="s">
        <v>784</v>
      </c>
      <c r="B108" s="294" t="s">
        <v>785</v>
      </c>
      <c r="C108" s="299">
        <v>46200.0</v>
      </c>
      <c r="D108" s="296">
        <v>27.0</v>
      </c>
      <c r="E108" s="296">
        <v>6.0</v>
      </c>
      <c r="F108" s="296">
        <v>2026.0</v>
      </c>
      <c r="G108" s="299">
        <v>46205.0</v>
      </c>
      <c r="H108" s="296">
        <v>2.0</v>
      </c>
      <c r="I108" s="269">
        <v>7.0</v>
      </c>
      <c r="J108" s="296">
        <v>2026.0</v>
      </c>
      <c r="K108" s="164" t="s">
        <v>43</v>
      </c>
      <c r="L108" s="164" t="s">
        <v>518</v>
      </c>
      <c r="M108" s="235">
        <v>1.0</v>
      </c>
      <c r="N108" s="235">
        <v>5.0</v>
      </c>
      <c r="O108" s="235">
        <v>10.0</v>
      </c>
      <c r="P108" s="315">
        <v>46174.0</v>
      </c>
      <c r="Q108" s="213">
        <v>1.0</v>
      </c>
      <c r="R108" s="213">
        <v>6.0</v>
      </c>
      <c r="S108" s="296">
        <v>2026.0</v>
      </c>
      <c r="T108" s="235" t="s">
        <v>7</v>
      </c>
      <c r="U108" s="235">
        <v>147.87</v>
      </c>
      <c r="V108" s="315">
        <v>46174.0</v>
      </c>
      <c r="W108" s="296">
        <v>1.0</v>
      </c>
      <c r="X108" s="296">
        <v>6.0</v>
      </c>
      <c r="Y108" s="296">
        <v>2026.0</v>
      </c>
      <c r="Z108" s="235" t="s">
        <v>7</v>
      </c>
    </row>
    <row r="109">
      <c r="A109" s="293" t="s">
        <v>786</v>
      </c>
      <c r="B109" s="294" t="s">
        <v>787</v>
      </c>
      <c r="C109" s="299">
        <v>46197.0</v>
      </c>
      <c r="D109" s="296">
        <v>24.0</v>
      </c>
      <c r="E109" s="296">
        <v>6.0</v>
      </c>
      <c r="F109" s="296">
        <v>2026.0</v>
      </c>
      <c r="G109" s="299">
        <v>46198.0</v>
      </c>
      <c r="H109" s="296">
        <v>25.0</v>
      </c>
      <c r="I109" s="269">
        <v>6.0</v>
      </c>
      <c r="J109" s="296">
        <v>2026.0</v>
      </c>
      <c r="K109" s="235" t="s">
        <v>43</v>
      </c>
      <c r="L109" s="235" t="s">
        <v>518</v>
      </c>
      <c r="M109" s="235">
        <v>1.0</v>
      </c>
      <c r="N109" s="235">
        <v>1.0</v>
      </c>
      <c r="O109" s="235">
        <v>2.0</v>
      </c>
      <c r="P109" s="315">
        <v>46174.0</v>
      </c>
      <c r="Q109" s="213">
        <v>1.0</v>
      </c>
      <c r="R109" s="213">
        <v>6.0</v>
      </c>
      <c r="S109" s="296">
        <v>2026.0</v>
      </c>
      <c r="T109" s="235" t="s">
        <v>7</v>
      </c>
      <c r="U109" s="235">
        <v>31.67</v>
      </c>
      <c r="V109" s="315">
        <v>46174.0</v>
      </c>
      <c r="W109" s="296">
        <v>1.0</v>
      </c>
      <c r="X109" s="296">
        <v>6.0</v>
      </c>
      <c r="Y109" s="296">
        <v>2026.0</v>
      </c>
      <c r="Z109" s="235" t="s">
        <v>7</v>
      </c>
    </row>
    <row r="110">
      <c r="A110" s="293" t="s">
        <v>788</v>
      </c>
      <c r="B110" s="294" t="s">
        <v>789</v>
      </c>
      <c r="C110" s="299">
        <v>46189.0</v>
      </c>
      <c r="D110" s="296">
        <v>16.0</v>
      </c>
      <c r="E110" s="296">
        <v>6.0</v>
      </c>
      <c r="F110" s="296">
        <v>2026.0</v>
      </c>
      <c r="G110" s="299">
        <v>46192.0</v>
      </c>
      <c r="H110" s="296">
        <v>19.0</v>
      </c>
      <c r="I110" s="269">
        <v>6.0</v>
      </c>
      <c r="J110" s="296">
        <v>2026.0</v>
      </c>
      <c r="K110" s="235" t="s">
        <v>43</v>
      </c>
      <c r="L110" s="235" t="s">
        <v>518</v>
      </c>
      <c r="M110" s="235">
        <v>1.0</v>
      </c>
      <c r="N110" s="235">
        <v>3.0</v>
      </c>
      <c r="O110" s="235">
        <v>6.0</v>
      </c>
      <c r="P110" s="315">
        <v>46174.0</v>
      </c>
      <c r="Q110" s="213">
        <v>1.0</v>
      </c>
      <c r="R110" s="213">
        <v>6.0</v>
      </c>
      <c r="S110" s="296">
        <v>2026.0</v>
      </c>
      <c r="T110" s="235" t="s">
        <v>7</v>
      </c>
      <c r="U110" s="235">
        <v>118.17</v>
      </c>
      <c r="V110" s="315">
        <v>46174.0</v>
      </c>
      <c r="W110" s="296">
        <v>1.0</v>
      </c>
      <c r="X110" s="296">
        <v>6.0</v>
      </c>
      <c r="Y110" s="296">
        <v>2026.0</v>
      </c>
      <c r="Z110" s="235" t="s">
        <v>7</v>
      </c>
    </row>
    <row r="111">
      <c r="A111" s="293" t="s">
        <v>790</v>
      </c>
      <c r="B111" s="294" t="s">
        <v>791</v>
      </c>
      <c r="C111" s="299">
        <v>46189.0</v>
      </c>
      <c r="D111" s="296">
        <v>16.0</v>
      </c>
      <c r="E111" s="296">
        <v>6.0</v>
      </c>
      <c r="F111" s="296">
        <v>2026.0</v>
      </c>
      <c r="G111" s="299">
        <v>46198.0</v>
      </c>
      <c r="H111" s="296">
        <v>25.0</v>
      </c>
      <c r="I111" s="269">
        <v>6.0</v>
      </c>
      <c r="J111" s="296">
        <v>2026.0</v>
      </c>
      <c r="K111" s="235" t="s">
        <v>43</v>
      </c>
      <c r="L111" s="235" t="s">
        <v>518</v>
      </c>
      <c r="M111" s="235">
        <v>1.0</v>
      </c>
      <c r="N111" s="235">
        <v>9.0</v>
      </c>
      <c r="O111" s="235">
        <v>14.0</v>
      </c>
      <c r="P111" s="315">
        <v>46174.0</v>
      </c>
      <c r="Q111" s="213">
        <v>1.0</v>
      </c>
      <c r="R111" s="213">
        <v>6.0</v>
      </c>
      <c r="S111" s="296">
        <v>2026.0</v>
      </c>
      <c r="T111" s="235" t="s">
        <v>7</v>
      </c>
      <c r="U111" s="235">
        <v>294.12</v>
      </c>
      <c r="V111" s="315">
        <v>46174.0</v>
      </c>
      <c r="W111" s="296">
        <v>1.0</v>
      </c>
      <c r="X111" s="296">
        <v>6.0</v>
      </c>
      <c r="Y111" s="296">
        <v>2026.0</v>
      </c>
      <c r="Z111" s="235" t="s">
        <v>7</v>
      </c>
    </row>
    <row r="112">
      <c r="A112" s="293" t="s">
        <v>793</v>
      </c>
      <c r="B112" s="294" t="s">
        <v>794</v>
      </c>
      <c r="C112" s="299">
        <v>46176.0</v>
      </c>
      <c r="D112" s="296">
        <v>3.0</v>
      </c>
      <c r="E112" s="296">
        <v>6.0</v>
      </c>
      <c r="F112" s="296">
        <v>2026.0</v>
      </c>
      <c r="G112" s="299">
        <v>46180.0</v>
      </c>
      <c r="H112" s="296">
        <v>7.0</v>
      </c>
      <c r="I112" s="269">
        <v>6.0</v>
      </c>
      <c r="J112" s="296">
        <v>2026.0</v>
      </c>
      <c r="K112" s="164" t="s">
        <v>43</v>
      </c>
      <c r="L112" s="164" t="s">
        <v>518</v>
      </c>
      <c r="M112" s="235">
        <v>1.0</v>
      </c>
      <c r="N112" s="235">
        <v>4.0</v>
      </c>
      <c r="O112" s="235">
        <v>8.0</v>
      </c>
      <c r="P112" s="315">
        <v>46174.0</v>
      </c>
      <c r="Q112" s="213">
        <v>1.0</v>
      </c>
      <c r="R112" s="213">
        <v>6.0</v>
      </c>
      <c r="S112" s="296">
        <v>2026.0</v>
      </c>
      <c r="T112" s="235" t="s">
        <v>7</v>
      </c>
      <c r="U112" s="235">
        <v>113.23</v>
      </c>
      <c r="V112" s="315">
        <v>46174.0</v>
      </c>
      <c r="W112" s="296">
        <v>1.0</v>
      </c>
      <c r="X112" s="296">
        <v>6.0</v>
      </c>
      <c r="Y112" s="296">
        <v>2026.0</v>
      </c>
      <c r="Z112" s="235" t="s">
        <v>7</v>
      </c>
    </row>
    <row r="113">
      <c r="A113" s="293" t="s">
        <v>796</v>
      </c>
      <c r="B113" s="294" t="s">
        <v>797</v>
      </c>
      <c r="C113" s="299">
        <v>46186.0</v>
      </c>
      <c r="D113" s="296">
        <v>13.0</v>
      </c>
      <c r="E113" s="296">
        <v>6.0</v>
      </c>
      <c r="F113" s="296">
        <v>2026.0</v>
      </c>
      <c r="G113" s="299">
        <v>46188.0</v>
      </c>
      <c r="H113" s="296">
        <v>15.0</v>
      </c>
      <c r="I113" s="269">
        <v>6.0</v>
      </c>
      <c r="J113" s="296">
        <v>2026.0</v>
      </c>
      <c r="K113" s="235" t="s">
        <v>43</v>
      </c>
      <c r="L113" s="235" t="s">
        <v>518</v>
      </c>
      <c r="M113" s="235">
        <v>1.0</v>
      </c>
      <c r="N113" s="235">
        <v>2.0</v>
      </c>
      <c r="O113" s="235">
        <v>4.0</v>
      </c>
      <c r="P113" s="315">
        <v>46174.0</v>
      </c>
      <c r="Q113" s="213">
        <v>1.0</v>
      </c>
      <c r="R113" s="213">
        <v>6.0</v>
      </c>
      <c r="S113" s="296">
        <v>2026.0</v>
      </c>
      <c r="T113" s="235" t="s">
        <v>7</v>
      </c>
      <c r="U113" s="235">
        <v>79.45</v>
      </c>
      <c r="V113" s="315">
        <v>46174.0</v>
      </c>
      <c r="W113" s="296">
        <v>1.0</v>
      </c>
      <c r="X113" s="296">
        <v>6.0</v>
      </c>
      <c r="Y113" s="296">
        <v>2026.0</v>
      </c>
      <c r="Z113" s="235" t="s">
        <v>7</v>
      </c>
    </row>
    <row r="114">
      <c r="A114" s="324" t="s">
        <v>800</v>
      </c>
      <c r="B114" s="324" t="s">
        <v>801</v>
      </c>
      <c r="C114" s="325">
        <v>46202.0</v>
      </c>
      <c r="D114" s="326">
        <v>29.0</v>
      </c>
      <c r="E114" s="326">
        <v>6.0</v>
      </c>
      <c r="F114" s="326">
        <v>2026.0</v>
      </c>
      <c r="G114" s="325">
        <v>46204.0</v>
      </c>
      <c r="H114" s="326">
        <v>1.0</v>
      </c>
      <c r="I114" s="326">
        <v>7.0</v>
      </c>
      <c r="J114" s="326">
        <v>2026.0</v>
      </c>
      <c r="K114" s="324" t="s">
        <v>43</v>
      </c>
      <c r="L114" s="324" t="s">
        <v>518</v>
      </c>
      <c r="M114" s="324">
        <v>2.0</v>
      </c>
      <c r="N114" s="324">
        <v>2.0</v>
      </c>
      <c r="O114" s="324">
        <v>8.0</v>
      </c>
      <c r="P114" s="325">
        <v>46203.038090277776</v>
      </c>
      <c r="Q114" s="327">
        <v>30.0</v>
      </c>
      <c r="R114" s="327">
        <v>6.0</v>
      </c>
      <c r="S114" s="326">
        <v>2026.0</v>
      </c>
      <c r="T114" s="324" t="s">
        <v>319</v>
      </c>
      <c r="U114" s="324">
        <v>152.1</v>
      </c>
      <c r="V114" s="325">
        <v>46234.0</v>
      </c>
      <c r="W114" s="326">
        <v>31.0</v>
      </c>
      <c r="X114" s="326">
        <v>7.0</v>
      </c>
      <c r="Y114" s="326">
        <v>2026.0</v>
      </c>
      <c r="Z114" s="324" t="s">
        <v>7</v>
      </c>
      <c r="AA114" s="265"/>
      <c r="AB114" s="265"/>
    </row>
    <row r="115">
      <c r="A115" s="328" t="s">
        <v>804</v>
      </c>
      <c r="B115" s="328" t="s">
        <v>805</v>
      </c>
      <c r="C115" s="329">
        <v>46202.0</v>
      </c>
      <c r="D115" s="330">
        <v>29.0</v>
      </c>
      <c r="E115" s="330">
        <v>6.0</v>
      </c>
      <c r="F115" s="330">
        <v>2026.0</v>
      </c>
      <c r="G115" s="329">
        <v>46208.0</v>
      </c>
      <c r="H115" s="330">
        <v>5.0</v>
      </c>
      <c r="I115" s="330">
        <v>7.0</v>
      </c>
      <c r="J115" s="330">
        <v>2026.0</v>
      </c>
      <c r="K115" s="328" t="s">
        <v>43</v>
      </c>
      <c r="L115" s="328" t="s">
        <v>518</v>
      </c>
      <c r="M115" s="328">
        <v>1.0</v>
      </c>
      <c r="N115" s="328">
        <v>6.0</v>
      </c>
      <c r="O115" s="328">
        <v>12.0</v>
      </c>
      <c r="P115" s="329">
        <v>46234.0</v>
      </c>
      <c r="Q115" s="331">
        <v>31.0</v>
      </c>
      <c r="R115" s="331">
        <v>7.0</v>
      </c>
      <c r="S115" s="330">
        <v>2026.0</v>
      </c>
      <c r="T115" s="328" t="s">
        <v>7</v>
      </c>
      <c r="U115" s="328">
        <v>185.9</v>
      </c>
      <c r="V115" s="329">
        <v>46234.0</v>
      </c>
      <c r="W115" s="330">
        <v>31.0</v>
      </c>
      <c r="X115" s="330">
        <v>7.0</v>
      </c>
      <c r="Y115" s="330">
        <v>2026.0</v>
      </c>
      <c r="Z115" s="328" t="s">
        <v>7</v>
      </c>
    </row>
    <row r="116">
      <c r="A116" s="328" t="s">
        <v>807</v>
      </c>
      <c r="B116" s="328" t="s">
        <v>808</v>
      </c>
      <c r="C116" s="329">
        <v>46203.0</v>
      </c>
      <c r="D116" s="330">
        <v>30.0</v>
      </c>
      <c r="E116" s="330">
        <v>6.0</v>
      </c>
      <c r="F116" s="330">
        <v>2026.0</v>
      </c>
      <c r="G116" s="329">
        <v>46204.0</v>
      </c>
      <c r="H116" s="330">
        <v>1.0</v>
      </c>
      <c r="I116" s="330">
        <v>7.0</v>
      </c>
      <c r="J116" s="330">
        <v>2026.0</v>
      </c>
      <c r="K116" s="328" t="s">
        <v>43</v>
      </c>
      <c r="L116" s="328" t="s">
        <v>518</v>
      </c>
      <c r="M116" s="328">
        <v>1.0</v>
      </c>
      <c r="N116" s="328">
        <v>1.0</v>
      </c>
      <c r="O116" s="328">
        <v>2.0</v>
      </c>
      <c r="P116" s="329">
        <v>46234.0</v>
      </c>
      <c r="Q116" s="331">
        <v>31.0</v>
      </c>
      <c r="R116" s="331">
        <v>7.0</v>
      </c>
      <c r="S116" s="330">
        <v>2026.0</v>
      </c>
      <c r="T116" s="328" t="s">
        <v>7</v>
      </c>
      <c r="U116" s="328">
        <v>29.57</v>
      </c>
      <c r="V116" s="329">
        <v>46234.0</v>
      </c>
      <c r="W116" s="330">
        <v>31.0</v>
      </c>
      <c r="X116" s="330">
        <v>7.0</v>
      </c>
      <c r="Y116" s="330">
        <v>2026.0</v>
      </c>
      <c r="Z116" s="328" t="s">
        <v>7</v>
      </c>
    </row>
    <row r="117">
      <c r="A117" s="328" t="s">
        <v>810</v>
      </c>
      <c r="B117" s="328" t="s">
        <v>811</v>
      </c>
      <c r="C117" s="329">
        <v>46212.0</v>
      </c>
      <c r="D117" s="330">
        <v>9.0</v>
      </c>
      <c r="E117" s="330">
        <v>7.0</v>
      </c>
      <c r="F117" s="330">
        <v>2026.0</v>
      </c>
      <c r="G117" s="329">
        <v>46214.0</v>
      </c>
      <c r="H117" s="330">
        <v>11.0</v>
      </c>
      <c r="I117" s="330">
        <v>7.0</v>
      </c>
      <c r="J117" s="330">
        <v>2026.0</v>
      </c>
      <c r="K117" s="328" t="s">
        <v>43</v>
      </c>
      <c r="L117" s="328" t="s">
        <v>518</v>
      </c>
      <c r="M117" s="328">
        <v>1.0</v>
      </c>
      <c r="N117" s="328">
        <v>2.0</v>
      </c>
      <c r="O117" s="328">
        <v>4.0</v>
      </c>
      <c r="P117" s="329">
        <v>46234.0</v>
      </c>
      <c r="Q117" s="331">
        <v>31.0</v>
      </c>
      <c r="R117" s="331">
        <v>7.0</v>
      </c>
      <c r="S117" s="330">
        <v>2026.0</v>
      </c>
      <c r="T117" s="328" t="s">
        <v>7</v>
      </c>
      <c r="U117" s="328">
        <v>59.15</v>
      </c>
      <c r="V117" s="329">
        <v>46234.0</v>
      </c>
      <c r="W117" s="330">
        <v>31.0</v>
      </c>
      <c r="X117" s="330">
        <v>7.0</v>
      </c>
      <c r="Y117" s="330">
        <v>2026.0</v>
      </c>
      <c r="Z117" s="328" t="s">
        <v>7</v>
      </c>
    </row>
    <row r="118">
      <c r="A118" s="328" t="s">
        <v>813</v>
      </c>
      <c r="B118" s="328" t="s">
        <v>814</v>
      </c>
      <c r="C118" s="329">
        <v>46231.0</v>
      </c>
      <c r="D118" s="330">
        <v>28.0</v>
      </c>
      <c r="E118" s="330">
        <v>7.0</v>
      </c>
      <c r="F118" s="330">
        <v>2026.0</v>
      </c>
      <c r="G118" s="329">
        <v>46233.0</v>
      </c>
      <c r="H118" s="330">
        <v>30.0</v>
      </c>
      <c r="I118" s="330">
        <v>7.0</v>
      </c>
      <c r="J118" s="330">
        <v>2026.0</v>
      </c>
      <c r="K118" s="328" t="s">
        <v>43</v>
      </c>
      <c r="L118" s="328" t="s">
        <v>518</v>
      </c>
      <c r="M118" s="328">
        <v>1.0</v>
      </c>
      <c r="N118" s="328">
        <v>2.0</v>
      </c>
      <c r="O118" s="328">
        <v>4.0</v>
      </c>
      <c r="P118" s="329">
        <v>46234.0</v>
      </c>
      <c r="Q118" s="331">
        <v>31.0</v>
      </c>
      <c r="R118" s="331">
        <v>7.0</v>
      </c>
      <c r="S118" s="330">
        <v>2026.0</v>
      </c>
      <c r="T118" s="328" t="s">
        <v>7</v>
      </c>
      <c r="U118" s="328">
        <v>76.05</v>
      </c>
      <c r="V118" s="329">
        <v>46234.0</v>
      </c>
      <c r="W118" s="330">
        <v>31.0</v>
      </c>
      <c r="X118" s="330">
        <v>7.0</v>
      </c>
      <c r="Y118" s="330">
        <v>2026.0</v>
      </c>
      <c r="Z118" s="328" t="s">
        <v>7</v>
      </c>
    </row>
    <row r="119">
      <c r="A119" s="328" t="s">
        <v>815</v>
      </c>
      <c r="B119" s="328" t="s">
        <v>816</v>
      </c>
      <c r="C119" s="329">
        <v>46214.0</v>
      </c>
      <c r="D119" s="330">
        <v>11.0</v>
      </c>
      <c r="E119" s="330">
        <v>7.0</v>
      </c>
      <c r="F119" s="330">
        <v>2026.0</v>
      </c>
      <c r="G119" s="329">
        <v>46217.0</v>
      </c>
      <c r="H119" s="330">
        <v>14.0</v>
      </c>
      <c r="I119" s="330">
        <v>7.0</v>
      </c>
      <c r="J119" s="330">
        <v>2026.0</v>
      </c>
      <c r="K119" s="328" t="s">
        <v>43</v>
      </c>
      <c r="L119" s="328" t="s">
        <v>518</v>
      </c>
      <c r="M119" s="328">
        <v>1.0</v>
      </c>
      <c r="N119" s="328">
        <v>3.0</v>
      </c>
      <c r="O119" s="328">
        <v>6.0</v>
      </c>
      <c r="P119" s="329">
        <v>46234.0</v>
      </c>
      <c r="Q119" s="331">
        <v>31.0</v>
      </c>
      <c r="R119" s="331">
        <v>7.0</v>
      </c>
      <c r="S119" s="330">
        <v>2026.0</v>
      </c>
      <c r="T119" s="328" t="s">
        <v>7</v>
      </c>
      <c r="U119" s="328">
        <v>105.62</v>
      </c>
      <c r="V119" s="329">
        <v>46234.0</v>
      </c>
      <c r="W119" s="330">
        <v>31.0</v>
      </c>
      <c r="X119" s="330">
        <v>7.0</v>
      </c>
      <c r="Y119" s="330">
        <v>2026.0</v>
      </c>
      <c r="Z119" s="328" t="s">
        <v>7</v>
      </c>
    </row>
    <row r="120">
      <c r="A120" s="328" t="s">
        <v>817</v>
      </c>
      <c r="B120" s="328" t="s">
        <v>818</v>
      </c>
      <c r="C120" s="329">
        <v>46224.0</v>
      </c>
      <c r="D120" s="330">
        <v>21.0</v>
      </c>
      <c r="E120" s="330">
        <v>7.0</v>
      </c>
      <c r="F120" s="330">
        <v>2026.0</v>
      </c>
      <c r="G120" s="329">
        <v>46227.0</v>
      </c>
      <c r="H120" s="330">
        <v>24.0</v>
      </c>
      <c r="I120" s="330">
        <v>7.0</v>
      </c>
      <c r="J120" s="330">
        <v>2026.0</v>
      </c>
      <c r="K120" s="328" t="s">
        <v>43</v>
      </c>
      <c r="L120" s="328" t="s">
        <v>518</v>
      </c>
      <c r="M120" s="328">
        <v>1.0</v>
      </c>
      <c r="N120" s="328">
        <v>3.0</v>
      </c>
      <c r="O120" s="328">
        <v>6.0</v>
      </c>
      <c r="P120" s="329">
        <v>46234.0</v>
      </c>
      <c r="Q120" s="331">
        <v>31.0</v>
      </c>
      <c r="R120" s="331">
        <v>7.0</v>
      </c>
      <c r="S120" s="330">
        <v>2026.0</v>
      </c>
      <c r="T120" s="328" t="s">
        <v>7</v>
      </c>
      <c r="U120" s="328">
        <v>139.42</v>
      </c>
      <c r="V120" s="329">
        <v>46234.0</v>
      </c>
      <c r="W120" s="330">
        <v>31.0</v>
      </c>
      <c r="X120" s="330">
        <v>7.0</v>
      </c>
      <c r="Y120" s="330">
        <v>2026.0</v>
      </c>
      <c r="Z120" s="328" t="s">
        <v>7</v>
      </c>
    </row>
    <row r="121">
      <c r="A121" s="328" t="s">
        <v>819</v>
      </c>
      <c r="B121" s="328" t="s">
        <v>820</v>
      </c>
      <c r="C121" s="329">
        <v>46205.0</v>
      </c>
      <c r="D121" s="330">
        <v>2.0</v>
      </c>
      <c r="E121" s="330">
        <v>7.0</v>
      </c>
      <c r="F121" s="330">
        <v>2026.0</v>
      </c>
      <c r="G121" s="329">
        <v>46212.0</v>
      </c>
      <c r="H121" s="330">
        <v>9.0</v>
      </c>
      <c r="I121" s="330">
        <v>7.0</v>
      </c>
      <c r="J121" s="330">
        <v>2026.0</v>
      </c>
      <c r="K121" s="328" t="s">
        <v>43</v>
      </c>
      <c r="L121" s="328" t="s">
        <v>518</v>
      </c>
      <c r="M121" s="328">
        <v>1.0</v>
      </c>
      <c r="N121" s="328">
        <v>7.0</v>
      </c>
      <c r="O121" s="328">
        <v>14.0</v>
      </c>
      <c r="P121" s="329">
        <v>46234.0</v>
      </c>
      <c r="Q121" s="331">
        <v>31.0</v>
      </c>
      <c r="R121" s="331">
        <v>7.0</v>
      </c>
      <c r="S121" s="330">
        <v>2026.0</v>
      </c>
      <c r="T121" s="328" t="s">
        <v>7</v>
      </c>
      <c r="U121" s="328">
        <v>223.92</v>
      </c>
      <c r="V121" s="329">
        <v>46234.0</v>
      </c>
      <c r="W121" s="330">
        <v>31.0</v>
      </c>
      <c r="X121" s="330">
        <v>7.0</v>
      </c>
      <c r="Y121" s="330">
        <v>2026.0</v>
      </c>
      <c r="Z121" s="328" t="s">
        <v>7</v>
      </c>
    </row>
    <row r="122">
      <c r="A122" s="328" t="s">
        <v>821</v>
      </c>
      <c r="B122" s="328" t="s">
        <v>822</v>
      </c>
      <c r="C122" s="329">
        <v>46231.0</v>
      </c>
      <c r="D122" s="330">
        <v>28.0</v>
      </c>
      <c r="E122" s="330">
        <v>7.0</v>
      </c>
      <c r="F122" s="330">
        <v>2026.0</v>
      </c>
      <c r="G122" s="329">
        <v>46238.0</v>
      </c>
      <c r="H122" s="330">
        <v>4.0</v>
      </c>
      <c r="I122" s="330">
        <v>8.0</v>
      </c>
      <c r="J122" s="330">
        <v>2026.0</v>
      </c>
      <c r="K122" s="328" t="s">
        <v>43</v>
      </c>
      <c r="L122" s="328" t="s">
        <v>518</v>
      </c>
      <c r="M122" s="328">
        <v>1.0</v>
      </c>
      <c r="N122" s="328">
        <v>7.0</v>
      </c>
      <c r="O122" s="328">
        <v>14.0</v>
      </c>
      <c r="P122" s="329">
        <v>46234.0</v>
      </c>
      <c r="Q122" s="331">
        <v>31.0</v>
      </c>
      <c r="R122" s="331">
        <v>7.0</v>
      </c>
      <c r="S122" s="330">
        <v>2026.0</v>
      </c>
      <c r="T122" s="328" t="s">
        <v>7</v>
      </c>
      <c r="U122" s="328">
        <v>254.34</v>
      </c>
      <c r="V122" s="329">
        <v>46234.0</v>
      </c>
      <c r="W122" s="330">
        <v>31.0</v>
      </c>
      <c r="X122" s="330">
        <v>7.0</v>
      </c>
      <c r="Y122" s="330">
        <v>2026.0</v>
      </c>
      <c r="Z122" s="328" t="s">
        <v>7</v>
      </c>
    </row>
    <row r="123">
      <c r="A123" s="328" t="s">
        <v>823</v>
      </c>
      <c r="B123" s="328" t="s">
        <v>824</v>
      </c>
      <c r="C123" s="329">
        <v>46204.0</v>
      </c>
      <c r="D123" s="330">
        <v>1.0</v>
      </c>
      <c r="E123" s="330">
        <v>7.0</v>
      </c>
      <c r="F123" s="330">
        <v>2026.0</v>
      </c>
      <c r="G123" s="329">
        <v>46206.0</v>
      </c>
      <c r="H123" s="330">
        <v>3.0</v>
      </c>
      <c r="I123" s="330">
        <v>7.0</v>
      </c>
      <c r="J123" s="330">
        <v>2026.0</v>
      </c>
      <c r="K123" s="328" t="s">
        <v>43</v>
      </c>
      <c r="L123" s="328" t="s">
        <v>518</v>
      </c>
      <c r="M123" s="328">
        <v>1.0</v>
      </c>
      <c r="N123" s="328">
        <v>2.0</v>
      </c>
      <c r="O123" s="328">
        <v>4.0</v>
      </c>
      <c r="P123" s="329">
        <v>46234.0</v>
      </c>
      <c r="Q123" s="331">
        <v>31.0</v>
      </c>
      <c r="R123" s="331">
        <v>7.0</v>
      </c>
      <c r="S123" s="330">
        <v>2026.0</v>
      </c>
      <c r="T123" s="328" t="s">
        <v>7</v>
      </c>
      <c r="U123" s="328">
        <v>59.15</v>
      </c>
      <c r="V123" s="329">
        <v>46234.0</v>
      </c>
      <c r="W123" s="330">
        <v>31.0</v>
      </c>
      <c r="X123" s="330">
        <v>7.0</v>
      </c>
      <c r="Y123" s="330">
        <v>2026.0</v>
      </c>
      <c r="Z123" s="328" t="s">
        <v>7</v>
      </c>
    </row>
    <row r="124">
      <c r="A124" s="328" t="s">
        <v>825</v>
      </c>
      <c r="B124" s="328" t="s">
        <v>826</v>
      </c>
      <c r="C124" s="329">
        <v>46232.0</v>
      </c>
      <c r="D124" s="330">
        <v>29.0</v>
      </c>
      <c r="E124" s="330">
        <v>7.0</v>
      </c>
      <c r="F124" s="330">
        <v>2026.0</v>
      </c>
      <c r="G124" s="329">
        <v>46234.0</v>
      </c>
      <c r="H124" s="330">
        <v>31.0</v>
      </c>
      <c r="I124" s="330">
        <v>7.0</v>
      </c>
      <c r="J124" s="330">
        <v>2026.0</v>
      </c>
      <c r="K124" s="328" t="s">
        <v>43</v>
      </c>
      <c r="L124" s="328" t="s">
        <v>518</v>
      </c>
      <c r="M124" s="328">
        <v>1.0</v>
      </c>
      <c r="N124" s="328">
        <v>2.0</v>
      </c>
      <c r="O124" s="328">
        <v>4.0</v>
      </c>
      <c r="P124" s="329">
        <v>46234.0</v>
      </c>
      <c r="Q124" s="331">
        <v>31.0</v>
      </c>
      <c r="R124" s="331">
        <v>7.0</v>
      </c>
      <c r="S124" s="330">
        <v>2026.0</v>
      </c>
      <c r="T124" s="328" t="s">
        <v>7</v>
      </c>
      <c r="U124" s="328">
        <v>59.15</v>
      </c>
      <c r="V124" s="329">
        <v>46234.0</v>
      </c>
      <c r="W124" s="330">
        <v>31.0</v>
      </c>
      <c r="X124" s="330">
        <v>7.0</v>
      </c>
      <c r="Y124" s="330">
        <v>2026.0</v>
      </c>
      <c r="Z124" s="328" t="s">
        <v>7</v>
      </c>
    </row>
    <row r="125">
      <c r="A125" s="328" t="s">
        <v>828</v>
      </c>
      <c r="B125" s="328" t="s">
        <v>829</v>
      </c>
      <c r="C125" s="329">
        <v>46204.0</v>
      </c>
      <c r="D125" s="330">
        <v>1.0</v>
      </c>
      <c r="E125" s="330">
        <v>7.0</v>
      </c>
      <c r="F125" s="330">
        <v>2026.0</v>
      </c>
      <c r="G125" s="329">
        <v>46205.0</v>
      </c>
      <c r="H125" s="330">
        <v>2.0</v>
      </c>
      <c r="I125" s="330">
        <v>7.0</v>
      </c>
      <c r="J125" s="330">
        <v>2026.0</v>
      </c>
      <c r="K125" s="328" t="s">
        <v>43</v>
      </c>
      <c r="L125" s="328" t="s">
        <v>518</v>
      </c>
      <c r="M125" s="328">
        <v>1.0</v>
      </c>
      <c r="N125" s="328">
        <v>1.0</v>
      </c>
      <c r="O125" s="328">
        <v>2.0</v>
      </c>
      <c r="P125" s="329">
        <v>46234.0</v>
      </c>
      <c r="Q125" s="331">
        <v>31.0</v>
      </c>
      <c r="R125" s="331">
        <v>7.0</v>
      </c>
      <c r="S125" s="330">
        <v>2026.0</v>
      </c>
      <c r="T125" s="328" t="s">
        <v>7</v>
      </c>
      <c r="U125" s="328">
        <v>38.02</v>
      </c>
      <c r="V125" s="329">
        <v>46234.0</v>
      </c>
      <c r="W125" s="330">
        <v>31.0</v>
      </c>
      <c r="X125" s="330">
        <v>7.0</v>
      </c>
      <c r="Y125" s="330">
        <v>2026.0</v>
      </c>
      <c r="Z125" s="328" t="s">
        <v>7</v>
      </c>
    </row>
    <row r="126">
      <c r="A126" s="328" t="s">
        <v>830</v>
      </c>
      <c r="B126" s="328" t="s">
        <v>831</v>
      </c>
      <c r="C126" s="329">
        <v>46224.0</v>
      </c>
      <c r="D126" s="330">
        <v>21.0</v>
      </c>
      <c r="E126" s="330">
        <v>7.0</v>
      </c>
      <c r="F126" s="330">
        <v>2026.0</v>
      </c>
      <c r="G126" s="329">
        <v>46226.0</v>
      </c>
      <c r="H126" s="330">
        <v>23.0</v>
      </c>
      <c r="I126" s="330">
        <v>7.0</v>
      </c>
      <c r="J126" s="330">
        <v>2026.0</v>
      </c>
      <c r="K126" s="328" t="s">
        <v>43</v>
      </c>
      <c r="L126" s="328" t="s">
        <v>518</v>
      </c>
      <c r="M126" s="328">
        <v>1.0</v>
      </c>
      <c r="N126" s="328">
        <v>2.0</v>
      </c>
      <c r="O126" s="328">
        <v>4.0</v>
      </c>
      <c r="P126" s="329">
        <v>46234.0</v>
      </c>
      <c r="Q126" s="331">
        <v>31.0</v>
      </c>
      <c r="R126" s="331">
        <v>7.0</v>
      </c>
      <c r="S126" s="330">
        <v>2026.0</v>
      </c>
      <c r="T126" s="328" t="s">
        <v>7</v>
      </c>
      <c r="U126" s="328">
        <v>56.61</v>
      </c>
      <c r="V126" s="329">
        <v>46234.0</v>
      </c>
      <c r="W126" s="330">
        <v>31.0</v>
      </c>
      <c r="X126" s="330">
        <v>7.0</v>
      </c>
      <c r="Y126" s="330">
        <v>2026.0</v>
      </c>
      <c r="Z126" s="328" t="s">
        <v>7</v>
      </c>
    </row>
    <row r="127">
      <c r="A127" s="328" t="s">
        <v>832</v>
      </c>
      <c r="B127" s="328" t="s">
        <v>833</v>
      </c>
      <c r="C127" s="329">
        <v>46227.0</v>
      </c>
      <c r="D127" s="330">
        <v>24.0</v>
      </c>
      <c r="E127" s="330">
        <v>7.0</v>
      </c>
      <c r="F127" s="330">
        <v>2026.0</v>
      </c>
      <c r="G127" s="329">
        <v>46231.0</v>
      </c>
      <c r="H127" s="330">
        <v>28.0</v>
      </c>
      <c r="I127" s="330">
        <v>7.0</v>
      </c>
      <c r="J127" s="330">
        <v>2026.0</v>
      </c>
      <c r="K127" s="328" t="s">
        <v>43</v>
      </c>
      <c r="L127" s="328" t="s">
        <v>518</v>
      </c>
      <c r="M127" s="328">
        <v>2.0</v>
      </c>
      <c r="N127" s="328">
        <v>4.0</v>
      </c>
      <c r="O127" s="328">
        <v>14.0</v>
      </c>
      <c r="P127" s="329">
        <v>46234.0</v>
      </c>
      <c r="Q127" s="331">
        <v>31.0</v>
      </c>
      <c r="R127" s="331">
        <v>7.0</v>
      </c>
      <c r="S127" s="330">
        <v>2026.0</v>
      </c>
      <c r="T127" s="328" t="s">
        <v>7</v>
      </c>
      <c r="U127" s="328">
        <v>238.6</v>
      </c>
      <c r="V127" s="329">
        <v>46234.0</v>
      </c>
      <c r="W127" s="330">
        <v>31.0</v>
      </c>
      <c r="X127" s="330">
        <v>7.0</v>
      </c>
      <c r="Y127" s="330">
        <v>2026.0</v>
      </c>
      <c r="Z127" s="328" t="s">
        <v>7</v>
      </c>
    </row>
    <row r="128">
      <c r="A128" s="328" t="s">
        <v>834</v>
      </c>
      <c r="B128" s="328" t="s">
        <v>835</v>
      </c>
      <c r="C128" s="329">
        <v>46210.0</v>
      </c>
      <c r="D128" s="330">
        <v>7.0</v>
      </c>
      <c r="E128" s="330">
        <v>7.0</v>
      </c>
      <c r="F128" s="330">
        <v>2026.0</v>
      </c>
      <c r="G128" s="329">
        <v>46212.0</v>
      </c>
      <c r="H128" s="330">
        <v>9.0</v>
      </c>
      <c r="I128" s="330">
        <v>7.0</v>
      </c>
      <c r="J128" s="330">
        <v>2026.0</v>
      </c>
      <c r="K128" s="328" t="s">
        <v>43</v>
      </c>
      <c r="L128" s="328" t="s">
        <v>518</v>
      </c>
      <c r="M128" s="328">
        <v>1.0</v>
      </c>
      <c r="N128" s="328">
        <v>2.0</v>
      </c>
      <c r="O128" s="328">
        <v>4.0</v>
      </c>
      <c r="P128" s="329">
        <v>46234.0</v>
      </c>
      <c r="Q128" s="331">
        <v>31.0</v>
      </c>
      <c r="R128" s="331">
        <v>7.0</v>
      </c>
      <c r="S128" s="330">
        <v>2026.0</v>
      </c>
      <c r="T128" s="328" t="s">
        <v>7</v>
      </c>
      <c r="U128" s="328">
        <v>59.15</v>
      </c>
      <c r="V128" s="329">
        <v>46234.0</v>
      </c>
      <c r="W128" s="330">
        <v>31.0</v>
      </c>
      <c r="X128" s="330">
        <v>7.0</v>
      </c>
      <c r="Y128" s="330">
        <v>2026.0</v>
      </c>
      <c r="Z128" s="328" t="s">
        <v>7</v>
      </c>
    </row>
    <row r="129">
      <c r="A129" s="328" t="s">
        <v>837</v>
      </c>
      <c r="B129" s="328" t="s">
        <v>838</v>
      </c>
      <c r="C129" s="329">
        <v>46222.0</v>
      </c>
      <c r="D129" s="330">
        <v>19.0</v>
      </c>
      <c r="E129" s="330">
        <v>7.0</v>
      </c>
      <c r="F129" s="330">
        <v>2026.0</v>
      </c>
      <c r="G129" s="329">
        <v>46241.0</v>
      </c>
      <c r="H129" s="330">
        <v>7.0</v>
      </c>
      <c r="I129" s="330">
        <v>8.0</v>
      </c>
      <c r="J129" s="330">
        <v>2026.0</v>
      </c>
      <c r="K129" s="328" t="s">
        <v>43</v>
      </c>
      <c r="L129" s="328" t="s">
        <v>518</v>
      </c>
      <c r="M129" s="328">
        <v>1.0</v>
      </c>
      <c r="N129" s="328">
        <v>19.0</v>
      </c>
      <c r="O129" s="328">
        <v>14.0</v>
      </c>
      <c r="P129" s="329">
        <v>46234.0</v>
      </c>
      <c r="Q129" s="331">
        <v>31.0</v>
      </c>
      <c r="R129" s="331">
        <v>7.0</v>
      </c>
      <c r="S129" s="330">
        <v>2026.0</v>
      </c>
      <c r="T129" s="328" t="s">
        <v>7</v>
      </c>
      <c r="U129" s="328">
        <v>680.22</v>
      </c>
      <c r="V129" s="329">
        <v>46234.0</v>
      </c>
      <c r="W129" s="330">
        <v>31.0</v>
      </c>
      <c r="X129" s="330">
        <v>7.0</v>
      </c>
      <c r="Y129" s="330">
        <v>2026.0</v>
      </c>
      <c r="Z129" s="328" t="s">
        <v>7</v>
      </c>
    </row>
    <row r="130">
      <c r="A130" s="328" t="s">
        <v>839</v>
      </c>
      <c r="B130" s="328" t="s">
        <v>840</v>
      </c>
      <c r="C130" s="329">
        <v>46223.0</v>
      </c>
      <c r="D130" s="330">
        <v>20.0</v>
      </c>
      <c r="E130" s="330">
        <v>7.0</v>
      </c>
      <c r="F130" s="330">
        <v>2026.0</v>
      </c>
      <c r="G130" s="329">
        <v>46225.0</v>
      </c>
      <c r="H130" s="330">
        <v>22.0</v>
      </c>
      <c r="I130" s="330">
        <v>7.0</v>
      </c>
      <c r="J130" s="330">
        <v>2026.0</v>
      </c>
      <c r="K130" s="328" t="s">
        <v>43</v>
      </c>
      <c r="L130" s="328" t="s">
        <v>518</v>
      </c>
      <c r="M130" s="328">
        <v>3.0</v>
      </c>
      <c r="N130" s="328">
        <v>2.0</v>
      </c>
      <c r="O130" s="328">
        <v>12.0</v>
      </c>
      <c r="P130" s="329">
        <v>46234.0</v>
      </c>
      <c r="Q130" s="331">
        <v>31.0</v>
      </c>
      <c r="R130" s="331">
        <v>7.0</v>
      </c>
      <c r="S130" s="330">
        <v>2026.0</v>
      </c>
      <c r="T130" s="328" t="s">
        <v>7</v>
      </c>
      <c r="U130" s="328">
        <v>162.24</v>
      </c>
      <c r="V130" s="329">
        <v>46234.0</v>
      </c>
      <c r="W130" s="330">
        <v>31.0</v>
      </c>
      <c r="X130" s="330">
        <v>7.0</v>
      </c>
      <c r="Y130" s="330">
        <v>2026.0</v>
      </c>
      <c r="Z130" s="328" t="s">
        <v>7</v>
      </c>
    </row>
    <row r="131">
      <c r="A131" s="328" t="s">
        <v>841</v>
      </c>
      <c r="B131" s="328" t="s">
        <v>842</v>
      </c>
      <c r="C131" s="329">
        <v>46231.0</v>
      </c>
      <c r="D131" s="330">
        <v>28.0</v>
      </c>
      <c r="E131" s="330">
        <v>7.0</v>
      </c>
      <c r="F131" s="330">
        <v>2026.0</v>
      </c>
      <c r="G131" s="329">
        <v>46233.0</v>
      </c>
      <c r="H131" s="330">
        <v>30.0</v>
      </c>
      <c r="I131" s="330">
        <v>7.0</v>
      </c>
      <c r="J131" s="330">
        <v>2026.0</v>
      </c>
      <c r="K131" s="328" t="s">
        <v>43</v>
      </c>
      <c r="L131" s="328" t="s">
        <v>518</v>
      </c>
      <c r="M131" s="328">
        <v>1.0</v>
      </c>
      <c r="N131" s="328">
        <v>2.0</v>
      </c>
      <c r="O131" s="328">
        <v>4.0</v>
      </c>
      <c r="P131" s="329">
        <v>46234.0</v>
      </c>
      <c r="Q131" s="331">
        <v>31.0</v>
      </c>
      <c r="R131" s="331">
        <v>7.0</v>
      </c>
      <c r="S131" s="330">
        <v>2026.0</v>
      </c>
      <c r="T131" s="328" t="s">
        <v>7</v>
      </c>
      <c r="U131" s="328">
        <v>59.15</v>
      </c>
      <c r="V131" s="329">
        <v>46234.0</v>
      </c>
      <c r="W131" s="330">
        <v>31.0</v>
      </c>
      <c r="X131" s="330">
        <v>7.0</v>
      </c>
      <c r="Y131" s="330">
        <v>2026.0</v>
      </c>
      <c r="Z131" s="328" t="s">
        <v>7</v>
      </c>
    </row>
    <row r="132">
      <c r="A132" s="328" t="s">
        <v>843</v>
      </c>
      <c r="B132" s="328" t="s">
        <v>844</v>
      </c>
      <c r="C132" s="329">
        <v>46207.0</v>
      </c>
      <c r="D132" s="330">
        <v>4.0</v>
      </c>
      <c r="E132" s="330">
        <v>7.0</v>
      </c>
      <c r="F132" s="330">
        <v>2026.0</v>
      </c>
      <c r="G132" s="329">
        <v>46208.0</v>
      </c>
      <c r="H132" s="330">
        <v>5.0</v>
      </c>
      <c r="I132" s="330">
        <v>7.0</v>
      </c>
      <c r="J132" s="330">
        <v>2026.0</v>
      </c>
      <c r="K132" s="328" t="s">
        <v>43</v>
      </c>
      <c r="L132" s="328" t="s">
        <v>518</v>
      </c>
      <c r="M132" s="328">
        <v>6.0</v>
      </c>
      <c r="N132" s="328">
        <v>1.0</v>
      </c>
      <c r="O132" s="328">
        <v>12.0</v>
      </c>
      <c r="P132" s="329">
        <v>46234.0</v>
      </c>
      <c r="Q132" s="331">
        <v>31.0</v>
      </c>
      <c r="R132" s="331">
        <v>7.0</v>
      </c>
      <c r="S132" s="330">
        <v>2026.0</v>
      </c>
      <c r="T132" s="328" t="s">
        <v>7</v>
      </c>
      <c r="U132" s="328">
        <v>380.25</v>
      </c>
      <c r="V132" s="329">
        <v>46234.0</v>
      </c>
      <c r="W132" s="330">
        <v>31.0</v>
      </c>
      <c r="X132" s="330">
        <v>7.0</v>
      </c>
      <c r="Y132" s="330">
        <v>2026.0</v>
      </c>
      <c r="Z132" s="328" t="s">
        <v>7</v>
      </c>
    </row>
    <row r="133">
      <c r="A133" s="328" t="s">
        <v>845</v>
      </c>
      <c r="B133" s="328" t="s">
        <v>846</v>
      </c>
      <c r="C133" s="329">
        <v>46210.0</v>
      </c>
      <c r="D133" s="330">
        <v>7.0</v>
      </c>
      <c r="E133" s="330">
        <v>7.0</v>
      </c>
      <c r="F133" s="330">
        <v>2026.0</v>
      </c>
      <c r="G133" s="329">
        <v>46211.0</v>
      </c>
      <c r="H133" s="330">
        <v>8.0</v>
      </c>
      <c r="I133" s="330">
        <v>7.0</v>
      </c>
      <c r="J133" s="330">
        <v>2026.0</v>
      </c>
      <c r="K133" s="328" t="s">
        <v>43</v>
      </c>
      <c r="L133" s="328" t="s">
        <v>847</v>
      </c>
      <c r="M133" s="328">
        <v>1.0</v>
      </c>
      <c r="N133" s="328">
        <v>1.0</v>
      </c>
      <c r="O133" s="328">
        <v>2.0</v>
      </c>
      <c r="P133" s="329">
        <v>46234.0</v>
      </c>
      <c r="Q133" s="331">
        <v>31.0</v>
      </c>
      <c r="R133" s="331">
        <v>7.0</v>
      </c>
      <c r="S133" s="330">
        <v>2026.0</v>
      </c>
      <c r="T133" s="328" t="s">
        <v>7</v>
      </c>
      <c r="U133" s="328">
        <v>46.47</v>
      </c>
      <c r="V133" s="329">
        <v>46234.0</v>
      </c>
      <c r="W133" s="330">
        <v>31.0</v>
      </c>
      <c r="X133" s="330">
        <v>7.0</v>
      </c>
      <c r="Y133" s="330">
        <v>2026.0</v>
      </c>
      <c r="Z133" s="328" t="s">
        <v>7</v>
      </c>
    </row>
    <row r="134">
      <c r="A134" s="328" t="s">
        <v>848</v>
      </c>
      <c r="B134" s="328" t="s">
        <v>849</v>
      </c>
      <c r="C134" s="329">
        <v>46226.0</v>
      </c>
      <c r="D134" s="330">
        <v>23.0</v>
      </c>
      <c r="E134" s="330">
        <v>7.0</v>
      </c>
      <c r="F134" s="330">
        <v>2026.0</v>
      </c>
      <c r="G134" s="329">
        <v>46228.0</v>
      </c>
      <c r="H134" s="330">
        <v>25.0</v>
      </c>
      <c r="I134" s="330">
        <v>7.0</v>
      </c>
      <c r="J134" s="330">
        <v>2026.0</v>
      </c>
      <c r="K134" s="328" t="s">
        <v>43</v>
      </c>
      <c r="L134" s="328" t="s">
        <v>518</v>
      </c>
      <c r="M134" s="328">
        <v>1.0</v>
      </c>
      <c r="N134" s="328">
        <v>2.0</v>
      </c>
      <c r="O134" s="328">
        <v>4.0</v>
      </c>
      <c r="P134" s="329">
        <v>46234.0</v>
      </c>
      <c r="Q134" s="331">
        <v>31.0</v>
      </c>
      <c r="R134" s="331">
        <v>7.0</v>
      </c>
      <c r="S134" s="330">
        <v>2026.0</v>
      </c>
      <c r="T134" s="328" t="s">
        <v>7</v>
      </c>
      <c r="U134" s="328">
        <v>92.95</v>
      </c>
      <c r="V134" s="329">
        <v>46234.0</v>
      </c>
      <c r="W134" s="330">
        <v>31.0</v>
      </c>
      <c r="X134" s="330">
        <v>7.0</v>
      </c>
      <c r="Y134" s="330">
        <v>2026.0</v>
      </c>
      <c r="Z134" s="328" t="s">
        <v>7</v>
      </c>
    </row>
    <row r="135">
      <c r="A135" s="328" t="s">
        <v>851</v>
      </c>
      <c r="B135" s="328" t="s">
        <v>852</v>
      </c>
      <c r="C135" s="329">
        <v>46205.0</v>
      </c>
      <c r="D135" s="330">
        <v>2.0</v>
      </c>
      <c r="E135" s="330">
        <v>7.0</v>
      </c>
      <c r="F135" s="330">
        <v>2026.0</v>
      </c>
      <c r="G135" s="329">
        <v>46207.0</v>
      </c>
      <c r="H135" s="330">
        <v>4.0</v>
      </c>
      <c r="I135" s="330">
        <v>7.0</v>
      </c>
      <c r="J135" s="330">
        <v>2026.0</v>
      </c>
      <c r="K135" s="328" t="s">
        <v>43</v>
      </c>
      <c r="L135" s="328" t="s">
        <v>518</v>
      </c>
      <c r="M135" s="328">
        <v>2.0</v>
      </c>
      <c r="N135" s="328">
        <v>2.0</v>
      </c>
      <c r="O135" s="328">
        <v>8.0</v>
      </c>
      <c r="P135" s="329">
        <v>46234.0</v>
      </c>
      <c r="Q135" s="331">
        <v>31.0</v>
      </c>
      <c r="R135" s="331">
        <v>7.0</v>
      </c>
      <c r="S135" s="330">
        <v>2026.0</v>
      </c>
      <c r="T135" s="328" t="s">
        <v>7</v>
      </c>
      <c r="U135" s="328">
        <v>118.3</v>
      </c>
      <c r="V135" s="329">
        <v>46234.0</v>
      </c>
      <c r="W135" s="330">
        <v>31.0</v>
      </c>
      <c r="X135" s="330">
        <v>7.0</v>
      </c>
      <c r="Y135" s="330">
        <v>2026.0</v>
      </c>
      <c r="Z135" s="328" t="s">
        <v>7</v>
      </c>
    </row>
    <row r="136">
      <c r="A136" s="328" t="s">
        <v>854</v>
      </c>
      <c r="B136" s="328" t="s">
        <v>855</v>
      </c>
      <c r="C136" s="329">
        <v>46209.0</v>
      </c>
      <c r="D136" s="330">
        <v>6.0</v>
      </c>
      <c r="E136" s="330">
        <v>7.0</v>
      </c>
      <c r="F136" s="330">
        <v>2026.0</v>
      </c>
      <c r="G136" s="329">
        <v>46211.0</v>
      </c>
      <c r="H136" s="330">
        <v>8.0</v>
      </c>
      <c r="I136" s="330">
        <v>7.0</v>
      </c>
      <c r="J136" s="330">
        <v>2026.0</v>
      </c>
      <c r="K136" s="328" t="s">
        <v>43</v>
      </c>
      <c r="L136" s="328" t="s">
        <v>518</v>
      </c>
      <c r="M136" s="328">
        <v>1.0</v>
      </c>
      <c r="N136" s="328">
        <v>2.0</v>
      </c>
      <c r="O136" s="328">
        <v>4.0</v>
      </c>
      <c r="P136" s="329">
        <v>46234.0</v>
      </c>
      <c r="Q136" s="331">
        <v>31.0</v>
      </c>
      <c r="R136" s="331">
        <v>7.0</v>
      </c>
      <c r="S136" s="330">
        <v>2026.0</v>
      </c>
      <c r="T136" s="328" t="s">
        <v>7</v>
      </c>
      <c r="U136" s="328">
        <v>59.15</v>
      </c>
      <c r="V136" s="329">
        <v>46234.0</v>
      </c>
      <c r="W136" s="330">
        <v>31.0</v>
      </c>
      <c r="X136" s="330">
        <v>7.0</v>
      </c>
      <c r="Y136" s="330">
        <v>2026.0</v>
      </c>
      <c r="Z136" s="328" t="s">
        <v>7</v>
      </c>
    </row>
    <row r="137">
      <c r="A137" s="328" t="s">
        <v>856</v>
      </c>
      <c r="B137" s="328" t="s">
        <v>857</v>
      </c>
      <c r="C137" s="329">
        <v>46225.0</v>
      </c>
      <c r="D137" s="330">
        <v>22.0</v>
      </c>
      <c r="E137" s="330">
        <v>7.0</v>
      </c>
      <c r="F137" s="330">
        <v>2026.0</v>
      </c>
      <c r="G137" s="329">
        <v>46226.0</v>
      </c>
      <c r="H137" s="330">
        <v>23.0</v>
      </c>
      <c r="I137" s="330">
        <v>7.0</v>
      </c>
      <c r="J137" s="330">
        <v>2026.0</v>
      </c>
      <c r="K137" s="328" t="s">
        <v>43</v>
      </c>
      <c r="L137" s="328" t="s">
        <v>518</v>
      </c>
      <c r="M137" s="328">
        <v>4.0</v>
      </c>
      <c r="N137" s="328">
        <v>1.0</v>
      </c>
      <c r="O137" s="328">
        <v>8.0</v>
      </c>
      <c r="P137" s="329">
        <v>46234.0</v>
      </c>
      <c r="Q137" s="331">
        <v>31.0</v>
      </c>
      <c r="R137" s="331">
        <v>7.0</v>
      </c>
      <c r="S137" s="330">
        <v>2026.0</v>
      </c>
      <c r="T137" s="328" t="s">
        <v>7</v>
      </c>
      <c r="U137" s="328">
        <v>152.1</v>
      </c>
      <c r="V137" s="329">
        <v>46234.0</v>
      </c>
      <c r="W137" s="330">
        <v>31.0</v>
      </c>
      <c r="X137" s="330">
        <v>7.0</v>
      </c>
      <c r="Y137" s="330">
        <v>2026.0</v>
      </c>
      <c r="Z137" s="328" t="s">
        <v>7</v>
      </c>
    </row>
    <row r="138">
      <c r="A138" s="328" t="s">
        <v>858</v>
      </c>
      <c r="B138" s="328" t="s">
        <v>859</v>
      </c>
      <c r="C138" s="329">
        <v>46229.0</v>
      </c>
      <c r="D138" s="330">
        <v>26.0</v>
      </c>
      <c r="E138" s="330">
        <v>7.0</v>
      </c>
      <c r="F138" s="330">
        <v>2026.0</v>
      </c>
      <c r="G138" s="329">
        <v>46232.0</v>
      </c>
      <c r="H138" s="330">
        <v>29.0</v>
      </c>
      <c r="I138" s="330">
        <v>7.0</v>
      </c>
      <c r="J138" s="330">
        <v>2026.0</v>
      </c>
      <c r="K138" s="328" t="s">
        <v>43</v>
      </c>
      <c r="L138" s="328" t="s">
        <v>518</v>
      </c>
      <c r="M138" s="328">
        <v>1.0</v>
      </c>
      <c r="N138" s="328">
        <v>3.0</v>
      </c>
      <c r="O138" s="328">
        <v>6.0</v>
      </c>
      <c r="P138" s="329">
        <v>46234.0</v>
      </c>
      <c r="Q138" s="331">
        <v>31.0</v>
      </c>
      <c r="R138" s="331">
        <v>7.0</v>
      </c>
      <c r="S138" s="330">
        <v>2026.0</v>
      </c>
      <c r="T138" s="328" t="s">
        <v>7</v>
      </c>
      <c r="U138" s="328">
        <v>88.73</v>
      </c>
      <c r="V138" s="329">
        <v>46234.0</v>
      </c>
      <c r="W138" s="330">
        <v>31.0</v>
      </c>
      <c r="X138" s="330">
        <v>7.0</v>
      </c>
      <c r="Y138" s="330">
        <v>2026.0</v>
      </c>
      <c r="Z138" s="328" t="s">
        <v>7</v>
      </c>
    </row>
    <row r="139">
      <c r="A139" s="328" t="s">
        <v>860</v>
      </c>
      <c r="B139" s="328" t="s">
        <v>861</v>
      </c>
      <c r="C139" s="329">
        <v>46228.0</v>
      </c>
      <c r="D139" s="330">
        <v>25.0</v>
      </c>
      <c r="E139" s="330">
        <v>7.0</v>
      </c>
      <c r="F139" s="330">
        <v>2026.0</v>
      </c>
      <c r="G139" s="329">
        <v>46229.0</v>
      </c>
      <c r="H139" s="330">
        <v>26.0</v>
      </c>
      <c r="I139" s="330">
        <v>7.0</v>
      </c>
      <c r="J139" s="330">
        <v>2026.0</v>
      </c>
      <c r="K139" s="328" t="s">
        <v>43</v>
      </c>
      <c r="L139" s="328" t="s">
        <v>518</v>
      </c>
      <c r="M139" s="328">
        <v>1.0</v>
      </c>
      <c r="N139" s="328">
        <v>1.0</v>
      </c>
      <c r="O139" s="328">
        <v>2.0</v>
      </c>
      <c r="P139" s="329">
        <v>46234.0</v>
      </c>
      <c r="Q139" s="331">
        <v>31.0</v>
      </c>
      <c r="R139" s="331">
        <v>7.0</v>
      </c>
      <c r="S139" s="330">
        <v>2026.0</v>
      </c>
      <c r="T139" s="328" t="s">
        <v>7</v>
      </c>
      <c r="U139" s="328">
        <v>46.47</v>
      </c>
      <c r="V139" s="329">
        <v>46234.0</v>
      </c>
      <c r="W139" s="330">
        <v>31.0</v>
      </c>
      <c r="X139" s="330">
        <v>7.0</v>
      </c>
      <c r="Y139" s="330">
        <v>2026.0</v>
      </c>
      <c r="Z139" s="328" t="s">
        <v>7</v>
      </c>
    </row>
    <row r="140">
      <c r="A140" s="328" t="s">
        <v>862</v>
      </c>
      <c r="B140" s="328" t="s">
        <v>863</v>
      </c>
      <c r="C140" s="329">
        <v>46223.0</v>
      </c>
      <c r="D140" s="330">
        <v>20.0</v>
      </c>
      <c r="E140" s="330">
        <v>7.0</v>
      </c>
      <c r="F140" s="330">
        <v>2026.0</v>
      </c>
      <c r="G140" s="329">
        <v>46224.0</v>
      </c>
      <c r="H140" s="330">
        <v>21.0</v>
      </c>
      <c r="I140" s="330">
        <v>7.0</v>
      </c>
      <c r="J140" s="330">
        <v>2026.0</v>
      </c>
      <c r="K140" s="328" t="s">
        <v>43</v>
      </c>
      <c r="L140" s="328" t="s">
        <v>518</v>
      </c>
      <c r="M140" s="328">
        <v>1.0</v>
      </c>
      <c r="N140" s="328">
        <v>1.0</v>
      </c>
      <c r="O140" s="328">
        <v>2.0</v>
      </c>
      <c r="P140" s="329">
        <v>46234.0</v>
      </c>
      <c r="Q140" s="331">
        <v>31.0</v>
      </c>
      <c r="R140" s="331">
        <v>7.0</v>
      </c>
      <c r="S140" s="330">
        <v>2026.0</v>
      </c>
      <c r="T140" s="328" t="s">
        <v>7</v>
      </c>
      <c r="U140" s="328">
        <v>38.02</v>
      </c>
      <c r="V140" s="329">
        <v>46234.0</v>
      </c>
      <c r="W140" s="330">
        <v>31.0</v>
      </c>
      <c r="X140" s="330">
        <v>7.0</v>
      </c>
      <c r="Y140" s="330">
        <v>2026.0</v>
      </c>
      <c r="Z140" s="328" t="s">
        <v>7</v>
      </c>
    </row>
    <row r="141">
      <c r="A141" s="328" t="s">
        <v>864</v>
      </c>
      <c r="B141" s="328" t="s">
        <v>865</v>
      </c>
      <c r="C141" s="329">
        <v>46228.0</v>
      </c>
      <c r="D141" s="330">
        <v>25.0</v>
      </c>
      <c r="E141" s="330">
        <v>7.0</v>
      </c>
      <c r="F141" s="330">
        <v>2026.0</v>
      </c>
      <c r="G141" s="329">
        <v>46230.0</v>
      </c>
      <c r="H141" s="330">
        <v>27.0</v>
      </c>
      <c r="I141" s="330">
        <v>7.0</v>
      </c>
      <c r="J141" s="330">
        <v>2026.0</v>
      </c>
      <c r="K141" s="328" t="s">
        <v>43</v>
      </c>
      <c r="L141" s="328" t="s">
        <v>518</v>
      </c>
      <c r="M141" s="328">
        <v>1.0</v>
      </c>
      <c r="N141" s="328">
        <v>2.0</v>
      </c>
      <c r="O141" s="328">
        <v>4.0</v>
      </c>
      <c r="P141" s="329">
        <v>46234.0</v>
      </c>
      <c r="Q141" s="331">
        <v>31.0</v>
      </c>
      <c r="R141" s="331">
        <v>7.0</v>
      </c>
      <c r="S141" s="330">
        <v>2026.0</v>
      </c>
      <c r="T141" s="328" t="s">
        <v>7</v>
      </c>
      <c r="U141" s="328">
        <v>76.05</v>
      </c>
      <c r="V141" s="329">
        <v>46234.0</v>
      </c>
      <c r="W141" s="330">
        <v>31.0</v>
      </c>
      <c r="X141" s="330">
        <v>7.0</v>
      </c>
      <c r="Y141" s="330">
        <v>2026.0</v>
      </c>
      <c r="Z141" s="328" t="s">
        <v>7</v>
      </c>
    </row>
    <row r="142">
      <c r="A142" s="328" t="s">
        <v>867</v>
      </c>
      <c r="B142" s="328" t="s">
        <v>868</v>
      </c>
      <c r="C142" s="329">
        <v>46212.0</v>
      </c>
      <c r="D142" s="330">
        <v>9.0</v>
      </c>
      <c r="E142" s="330">
        <v>7.0</v>
      </c>
      <c r="F142" s="330">
        <v>2026.0</v>
      </c>
      <c r="G142" s="329">
        <v>46218.0</v>
      </c>
      <c r="H142" s="330">
        <v>15.0</v>
      </c>
      <c r="I142" s="330">
        <v>7.0</v>
      </c>
      <c r="J142" s="330">
        <v>2026.0</v>
      </c>
      <c r="K142" s="328" t="s">
        <v>43</v>
      </c>
      <c r="L142" s="328" t="s">
        <v>518</v>
      </c>
      <c r="M142" s="328">
        <v>1.0</v>
      </c>
      <c r="N142" s="328">
        <v>6.0</v>
      </c>
      <c r="O142" s="328">
        <v>12.0</v>
      </c>
      <c r="P142" s="329">
        <v>46234.0</v>
      </c>
      <c r="Q142" s="331">
        <v>31.0</v>
      </c>
      <c r="R142" s="331">
        <v>7.0</v>
      </c>
      <c r="S142" s="330">
        <v>2026.0</v>
      </c>
      <c r="T142" s="328" t="s">
        <v>7</v>
      </c>
      <c r="U142" s="328">
        <v>253.5</v>
      </c>
      <c r="V142" s="329">
        <v>46234.0</v>
      </c>
      <c r="W142" s="330">
        <v>31.0</v>
      </c>
      <c r="X142" s="330">
        <v>7.0</v>
      </c>
      <c r="Y142" s="330">
        <v>2026.0</v>
      </c>
      <c r="Z142" s="328" t="s">
        <v>7</v>
      </c>
    </row>
    <row r="143">
      <c r="A143" s="328" t="s">
        <v>870</v>
      </c>
      <c r="B143" s="328" t="s">
        <v>871</v>
      </c>
      <c r="C143" s="329">
        <v>46216.0</v>
      </c>
      <c r="D143" s="330">
        <v>13.0</v>
      </c>
      <c r="E143" s="330">
        <v>7.0</v>
      </c>
      <c r="F143" s="330">
        <v>2026.0</v>
      </c>
      <c r="G143" s="329">
        <v>46222.0</v>
      </c>
      <c r="H143" s="330">
        <v>19.0</v>
      </c>
      <c r="I143" s="330">
        <v>7.0</v>
      </c>
      <c r="J143" s="330">
        <v>2026.0</v>
      </c>
      <c r="K143" s="328" t="s">
        <v>43</v>
      </c>
      <c r="L143" s="328" t="s">
        <v>518</v>
      </c>
      <c r="M143" s="328">
        <v>1.0</v>
      </c>
      <c r="N143" s="328">
        <v>6.0</v>
      </c>
      <c r="O143" s="328">
        <v>12.0</v>
      </c>
      <c r="P143" s="329">
        <v>46234.0</v>
      </c>
      <c r="Q143" s="331">
        <v>31.0</v>
      </c>
      <c r="R143" s="331">
        <v>7.0</v>
      </c>
      <c r="S143" s="330">
        <v>2026.0</v>
      </c>
      <c r="T143" s="328" t="s">
        <v>7</v>
      </c>
      <c r="U143" s="328">
        <v>397.25</v>
      </c>
      <c r="V143" s="329">
        <v>46234.0</v>
      </c>
      <c r="W143" s="330">
        <v>31.0</v>
      </c>
      <c r="X143" s="330">
        <v>7.0</v>
      </c>
      <c r="Y143" s="330">
        <v>2026.0</v>
      </c>
      <c r="Z143" s="328" t="s">
        <v>7</v>
      </c>
    </row>
    <row r="144">
      <c r="A144" s="328" t="s">
        <v>860</v>
      </c>
      <c r="B144" s="328" t="s">
        <v>873</v>
      </c>
      <c r="C144" s="329">
        <v>46219.0</v>
      </c>
      <c r="D144" s="330">
        <v>16.0</v>
      </c>
      <c r="E144" s="330">
        <v>7.0</v>
      </c>
      <c r="F144" s="330">
        <v>2026.0</v>
      </c>
      <c r="G144" s="329">
        <v>46220.0</v>
      </c>
      <c r="H144" s="330">
        <v>17.0</v>
      </c>
      <c r="I144" s="330">
        <v>7.0</v>
      </c>
      <c r="J144" s="330">
        <v>2026.0</v>
      </c>
      <c r="K144" s="328" t="s">
        <v>43</v>
      </c>
      <c r="L144" s="328" t="s">
        <v>518</v>
      </c>
      <c r="M144" s="328">
        <v>1.0</v>
      </c>
      <c r="N144" s="328">
        <v>1.0</v>
      </c>
      <c r="O144" s="328">
        <v>2.0</v>
      </c>
      <c r="P144" s="329">
        <v>46234.0</v>
      </c>
      <c r="Q144" s="331">
        <v>31.0</v>
      </c>
      <c r="R144" s="331">
        <v>7.0</v>
      </c>
      <c r="S144" s="330">
        <v>2026.0</v>
      </c>
      <c r="T144" s="328" t="s">
        <v>7</v>
      </c>
      <c r="U144" s="328">
        <v>46.47</v>
      </c>
      <c r="V144" s="329">
        <v>46234.0</v>
      </c>
      <c r="W144" s="330">
        <v>31.0</v>
      </c>
      <c r="X144" s="330">
        <v>7.0</v>
      </c>
      <c r="Y144" s="330">
        <v>2026.0</v>
      </c>
      <c r="Z144" s="328" t="s">
        <v>7</v>
      </c>
    </row>
    <row r="145">
      <c r="A145" s="328" t="s">
        <v>874</v>
      </c>
      <c r="B145" s="328" t="s">
        <v>875</v>
      </c>
      <c r="C145" s="329">
        <v>46219.0</v>
      </c>
      <c r="D145" s="330">
        <v>16.0</v>
      </c>
      <c r="E145" s="330">
        <v>7.0</v>
      </c>
      <c r="F145" s="330">
        <v>2026.0</v>
      </c>
      <c r="G145" s="329">
        <v>46223.0</v>
      </c>
      <c r="H145" s="330">
        <v>20.0</v>
      </c>
      <c r="I145" s="330">
        <v>7.0</v>
      </c>
      <c r="J145" s="330">
        <v>2026.0</v>
      </c>
      <c r="K145" s="328" t="s">
        <v>43</v>
      </c>
      <c r="L145" s="328" t="s">
        <v>518</v>
      </c>
      <c r="M145" s="328">
        <v>1.0</v>
      </c>
      <c r="N145" s="328">
        <v>4.0</v>
      </c>
      <c r="O145" s="328">
        <v>8.0</v>
      </c>
      <c r="P145" s="329">
        <v>46234.0</v>
      </c>
      <c r="Q145" s="331">
        <v>31.0</v>
      </c>
      <c r="R145" s="331">
        <v>7.0</v>
      </c>
      <c r="S145" s="330">
        <v>2026.0</v>
      </c>
      <c r="T145" s="328" t="s">
        <v>7</v>
      </c>
      <c r="U145" s="328">
        <v>177.45</v>
      </c>
      <c r="V145" s="329">
        <v>46234.0</v>
      </c>
      <c r="W145" s="330">
        <v>31.0</v>
      </c>
      <c r="X145" s="330">
        <v>7.0</v>
      </c>
      <c r="Y145" s="330">
        <v>2026.0</v>
      </c>
      <c r="Z145" s="328" t="s">
        <v>7</v>
      </c>
    </row>
    <row r="146">
      <c r="A146" s="328" t="s">
        <v>876</v>
      </c>
      <c r="B146" s="328" t="s">
        <v>877</v>
      </c>
      <c r="C146" s="329">
        <v>46206.0</v>
      </c>
      <c r="D146" s="330">
        <v>3.0</v>
      </c>
      <c r="E146" s="330">
        <v>7.0</v>
      </c>
      <c r="F146" s="330">
        <v>2026.0</v>
      </c>
      <c r="G146" s="329">
        <v>46208.0</v>
      </c>
      <c r="H146" s="330">
        <v>5.0</v>
      </c>
      <c r="I146" s="330">
        <v>7.0</v>
      </c>
      <c r="J146" s="330">
        <v>2026.0</v>
      </c>
      <c r="K146" s="328" t="s">
        <v>43</v>
      </c>
      <c r="L146" s="328" t="s">
        <v>518</v>
      </c>
      <c r="M146" s="328">
        <v>1.0</v>
      </c>
      <c r="N146" s="328">
        <v>2.0</v>
      </c>
      <c r="O146" s="328">
        <v>4.0</v>
      </c>
      <c r="P146" s="329">
        <v>46234.0</v>
      </c>
      <c r="Q146" s="331">
        <v>31.0</v>
      </c>
      <c r="R146" s="331">
        <v>7.0</v>
      </c>
      <c r="S146" s="330">
        <v>2026.0</v>
      </c>
      <c r="T146" s="328" t="s">
        <v>7</v>
      </c>
      <c r="U146" s="328">
        <v>59.15</v>
      </c>
      <c r="V146" s="329">
        <v>46234.0</v>
      </c>
      <c r="W146" s="330">
        <v>31.0</v>
      </c>
      <c r="X146" s="330">
        <v>7.0</v>
      </c>
      <c r="Y146" s="330">
        <v>2026.0</v>
      </c>
      <c r="Z146" s="328" t="s">
        <v>7</v>
      </c>
    </row>
    <row r="147">
      <c r="A147" s="328" t="s">
        <v>878</v>
      </c>
      <c r="B147" s="328" t="s">
        <v>879</v>
      </c>
      <c r="C147" s="329">
        <v>46206.0</v>
      </c>
      <c r="D147" s="330">
        <v>3.0</v>
      </c>
      <c r="E147" s="330">
        <v>7.0</v>
      </c>
      <c r="F147" s="330">
        <v>2026.0</v>
      </c>
      <c r="G147" s="329">
        <v>46207.0</v>
      </c>
      <c r="H147" s="330">
        <v>4.0</v>
      </c>
      <c r="I147" s="330">
        <v>7.0</v>
      </c>
      <c r="J147" s="330">
        <v>2026.0</v>
      </c>
      <c r="K147" s="328" t="s">
        <v>43</v>
      </c>
      <c r="L147" s="328" t="s">
        <v>518</v>
      </c>
      <c r="M147" s="328">
        <v>1.0</v>
      </c>
      <c r="N147" s="328">
        <v>1.0</v>
      </c>
      <c r="O147" s="328">
        <v>2.0</v>
      </c>
      <c r="P147" s="329">
        <v>46234.0</v>
      </c>
      <c r="Q147" s="331">
        <v>31.0</v>
      </c>
      <c r="R147" s="331">
        <v>7.0</v>
      </c>
      <c r="S147" s="330">
        <v>2026.0</v>
      </c>
      <c r="T147" s="328" t="s">
        <v>7</v>
      </c>
      <c r="U147" s="328">
        <v>49.77</v>
      </c>
      <c r="V147" s="329">
        <v>46234.0</v>
      </c>
      <c r="W147" s="330">
        <v>31.0</v>
      </c>
      <c r="X147" s="330">
        <v>7.0</v>
      </c>
      <c r="Y147" s="330">
        <v>2026.0</v>
      </c>
      <c r="Z147" s="328" t="s">
        <v>7</v>
      </c>
    </row>
    <row r="148">
      <c r="A148" s="328" t="s">
        <v>880</v>
      </c>
      <c r="B148" s="328" t="s">
        <v>881</v>
      </c>
      <c r="C148" s="329">
        <v>46218.0</v>
      </c>
      <c r="D148" s="330">
        <v>15.0</v>
      </c>
      <c r="E148" s="330">
        <v>7.0</v>
      </c>
      <c r="F148" s="330">
        <v>2026.0</v>
      </c>
      <c r="G148" s="329">
        <v>46219.0</v>
      </c>
      <c r="H148" s="330">
        <v>16.0</v>
      </c>
      <c r="I148" s="330">
        <v>7.0</v>
      </c>
      <c r="J148" s="330">
        <v>2026.0</v>
      </c>
      <c r="K148" s="328" t="s">
        <v>43</v>
      </c>
      <c r="L148" s="328" t="s">
        <v>518</v>
      </c>
      <c r="M148" s="328">
        <v>1.0</v>
      </c>
      <c r="N148" s="328">
        <v>1.0</v>
      </c>
      <c r="O148" s="328">
        <v>2.0</v>
      </c>
      <c r="P148" s="329">
        <v>46234.0</v>
      </c>
      <c r="Q148" s="331">
        <v>31.0</v>
      </c>
      <c r="R148" s="331">
        <v>7.0</v>
      </c>
      <c r="S148" s="330">
        <v>2026.0</v>
      </c>
      <c r="T148" s="328" t="s">
        <v>7</v>
      </c>
      <c r="U148" s="328">
        <v>29.57</v>
      </c>
      <c r="V148" s="329">
        <v>46234.0</v>
      </c>
      <c r="W148" s="330">
        <v>31.0</v>
      </c>
      <c r="X148" s="330">
        <v>7.0</v>
      </c>
      <c r="Y148" s="330">
        <v>2026.0</v>
      </c>
      <c r="Z148" s="328" t="s">
        <v>7</v>
      </c>
    </row>
    <row r="149">
      <c r="A149" s="328" t="s">
        <v>884</v>
      </c>
      <c r="B149" s="328" t="s">
        <v>885</v>
      </c>
      <c r="C149" s="329">
        <v>46212.0</v>
      </c>
      <c r="D149" s="330">
        <v>9.0</v>
      </c>
      <c r="E149" s="330">
        <v>7.0</v>
      </c>
      <c r="F149" s="330">
        <v>2026.0</v>
      </c>
      <c r="G149" s="329">
        <v>46213.0</v>
      </c>
      <c r="H149" s="330">
        <v>10.0</v>
      </c>
      <c r="I149" s="330">
        <v>7.0</v>
      </c>
      <c r="J149" s="330">
        <v>2026.0</v>
      </c>
      <c r="K149" s="328" t="s">
        <v>43</v>
      </c>
      <c r="L149" s="328" t="s">
        <v>518</v>
      </c>
      <c r="M149" s="328">
        <v>1.0</v>
      </c>
      <c r="N149" s="328">
        <v>1.0</v>
      </c>
      <c r="O149" s="328">
        <v>2.0</v>
      </c>
      <c r="P149" s="329">
        <v>46234.0</v>
      </c>
      <c r="Q149" s="331">
        <v>31.0</v>
      </c>
      <c r="R149" s="331">
        <v>7.0</v>
      </c>
      <c r="S149" s="330">
        <v>2026.0</v>
      </c>
      <c r="T149" s="328" t="s">
        <v>7</v>
      </c>
      <c r="U149" s="328">
        <v>27.04</v>
      </c>
      <c r="V149" s="329">
        <v>46234.0</v>
      </c>
      <c r="W149" s="330">
        <v>31.0</v>
      </c>
      <c r="X149" s="330">
        <v>7.0</v>
      </c>
      <c r="Y149" s="330">
        <v>2026.0</v>
      </c>
      <c r="Z149" s="328" t="s">
        <v>7</v>
      </c>
    </row>
    <row r="150">
      <c r="A150" s="328" t="s">
        <v>886</v>
      </c>
      <c r="B150" s="328" t="s">
        <v>887</v>
      </c>
      <c r="C150" s="329">
        <v>46219.0</v>
      </c>
      <c r="D150" s="330">
        <v>16.0</v>
      </c>
      <c r="E150" s="330">
        <v>7.0</v>
      </c>
      <c r="F150" s="330">
        <v>2026.0</v>
      </c>
      <c r="G150" s="329">
        <v>46221.0</v>
      </c>
      <c r="H150" s="330">
        <v>18.0</v>
      </c>
      <c r="I150" s="330">
        <v>7.0</v>
      </c>
      <c r="J150" s="330">
        <v>2026.0</v>
      </c>
      <c r="K150" s="328" t="s">
        <v>43</v>
      </c>
      <c r="L150" s="328" t="s">
        <v>518</v>
      </c>
      <c r="M150" s="328">
        <v>1.0</v>
      </c>
      <c r="N150" s="328">
        <v>2.0</v>
      </c>
      <c r="O150" s="328">
        <v>4.0</v>
      </c>
      <c r="P150" s="329">
        <v>46234.0</v>
      </c>
      <c r="Q150" s="331">
        <v>31.0</v>
      </c>
      <c r="R150" s="331">
        <v>7.0</v>
      </c>
      <c r="S150" s="330">
        <v>2026.0</v>
      </c>
      <c r="T150" s="328" t="s">
        <v>7</v>
      </c>
      <c r="U150" s="328">
        <v>92.95</v>
      </c>
      <c r="V150" s="329">
        <v>46234.0</v>
      </c>
      <c r="W150" s="330">
        <v>31.0</v>
      </c>
      <c r="X150" s="330">
        <v>7.0</v>
      </c>
      <c r="Y150" s="330">
        <v>2026.0</v>
      </c>
      <c r="Z150" s="328" t="s">
        <v>7</v>
      </c>
    </row>
    <row r="151">
      <c r="A151" s="328" t="s">
        <v>888</v>
      </c>
      <c r="B151" s="328" t="s">
        <v>889</v>
      </c>
      <c r="C151" s="329">
        <v>46229.0</v>
      </c>
      <c r="D151" s="330">
        <v>26.0</v>
      </c>
      <c r="E151" s="330">
        <v>7.0</v>
      </c>
      <c r="F151" s="330">
        <v>2026.0</v>
      </c>
      <c r="G151" s="329">
        <v>46233.0</v>
      </c>
      <c r="H151" s="330">
        <v>30.0</v>
      </c>
      <c r="I151" s="330">
        <v>7.0</v>
      </c>
      <c r="J151" s="330">
        <v>2026.0</v>
      </c>
      <c r="K151" s="328" t="s">
        <v>43</v>
      </c>
      <c r="L151" s="328" t="s">
        <v>518</v>
      </c>
      <c r="M151" s="328">
        <v>1.0</v>
      </c>
      <c r="N151" s="328">
        <v>4.0</v>
      </c>
      <c r="O151" s="328">
        <v>8.0</v>
      </c>
      <c r="P151" s="329">
        <v>46234.0</v>
      </c>
      <c r="Q151" s="331">
        <v>31.0</v>
      </c>
      <c r="R151" s="331">
        <v>7.0</v>
      </c>
      <c r="S151" s="330">
        <v>2026.0</v>
      </c>
      <c r="T151" s="328" t="s">
        <v>7</v>
      </c>
      <c r="U151" s="328">
        <v>152.1</v>
      </c>
      <c r="V151" s="329">
        <v>46234.0</v>
      </c>
      <c r="W151" s="330">
        <v>31.0</v>
      </c>
      <c r="X151" s="330">
        <v>7.0</v>
      </c>
      <c r="Y151" s="330">
        <v>2026.0</v>
      </c>
      <c r="Z151" s="328" t="s">
        <v>7</v>
      </c>
    </row>
    <row r="152">
      <c r="A152" s="328" t="s">
        <v>890</v>
      </c>
      <c r="B152" s="328" t="s">
        <v>891</v>
      </c>
      <c r="C152" s="329">
        <v>46221.0</v>
      </c>
      <c r="D152" s="330">
        <v>18.0</v>
      </c>
      <c r="E152" s="330">
        <v>7.0</v>
      </c>
      <c r="F152" s="330">
        <v>2026.0</v>
      </c>
      <c r="G152" s="329">
        <v>46222.0</v>
      </c>
      <c r="H152" s="330">
        <v>19.0</v>
      </c>
      <c r="I152" s="330">
        <v>7.0</v>
      </c>
      <c r="J152" s="330">
        <v>2026.0</v>
      </c>
      <c r="K152" s="328" t="s">
        <v>43</v>
      </c>
      <c r="L152" s="328" t="s">
        <v>518</v>
      </c>
      <c r="M152" s="328">
        <v>1.0</v>
      </c>
      <c r="N152" s="328">
        <v>1.0</v>
      </c>
      <c r="O152" s="328">
        <v>2.0</v>
      </c>
      <c r="P152" s="329">
        <v>46234.0</v>
      </c>
      <c r="Q152" s="331">
        <v>31.0</v>
      </c>
      <c r="R152" s="331">
        <v>7.0</v>
      </c>
      <c r="S152" s="330">
        <v>2026.0</v>
      </c>
      <c r="T152" s="328" t="s">
        <v>7</v>
      </c>
      <c r="U152" s="328">
        <v>46.47</v>
      </c>
      <c r="V152" s="329">
        <v>46234.0</v>
      </c>
      <c r="W152" s="330">
        <v>31.0</v>
      </c>
      <c r="X152" s="330">
        <v>7.0</v>
      </c>
      <c r="Y152" s="330">
        <v>2026.0</v>
      </c>
      <c r="Z152" s="328" t="s">
        <v>7</v>
      </c>
    </row>
    <row r="153">
      <c r="A153" s="328" t="s">
        <v>892</v>
      </c>
      <c r="B153" s="328" t="s">
        <v>893</v>
      </c>
      <c r="C153" s="329">
        <v>46204.0</v>
      </c>
      <c r="D153" s="330">
        <v>1.0</v>
      </c>
      <c r="E153" s="330">
        <v>7.0</v>
      </c>
      <c r="F153" s="330">
        <v>2026.0</v>
      </c>
      <c r="G153" s="329">
        <v>46206.0</v>
      </c>
      <c r="H153" s="330">
        <v>3.0</v>
      </c>
      <c r="I153" s="330">
        <v>7.0</v>
      </c>
      <c r="J153" s="330">
        <v>2026.0</v>
      </c>
      <c r="K153" s="328" t="s">
        <v>43</v>
      </c>
      <c r="L153" s="328" t="s">
        <v>518</v>
      </c>
      <c r="M153" s="328">
        <v>1.0</v>
      </c>
      <c r="N153" s="328">
        <v>2.0</v>
      </c>
      <c r="O153" s="328">
        <v>4.0</v>
      </c>
      <c r="P153" s="329">
        <v>46234.0</v>
      </c>
      <c r="Q153" s="331">
        <v>31.0</v>
      </c>
      <c r="R153" s="331">
        <v>7.0</v>
      </c>
      <c r="S153" s="330">
        <v>2026.0</v>
      </c>
      <c r="T153" s="328" t="s">
        <v>7</v>
      </c>
      <c r="U153" s="328">
        <v>59.15</v>
      </c>
      <c r="V153" s="329">
        <v>46234.0</v>
      </c>
      <c r="W153" s="330">
        <v>31.0</v>
      </c>
      <c r="X153" s="330">
        <v>7.0</v>
      </c>
      <c r="Y153" s="330">
        <v>2026.0</v>
      </c>
      <c r="Z153" s="328" t="s">
        <v>7</v>
      </c>
    </row>
    <row r="154">
      <c r="A154" s="293" t="s">
        <v>894</v>
      </c>
      <c r="B154" s="299">
        <v>5.901186938E9</v>
      </c>
      <c r="C154" s="295">
        <v>46150.0</v>
      </c>
      <c r="D154" s="296">
        <v>8.0</v>
      </c>
      <c r="E154" s="296">
        <v>5.0</v>
      </c>
      <c r="F154" s="296">
        <v>2026.0</v>
      </c>
      <c r="G154" s="295">
        <v>46154.0</v>
      </c>
      <c r="H154" s="269">
        <v>12.0</v>
      </c>
      <c r="I154" s="296">
        <v>5.0</v>
      </c>
      <c r="J154" s="269">
        <v>2026.0</v>
      </c>
      <c r="K154" s="235" t="s">
        <v>28</v>
      </c>
      <c r="L154" s="235" t="s">
        <v>895</v>
      </c>
      <c r="M154" s="296">
        <v>1.0</v>
      </c>
      <c r="N154" s="269">
        <v>4.0</v>
      </c>
      <c r="O154" s="296">
        <v>0.0</v>
      </c>
      <c r="P154" s="315">
        <v>46174.0</v>
      </c>
      <c r="Q154" s="213">
        <v>1.0</v>
      </c>
      <c r="R154" s="213">
        <v>6.0</v>
      </c>
      <c r="S154" s="296">
        <v>2026.0</v>
      </c>
      <c r="T154" s="235" t="s">
        <v>28</v>
      </c>
      <c r="U154" s="296">
        <v>0.0</v>
      </c>
      <c r="V154" s="315">
        <v>46174.0</v>
      </c>
      <c r="W154" s="296">
        <v>1.0</v>
      </c>
      <c r="X154" s="296">
        <v>6.0</v>
      </c>
      <c r="Y154" s="296">
        <v>2026.0</v>
      </c>
      <c r="Z154" s="235" t="s">
        <v>28</v>
      </c>
    </row>
    <row r="155">
      <c r="A155" s="293" t="s">
        <v>896</v>
      </c>
      <c r="B155" s="299">
        <v>6.358390137E9</v>
      </c>
      <c r="C155" s="295">
        <v>46158.0</v>
      </c>
      <c r="D155" s="296">
        <v>16.0</v>
      </c>
      <c r="E155" s="296">
        <v>5.0</v>
      </c>
      <c r="F155" s="296">
        <v>2026.0</v>
      </c>
      <c r="G155" s="295">
        <v>46160.0</v>
      </c>
      <c r="H155" s="269">
        <v>18.0</v>
      </c>
      <c r="I155" s="296">
        <v>5.0</v>
      </c>
      <c r="J155" s="269">
        <v>2026.0</v>
      </c>
      <c r="K155" s="235" t="s">
        <v>28</v>
      </c>
      <c r="L155" s="235" t="s">
        <v>895</v>
      </c>
      <c r="M155" s="296">
        <v>1.0</v>
      </c>
      <c r="N155" s="269">
        <v>2.0</v>
      </c>
      <c r="O155" s="296">
        <v>0.0</v>
      </c>
      <c r="P155" s="315">
        <v>46174.0</v>
      </c>
      <c r="Q155" s="213">
        <v>1.0</v>
      </c>
      <c r="R155" s="213">
        <v>6.0</v>
      </c>
      <c r="S155" s="296">
        <v>2026.0</v>
      </c>
      <c r="T155" s="235" t="s">
        <v>28</v>
      </c>
      <c r="U155" s="296">
        <v>0.0</v>
      </c>
      <c r="V155" s="315">
        <v>46174.0</v>
      </c>
      <c r="W155" s="296">
        <v>1.0</v>
      </c>
      <c r="X155" s="296">
        <v>6.0</v>
      </c>
      <c r="Y155" s="296">
        <v>2026.0</v>
      </c>
      <c r="Z155" s="235" t="s">
        <v>28</v>
      </c>
    </row>
    <row r="156">
      <c r="A156" s="293" t="s">
        <v>897</v>
      </c>
      <c r="B156" s="295">
        <v>6.67940313E9</v>
      </c>
      <c r="C156" s="295">
        <v>46154.0</v>
      </c>
      <c r="D156" s="296">
        <v>12.0</v>
      </c>
      <c r="E156" s="296">
        <v>5.0</v>
      </c>
      <c r="F156" s="296">
        <v>2026.0</v>
      </c>
      <c r="G156" s="295">
        <v>46158.0</v>
      </c>
      <c r="H156" s="296">
        <v>16.0</v>
      </c>
      <c r="I156" s="269">
        <v>5.0</v>
      </c>
      <c r="J156" s="296">
        <v>2026.0</v>
      </c>
      <c r="K156" s="235" t="s">
        <v>28</v>
      </c>
      <c r="L156" s="235" t="s">
        <v>518</v>
      </c>
      <c r="M156" s="296">
        <v>1.0</v>
      </c>
      <c r="N156" s="296">
        <v>4.0</v>
      </c>
      <c r="O156" s="296">
        <v>8.0</v>
      </c>
      <c r="P156" s="315">
        <v>46174.0</v>
      </c>
      <c r="Q156" s="213">
        <v>1.0</v>
      </c>
      <c r="R156" s="213">
        <v>6.0</v>
      </c>
      <c r="S156" s="296">
        <v>2026.0</v>
      </c>
      <c r="T156" s="235" t="s">
        <v>28</v>
      </c>
      <c r="U156" s="296">
        <v>150.37</v>
      </c>
      <c r="V156" s="315">
        <v>46174.0</v>
      </c>
      <c r="W156" s="296">
        <v>1.0</v>
      </c>
      <c r="X156" s="296">
        <v>6.0</v>
      </c>
      <c r="Y156" s="296">
        <v>2026.0</v>
      </c>
      <c r="Z156" s="235" t="s">
        <v>28</v>
      </c>
    </row>
    <row r="157">
      <c r="A157" s="293" t="s">
        <v>898</v>
      </c>
      <c r="B157" s="299">
        <v>6.797011469E9</v>
      </c>
      <c r="C157" s="295">
        <v>46161.0</v>
      </c>
      <c r="D157" s="296">
        <v>19.0</v>
      </c>
      <c r="E157" s="296">
        <v>5.0</v>
      </c>
      <c r="F157" s="296">
        <v>2026.0</v>
      </c>
      <c r="G157" s="295">
        <v>46162.0</v>
      </c>
      <c r="H157" s="269">
        <v>20.0</v>
      </c>
      <c r="I157" s="296">
        <v>5.0</v>
      </c>
      <c r="J157" s="269">
        <v>2026.0</v>
      </c>
      <c r="K157" s="235" t="s">
        <v>28</v>
      </c>
      <c r="L157" s="235" t="s">
        <v>895</v>
      </c>
      <c r="M157" s="296">
        <v>1.0</v>
      </c>
      <c r="N157" s="269">
        <v>1.0</v>
      </c>
      <c r="O157" s="296">
        <v>0.0</v>
      </c>
      <c r="P157" s="315">
        <v>46174.0</v>
      </c>
      <c r="Q157" s="213">
        <v>1.0</v>
      </c>
      <c r="R157" s="213">
        <v>6.0</v>
      </c>
      <c r="S157" s="296">
        <v>2026.0</v>
      </c>
      <c r="T157" s="235" t="s">
        <v>28</v>
      </c>
      <c r="U157" s="296">
        <v>0.0</v>
      </c>
      <c r="V157" s="315">
        <v>46174.0</v>
      </c>
      <c r="W157" s="296">
        <v>1.0</v>
      </c>
      <c r="X157" s="296">
        <v>6.0</v>
      </c>
      <c r="Y157" s="296">
        <v>2026.0</v>
      </c>
      <c r="Z157" s="235" t="s">
        <v>28</v>
      </c>
    </row>
    <row r="158">
      <c r="A158" s="293" t="s">
        <v>899</v>
      </c>
      <c r="B158" s="295">
        <v>6.91537586E9</v>
      </c>
      <c r="C158" s="295">
        <v>46168.0</v>
      </c>
      <c r="D158" s="296">
        <v>26.0</v>
      </c>
      <c r="E158" s="296">
        <v>5.0</v>
      </c>
      <c r="F158" s="296">
        <v>2026.0</v>
      </c>
      <c r="G158" s="295">
        <v>46170.0</v>
      </c>
      <c r="H158" s="296">
        <v>28.0</v>
      </c>
      <c r="I158" s="269">
        <v>5.0</v>
      </c>
      <c r="J158" s="296">
        <v>2026.0</v>
      </c>
      <c r="K158" s="235" t="s">
        <v>28</v>
      </c>
      <c r="L158" s="235" t="s">
        <v>518</v>
      </c>
      <c r="M158" s="296">
        <v>1.0</v>
      </c>
      <c r="N158" s="296">
        <v>2.0</v>
      </c>
      <c r="O158" s="296">
        <v>4.0</v>
      </c>
      <c r="P158" s="315">
        <v>46174.0</v>
      </c>
      <c r="Q158" s="213">
        <v>1.0</v>
      </c>
      <c r="R158" s="213">
        <v>6.0</v>
      </c>
      <c r="S158" s="296">
        <v>2026.0</v>
      </c>
      <c r="T158" s="235" t="s">
        <v>28</v>
      </c>
      <c r="U158" s="296">
        <v>66.82</v>
      </c>
      <c r="V158" s="315">
        <v>46174.0</v>
      </c>
      <c r="W158" s="296">
        <v>1.0</v>
      </c>
      <c r="X158" s="296">
        <v>6.0</v>
      </c>
      <c r="Y158" s="296">
        <v>2026.0</v>
      </c>
      <c r="Z158" s="235" t="s">
        <v>28</v>
      </c>
    </row>
    <row r="159">
      <c r="A159" s="293" t="s">
        <v>900</v>
      </c>
      <c r="B159" s="295">
        <v>5.602847365E9</v>
      </c>
      <c r="C159" s="295">
        <v>46144.0</v>
      </c>
      <c r="D159" s="296">
        <v>2.0</v>
      </c>
      <c r="E159" s="296">
        <v>5.0</v>
      </c>
      <c r="F159" s="296">
        <v>2026.0</v>
      </c>
      <c r="G159" s="295">
        <v>46145.0</v>
      </c>
      <c r="H159" s="296">
        <v>3.0</v>
      </c>
      <c r="I159" s="269">
        <v>5.0</v>
      </c>
      <c r="J159" s="296">
        <v>2026.0</v>
      </c>
      <c r="K159" s="235" t="s">
        <v>28</v>
      </c>
      <c r="L159" s="235" t="s">
        <v>518</v>
      </c>
      <c r="M159" s="296">
        <v>1.0</v>
      </c>
      <c r="N159" s="296">
        <v>1.0</v>
      </c>
      <c r="O159" s="296">
        <v>2.0</v>
      </c>
      <c r="P159" s="315">
        <v>46174.0</v>
      </c>
      <c r="Q159" s="213">
        <v>1.0</v>
      </c>
      <c r="R159" s="213">
        <v>6.0</v>
      </c>
      <c r="S159" s="296">
        <v>2026.0</v>
      </c>
      <c r="T159" s="235" t="s">
        <v>28</v>
      </c>
      <c r="U159" s="296">
        <v>37.59</v>
      </c>
      <c r="V159" s="315">
        <v>46174.0</v>
      </c>
      <c r="W159" s="296">
        <v>1.0</v>
      </c>
      <c r="X159" s="296">
        <v>6.0</v>
      </c>
      <c r="Y159" s="296">
        <v>2026.0</v>
      </c>
      <c r="Z159" s="235" t="s">
        <v>28</v>
      </c>
    </row>
    <row r="160">
      <c r="A160" s="293" t="s">
        <v>902</v>
      </c>
      <c r="B160" s="299">
        <v>5.186549893E9</v>
      </c>
      <c r="C160" s="295">
        <v>46157.0</v>
      </c>
      <c r="D160" s="296">
        <v>15.0</v>
      </c>
      <c r="E160" s="296">
        <v>5.0</v>
      </c>
      <c r="F160" s="296">
        <v>2026.0</v>
      </c>
      <c r="G160" s="295">
        <v>46158.0</v>
      </c>
      <c r="H160" s="269">
        <v>16.0</v>
      </c>
      <c r="I160" s="296">
        <v>5.0</v>
      </c>
      <c r="J160" s="269">
        <v>2026.0</v>
      </c>
      <c r="K160" s="235" t="s">
        <v>28</v>
      </c>
      <c r="L160" s="235" t="s">
        <v>895</v>
      </c>
      <c r="M160" s="296">
        <v>1.0</v>
      </c>
      <c r="N160" s="269">
        <v>1.0</v>
      </c>
      <c r="O160" s="296">
        <v>0.0</v>
      </c>
      <c r="P160" s="315">
        <v>46174.0</v>
      </c>
      <c r="Q160" s="213">
        <v>1.0</v>
      </c>
      <c r="R160" s="213">
        <v>6.0</v>
      </c>
      <c r="S160" s="296">
        <v>2026.0</v>
      </c>
      <c r="T160" s="235" t="s">
        <v>28</v>
      </c>
      <c r="U160" s="296">
        <v>0.0</v>
      </c>
      <c r="V160" s="315">
        <v>46174.0</v>
      </c>
      <c r="W160" s="296">
        <v>1.0</v>
      </c>
      <c r="X160" s="296">
        <v>6.0</v>
      </c>
      <c r="Y160" s="296">
        <v>2026.0</v>
      </c>
      <c r="Z160" s="235" t="s">
        <v>28</v>
      </c>
    </row>
    <row r="161">
      <c r="A161" s="293" t="s">
        <v>903</v>
      </c>
      <c r="B161" s="295">
        <v>6.243318572E9</v>
      </c>
      <c r="C161" s="295">
        <v>46170.0</v>
      </c>
      <c r="D161" s="296">
        <v>28.0</v>
      </c>
      <c r="E161" s="296">
        <v>5.0</v>
      </c>
      <c r="F161" s="296">
        <v>2026.0</v>
      </c>
      <c r="G161" s="295">
        <v>46171.0</v>
      </c>
      <c r="H161" s="296">
        <v>29.0</v>
      </c>
      <c r="I161" s="269">
        <v>5.0</v>
      </c>
      <c r="J161" s="296">
        <v>2026.0</v>
      </c>
      <c r="K161" s="235" t="s">
        <v>28</v>
      </c>
      <c r="L161" s="235" t="s">
        <v>518</v>
      </c>
      <c r="M161" s="296">
        <v>1.0</v>
      </c>
      <c r="N161" s="296">
        <v>1.0</v>
      </c>
      <c r="O161" s="296">
        <v>2.0</v>
      </c>
      <c r="P161" s="315">
        <v>46174.0</v>
      </c>
      <c r="Q161" s="213">
        <v>1.0</v>
      </c>
      <c r="R161" s="213">
        <v>6.0</v>
      </c>
      <c r="S161" s="296">
        <v>2026.0</v>
      </c>
      <c r="T161" s="235" t="s">
        <v>28</v>
      </c>
      <c r="U161" s="296">
        <v>37.59</v>
      </c>
      <c r="V161" s="315">
        <v>46174.0</v>
      </c>
      <c r="W161" s="296">
        <v>1.0</v>
      </c>
      <c r="X161" s="296">
        <v>6.0</v>
      </c>
      <c r="Y161" s="296">
        <v>2026.0</v>
      </c>
      <c r="Z161" s="235" t="s">
        <v>28</v>
      </c>
    </row>
    <row r="162">
      <c r="A162" s="293" t="s">
        <v>904</v>
      </c>
      <c r="B162" s="295">
        <v>5.512006043E9</v>
      </c>
      <c r="C162" s="295">
        <v>46145.0</v>
      </c>
      <c r="D162" s="296">
        <v>3.0</v>
      </c>
      <c r="E162" s="296">
        <v>5.0</v>
      </c>
      <c r="F162" s="296">
        <v>2026.0</v>
      </c>
      <c r="G162" s="295">
        <v>46147.0</v>
      </c>
      <c r="H162" s="296">
        <v>5.0</v>
      </c>
      <c r="I162" s="269">
        <v>5.0</v>
      </c>
      <c r="J162" s="296">
        <v>2026.0</v>
      </c>
      <c r="K162" s="235" t="s">
        <v>28</v>
      </c>
      <c r="L162" s="235" t="s">
        <v>518</v>
      </c>
      <c r="M162" s="296">
        <v>1.0</v>
      </c>
      <c r="N162" s="296">
        <v>2.0</v>
      </c>
      <c r="O162" s="296">
        <v>4.0</v>
      </c>
      <c r="P162" s="315">
        <v>46174.0</v>
      </c>
      <c r="Q162" s="213">
        <v>1.0</v>
      </c>
      <c r="R162" s="213">
        <v>6.0</v>
      </c>
      <c r="S162" s="296">
        <v>2026.0</v>
      </c>
      <c r="T162" s="235" t="s">
        <v>28</v>
      </c>
      <c r="U162" s="296">
        <v>75.18</v>
      </c>
      <c r="V162" s="315">
        <v>46174.0</v>
      </c>
      <c r="W162" s="296">
        <v>1.0</v>
      </c>
      <c r="X162" s="296">
        <v>6.0</v>
      </c>
      <c r="Y162" s="296">
        <v>2026.0</v>
      </c>
      <c r="Z162" s="235" t="s">
        <v>28</v>
      </c>
    </row>
    <row r="163">
      <c r="A163" s="293" t="s">
        <v>905</v>
      </c>
      <c r="B163" s="295">
        <v>5.197367051E9</v>
      </c>
      <c r="C163" s="295">
        <v>46171.0</v>
      </c>
      <c r="D163" s="296">
        <v>29.0</v>
      </c>
      <c r="E163" s="296">
        <v>5.0</v>
      </c>
      <c r="F163" s="296">
        <v>2026.0</v>
      </c>
      <c r="G163" s="295">
        <v>46172.0</v>
      </c>
      <c r="H163" s="296">
        <v>30.0</v>
      </c>
      <c r="I163" s="269">
        <v>5.0</v>
      </c>
      <c r="J163" s="296">
        <v>2026.0</v>
      </c>
      <c r="K163" s="235" t="s">
        <v>28</v>
      </c>
      <c r="L163" s="235" t="s">
        <v>518</v>
      </c>
      <c r="M163" s="296">
        <v>1.0</v>
      </c>
      <c r="N163" s="296">
        <v>1.0</v>
      </c>
      <c r="O163" s="296">
        <v>2.0</v>
      </c>
      <c r="P163" s="315">
        <v>46174.0</v>
      </c>
      <c r="Q163" s="213">
        <v>1.0</v>
      </c>
      <c r="R163" s="213">
        <v>6.0</v>
      </c>
      <c r="S163" s="296">
        <v>2026.0</v>
      </c>
      <c r="T163" s="235" t="s">
        <v>28</v>
      </c>
      <c r="U163" s="296">
        <v>29.23</v>
      </c>
      <c r="V163" s="315">
        <v>46174.0</v>
      </c>
      <c r="W163" s="296">
        <v>1.0</v>
      </c>
      <c r="X163" s="296">
        <v>6.0</v>
      </c>
      <c r="Y163" s="296">
        <v>2026.0</v>
      </c>
      <c r="Z163" s="235" t="s">
        <v>28</v>
      </c>
    </row>
    <row r="164">
      <c r="A164" s="293" t="s">
        <v>906</v>
      </c>
      <c r="B164" s="295">
        <v>5.217245145E9</v>
      </c>
      <c r="C164" s="295">
        <v>46168.0</v>
      </c>
      <c r="D164" s="296">
        <v>26.0</v>
      </c>
      <c r="E164" s="296">
        <v>5.0</v>
      </c>
      <c r="F164" s="296">
        <v>2026.0</v>
      </c>
      <c r="G164" s="295">
        <v>46172.0</v>
      </c>
      <c r="H164" s="296">
        <v>30.0</v>
      </c>
      <c r="I164" s="269">
        <v>5.0</v>
      </c>
      <c r="J164" s="296">
        <v>2026.0</v>
      </c>
      <c r="K164" s="235" t="s">
        <v>28</v>
      </c>
      <c r="L164" s="235" t="s">
        <v>518</v>
      </c>
      <c r="M164" s="296">
        <v>1.0</v>
      </c>
      <c r="N164" s="296">
        <v>4.0</v>
      </c>
      <c r="O164" s="296">
        <v>8.0</v>
      </c>
      <c r="P164" s="315">
        <v>46174.0</v>
      </c>
      <c r="Q164" s="213">
        <v>1.0</v>
      </c>
      <c r="R164" s="213">
        <v>6.0</v>
      </c>
      <c r="S164" s="296">
        <v>2026.0</v>
      </c>
      <c r="T164" s="235" t="s">
        <v>28</v>
      </c>
      <c r="U164" s="296">
        <v>150.37</v>
      </c>
      <c r="V164" s="315">
        <v>46174.0</v>
      </c>
      <c r="W164" s="296">
        <v>1.0</v>
      </c>
      <c r="X164" s="296">
        <v>6.0</v>
      </c>
      <c r="Y164" s="296">
        <v>2026.0</v>
      </c>
      <c r="Z164" s="235" t="s">
        <v>28</v>
      </c>
    </row>
    <row r="165">
      <c r="A165" s="293" t="s">
        <v>907</v>
      </c>
      <c r="B165" s="295">
        <v>6.499394092E9</v>
      </c>
      <c r="C165" s="295">
        <v>46161.0</v>
      </c>
      <c r="D165" s="296">
        <v>19.0</v>
      </c>
      <c r="E165" s="296">
        <v>5.0</v>
      </c>
      <c r="F165" s="296">
        <v>2026.0</v>
      </c>
      <c r="G165" s="295">
        <v>46162.0</v>
      </c>
      <c r="H165" s="296">
        <v>20.0</v>
      </c>
      <c r="I165" s="269">
        <v>5.0</v>
      </c>
      <c r="J165" s="296">
        <v>2026.0</v>
      </c>
      <c r="K165" s="235" t="s">
        <v>28</v>
      </c>
      <c r="L165" s="235" t="s">
        <v>518</v>
      </c>
      <c r="M165" s="296">
        <v>1.0</v>
      </c>
      <c r="N165" s="296">
        <v>1.0</v>
      </c>
      <c r="O165" s="296">
        <v>2.0</v>
      </c>
      <c r="P165" s="315">
        <v>46174.0</v>
      </c>
      <c r="Q165" s="213">
        <v>1.0</v>
      </c>
      <c r="R165" s="213">
        <v>6.0</v>
      </c>
      <c r="S165" s="296">
        <v>2026.0</v>
      </c>
      <c r="T165" s="235" t="s">
        <v>28</v>
      </c>
      <c r="U165" s="296">
        <v>33.41</v>
      </c>
      <c r="V165" s="315">
        <v>46174.0</v>
      </c>
      <c r="W165" s="296">
        <v>1.0</v>
      </c>
      <c r="X165" s="296">
        <v>6.0</v>
      </c>
      <c r="Y165" s="296">
        <v>2026.0</v>
      </c>
      <c r="Z165" s="235" t="s">
        <v>28</v>
      </c>
    </row>
    <row r="166">
      <c r="A166" s="293" t="s">
        <v>908</v>
      </c>
      <c r="B166" s="295">
        <v>5.698913538E9</v>
      </c>
      <c r="C166" s="295">
        <v>46146.0</v>
      </c>
      <c r="D166" s="296">
        <v>4.0</v>
      </c>
      <c r="E166" s="296">
        <v>5.0</v>
      </c>
      <c r="F166" s="296">
        <v>2026.0</v>
      </c>
      <c r="G166" s="295">
        <v>46147.0</v>
      </c>
      <c r="H166" s="296">
        <v>5.0</v>
      </c>
      <c r="I166" s="269">
        <v>5.0</v>
      </c>
      <c r="J166" s="296">
        <v>2026.0</v>
      </c>
      <c r="K166" s="235" t="s">
        <v>28</v>
      </c>
      <c r="L166" s="235" t="s">
        <v>518</v>
      </c>
      <c r="M166" s="296">
        <v>1.0</v>
      </c>
      <c r="N166" s="296">
        <v>1.0</v>
      </c>
      <c r="O166" s="296">
        <v>2.0</v>
      </c>
      <c r="P166" s="315">
        <v>46174.0</v>
      </c>
      <c r="Q166" s="213">
        <v>1.0</v>
      </c>
      <c r="R166" s="213">
        <v>6.0</v>
      </c>
      <c r="S166" s="296">
        <v>2026.0</v>
      </c>
      <c r="T166" s="235" t="s">
        <v>28</v>
      </c>
      <c r="U166" s="296">
        <v>37.59</v>
      </c>
      <c r="V166" s="315">
        <v>46174.0</v>
      </c>
      <c r="W166" s="296">
        <v>1.0</v>
      </c>
      <c r="X166" s="296">
        <v>6.0</v>
      </c>
      <c r="Y166" s="296">
        <v>2026.0</v>
      </c>
      <c r="Z166" s="235" t="s">
        <v>28</v>
      </c>
    </row>
    <row r="167">
      <c r="A167" s="293" t="s">
        <v>910</v>
      </c>
      <c r="B167" s="295">
        <v>6.185136714E9</v>
      </c>
      <c r="C167" s="295">
        <v>46149.0</v>
      </c>
      <c r="D167" s="296">
        <v>7.0</v>
      </c>
      <c r="E167" s="296">
        <v>5.0</v>
      </c>
      <c r="F167" s="296">
        <v>2026.0</v>
      </c>
      <c r="G167" s="295">
        <v>46152.0</v>
      </c>
      <c r="H167" s="296">
        <v>10.0</v>
      </c>
      <c r="I167" s="269">
        <v>5.0</v>
      </c>
      <c r="J167" s="296">
        <v>2026.0</v>
      </c>
      <c r="K167" s="235" t="s">
        <v>28</v>
      </c>
      <c r="L167" s="235" t="s">
        <v>518</v>
      </c>
      <c r="M167" s="296">
        <v>1.0</v>
      </c>
      <c r="N167" s="296">
        <v>3.0</v>
      </c>
      <c r="O167" s="296">
        <v>6.0</v>
      </c>
      <c r="P167" s="315">
        <v>46174.0</v>
      </c>
      <c r="Q167" s="213">
        <v>1.0</v>
      </c>
      <c r="R167" s="213">
        <v>6.0</v>
      </c>
      <c r="S167" s="296">
        <v>2026.0</v>
      </c>
      <c r="T167" s="235" t="s">
        <v>28</v>
      </c>
      <c r="U167" s="296">
        <v>112.78</v>
      </c>
      <c r="V167" s="315">
        <v>46174.0</v>
      </c>
      <c r="W167" s="296">
        <v>1.0</v>
      </c>
      <c r="X167" s="296">
        <v>6.0</v>
      </c>
      <c r="Y167" s="296">
        <v>2026.0</v>
      </c>
      <c r="Z167" s="235" t="s">
        <v>28</v>
      </c>
    </row>
    <row r="168">
      <c r="A168" s="293" t="s">
        <v>911</v>
      </c>
      <c r="B168" s="295">
        <v>5.208353815E9</v>
      </c>
      <c r="C168" s="295">
        <v>46143.0</v>
      </c>
      <c r="D168" s="296">
        <v>1.0</v>
      </c>
      <c r="E168" s="296">
        <v>5.0</v>
      </c>
      <c r="F168" s="296">
        <v>2026.0</v>
      </c>
      <c r="G168" s="295">
        <v>46147.0</v>
      </c>
      <c r="H168" s="296">
        <v>5.0</v>
      </c>
      <c r="I168" s="269">
        <v>5.0</v>
      </c>
      <c r="J168" s="296">
        <v>2026.0</v>
      </c>
      <c r="K168" s="235" t="s">
        <v>28</v>
      </c>
      <c r="L168" s="235" t="s">
        <v>518</v>
      </c>
      <c r="M168" s="296">
        <v>1.0</v>
      </c>
      <c r="N168" s="296">
        <v>4.0</v>
      </c>
      <c r="O168" s="296">
        <v>8.0</v>
      </c>
      <c r="P168" s="315">
        <v>46174.0</v>
      </c>
      <c r="Q168" s="213">
        <v>1.0</v>
      </c>
      <c r="R168" s="213">
        <v>6.0</v>
      </c>
      <c r="S168" s="296">
        <v>2026.0</v>
      </c>
      <c r="T168" s="235" t="s">
        <v>28</v>
      </c>
      <c r="U168" s="296">
        <v>150.37</v>
      </c>
      <c r="V168" s="315">
        <v>46174.0</v>
      </c>
      <c r="W168" s="296">
        <v>1.0</v>
      </c>
      <c r="X168" s="296">
        <v>6.0</v>
      </c>
      <c r="Y168" s="296">
        <v>2026.0</v>
      </c>
      <c r="Z168" s="235" t="s">
        <v>28</v>
      </c>
    </row>
    <row r="169">
      <c r="A169" s="293" t="s">
        <v>912</v>
      </c>
      <c r="B169" s="295">
        <v>5.651846424E9</v>
      </c>
      <c r="C169" s="295">
        <v>46163.0</v>
      </c>
      <c r="D169" s="296">
        <v>21.0</v>
      </c>
      <c r="E169" s="296">
        <v>5.0</v>
      </c>
      <c r="F169" s="296">
        <v>2026.0</v>
      </c>
      <c r="G169" s="295">
        <v>46166.0</v>
      </c>
      <c r="H169" s="296">
        <v>24.0</v>
      </c>
      <c r="I169" s="269">
        <v>5.0</v>
      </c>
      <c r="J169" s="296">
        <v>2026.0</v>
      </c>
      <c r="K169" s="235" t="s">
        <v>28</v>
      </c>
      <c r="L169" s="235" t="s">
        <v>518</v>
      </c>
      <c r="M169" s="296">
        <v>1.0</v>
      </c>
      <c r="N169" s="296">
        <v>3.0</v>
      </c>
      <c r="O169" s="296">
        <v>6.0</v>
      </c>
      <c r="P169" s="315">
        <v>46174.0</v>
      </c>
      <c r="Q169" s="213">
        <v>1.0</v>
      </c>
      <c r="R169" s="213">
        <v>6.0</v>
      </c>
      <c r="S169" s="296">
        <v>2026.0</v>
      </c>
      <c r="T169" s="235" t="s">
        <v>28</v>
      </c>
      <c r="U169" s="296">
        <v>116.96</v>
      </c>
      <c r="V169" s="315">
        <v>46174.0</v>
      </c>
      <c r="W169" s="296">
        <v>1.0</v>
      </c>
      <c r="X169" s="296">
        <v>6.0</v>
      </c>
      <c r="Y169" s="296">
        <v>2026.0</v>
      </c>
      <c r="Z169" s="235" t="s">
        <v>28</v>
      </c>
    </row>
    <row r="170">
      <c r="A170" s="293" t="s">
        <v>914</v>
      </c>
      <c r="B170" s="295">
        <v>6.10490567E9</v>
      </c>
      <c r="C170" s="295">
        <v>46166.0</v>
      </c>
      <c r="D170" s="296">
        <v>24.0</v>
      </c>
      <c r="E170" s="296">
        <v>5.0</v>
      </c>
      <c r="F170" s="296">
        <v>2026.0</v>
      </c>
      <c r="G170" s="295">
        <v>46168.0</v>
      </c>
      <c r="H170" s="296">
        <v>26.0</v>
      </c>
      <c r="I170" s="269">
        <v>5.0</v>
      </c>
      <c r="J170" s="296">
        <v>2026.0</v>
      </c>
      <c r="K170" s="235" t="s">
        <v>28</v>
      </c>
      <c r="L170" s="235" t="s">
        <v>518</v>
      </c>
      <c r="M170" s="296">
        <v>1.0</v>
      </c>
      <c r="N170" s="296">
        <v>2.0</v>
      </c>
      <c r="O170" s="296">
        <v>4.0</v>
      </c>
      <c r="P170" s="315">
        <v>46174.0</v>
      </c>
      <c r="Q170" s="213">
        <v>1.0</v>
      </c>
      <c r="R170" s="213">
        <v>6.0</v>
      </c>
      <c r="S170" s="296">
        <v>2026.0</v>
      </c>
      <c r="T170" s="235" t="s">
        <v>28</v>
      </c>
      <c r="U170" s="296">
        <v>58.46</v>
      </c>
      <c r="V170" s="315">
        <v>46174.0</v>
      </c>
      <c r="W170" s="296">
        <v>1.0</v>
      </c>
      <c r="X170" s="296">
        <v>6.0</v>
      </c>
      <c r="Y170" s="296">
        <v>2026.0</v>
      </c>
      <c r="Z170" s="235" t="s">
        <v>28</v>
      </c>
    </row>
    <row r="171">
      <c r="A171" s="293" t="s">
        <v>915</v>
      </c>
      <c r="B171" s="299">
        <v>6.610665597E9</v>
      </c>
      <c r="C171" s="295">
        <v>46151.0</v>
      </c>
      <c r="D171" s="296">
        <v>9.0</v>
      </c>
      <c r="E171" s="296">
        <v>5.0</v>
      </c>
      <c r="F171" s="296">
        <v>2026.0</v>
      </c>
      <c r="G171" s="295">
        <v>46156.0</v>
      </c>
      <c r="H171" s="269">
        <v>14.0</v>
      </c>
      <c r="I171" s="296">
        <v>5.0</v>
      </c>
      <c r="J171" s="269">
        <v>2026.0</v>
      </c>
      <c r="K171" s="235" t="s">
        <v>28</v>
      </c>
      <c r="L171" s="235" t="s">
        <v>895</v>
      </c>
      <c r="M171" s="296">
        <v>1.0</v>
      </c>
      <c r="N171" s="269">
        <v>5.0</v>
      </c>
      <c r="O171" s="296">
        <v>0.0</v>
      </c>
      <c r="P171" s="315">
        <v>46174.0</v>
      </c>
      <c r="Q171" s="213">
        <v>1.0</v>
      </c>
      <c r="R171" s="213">
        <v>6.0</v>
      </c>
      <c r="S171" s="296">
        <v>2026.0</v>
      </c>
      <c r="T171" s="235" t="s">
        <v>28</v>
      </c>
      <c r="U171" s="296">
        <v>0.0</v>
      </c>
      <c r="V171" s="315">
        <v>46174.0</v>
      </c>
      <c r="W171" s="296">
        <v>1.0</v>
      </c>
      <c r="X171" s="296">
        <v>6.0</v>
      </c>
      <c r="Y171" s="296">
        <v>2026.0</v>
      </c>
      <c r="Z171" s="235" t="s">
        <v>28</v>
      </c>
    </row>
    <row r="172">
      <c r="A172" s="293" t="s">
        <v>917</v>
      </c>
      <c r="B172" s="295">
        <v>6.464047451E9</v>
      </c>
      <c r="C172" s="295">
        <v>46144.0</v>
      </c>
      <c r="D172" s="296">
        <v>2.0</v>
      </c>
      <c r="E172" s="296">
        <v>5.0</v>
      </c>
      <c r="F172" s="296">
        <v>2026.0</v>
      </c>
      <c r="G172" s="295">
        <v>46145.0</v>
      </c>
      <c r="H172" s="296">
        <v>3.0</v>
      </c>
      <c r="I172" s="269">
        <v>5.0</v>
      </c>
      <c r="J172" s="296">
        <v>2026.0</v>
      </c>
      <c r="K172" s="235" t="s">
        <v>28</v>
      </c>
      <c r="L172" s="235" t="s">
        <v>518</v>
      </c>
      <c r="M172" s="296">
        <v>1.0</v>
      </c>
      <c r="N172" s="296">
        <v>1.0</v>
      </c>
      <c r="O172" s="296">
        <v>2.0</v>
      </c>
      <c r="P172" s="315">
        <v>46174.0</v>
      </c>
      <c r="Q172" s="213">
        <v>1.0</v>
      </c>
      <c r="R172" s="213">
        <v>6.0</v>
      </c>
      <c r="S172" s="296">
        <v>2026.0</v>
      </c>
      <c r="T172" s="235" t="s">
        <v>28</v>
      </c>
      <c r="U172" s="296">
        <v>37.59</v>
      </c>
      <c r="V172" s="315">
        <v>46174.0</v>
      </c>
      <c r="W172" s="296">
        <v>1.0</v>
      </c>
      <c r="X172" s="296">
        <v>6.0</v>
      </c>
      <c r="Y172" s="296">
        <v>2026.0</v>
      </c>
      <c r="Z172" s="235" t="s">
        <v>28</v>
      </c>
    </row>
    <row r="173">
      <c r="A173" s="293" t="s">
        <v>918</v>
      </c>
      <c r="B173" s="295">
        <v>5.16947457E9</v>
      </c>
      <c r="C173" s="295">
        <v>46143.0</v>
      </c>
      <c r="D173" s="296">
        <v>1.0</v>
      </c>
      <c r="E173" s="296">
        <v>5.0</v>
      </c>
      <c r="F173" s="296">
        <v>2026.0</v>
      </c>
      <c r="G173" s="295">
        <v>46144.0</v>
      </c>
      <c r="H173" s="296">
        <v>2.0</v>
      </c>
      <c r="I173" s="269">
        <v>5.0</v>
      </c>
      <c r="J173" s="296">
        <v>2026.0</v>
      </c>
      <c r="K173" s="235" t="s">
        <v>28</v>
      </c>
      <c r="L173" s="235" t="s">
        <v>518</v>
      </c>
      <c r="M173" s="296">
        <v>1.0</v>
      </c>
      <c r="N173" s="296">
        <v>1.0</v>
      </c>
      <c r="O173" s="296">
        <v>2.0</v>
      </c>
      <c r="P173" s="315">
        <v>46174.0</v>
      </c>
      <c r="Q173" s="213">
        <v>1.0</v>
      </c>
      <c r="R173" s="213">
        <v>6.0</v>
      </c>
      <c r="S173" s="296">
        <v>2026.0</v>
      </c>
      <c r="T173" s="235" t="s">
        <v>28</v>
      </c>
      <c r="U173" s="296">
        <v>37.59</v>
      </c>
      <c r="V173" s="315">
        <v>46174.0</v>
      </c>
      <c r="W173" s="296">
        <v>1.0</v>
      </c>
      <c r="X173" s="296">
        <v>6.0</v>
      </c>
      <c r="Y173" s="296">
        <v>2026.0</v>
      </c>
      <c r="Z173" s="235" t="s">
        <v>28</v>
      </c>
    </row>
    <row r="174">
      <c r="A174" s="293" t="s">
        <v>918</v>
      </c>
      <c r="B174" s="295">
        <v>5.88989953E9</v>
      </c>
      <c r="C174" s="295">
        <v>46143.0</v>
      </c>
      <c r="D174" s="296">
        <v>1.0</v>
      </c>
      <c r="E174" s="296">
        <v>5.0</v>
      </c>
      <c r="F174" s="296">
        <v>2026.0</v>
      </c>
      <c r="G174" s="295">
        <v>46144.0</v>
      </c>
      <c r="H174" s="296">
        <v>2.0</v>
      </c>
      <c r="I174" s="269">
        <v>5.0</v>
      </c>
      <c r="J174" s="296">
        <v>2026.0</v>
      </c>
      <c r="K174" s="235" t="s">
        <v>28</v>
      </c>
      <c r="L174" s="235" t="s">
        <v>895</v>
      </c>
      <c r="M174" s="296">
        <v>1.0</v>
      </c>
      <c r="N174" s="296">
        <v>1.0</v>
      </c>
      <c r="O174" s="296">
        <v>0.0</v>
      </c>
      <c r="P174" s="315">
        <v>46174.0</v>
      </c>
      <c r="Q174" s="213">
        <v>1.0</v>
      </c>
      <c r="R174" s="213">
        <v>6.0</v>
      </c>
      <c r="S174" s="296">
        <v>2026.0</v>
      </c>
      <c r="T174" s="235" t="s">
        <v>28</v>
      </c>
      <c r="U174" s="296">
        <v>0.0</v>
      </c>
      <c r="V174" s="315">
        <v>46174.0</v>
      </c>
      <c r="W174" s="296">
        <v>1.0</v>
      </c>
      <c r="X174" s="296">
        <v>6.0</v>
      </c>
      <c r="Y174" s="296">
        <v>2026.0</v>
      </c>
      <c r="Z174" s="235" t="s">
        <v>28</v>
      </c>
    </row>
    <row r="175">
      <c r="A175" s="293" t="s">
        <v>918</v>
      </c>
      <c r="B175" s="295">
        <v>6.123769171E9</v>
      </c>
      <c r="C175" s="295">
        <v>46143.0</v>
      </c>
      <c r="D175" s="296">
        <v>1.0</v>
      </c>
      <c r="E175" s="296">
        <v>5.0</v>
      </c>
      <c r="F175" s="296">
        <v>2026.0</v>
      </c>
      <c r="G175" s="295">
        <v>46144.0</v>
      </c>
      <c r="H175" s="296">
        <v>2.0</v>
      </c>
      <c r="I175" s="269">
        <v>5.0</v>
      </c>
      <c r="J175" s="296">
        <v>2026.0</v>
      </c>
      <c r="K175" s="235" t="s">
        <v>28</v>
      </c>
      <c r="L175" s="235" t="s">
        <v>895</v>
      </c>
      <c r="M175" s="296">
        <v>1.0</v>
      </c>
      <c r="N175" s="296">
        <v>1.0</v>
      </c>
      <c r="O175" s="296">
        <v>0.0</v>
      </c>
      <c r="P175" s="315">
        <v>46174.0</v>
      </c>
      <c r="Q175" s="213">
        <v>1.0</v>
      </c>
      <c r="R175" s="213">
        <v>6.0</v>
      </c>
      <c r="S175" s="296">
        <v>2026.0</v>
      </c>
      <c r="T175" s="235" t="s">
        <v>28</v>
      </c>
      <c r="U175" s="296">
        <v>0.0</v>
      </c>
      <c r="V175" s="315">
        <v>46174.0</v>
      </c>
      <c r="W175" s="296">
        <v>1.0</v>
      </c>
      <c r="X175" s="296">
        <v>6.0</v>
      </c>
      <c r="Y175" s="296">
        <v>2026.0</v>
      </c>
      <c r="Z175" s="235" t="s">
        <v>28</v>
      </c>
    </row>
    <row r="176">
      <c r="A176" s="293" t="s">
        <v>920</v>
      </c>
      <c r="B176" s="295">
        <v>6.469984779E9</v>
      </c>
      <c r="C176" s="295">
        <v>46168.0</v>
      </c>
      <c r="D176" s="296">
        <v>26.0</v>
      </c>
      <c r="E176" s="296">
        <v>5.0</v>
      </c>
      <c r="F176" s="296">
        <v>2026.0</v>
      </c>
      <c r="G176" s="295">
        <v>46170.0</v>
      </c>
      <c r="H176" s="296">
        <v>28.0</v>
      </c>
      <c r="I176" s="269">
        <v>5.0</v>
      </c>
      <c r="J176" s="296">
        <v>2026.0</v>
      </c>
      <c r="K176" s="235" t="s">
        <v>28</v>
      </c>
      <c r="L176" s="235" t="s">
        <v>518</v>
      </c>
      <c r="M176" s="296">
        <v>1.0</v>
      </c>
      <c r="N176" s="296">
        <v>2.0</v>
      </c>
      <c r="O176" s="296">
        <v>4.0</v>
      </c>
      <c r="P176" s="315">
        <v>46174.0</v>
      </c>
      <c r="Q176" s="213">
        <v>1.0</v>
      </c>
      <c r="R176" s="213">
        <v>6.0</v>
      </c>
      <c r="S176" s="296">
        <v>2026.0</v>
      </c>
      <c r="T176" s="235" t="s">
        <v>28</v>
      </c>
      <c r="U176" s="296">
        <v>75.18</v>
      </c>
      <c r="V176" s="315">
        <v>46174.0</v>
      </c>
      <c r="W176" s="296">
        <v>1.0</v>
      </c>
      <c r="X176" s="296">
        <v>6.0</v>
      </c>
      <c r="Y176" s="296">
        <v>2026.0</v>
      </c>
      <c r="Z176" s="235" t="s">
        <v>28</v>
      </c>
    </row>
    <row r="177">
      <c r="A177" s="293" t="s">
        <v>921</v>
      </c>
      <c r="B177" s="295">
        <v>6.297008884E9</v>
      </c>
      <c r="C177" s="295">
        <v>46162.0</v>
      </c>
      <c r="D177" s="296">
        <v>20.0</v>
      </c>
      <c r="E177" s="296">
        <v>5.0</v>
      </c>
      <c r="F177" s="296">
        <v>2026.0</v>
      </c>
      <c r="G177" s="295">
        <v>46165.0</v>
      </c>
      <c r="H177" s="296">
        <v>23.0</v>
      </c>
      <c r="I177" s="269">
        <v>5.0</v>
      </c>
      <c r="J177" s="296">
        <v>2026.0</v>
      </c>
      <c r="K177" s="235" t="s">
        <v>28</v>
      </c>
      <c r="L177" s="235" t="s">
        <v>518</v>
      </c>
      <c r="M177" s="296">
        <v>1.0</v>
      </c>
      <c r="N177" s="296">
        <v>3.0</v>
      </c>
      <c r="O177" s="296">
        <v>6.0</v>
      </c>
      <c r="P177" s="315">
        <v>46174.0</v>
      </c>
      <c r="Q177" s="213">
        <v>1.0</v>
      </c>
      <c r="R177" s="213">
        <v>6.0</v>
      </c>
      <c r="S177" s="296">
        <v>2026.0</v>
      </c>
      <c r="T177" s="235" t="s">
        <v>28</v>
      </c>
      <c r="U177" s="296">
        <v>112.78</v>
      </c>
      <c r="V177" s="315">
        <v>46174.0</v>
      </c>
      <c r="W177" s="296">
        <v>1.0</v>
      </c>
      <c r="X177" s="296">
        <v>6.0</v>
      </c>
      <c r="Y177" s="296">
        <v>2026.0</v>
      </c>
      <c r="Z177" s="235" t="s">
        <v>28</v>
      </c>
    </row>
    <row r="178">
      <c r="A178" s="293" t="s">
        <v>922</v>
      </c>
      <c r="B178" s="295">
        <v>5.754816607E9</v>
      </c>
      <c r="C178" s="295">
        <v>46156.0</v>
      </c>
      <c r="D178" s="296">
        <v>14.0</v>
      </c>
      <c r="E178" s="296">
        <v>5.0</v>
      </c>
      <c r="F178" s="296">
        <v>2026.0</v>
      </c>
      <c r="G178" s="295">
        <v>46157.0</v>
      </c>
      <c r="H178" s="296">
        <v>15.0</v>
      </c>
      <c r="I178" s="269">
        <v>5.0</v>
      </c>
      <c r="J178" s="296">
        <v>2026.0</v>
      </c>
      <c r="K178" s="235" t="s">
        <v>28</v>
      </c>
      <c r="L178" s="235" t="s">
        <v>518</v>
      </c>
      <c r="M178" s="296">
        <v>1.0</v>
      </c>
      <c r="N178" s="296">
        <v>1.0</v>
      </c>
      <c r="O178" s="296">
        <v>2.0</v>
      </c>
      <c r="P178" s="315">
        <v>46174.0</v>
      </c>
      <c r="Q178" s="213">
        <v>1.0</v>
      </c>
      <c r="R178" s="213">
        <v>6.0</v>
      </c>
      <c r="S178" s="296">
        <v>2026.0</v>
      </c>
      <c r="T178" s="235" t="s">
        <v>28</v>
      </c>
      <c r="U178" s="296">
        <v>37.59</v>
      </c>
      <c r="V178" s="315">
        <v>46174.0</v>
      </c>
      <c r="W178" s="296">
        <v>1.0</v>
      </c>
      <c r="X178" s="296">
        <v>6.0</v>
      </c>
      <c r="Y178" s="296">
        <v>2026.0</v>
      </c>
      <c r="Z178" s="235" t="s">
        <v>28</v>
      </c>
    </row>
    <row r="179">
      <c r="A179" s="293" t="s">
        <v>923</v>
      </c>
      <c r="B179" s="295">
        <v>5.128451428E9</v>
      </c>
      <c r="C179" s="295">
        <v>46149.0</v>
      </c>
      <c r="D179" s="296">
        <v>7.0</v>
      </c>
      <c r="E179" s="296">
        <v>5.0</v>
      </c>
      <c r="F179" s="296">
        <v>2026.0</v>
      </c>
      <c r="G179" s="295">
        <v>46150.0</v>
      </c>
      <c r="H179" s="296">
        <v>8.0</v>
      </c>
      <c r="I179" s="269">
        <v>5.0</v>
      </c>
      <c r="J179" s="296">
        <v>2026.0</v>
      </c>
      <c r="K179" s="235" t="s">
        <v>28</v>
      </c>
      <c r="L179" s="235" t="s">
        <v>518</v>
      </c>
      <c r="M179" s="296">
        <v>1.0</v>
      </c>
      <c r="N179" s="296">
        <v>1.0</v>
      </c>
      <c r="O179" s="296">
        <v>2.0</v>
      </c>
      <c r="P179" s="315">
        <v>46174.0</v>
      </c>
      <c r="Q179" s="213">
        <v>1.0</v>
      </c>
      <c r="R179" s="213">
        <v>6.0</v>
      </c>
      <c r="S179" s="296">
        <v>2026.0</v>
      </c>
      <c r="T179" s="235" t="s">
        <v>28</v>
      </c>
      <c r="U179" s="296">
        <v>41.77</v>
      </c>
      <c r="V179" s="315">
        <v>46174.0</v>
      </c>
      <c r="W179" s="296">
        <v>1.0</v>
      </c>
      <c r="X179" s="296">
        <v>6.0</v>
      </c>
      <c r="Y179" s="296">
        <v>2026.0</v>
      </c>
      <c r="Z179" s="235" t="s">
        <v>28</v>
      </c>
    </row>
    <row r="180">
      <c r="A180" s="293" t="s">
        <v>924</v>
      </c>
      <c r="B180" s="295">
        <v>5.476075762E9</v>
      </c>
      <c r="C180" s="295">
        <v>46164.0</v>
      </c>
      <c r="D180" s="296">
        <v>22.0</v>
      </c>
      <c r="E180" s="296">
        <v>5.0</v>
      </c>
      <c r="F180" s="296">
        <v>2026.0</v>
      </c>
      <c r="G180" s="295">
        <v>46166.0</v>
      </c>
      <c r="H180" s="296">
        <v>24.0</v>
      </c>
      <c r="I180" s="269">
        <v>5.0</v>
      </c>
      <c r="J180" s="296">
        <v>2026.0</v>
      </c>
      <c r="K180" s="235" t="s">
        <v>28</v>
      </c>
      <c r="L180" s="235" t="s">
        <v>518</v>
      </c>
      <c r="M180" s="296">
        <v>1.0</v>
      </c>
      <c r="N180" s="296">
        <v>2.0</v>
      </c>
      <c r="O180" s="296">
        <v>4.0</v>
      </c>
      <c r="P180" s="315">
        <v>46174.0</v>
      </c>
      <c r="Q180" s="213">
        <v>1.0</v>
      </c>
      <c r="R180" s="213">
        <v>6.0</v>
      </c>
      <c r="S180" s="296">
        <v>2026.0</v>
      </c>
      <c r="T180" s="235" t="s">
        <v>28</v>
      </c>
      <c r="U180" s="296">
        <v>75.18</v>
      </c>
      <c r="V180" s="315">
        <v>46174.0</v>
      </c>
      <c r="W180" s="296">
        <v>1.0</v>
      </c>
      <c r="X180" s="296">
        <v>6.0</v>
      </c>
      <c r="Y180" s="296">
        <v>2026.0</v>
      </c>
      <c r="Z180" s="235" t="s">
        <v>28</v>
      </c>
    </row>
    <row r="181">
      <c r="A181" s="293" t="s">
        <v>925</v>
      </c>
      <c r="B181" s="295">
        <v>5.973230601E9</v>
      </c>
      <c r="C181" s="295">
        <v>46167.0</v>
      </c>
      <c r="D181" s="296">
        <v>25.0</v>
      </c>
      <c r="E181" s="296">
        <v>5.0</v>
      </c>
      <c r="F181" s="296">
        <v>2026.0</v>
      </c>
      <c r="G181" s="295">
        <v>46168.0</v>
      </c>
      <c r="H181" s="296">
        <v>26.0</v>
      </c>
      <c r="I181" s="269">
        <v>5.0</v>
      </c>
      <c r="J181" s="296">
        <v>2026.0</v>
      </c>
      <c r="K181" s="235" t="s">
        <v>28</v>
      </c>
      <c r="L181" s="235" t="s">
        <v>518</v>
      </c>
      <c r="M181" s="296">
        <v>1.0</v>
      </c>
      <c r="N181" s="296">
        <v>1.0</v>
      </c>
      <c r="O181" s="296">
        <v>2.0</v>
      </c>
      <c r="P181" s="315">
        <v>46174.0</v>
      </c>
      <c r="Q181" s="213">
        <v>1.0</v>
      </c>
      <c r="R181" s="213">
        <v>6.0</v>
      </c>
      <c r="S181" s="296">
        <v>2026.0</v>
      </c>
      <c r="T181" s="235" t="s">
        <v>28</v>
      </c>
      <c r="U181" s="296">
        <v>29.23</v>
      </c>
      <c r="V181" s="315">
        <v>46174.0</v>
      </c>
      <c r="W181" s="296">
        <v>1.0</v>
      </c>
      <c r="X181" s="296">
        <v>6.0</v>
      </c>
      <c r="Y181" s="296">
        <v>2026.0</v>
      </c>
      <c r="Z181" s="235" t="s">
        <v>28</v>
      </c>
    </row>
    <row r="182">
      <c r="A182" s="293" t="s">
        <v>926</v>
      </c>
      <c r="B182" s="295">
        <v>5.437858726E9</v>
      </c>
      <c r="C182" s="295">
        <v>46145.0</v>
      </c>
      <c r="D182" s="296">
        <v>3.0</v>
      </c>
      <c r="E182" s="296">
        <v>5.0</v>
      </c>
      <c r="F182" s="296">
        <v>2026.0</v>
      </c>
      <c r="G182" s="295">
        <v>46146.0</v>
      </c>
      <c r="H182" s="296">
        <v>4.0</v>
      </c>
      <c r="I182" s="269">
        <v>5.0</v>
      </c>
      <c r="J182" s="296">
        <v>2026.0</v>
      </c>
      <c r="K182" s="235" t="s">
        <v>28</v>
      </c>
      <c r="L182" s="235" t="s">
        <v>518</v>
      </c>
      <c r="M182" s="296">
        <v>1.0</v>
      </c>
      <c r="N182" s="296">
        <v>1.0</v>
      </c>
      <c r="O182" s="296">
        <v>2.0</v>
      </c>
      <c r="P182" s="315">
        <v>46174.0</v>
      </c>
      <c r="Q182" s="213">
        <v>1.0</v>
      </c>
      <c r="R182" s="213">
        <v>6.0</v>
      </c>
      <c r="S182" s="296">
        <v>2026.0</v>
      </c>
      <c r="T182" s="235" t="s">
        <v>28</v>
      </c>
      <c r="U182" s="296">
        <v>37.59</v>
      </c>
      <c r="V182" s="315">
        <v>46174.0</v>
      </c>
      <c r="W182" s="296">
        <v>1.0</v>
      </c>
      <c r="X182" s="296">
        <v>6.0</v>
      </c>
      <c r="Y182" s="296">
        <v>2026.0</v>
      </c>
      <c r="Z182" s="235" t="s">
        <v>28</v>
      </c>
    </row>
    <row r="183">
      <c r="A183" s="293" t="s">
        <v>927</v>
      </c>
      <c r="B183" s="295">
        <v>6.077436183E9</v>
      </c>
      <c r="C183" s="295">
        <v>46148.0</v>
      </c>
      <c r="D183" s="296">
        <v>6.0</v>
      </c>
      <c r="E183" s="296">
        <v>5.0</v>
      </c>
      <c r="F183" s="296">
        <v>2026.0</v>
      </c>
      <c r="G183" s="295">
        <v>46149.0</v>
      </c>
      <c r="H183" s="296">
        <v>7.0</v>
      </c>
      <c r="I183" s="269">
        <v>5.0</v>
      </c>
      <c r="J183" s="296">
        <v>2026.0</v>
      </c>
      <c r="K183" s="235" t="s">
        <v>28</v>
      </c>
      <c r="L183" s="235" t="s">
        <v>518</v>
      </c>
      <c r="M183" s="296">
        <v>1.0</v>
      </c>
      <c r="N183" s="296">
        <v>1.0</v>
      </c>
      <c r="O183" s="296">
        <v>2.0</v>
      </c>
      <c r="P183" s="315">
        <v>46174.0</v>
      </c>
      <c r="Q183" s="213">
        <v>1.0</v>
      </c>
      <c r="R183" s="213">
        <v>6.0</v>
      </c>
      <c r="S183" s="296">
        <v>2026.0</v>
      </c>
      <c r="T183" s="235" t="s">
        <v>28</v>
      </c>
      <c r="U183" s="296">
        <v>37.59</v>
      </c>
      <c r="V183" s="315">
        <v>46174.0</v>
      </c>
      <c r="W183" s="296">
        <v>1.0</v>
      </c>
      <c r="X183" s="296">
        <v>6.0</v>
      </c>
      <c r="Y183" s="296">
        <v>2026.0</v>
      </c>
      <c r="Z183" s="235" t="s">
        <v>28</v>
      </c>
    </row>
    <row r="184">
      <c r="A184" s="293" t="s">
        <v>928</v>
      </c>
      <c r="B184" s="295">
        <v>5.620431311E9</v>
      </c>
      <c r="C184" s="295">
        <v>46168.0</v>
      </c>
      <c r="D184" s="296">
        <v>26.0</v>
      </c>
      <c r="E184" s="296">
        <v>5.0</v>
      </c>
      <c r="F184" s="296">
        <v>2026.0</v>
      </c>
      <c r="G184" s="295">
        <v>46170.0</v>
      </c>
      <c r="H184" s="296">
        <v>28.0</v>
      </c>
      <c r="I184" s="269">
        <v>5.0</v>
      </c>
      <c r="J184" s="296">
        <v>2026.0</v>
      </c>
      <c r="K184" s="235" t="s">
        <v>28</v>
      </c>
      <c r="L184" s="235" t="s">
        <v>518</v>
      </c>
      <c r="M184" s="296">
        <v>1.0</v>
      </c>
      <c r="N184" s="296">
        <v>2.0</v>
      </c>
      <c r="O184" s="296">
        <v>4.0</v>
      </c>
      <c r="P184" s="315">
        <v>46174.0</v>
      </c>
      <c r="Q184" s="213">
        <v>1.0</v>
      </c>
      <c r="R184" s="213">
        <v>6.0</v>
      </c>
      <c r="S184" s="296">
        <v>2026.0</v>
      </c>
      <c r="T184" s="235" t="s">
        <v>28</v>
      </c>
      <c r="U184" s="296">
        <v>66.82</v>
      </c>
      <c r="V184" s="315">
        <v>46174.0</v>
      </c>
      <c r="W184" s="296">
        <v>1.0</v>
      </c>
      <c r="X184" s="296">
        <v>6.0</v>
      </c>
      <c r="Y184" s="296">
        <v>2026.0</v>
      </c>
      <c r="Z184" s="235" t="s">
        <v>28</v>
      </c>
    </row>
    <row r="185">
      <c r="A185" s="293" t="s">
        <v>929</v>
      </c>
      <c r="B185" s="295">
        <v>6.894584729E9</v>
      </c>
      <c r="C185" s="295">
        <v>46165.0</v>
      </c>
      <c r="D185" s="296">
        <v>23.0</v>
      </c>
      <c r="E185" s="296">
        <v>5.0</v>
      </c>
      <c r="F185" s="296">
        <v>2026.0</v>
      </c>
      <c r="G185" s="295">
        <v>46166.0</v>
      </c>
      <c r="H185" s="296">
        <v>24.0</v>
      </c>
      <c r="I185" s="269">
        <v>5.0</v>
      </c>
      <c r="J185" s="296">
        <v>2026.0</v>
      </c>
      <c r="K185" s="235" t="s">
        <v>28</v>
      </c>
      <c r="L185" s="235" t="s">
        <v>518</v>
      </c>
      <c r="M185" s="296">
        <v>1.0</v>
      </c>
      <c r="N185" s="296">
        <v>1.0</v>
      </c>
      <c r="O185" s="296">
        <v>2.0</v>
      </c>
      <c r="P185" s="315">
        <v>46174.0</v>
      </c>
      <c r="Q185" s="213">
        <v>1.0</v>
      </c>
      <c r="R185" s="213">
        <v>6.0</v>
      </c>
      <c r="S185" s="296">
        <v>2026.0</v>
      </c>
      <c r="T185" s="235" t="s">
        <v>28</v>
      </c>
      <c r="U185" s="296">
        <v>29.23</v>
      </c>
      <c r="V185" s="315">
        <v>46174.0</v>
      </c>
      <c r="W185" s="296">
        <v>1.0</v>
      </c>
      <c r="X185" s="296">
        <v>6.0</v>
      </c>
      <c r="Y185" s="296">
        <v>2026.0</v>
      </c>
      <c r="Z185" s="235" t="s">
        <v>28</v>
      </c>
    </row>
    <row r="186">
      <c r="A186" s="293" t="s">
        <v>930</v>
      </c>
      <c r="B186" s="295">
        <v>6.07004259E9</v>
      </c>
      <c r="C186" s="295">
        <v>46152.0</v>
      </c>
      <c r="D186" s="296">
        <v>10.0</v>
      </c>
      <c r="E186" s="296">
        <v>5.0</v>
      </c>
      <c r="F186" s="296">
        <v>2026.0</v>
      </c>
      <c r="G186" s="295">
        <v>46153.0</v>
      </c>
      <c r="H186" s="296">
        <v>11.0</v>
      </c>
      <c r="I186" s="269">
        <v>5.0</v>
      </c>
      <c r="J186" s="296">
        <v>2026.0</v>
      </c>
      <c r="K186" s="235" t="s">
        <v>28</v>
      </c>
      <c r="L186" s="235" t="s">
        <v>518</v>
      </c>
      <c r="M186" s="296">
        <v>1.0</v>
      </c>
      <c r="N186" s="296">
        <v>1.0</v>
      </c>
      <c r="O186" s="296">
        <v>2.0</v>
      </c>
      <c r="P186" s="315">
        <v>46174.0</v>
      </c>
      <c r="Q186" s="213">
        <v>1.0</v>
      </c>
      <c r="R186" s="213">
        <v>6.0</v>
      </c>
      <c r="S186" s="296">
        <v>2026.0</v>
      </c>
      <c r="T186" s="235" t="s">
        <v>28</v>
      </c>
      <c r="U186" s="296">
        <v>37.59</v>
      </c>
      <c r="V186" s="315">
        <v>46174.0</v>
      </c>
      <c r="W186" s="296">
        <v>1.0</v>
      </c>
      <c r="X186" s="296">
        <v>6.0</v>
      </c>
      <c r="Y186" s="296">
        <v>2026.0</v>
      </c>
      <c r="Z186" s="235" t="s">
        <v>28</v>
      </c>
    </row>
    <row r="187">
      <c r="A187" s="293" t="s">
        <v>931</v>
      </c>
      <c r="B187" s="295">
        <v>6.37016012E9</v>
      </c>
      <c r="C187" s="295">
        <v>46143.0</v>
      </c>
      <c r="D187" s="296">
        <v>1.0</v>
      </c>
      <c r="E187" s="296">
        <v>5.0</v>
      </c>
      <c r="F187" s="296">
        <v>2026.0</v>
      </c>
      <c r="G187" s="295">
        <v>46144.0</v>
      </c>
      <c r="H187" s="296">
        <v>2.0</v>
      </c>
      <c r="I187" s="269">
        <v>5.0</v>
      </c>
      <c r="J187" s="296">
        <v>2026.0</v>
      </c>
      <c r="K187" s="235" t="s">
        <v>28</v>
      </c>
      <c r="L187" s="235" t="s">
        <v>895</v>
      </c>
      <c r="M187" s="296">
        <v>1.0</v>
      </c>
      <c r="N187" s="296">
        <v>1.0</v>
      </c>
      <c r="O187" s="296">
        <v>0.0</v>
      </c>
      <c r="P187" s="315">
        <v>46174.0</v>
      </c>
      <c r="Q187" s="213">
        <v>1.0</v>
      </c>
      <c r="R187" s="213">
        <v>6.0</v>
      </c>
      <c r="S187" s="296">
        <v>2026.0</v>
      </c>
      <c r="T187" s="235" t="s">
        <v>28</v>
      </c>
      <c r="U187" s="296">
        <v>0.0</v>
      </c>
      <c r="V187" s="315">
        <v>46174.0</v>
      </c>
      <c r="W187" s="296">
        <v>1.0</v>
      </c>
      <c r="X187" s="296">
        <v>6.0</v>
      </c>
      <c r="Y187" s="296">
        <v>2026.0</v>
      </c>
      <c r="Z187" s="235" t="s">
        <v>28</v>
      </c>
    </row>
    <row r="188">
      <c r="A188" s="293" t="s">
        <v>932</v>
      </c>
      <c r="B188" s="295">
        <v>6.29141534E9</v>
      </c>
      <c r="C188" s="295">
        <v>46161.0</v>
      </c>
      <c r="D188" s="296">
        <v>19.0</v>
      </c>
      <c r="E188" s="296">
        <v>5.0</v>
      </c>
      <c r="F188" s="296">
        <v>2026.0</v>
      </c>
      <c r="G188" s="295">
        <v>46163.0</v>
      </c>
      <c r="H188" s="296">
        <v>21.0</v>
      </c>
      <c r="I188" s="269">
        <v>5.0</v>
      </c>
      <c r="J188" s="296">
        <v>2026.0</v>
      </c>
      <c r="K188" s="235" t="s">
        <v>28</v>
      </c>
      <c r="L188" s="235" t="s">
        <v>518</v>
      </c>
      <c r="M188" s="296">
        <v>1.0</v>
      </c>
      <c r="N188" s="296">
        <v>2.0</v>
      </c>
      <c r="O188" s="296">
        <v>4.0</v>
      </c>
      <c r="P188" s="315">
        <v>46174.0</v>
      </c>
      <c r="Q188" s="213">
        <v>1.0</v>
      </c>
      <c r="R188" s="213">
        <v>6.0</v>
      </c>
      <c r="S188" s="296">
        <v>2026.0</v>
      </c>
      <c r="T188" s="235" t="s">
        <v>28</v>
      </c>
      <c r="U188" s="296">
        <v>75.18</v>
      </c>
      <c r="V188" s="315">
        <v>46174.0</v>
      </c>
      <c r="W188" s="296">
        <v>1.0</v>
      </c>
      <c r="X188" s="296">
        <v>6.0</v>
      </c>
      <c r="Y188" s="296">
        <v>2026.0</v>
      </c>
      <c r="Z188" s="235" t="s">
        <v>28</v>
      </c>
    </row>
    <row r="189">
      <c r="A189" s="293" t="s">
        <v>933</v>
      </c>
      <c r="B189" s="299">
        <v>6.818535681E9</v>
      </c>
      <c r="C189" s="295">
        <v>46152.0</v>
      </c>
      <c r="D189" s="296">
        <v>10.0</v>
      </c>
      <c r="E189" s="296">
        <v>5.0</v>
      </c>
      <c r="F189" s="296">
        <v>2026.0</v>
      </c>
      <c r="G189" s="295">
        <v>46157.0</v>
      </c>
      <c r="H189" s="269">
        <v>15.0</v>
      </c>
      <c r="I189" s="296">
        <v>5.0</v>
      </c>
      <c r="J189" s="269">
        <v>2026.0</v>
      </c>
      <c r="K189" s="235" t="s">
        <v>28</v>
      </c>
      <c r="L189" s="235" t="s">
        <v>895</v>
      </c>
      <c r="M189" s="296">
        <v>1.0</v>
      </c>
      <c r="N189" s="269">
        <v>5.0</v>
      </c>
      <c r="O189" s="296">
        <v>0.0</v>
      </c>
      <c r="P189" s="315">
        <v>46174.0</v>
      </c>
      <c r="Q189" s="213">
        <v>1.0</v>
      </c>
      <c r="R189" s="213">
        <v>6.0</v>
      </c>
      <c r="S189" s="296">
        <v>2026.0</v>
      </c>
      <c r="T189" s="235" t="s">
        <v>28</v>
      </c>
      <c r="U189" s="296">
        <v>0.0</v>
      </c>
      <c r="V189" s="315">
        <v>46174.0</v>
      </c>
      <c r="W189" s="296">
        <v>1.0</v>
      </c>
      <c r="X189" s="296">
        <v>6.0</v>
      </c>
      <c r="Y189" s="296">
        <v>2026.0</v>
      </c>
      <c r="Z189" s="235" t="s">
        <v>28</v>
      </c>
    </row>
    <row r="190">
      <c r="A190" s="293" t="s">
        <v>934</v>
      </c>
      <c r="B190" s="295">
        <v>5.866790907E9</v>
      </c>
      <c r="C190" s="295">
        <v>46163.0</v>
      </c>
      <c r="D190" s="296">
        <v>21.0</v>
      </c>
      <c r="E190" s="296">
        <v>5.0</v>
      </c>
      <c r="F190" s="296">
        <v>2026.0</v>
      </c>
      <c r="G190" s="295">
        <v>46165.0</v>
      </c>
      <c r="H190" s="296">
        <v>23.0</v>
      </c>
      <c r="I190" s="269">
        <v>5.0</v>
      </c>
      <c r="J190" s="296">
        <v>2026.0</v>
      </c>
      <c r="K190" s="235" t="s">
        <v>28</v>
      </c>
      <c r="L190" s="235" t="s">
        <v>518</v>
      </c>
      <c r="M190" s="296">
        <v>1.0</v>
      </c>
      <c r="N190" s="296">
        <v>2.0</v>
      </c>
      <c r="O190" s="296">
        <v>4.0</v>
      </c>
      <c r="P190" s="315">
        <v>46174.0</v>
      </c>
      <c r="Q190" s="213">
        <v>1.0</v>
      </c>
      <c r="R190" s="213">
        <v>6.0</v>
      </c>
      <c r="S190" s="296">
        <v>2026.0</v>
      </c>
      <c r="T190" s="235" t="s">
        <v>28</v>
      </c>
      <c r="U190" s="296">
        <v>75.18</v>
      </c>
      <c r="V190" s="315">
        <v>46174.0</v>
      </c>
      <c r="W190" s="296">
        <v>1.0</v>
      </c>
      <c r="X190" s="296">
        <v>6.0</v>
      </c>
      <c r="Y190" s="296">
        <v>2026.0</v>
      </c>
      <c r="Z190" s="235" t="s">
        <v>28</v>
      </c>
    </row>
    <row r="191">
      <c r="A191" s="293" t="s">
        <v>935</v>
      </c>
      <c r="B191" s="299">
        <v>5.531339638E9</v>
      </c>
      <c r="C191" s="295">
        <v>46147.0</v>
      </c>
      <c r="D191" s="296">
        <v>5.0</v>
      </c>
      <c r="E191" s="296">
        <v>5.0</v>
      </c>
      <c r="F191" s="296">
        <v>2026.0</v>
      </c>
      <c r="G191" s="295">
        <v>46148.0</v>
      </c>
      <c r="H191" s="269">
        <v>6.0</v>
      </c>
      <c r="I191" s="296">
        <v>5.0</v>
      </c>
      <c r="J191" s="269">
        <v>2026.0</v>
      </c>
      <c r="K191" s="235" t="s">
        <v>28</v>
      </c>
      <c r="L191" s="235" t="s">
        <v>895</v>
      </c>
      <c r="M191" s="296">
        <v>1.0</v>
      </c>
      <c r="N191" s="269">
        <v>1.0</v>
      </c>
      <c r="O191" s="296">
        <v>0.0</v>
      </c>
      <c r="P191" s="315">
        <v>46174.0</v>
      </c>
      <c r="Q191" s="213">
        <v>1.0</v>
      </c>
      <c r="R191" s="213">
        <v>6.0</v>
      </c>
      <c r="S191" s="296">
        <v>2026.0</v>
      </c>
      <c r="T191" s="235" t="s">
        <v>28</v>
      </c>
      <c r="U191" s="296">
        <v>0.0</v>
      </c>
      <c r="V191" s="315">
        <v>46174.0</v>
      </c>
      <c r="W191" s="296">
        <v>1.0</v>
      </c>
      <c r="X191" s="296">
        <v>6.0</v>
      </c>
      <c r="Y191" s="296">
        <v>2026.0</v>
      </c>
      <c r="Z191" s="235" t="s">
        <v>28</v>
      </c>
    </row>
    <row r="192">
      <c r="A192" s="293" t="s">
        <v>936</v>
      </c>
      <c r="B192" s="295">
        <v>6.093573812E9</v>
      </c>
      <c r="C192" s="295">
        <v>46155.0</v>
      </c>
      <c r="D192" s="296">
        <v>13.0</v>
      </c>
      <c r="E192" s="296">
        <v>5.0</v>
      </c>
      <c r="F192" s="296">
        <v>2026.0</v>
      </c>
      <c r="G192" s="295">
        <v>46158.0</v>
      </c>
      <c r="H192" s="296">
        <v>16.0</v>
      </c>
      <c r="I192" s="269">
        <v>5.0</v>
      </c>
      <c r="J192" s="296">
        <v>2026.0</v>
      </c>
      <c r="K192" s="235" t="s">
        <v>28</v>
      </c>
      <c r="L192" s="235" t="s">
        <v>518</v>
      </c>
      <c r="M192" s="296">
        <v>1.0</v>
      </c>
      <c r="N192" s="296">
        <v>3.0</v>
      </c>
      <c r="O192" s="296">
        <v>6.0</v>
      </c>
      <c r="P192" s="315">
        <v>46174.0</v>
      </c>
      <c r="Q192" s="213">
        <v>1.0</v>
      </c>
      <c r="R192" s="213">
        <v>6.0</v>
      </c>
      <c r="S192" s="296">
        <v>2026.0</v>
      </c>
      <c r="T192" s="235" t="s">
        <v>28</v>
      </c>
      <c r="U192" s="296">
        <v>112.78</v>
      </c>
      <c r="V192" s="315">
        <v>46174.0</v>
      </c>
      <c r="W192" s="296">
        <v>1.0</v>
      </c>
      <c r="X192" s="296">
        <v>6.0</v>
      </c>
      <c r="Y192" s="296">
        <v>2026.0</v>
      </c>
      <c r="Z192" s="235" t="s">
        <v>28</v>
      </c>
    </row>
    <row r="193">
      <c r="A193" s="293" t="s">
        <v>937</v>
      </c>
      <c r="B193" s="295">
        <v>5.177349333E9</v>
      </c>
      <c r="C193" s="295">
        <v>46149.0</v>
      </c>
      <c r="D193" s="296">
        <v>7.0</v>
      </c>
      <c r="E193" s="296">
        <v>5.0</v>
      </c>
      <c r="F193" s="296">
        <v>2026.0</v>
      </c>
      <c r="G193" s="295">
        <v>46154.0</v>
      </c>
      <c r="H193" s="296">
        <v>12.0</v>
      </c>
      <c r="I193" s="269">
        <v>5.0</v>
      </c>
      <c r="J193" s="296">
        <v>2026.0</v>
      </c>
      <c r="K193" s="235" t="s">
        <v>28</v>
      </c>
      <c r="L193" s="235" t="s">
        <v>518</v>
      </c>
      <c r="M193" s="296">
        <v>1.0</v>
      </c>
      <c r="N193" s="296">
        <v>5.0</v>
      </c>
      <c r="O193" s="296">
        <v>10.0</v>
      </c>
      <c r="P193" s="315">
        <v>46174.0</v>
      </c>
      <c r="Q193" s="213">
        <v>1.0</v>
      </c>
      <c r="R193" s="213">
        <v>6.0</v>
      </c>
      <c r="S193" s="296">
        <v>2026.0</v>
      </c>
      <c r="T193" s="235" t="s">
        <v>28</v>
      </c>
      <c r="U193" s="296">
        <v>187.96</v>
      </c>
      <c r="V193" s="315">
        <v>46174.0</v>
      </c>
      <c r="W193" s="296">
        <v>1.0</v>
      </c>
      <c r="X193" s="296">
        <v>6.0</v>
      </c>
      <c r="Y193" s="296">
        <v>2026.0</v>
      </c>
      <c r="Z193" s="235" t="s">
        <v>28</v>
      </c>
    </row>
    <row r="194">
      <c r="A194" s="293" t="s">
        <v>938</v>
      </c>
      <c r="B194" s="295">
        <v>6.751782349E9</v>
      </c>
      <c r="C194" s="295">
        <v>46152.0</v>
      </c>
      <c r="D194" s="296">
        <v>10.0</v>
      </c>
      <c r="E194" s="296">
        <v>5.0</v>
      </c>
      <c r="F194" s="296">
        <v>2026.0</v>
      </c>
      <c r="G194" s="295">
        <v>46153.0</v>
      </c>
      <c r="H194" s="296">
        <v>11.0</v>
      </c>
      <c r="I194" s="269">
        <v>5.0</v>
      </c>
      <c r="J194" s="296">
        <v>2026.0</v>
      </c>
      <c r="K194" s="235" t="s">
        <v>28</v>
      </c>
      <c r="L194" s="235" t="s">
        <v>518</v>
      </c>
      <c r="M194" s="296">
        <v>1.0</v>
      </c>
      <c r="N194" s="296">
        <v>1.0</v>
      </c>
      <c r="O194" s="296">
        <v>2.0</v>
      </c>
      <c r="P194" s="315">
        <v>46174.0</v>
      </c>
      <c r="Q194" s="213">
        <v>1.0</v>
      </c>
      <c r="R194" s="213">
        <v>6.0</v>
      </c>
      <c r="S194" s="296">
        <v>2026.0</v>
      </c>
      <c r="T194" s="235" t="s">
        <v>28</v>
      </c>
      <c r="U194" s="296">
        <v>37.59</v>
      </c>
      <c r="V194" s="315">
        <v>46174.0</v>
      </c>
      <c r="W194" s="296">
        <v>1.0</v>
      </c>
      <c r="X194" s="296">
        <v>6.0</v>
      </c>
      <c r="Y194" s="296">
        <v>2026.0</v>
      </c>
      <c r="Z194" s="235" t="s">
        <v>28</v>
      </c>
    </row>
    <row r="195">
      <c r="A195" s="293" t="s">
        <v>939</v>
      </c>
      <c r="B195" s="295">
        <v>5.688456278E9</v>
      </c>
      <c r="C195" s="295">
        <v>46150.0</v>
      </c>
      <c r="D195" s="296">
        <v>8.0</v>
      </c>
      <c r="E195" s="296">
        <v>5.0</v>
      </c>
      <c r="F195" s="296">
        <v>2026.0</v>
      </c>
      <c r="G195" s="295">
        <v>46154.0</v>
      </c>
      <c r="H195" s="296">
        <v>12.0</v>
      </c>
      <c r="I195" s="269">
        <v>5.0</v>
      </c>
      <c r="J195" s="296">
        <v>2026.0</v>
      </c>
      <c r="K195" s="235" t="s">
        <v>28</v>
      </c>
      <c r="L195" s="235" t="s">
        <v>518</v>
      </c>
      <c r="M195" s="296">
        <v>2.0</v>
      </c>
      <c r="N195" s="296">
        <v>4.0</v>
      </c>
      <c r="O195" s="296">
        <v>14.0</v>
      </c>
      <c r="P195" s="315">
        <v>46174.0</v>
      </c>
      <c r="Q195" s="213">
        <v>1.0</v>
      </c>
      <c r="R195" s="213">
        <v>6.0</v>
      </c>
      <c r="S195" s="296">
        <v>2026.0</v>
      </c>
      <c r="T195" s="235" t="s">
        <v>28</v>
      </c>
      <c r="U195" s="296">
        <v>300.74</v>
      </c>
      <c r="V195" s="315">
        <v>46174.0</v>
      </c>
      <c r="W195" s="296">
        <v>1.0</v>
      </c>
      <c r="X195" s="296">
        <v>6.0</v>
      </c>
      <c r="Y195" s="296">
        <v>2026.0</v>
      </c>
      <c r="Z195" s="235" t="s">
        <v>28</v>
      </c>
    </row>
    <row r="196">
      <c r="A196" s="293" t="s">
        <v>940</v>
      </c>
      <c r="B196" s="295">
        <v>6.078643948E9</v>
      </c>
      <c r="C196" s="295">
        <v>46149.0</v>
      </c>
      <c r="D196" s="296">
        <v>7.0</v>
      </c>
      <c r="E196" s="296">
        <v>5.0</v>
      </c>
      <c r="F196" s="296">
        <v>2026.0</v>
      </c>
      <c r="G196" s="295">
        <v>46150.0</v>
      </c>
      <c r="H196" s="296">
        <v>8.0</v>
      </c>
      <c r="I196" s="269">
        <v>5.0</v>
      </c>
      <c r="J196" s="296">
        <v>2026.0</v>
      </c>
      <c r="K196" s="235" t="s">
        <v>28</v>
      </c>
      <c r="L196" s="235" t="s">
        <v>518</v>
      </c>
      <c r="M196" s="296">
        <v>1.0</v>
      </c>
      <c r="N196" s="296">
        <v>1.0</v>
      </c>
      <c r="O196" s="296">
        <v>2.0</v>
      </c>
      <c r="P196" s="315">
        <v>46174.0</v>
      </c>
      <c r="Q196" s="213">
        <v>1.0</v>
      </c>
      <c r="R196" s="213">
        <v>6.0</v>
      </c>
      <c r="S196" s="296">
        <v>2026.0</v>
      </c>
      <c r="T196" s="235" t="s">
        <v>28</v>
      </c>
      <c r="U196" s="296">
        <v>37.59</v>
      </c>
      <c r="V196" s="315">
        <v>46174.0</v>
      </c>
      <c r="W196" s="296">
        <v>1.0</v>
      </c>
      <c r="X196" s="296">
        <v>6.0</v>
      </c>
      <c r="Y196" s="296">
        <v>2026.0</v>
      </c>
      <c r="Z196" s="235" t="s">
        <v>28</v>
      </c>
    </row>
    <row r="197">
      <c r="A197" s="293" t="s">
        <v>941</v>
      </c>
      <c r="B197" s="299">
        <v>5.06395719E9</v>
      </c>
      <c r="C197" s="295">
        <v>46157.0</v>
      </c>
      <c r="D197" s="296">
        <v>15.0</v>
      </c>
      <c r="E197" s="296">
        <v>5.0</v>
      </c>
      <c r="F197" s="296">
        <v>2026.0</v>
      </c>
      <c r="G197" s="295">
        <v>46158.0</v>
      </c>
      <c r="H197" s="269">
        <v>16.0</v>
      </c>
      <c r="I197" s="296">
        <v>5.0</v>
      </c>
      <c r="J197" s="269">
        <v>2026.0</v>
      </c>
      <c r="K197" s="235" t="s">
        <v>28</v>
      </c>
      <c r="L197" s="235" t="s">
        <v>895</v>
      </c>
      <c r="M197" s="296">
        <v>1.0</v>
      </c>
      <c r="N197" s="269">
        <v>1.0</v>
      </c>
      <c r="O197" s="296">
        <v>0.0</v>
      </c>
      <c r="P197" s="315">
        <v>46174.0</v>
      </c>
      <c r="Q197" s="213">
        <v>1.0</v>
      </c>
      <c r="R197" s="213">
        <v>6.0</v>
      </c>
      <c r="S197" s="296">
        <v>2026.0</v>
      </c>
      <c r="T197" s="235" t="s">
        <v>28</v>
      </c>
      <c r="U197" s="296">
        <v>0.0</v>
      </c>
      <c r="V197" s="315">
        <v>46174.0</v>
      </c>
      <c r="W197" s="296">
        <v>1.0</v>
      </c>
      <c r="X197" s="296">
        <v>6.0</v>
      </c>
      <c r="Y197" s="296">
        <v>2026.0</v>
      </c>
      <c r="Z197" s="235" t="s">
        <v>28</v>
      </c>
    </row>
    <row r="198">
      <c r="A198" s="293" t="s">
        <v>942</v>
      </c>
      <c r="B198" s="295">
        <v>6.223025113E9</v>
      </c>
      <c r="C198" s="295">
        <v>46154.0</v>
      </c>
      <c r="D198" s="296">
        <v>12.0</v>
      </c>
      <c r="E198" s="296">
        <v>5.0</v>
      </c>
      <c r="F198" s="296">
        <v>2026.0</v>
      </c>
      <c r="G198" s="295">
        <v>46160.0</v>
      </c>
      <c r="H198" s="296">
        <v>18.0</v>
      </c>
      <c r="I198" s="269">
        <v>5.0</v>
      </c>
      <c r="J198" s="296">
        <v>2026.0</v>
      </c>
      <c r="K198" s="235" t="s">
        <v>28</v>
      </c>
      <c r="L198" s="235" t="s">
        <v>518</v>
      </c>
      <c r="M198" s="296">
        <v>1.0</v>
      </c>
      <c r="N198" s="296">
        <v>6.0</v>
      </c>
      <c r="O198" s="296">
        <v>12.0</v>
      </c>
      <c r="P198" s="315">
        <v>46174.0</v>
      </c>
      <c r="Q198" s="213">
        <v>1.0</v>
      </c>
      <c r="R198" s="213">
        <v>6.0</v>
      </c>
      <c r="S198" s="296">
        <v>2026.0</v>
      </c>
      <c r="T198" s="235" t="s">
        <v>28</v>
      </c>
      <c r="U198" s="296">
        <v>204.65</v>
      </c>
      <c r="V198" s="315">
        <v>46174.0</v>
      </c>
      <c r="W198" s="296">
        <v>1.0</v>
      </c>
      <c r="X198" s="296">
        <v>6.0</v>
      </c>
      <c r="Y198" s="296">
        <v>2026.0</v>
      </c>
      <c r="Z198" s="235" t="s">
        <v>28</v>
      </c>
    </row>
    <row r="199">
      <c r="A199" s="293" t="s">
        <v>943</v>
      </c>
      <c r="B199" s="295">
        <v>5.216679653E9</v>
      </c>
      <c r="C199" s="295">
        <v>46164.0</v>
      </c>
      <c r="D199" s="296">
        <v>22.0</v>
      </c>
      <c r="E199" s="296">
        <v>5.0</v>
      </c>
      <c r="F199" s="296">
        <v>2026.0</v>
      </c>
      <c r="G199" s="295">
        <v>46165.0</v>
      </c>
      <c r="H199" s="296">
        <v>23.0</v>
      </c>
      <c r="I199" s="269">
        <v>5.0</v>
      </c>
      <c r="J199" s="296">
        <v>2026.0</v>
      </c>
      <c r="K199" s="235" t="s">
        <v>28</v>
      </c>
      <c r="L199" s="235" t="s">
        <v>518</v>
      </c>
      <c r="M199" s="296">
        <v>1.0</v>
      </c>
      <c r="N199" s="296">
        <v>1.0</v>
      </c>
      <c r="O199" s="296">
        <v>2.0</v>
      </c>
      <c r="P199" s="315">
        <v>46174.0</v>
      </c>
      <c r="Q199" s="213">
        <v>1.0</v>
      </c>
      <c r="R199" s="213">
        <v>6.0</v>
      </c>
      <c r="S199" s="296">
        <v>2026.0</v>
      </c>
      <c r="T199" s="235" t="s">
        <v>28</v>
      </c>
      <c r="U199" s="296">
        <v>41.77</v>
      </c>
      <c r="V199" s="315">
        <v>46174.0</v>
      </c>
      <c r="W199" s="296">
        <v>1.0</v>
      </c>
      <c r="X199" s="296">
        <v>6.0</v>
      </c>
      <c r="Y199" s="296">
        <v>2026.0</v>
      </c>
      <c r="Z199" s="235" t="s">
        <v>28</v>
      </c>
    </row>
    <row r="200">
      <c r="A200" s="293" t="s">
        <v>943</v>
      </c>
      <c r="B200" s="299">
        <v>6.642694487E9</v>
      </c>
      <c r="C200" s="295">
        <v>46167.0</v>
      </c>
      <c r="D200" s="296">
        <v>25.0</v>
      </c>
      <c r="E200" s="296">
        <v>5.0</v>
      </c>
      <c r="F200" s="296">
        <v>2026.0</v>
      </c>
      <c r="G200" s="295">
        <v>46168.0</v>
      </c>
      <c r="H200" s="269">
        <v>26.0</v>
      </c>
      <c r="I200" s="296">
        <v>5.0</v>
      </c>
      <c r="J200" s="269">
        <v>2026.0</v>
      </c>
      <c r="K200" s="235" t="s">
        <v>28</v>
      </c>
      <c r="L200" s="235" t="s">
        <v>895</v>
      </c>
      <c r="M200" s="296">
        <v>1.0</v>
      </c>
      <c r="N200" s="269">
        <v>1.0</v>
      </c>
      <c r="O200" s="296">
        <v>0.0</v>
      </c>
      <c r="P200" s="315">
        <v>46174.0</v>
      </c>
      <c r="Q200" s="213">
        <v>1.0</v>
      </c>
      <c r="R200" s="213">
        <v>6.0</v>
      </c>
      <c r="S200" s="296">
        <v>2026.0</v>
      </c>
      <c r="T200" s="235" t="s">
        <v>28</v>
      </c>
      <c r="U200" s="296">
        <v>0.0</v>
      </c>
      <c r="V200" s="315">
        <v>46174.0</v>
      </c>
      <c r="W200" s="296">
        <v>1.0</v>
      </c>
      <c r="X200" s="296">
        <v>6.0</v>
      </c>
      <c r="Y200" s="296">
        <v>2026.0</v>
      </c>
      <c r="Z200" s="235" t="s">
        <v>28</v>
      </c>
    </row>
    <row r="201">
      <c r="A201" s="293" t="s">
        <v>945</v>
      </c>
      <c r="B201" s="295">
        <v>6.211965895E9</v>
      </c>
      <c r="C201" s="295">
        <v>46144.0</v>
      </c>
      <c r="D201" s="296">
        <v>2.0</v>
      </c>
      <c r="E201" s="296">
        <v>5.0</v>
      </c>
      <c r="F201" s="296">
        <v>2026.0</v>
      </c>
      <c r="G201" s="295">
        <v>46147.0</v>
      </c>
      <c r="H201" s="296">
        <v>5.0</v>
      </c>
      <c r="I201" s="269">
        <v>5.0</v>
      </c>
      <c r="J201" s="296">
        <v>2026.0</v>
      </c>
      <c r="K201" s="235" t="s">
        <v>28</v>
      </c>
      <c r="L201" s="235" t="s">
        <v>895</v>
      </c>
      <c r="M201" s="296">
        <v>1.0</v>
      </c>
      <c r="N201" s="296">
        <v>3.0</v>
      </c>
      <c r="O201" s="296">
        <v>0.0</v>
      </c>
      <c r="P201" s="315">
        <v>46174.0</v>
      </c>
      <c r="Q201" s="213">
        <v>1.0</v>
      </c>
      <c r="R201" s="213">
        <v>6.0</v>
      </c>
      <c r="S201" s="296">
        <v>2026.0</v>
      </c>
      <c r="T201" s="235" t="s">
        <v>28</v>
      </c>
      <c r="U201" s="296">
        <v>0.0</v>
      </c>
      <c r="V201" s="315">
        <v>46174.0</v>
      </c>
      <c r="W201" s="296">
        <v>1.0</v>
      </c>
      <c r="X201" s="296">
        <v>6.0</v>
      </c>
      <c r="Y201" s="296">
        <v>2026.0</v>
      </c>
      <c r="Z201" s="235" t="s">
        <v>28</v>
      </c>
    </row>
    <row r="202">
      <c r="A202" s="293" t="s">
        <v>946</v>
      </c>
      <c r="B202" s="295">
        <v>6.548000645E9</v>
      </c>
      <c r="C202" s="295">
        <v>46160.0</v>
      </c>
      <c r="D202" s="296">
        <v>18.0</v>
      </c>
      <c r="E202" s="296">
        <v>5.0</v>
      </c>
      <c r="F202" s="296">
        <v>2026.0</v>
      </c>
      <c r="G202" s="295">
        <v>46161.0</v>
      </c>
      <c r="H202" s="296">
        <v>19.0</v>
      </c>
      <c r="I202" s="269">
        <v>5.0</v>
      </c>
      <c r="J202" s="296">
        <v>2026.0</v>
      </c>
      <c r="K202" s="235" t="s">
        <v>28</v>
      </c>
      <c r="L202" s="235" t="s">
        <v>518</v>
      </c>
      <c r="M202" s="296">
        <v>1.0</v>
      </c>
      <c r="N202" s="296">
        <v>1.0</v>
      </c>
      <c r="O202" s="296">
        <v>2.0</v>
      </c>
      <c r="P202" s="315">
        <v>46174.0</v>
      </c>
      <c r="Q202" s="213">
        <v>1.0</v>
      </c>
      <c r="R202" s="213">
        <v>6.0</v>
      </c>
      <c r="S202" s="296">
        <v>2026.0</v>
      </c>
      <c r="T202" s="235" t="s">
        <v>28</v>
      </c>
      <c r="U202" s="296">
        <v>37.59</v>
      </c>
      <c r="V202" s="315">
        <v>46174.0</v>
      </c>
      <c r="W202" s="296">
        <v>1.0</v>
      </c>
      <c r="X202" s="296">
        <v>6.0</v>
      </c>
      <c r="Y202" s="296">
        <v>2026.0</v>
      </c>
      <c r="Z202" s="235" t="s">
        <v>28</v>
      </c>
    </row>
    <row r="203">
      <c r="A203" s="293" t="s">
        <v>948</v>
      </c>
      <c r="B203" s="295">
        <v>6.534577499E9</v>
      </c>
      <c r="C203" s="295">
        <v>46151.0</v>
      </c>
      <c r="D203" s="296">
        <v>9.0</v>
      </c>
      <c r="E203" s="296">
        <v>5.0</v>
      </c>
      <c r="F203" s="296">
        <v>2026.0</v>
      </c>
      <c r="G203" s="295">
        <v>46153.0</v>
      </c>
      <c r="H203" s="296">
        <v>11.0</v>
      </c>
      <c r="I203" s="269">
        <v>5.0</v>
      </c>
      <c r="J203" s="296">
        <v>2026.0</v>
      </c>
      <c r="K203" s="235" t="s">
        <v>28</v>
      </c>
      <c r="L203" s="235" t="s">
        <v>518</v>
      </c>
      <c r="M203" s="296">
        <v>1.0</v>
      </c>
      <c r="N203" s="296">
        <v>2.0</v>
      </c>
      <c r="O203" s="296">
        <v>4.0</v>
      </c>
      <c r="P203" s="315">
        <v>46174.0</v>
      </c>
      <c r="Q203" s="213">
        <v>1.0</v>
      </c>
      <c r="R203" s="213">
        <v>6.0</v>
      </c>
      <c r="S203" s="296">
        <v>2026.0</v>
      </c>
      <c r="T203" s="235" t="s">
        <v>28</v>
      </c>
      <c r="U203" s="296">
        <v>75.18</v>
      </c>
      <c r="V203" s="315">
        <v>46174.0</v>
      </c>
      <c r="W203" s="296">
        <v>1.0</v>
      </c>
      <c r="X203" s="296">
        <v>6.0</v>
      </c>
      <c r="Y203" s="296">
        <v>2026.0</v>
      </c>
      <c r="Z203" s="235" t="s">
        <v>28</v>
      </c>
    </row>
    <row r="204">
      <c r="A204" s="293" t="s">
        <v>950</v>
      </c>
      <c r="B204" s="295">
        <v>6.464230483E9</v>
      </c>
      <c r="C204" s="295">
        <v>46163.0</v>
      </c>
      <c r="D204" s="296">
        <v>21.0</v>
      </c>
      <c r="E204" s="296">
        <v>5.0</v>
      </c>
      <c r="F204" s="296">
        <v>2026.0</v>
      </c>
      <c r="G204" s="295">
        <v>46166.0</v>
      </c>
      <c r="H204" s="296">
        <v>24.0</v>
      </c>
      <c r="I204" s="269">
        <v>5.0</v>
      </c>
      <c r="J204" s="296">
        <v>2026.0</v>
      </c>
      <c r="K204" s="235" t="s">
        <v>28</v>
      </c>
      <c r="L204" s="235" t="s">
        <v>518</v>
      </c>
      <c r="M204" s="296">
        <v>1.0</v>
      </c>
      <c r="N204" s="296">
        <v>3.0</v>
      </c>
      <c r="O204" s="296">
        <v>6.0</v>
      </c>
      <c r="P204" s="315">
        <v>46174.0</v>
      </c>
      <c r="Q204" s="213">
        <v>1.0</v>
      </c>
      <c r="R204" s="213">
        <v>6.0</v>
      </c>
      <c r="S204" s="296">
        <v>2026.0</v>
      </c>
      <c r="T204" s="235" t="s">
        <v>28</v>
      </c>
      <c r="U204" s="296">
        <v>112.78</v>
      </c>
      <c r="V204" s="315">
        <v>46174.0</v>
      </c>
      <c r="W204" s="296">
        <v>1.0</v>
      </c>
      <c r="X204" s="296">
        <v>6.0</v>
      </c>
      <c r="Y204" s="296">
        <v>2026.0</v>
      </c>
      <c r="Z204" s="235" t="s">
        <v>28</v>
      </c>
    </row>
    <row r="205">
      <c r="A205" s="293" t="s">
        <v>951</v>
      </c>
      <c r="B205" s="295">
        <v>6.007769858E9</v>
      </c>
      <c r="C205" s="295">
        <v>46150.0</v>
      </c>
      <c r="D205" s="296">
        <v>8.0</v>
      </c>
      <c r="E205" s="296">
        <v>5.0</v>
      </c>
      <c r="F205" s="296">
        <v>2026.0</v>
      </c>
      <c r="G205" s="295">
        <v>46151.0</v>
      </c>
      <c r="H205" s="296">
        <v>9.0</v>
      </c>
      <c r="I205" s="269">
        <v>5.0</v>
      </c>
      <c r="J205" s="296">
        <v>2026.0</v>
      </c>
      <c r="K205" s="235" t="s">
        <v>28</v>
      </c>
      <c r="L205" s="235" t="s">
        <v>518</v>
      </c>
      <c r="M205" s="296">
        <v>1.0</v>
      </c>
      <c r="N205" s="296">
        <v>1.0</v>
      </c>
      <c r="O205" s="296">
        <v>2.0</v>
      </c>
      <c r="P205" s="315">
        <v>46174.0</v>
      </c>
      <c r="Q205" s="213">
        <v>1.0</v>
      </c>
      <c r="R205" s="213">
        <v>6.0</v>
      </c>
      <c r="S205" s="296">
        <v>2026.0</v>
      </c>
      <c r="T205" s="235" t="s">
        <v>28</v>
      </c>
      <c r="U205" s="296">
        <v>37.59</v>
      </c>
      <c r="V205" s="315">
        <v>46174.0</v>
      </c>
      <c r="W205" s="296">
        <v>1.0</v>
      </c>
      <c r="X205" s="296">
        <v>6.0</v>
      </c>
      <c r="Y205" s="296">
        <v>2026.0</v>
      </c>
      <c r="Z205" s="235" t="s">
        <v>28</v>
      </c>
    </row>
    <row r="206">
      <c r="A206" s="293" t="s">
        <v>952</v>
      </c>
      <c r="B206" s="299">
        <v>5.126530311E9</v>
      </c>
      <c r="C206" s="295">
        <v>46150.0</v>
      </c>
      <c r="D206" s="296">
        <v>8.0</v>
      </c>
      <c r="E206" s="296">
        <v>5.0</v>
      </c>
      <c r="F206" s="296">
        <v>2026.0</v>
      </c>
      <c r="G206" s="295">
        <v>46151.0</v>
      </c>
      <c r="H206" s="269">
        <v>9.0</v>
      </c>
      <c r="I206" s="296">
        <v>5.0</v>
      </c>
      <c r="J206" s="269">
        <v>2026.0</v>
      </c>
      <c r="K206" s="235" t="s">
        <v>28</v>
      </c>
      <c r="L206" s="235" t="s">
        <v>895</v>
      </c>
      <c r="M206" s="296">
        <v>1.0</v>
      </c>
      <c r="N206" s="269">
        <v>1.0</v>
      </c>
      <c r="O206" s="296">
        <v>0.0</v>
      </c>
      <c r="P206" s="315">
        <v>46174.0</v>
      </c>
      <c r="Q206" s="213">
        <v>1.0</v>
      </c>
      <c r="R206" s="213">
        <v>6.0</v>
      </c>
      <c r="S206" s="296">
        <v>2026.0</v>
      </c>
      <c r="T206" s="235" t="s">
        <v>28</v>
      </c>
      <c r="U206" s="296">
        <v>0.0</v>
      </c>
      <c r="V206" s="315">
        <v>46174.0</v>
      </c>
      <c r="W206" s="296">
        <v>1.0</v>
      </c>
      <c r="X206" s="296">
        <v>6.0</v>
      </c>
      <c r="Y206" s="296">
        <v>2026.0</v>
      </c>
      <c r="Z206" s="235" t="s">
        <v>28</v>
      </c>
    </row>
    <row r="207">
      <c r="A207" s="293" t="s">
        <v>954</v>
      </c>
      <c r="B207" s="299">
        <v>6.804769722E9</v>
      </c>
      <c r="C207" s="295">
        <v>46169.0</v>
      </c>
      <c r="D207" s="296">
        <v>27.0</v>
      </c>
      <c r="E207" s="296">
        <v>5.0</v>
      </c>
      <c r="F207" s="296">
        <v>2026.0</v>
      </c>
      <c r="G207" s="295">
        <v>46170.0</v>
      </c>
      <c r="H207" s="269">
        <v>28.0</v>
      </c>
      <c r="I207" s="296">
        <v>5.0</v>
      </c>
      <c r="J207" s="269">
        <v>2026.0</v>
      </c>
      <c r="K207" s="235" t="s">
        <v>28</v>
      </c>
      <c r="L207" s="235" t="s">
        <v>895</v>
      </c>
      <c r="M207" s="296">
        <v>2.0</v>
      </c>
      <c r="N207" s="269">
        <v>1.0</v>
      </c>
      <c r="O207" s="296">
        <v>0.0</v>
      </c>
      <c r="P207" s="315">
        <v>46174.0</v>
      </c>
      <c r="Q207" s="213">
        <v>1.0</v>
      </c>
      <c r="R207" s="213">
        <v>6.0</v>
      </c>
      <c r="S207" s="296">
        <v>2026.0</v>
      </c>
      <c r="T207" s="235" t="s">
        <v>28</v>
      </c>
      <c r="U207" s="296">
        <v>0.0</v>
      </c>
      <c r="V207" s="315">
        <v>46174.0</v>
      </c>
      <c r="W207" s="296">
        <v>1.0</v>
      </c>
      <c r="X207" s="296">
        <v>6.0</v>
      </c>
      <c r="Y207" s="296">
        <v>2026.0</v>
      </c>
      <c r="Z207" s="235" t="s">
        <v>28</v>
      </c>
    </row>
    <row r="208">
      <c r="A208" s="293" t="s">
        <v>956</v>
      </c>
      <c r="B208" s="295">
        <v>5.213280492E9</v>
      </c>
      <c r="C208" s="295">
        <v>46159.0</v>
      </c>
      <c r="D208" s="296">
        <v>17.0</v>
      </c>
      <c r="E208" s="296">
        <v>5.0</v>
      </c>
      <c r="F208" s="296">
        <v>2026.0</v>
      </c>
      <c r="G208" s="295">
        <v>46160.0</v>
      </c>
      <c r="H208" s="296">
        <v>18.0</v>
      </c>
      <c r="I208" s="269">
        <v>5.0</v>
      </c>
      <c r="J208" s="296">
        <v>2026.0</v>
      </c>
      <c r="K208" s="235" t="s">
        <v>28</v>
      </c>
      <c r="L208" s="235" t="s">
        <v>518</v>
      </c>
      <c r="M208" s="296">
        <v>1.0</v>
      </c>
      <c r="N208" s="296">
        <v>1.0</v>
      </c>
      <c r="O208" s="296">
        <v>2.0</v>
      </c>
      <c r="P208" s="315">
        <v>46174.0</v>
      </c>
      <c r="Q208" s="213">
        <v>1.0</v>
      </c>
      <c r="R208" s="213">
        <v>6.0</v>
      </c>
      <c r="S208" s="296">
        <v>2026.0</v>
      </c>
      <c r="T208" s="235" t="s">
        <v>28</v>
      </c>
      <c r="U208" s="296">
        <v>33.41</v>
      </c>
      <c r="V208" s="315">
        <v>46174.0</v>
      </c>
      <c r="W208" s="296">
        <v>1.0</v>
      </c>
      <c r="X208" s="296">
        <v>6.0</v>
      </c>
      <c r="Y208" s="296">
        <v>2026.0</v>
      </c>
      <c r="Z208" s="235" t="s">
        <v>28</v>
      </c>
    </row>
    <row r="209">
      <c r="A209" s="293" t="s">
        <v>958</v>
      </c>
      <c r="B209" s="295">
        <v>6.519764594E9</v>
      </c>
      <c r="C209" s="295">
        <v>46160.0</v>
      </c>
      <c r="D209" s="296">
        <v>18.0</v>
      </c>
      <c r="E209" s="296">
        <v>5.0</v>
      </c>
      <c r="F209" s="296">
        <v>2026.0</v>
      </c>
      <c r="G209" s="295">
        <v>46162.0</v>
      </c>
      <c r="H209" s="296">
        <v>20.0</v>
      </c>
      <c r="I209" s="269">
        <v>5.0</v>
      </c>
      <c r="J209" s="296">
        <v>2026.0</v>
      </c>
      <c r="K209" s="235" t="s">
        <v>28</v>
      </c>
      <c r="L209" s="235" t="s">
        <v>518</v>
      </c>
      <c r="M209" s="296">
        <v>1.0</v>
      </c>
      <c r="N209" s="296">
        <v>2.0</v>
      </c>
      <c r="O209" s="296">
        <v>4.0</v>
      </c>
      <c r="P209" s="315">
        <v>46174.0</v>
      </c>
      <c r="Q209" s="213">
        <v>1.0</v>
      </c>
      <c r="R209" s="213">
        <v>6.0</v>
      </c>
      <c r="S209" s="296">
        <v>2026.0</v>
      </c>
      <c r="T209" s="235" t="s">
        <v>28</v>
      </c>
      <c r="U209" s="296">
        <v>79.36</v>
      </c>
      <c r="V209" s="315">
        <v>46174.0</v>
      </c>
      <c r="W209" s="296">
        <v>1.0</v>
      </c>
      <c r="X209" s="296">
        <v>6.0</v>
      </c>
      <c r="Y209" s="296">
        <v>2026.0</v>
      </c>
      <c r="Z209" s="235" t="s">
        <v>28</v>
      </c>
    </row>
    <row r="210">
      <c r="A210" s="293" t="s">
        <v>959</v>
      </c>
      <c r="B210" s="299">
        <v>5.433918421E9</v>
      </c>
      <c r="C210" s="295">
        <v>46157.0</v>
      </c>
      <c r="D210" s="296">
        <v>15.0</v>
      </c>
      <c r="E210" s="296">
        <v>5.0</v>
      </c>
      <c r="F210" s="296">
        <v>2026.0</v>
      </c>
      <c r="G210" s="295">
        <v>46158.0</v>
      </c>
      <c r="H210" s="269">
        <v>16.0</v>
      </c>
      <c r="I210" s="296">
        <v>5.0</v>
      </c>
      <c r="J210" s="269">
        <v>2026.0</v>
      </c>
      <c r="K210" s="235" t="s">
        <v>28</v>
      </c>
      <c r="L210" s="235" t="s">
        <v>895</v>
      </c>
      <c r="M210" s="296">
        <v>1.0</v>
      </c>
      <c r="N210" s="269">
        <v>1.0</v>
      </c>
      <c r="O210" s="296">
        <v>0.0</v>
      </c>
      <c r="P210" s="315">
        <v>46174.0</v>
      </c>
      <c r="Q210" s="213">
        <v>1.0</v>
      </c>
      <c r="R210" s="213">
        <v>6.0</v>
      </c>
      <c r="S210" s="296">
        <v>2026.0</v>
      </c>
      <c r="T210" s="235" t="s">
        <v>28</v>
      </c>
      <c r="U210" s="296">
        <v>0.0</v>
      </c>
      <c r="V210" s="315">
        <v>46174.0</v>
      </c>
      <c r="W210" s="296">
        <v>1.0</v>
      </c>
      <c r="X210" s="296">
        <v>6.0</v>
      </c>
      <c r="Y210" s="296">
        <v>2026.0</v>
      </c>
      <c r="Z210" s="235" t="s">
        <v>28</v>
      </c>
    </row>
    <row r="211">
      <c r="A211" s="293" t="s">
        <v>961</v>
      </c>
      <c r="B211" s="295">
        <v>6.841721369E9</v>
      </c>
      <c r="C211" s="295">
        <v>46150.0</v>
      </c>
      <c r="D211" s="296">
        <v>8.0</v>
      </c>
      <c r="E211" s="296">
        <v>5.0</v>
      </c>
      <c r="F211" s="296">
        <v>2026.0</v>
      </c>
      <c r="G211" s="295">
        <v>46155.0</v>
      </c>
      <c r="H211" s="296">
        <v>13.0</v>
      </c>
      <c r="I211" s="269">
        <v>5.0</v>
      </c>
      <c r="J211" s="296">
        <v>2026.0</v>
      </c>
      <c r="K211" s="235" t="s">
        <v>28</v>
      </c>
      <c r="L211" s="235" t="s">
        <v>518</v>
      </c>
      <c r="M211" s="296">
        <v>1.0</v>
      </c>
      <c r="N211" s="296">
        <v>5.0</v>
      </c>
      <c r="O211" s="296">
        <v>10.0</v>
      </c>
      <c r="P211" s="315">
        <v>46174.0</v>
      </c>
      <c r="Q211" s="213">
        <v>1.0</v>
      </c>
      <c r="R211" s="213">
        <v>6.0</v>
      </c>
      <c r="S211" s="296">
        <v>2026.0</v>
      </c>
      <c r="T211" s="235" t="s">
        <v>28</v>
      </c>
      <c r="U211" s="296">
        <v>187.96</v>
      </c>
      <c r="V211" s="315">
        <v>46174.0</v>
      </c>
      <c r="W211" s="296">
        <v>1.0</v>
      </c>
      <c r="X211" s="296">
        <v>6.0</v>
      </c>
      <c r="Y211" s="296">
        <v>2026.0</v>
      </c>
      <c r="Z211" s="235" t="s">
        <v>28</v>
      </c>
    </row>
    <row r="212">
      <c r="A212" s="293" t="s">
        <v>963</v>
      </c>
      <c r="B212" s="295">
        <v>6.838211546E9</v>
      </c>
      <c r="C212" s="295">
        <v>46168.0</v>
      </c>
      <c r="D212" s="296">
        <v>26.0</v>
      </c>
      <c r="E212" s="296">
        <v>5.0</v>
      </c>
      <c r="F212" s="296">
        <v>2026.0</v>
      </c>
      <c r="G212" s="295">
        <v>46169.0</v>
      </c>
      <c r="H212" s="296">
        <v>27.0</v>
      </c>
      <c r="I212" s="269">
        <v>5.0</v>
      </c>
      <c r="J212" s="296">
        <v>2026.0</v>
      </c>
      <c r="K212" s="235" t="s">
        <v>28</v>
      </c>
      <c r="L212" s="235" t="s">
        <v>518</v>
      </c>
      <c r="M212" s="296">
        <v>1.0</v>
      </c>
      <c r="N212" s="296">
        <v>1.0</v>
      </c>
      <c r="O212" s="296">
        <v>2.0</v>
      </c>
      <c r="P212" s="315">
        <v>46174.0</v>
      </c>
      <c r="Q212" s="213">
        <v>1.0</v>
      </c>
      <c r="R212" s="213">
        <v>6.0</v>
      </c>
      <c r="S212" s="296">
        <v>2026.0</v>
      </c>
      <c r="T212" s="235" t="s">
        <v>28</v>
      </c>
      <c r="U212" s="296">
        <v>41.77</v>
      </c>
      <c r="V212" s="315">
        <v>46174.0</v>
      </c>
      <c r="W212" s="296">
        <v>1.0</v>
      </c>
      <c r="X212" s="296">
        <v>6.0</v>
      </c>
      <c r="Y212" s="296">
        <v>2026.0</v>
      </c>
      <c r="Z212" s="235" t="s">
        <v>28</v>
      </c>
    </row>
    <row r="213">
      <c r="A213" s="293" t="s">
        <v>964</v>
      </c>
      <c r="B213" s="299">
        <v>5.706626887E9</v>
      </c>
      <c r="C213" s="295">
        <v>46154.0</v>
      </c>
      <c r="D213" s="296">
        <v>12.0</v>
      </c>
      <c r="E213" s="296">
        <v>5.0</v>
      </c>
      <c r="F213" s="296">
        <v>2026.0</v>
      </c>
      <c r="G213" s="295">
        <v>46157.0</v>
      </c>
      <c r="H213" s="269">
        <v>15.0</v>
      </c>
      <c r="I213" s="296">
        <v>5.0</v>
      </c>
      <c r="J213" s="269">
        <v>2026.0</v>
      </c>
      <c r="K213" s="235" t="s">
        <v>28</v>
      </c>
      <c r="L213" s="235" t="s">
        <v>895</v>
      </c>
      <c r="M213" s="296">
        <v>1.0</v>
      </c>
      <c r="N213" s="269">
        <v>3.0</v>
      </c>
      <c r="O213" s="296">
        <v>0.0</v>
      </c>
      <c r="P213" s="315">
        <v>46174.0</v>
      </c>
      <c r="Q213" s="213">
        <v>1.0</v>
      </c>
      <c r="R213" s="213">
        <v>6.0</v>
      </c>
      <c r="S213" s="296">
        <v>2026.0</v>
      </c>
      <c r="T213" s="235" t="s">
        <v>28</v>
      </c>
      <c r="U213" s="296">
        <v>0.0</v>
      </c>
      <c r="V213" s="315">
        <v>46174.0</v>
      </c>
      <c r="W213" s="296">
        <v>1.0</v>
      </c>
      <c r="X213" s="296">
        <v>6.0</v>
      </c>
      <c r="Y213" s="296">
        <v>2026.0</v>
      </c>
      <c r="Z213" s="235" t="s">
        <v>28</v>
      </c>
    </row>
    <row r="214">
      <c r="A214" s="293" t="s">
        <v>965</v>
      </c>
      <c r="B214" s="295">
        <v>5.584206841E9</v>
      </c>
      <c r="C214" s="295">
        <v>46172.0</v>
      </c>
      <c r="D214" s="296">
        <v>30.0</v>
      </c>
      <c r="E214" s="296">
        <v>5.0</v>
      </c>
      <c r="F214" s="296">
        <v>2026.0</v>
      </c>
      <c r="G214" s="295">
        <v>46173.0</v>
      </c>
      <c r="H214" s="296">
        <v>31.0</v>
      </c>
      <c r="I214" s="269">
        <v>5.0</v>
      </c>
      <c r="J214" s="296">
        <v>2026.0</v>
      </c>
      <c r="K214" s="235" t="s">
        <v>28</v>
      </c>
      <c r="L214" s="235" t="s">
        <v>518</v>
      </c>
      <c r="M214" s="296">
        <v>1.0</v>
      </c>
      <c r="N214" s="296">
        <v>1.0</v>
      </c>
      <c r="O214" s="296">
        <v>2.0</v>
      </c>
      <c r="P214" s="315">
        <v>46174.0</v>
      </c>
      <c r="Q214" s="213">
        <v>1.0</v>
      </c>
      <c r="R214" s="213">
        <v>6.0</v>
      </c>
      <c r="S214" s="296">
        <v>2026.0</v>
      </c>
      <c r="T214" s="235" t="s">
        <v>28</v>
      </c>
      <c r="U214" s="296">
        <v>29.23</v>
      </c>
      <c r="V214" s="315">
        <v>46174.0</v>
      </c>
      <c r="W214" s="296">
        <v>1.0</v>
      </c>
      <c r="X214" s="296">
        <v>6.0</v>
      </c>
      <c r="Y214" s="296">
        <v>2026.0</v>
      </c>
      <c r="Z214" s="235" t="s">
        <v>28</v>
      </c>
    </row>
    <row r="215">
      <c r="A215" s="293" t="s">
        <v>967</v>
      </c>
      <c r="B215" s="295">
        <v>6.230739056E9</v>
      </c>
      <c r="C215" s="295">
        <v>46151.0</v>
      </c>
      <c r="D215" s="296">
        <v>9.0</v>
      </c>
      <c r="E215" s="296">
        <v>5.0</v>
      </c>
      <c r="F215" s="296">
        <v>2026.0</v>
      </c>
      <c r="G215" s="295">
        <v>46156.0</v>
      </c>
      <c r="H215" s="296">
        <v>14.0</v>
      </c>
      <c r="I215" s="269">
        <v>5.0</v>
      </c>
      <c r="J215" s="296">
        <v>2026.0</v>
      </c>
      <c r="K215" s="235" t="s">
        <v>28</v>
      </c>
      <c r="L215" s="235" t="s">
        <v>518</v>
      </c>
      <c r="M215" s="296">
        <v>1.0</v>
      </c>
      <c r="N215" s="296">
        <v>5.0</v>
      </c>
      <c r="O215" s="296">
        <v>10.0</v>
      </c>
      <c r="P215" s="315">
        <v>46174.0</v>
      </c>
      <c r="Q215" s="213">
        <v>1.0</v>
      </c>
      <c r="R215" s="213">
        <v>6.0</v>
      </c>
      <c r="S215" s="296">
        <v>2026.0</v>
      </c>
      <c r="T215" s="235" t="s">
        <v>28</v>
      </c>
      <c r="U215" s="296">
        <v>187.96</v>
      </c>
      <c r="V215" s="315">
        <v>46174.0</v>
      </c>
      <c r="W215" s="296">
        <v>1.0</v>
      </c>
      <c r="X215" s="296">
        <v>6.0</v>
      </c>
      <c r="Y215" s="296">
        <v>2026.0</v>
      </c>
      <c r="Z215" s="235" t="s">
        <v>28</v>
      </c>
    </row>
    <row r="216">
      <c r="A216" s="293" t="s">
        <v>969</v>
      </c>
      <c r="B216" s="299">
        <v>5.539403912E9</v>
      </c>
      <c r="C216" s="295">
        <v>46157.0</v>
      </c>
      <c r="D216" s="296">
        <v>15.0</v>
      </c>
      <c r="E216" s="296">
        <v>5.0</v>
      </c>
      <c r="F216" s="296">
        <v>2026.0</v>
      </c>
      <c r="G216" s="295">
        <v>46161.0</v>
      </c>
      <c r="H216" s="269">
        <v>19.0</v>
      </c>
      <c r="I216" s="296">
        <v>5.0</v>
      </c>
      <c r="J216" s="269">
        <v>2026.0</v>
      </c>
      <c r="K216" s="235" t="s">
        <v>28</v>
      </c>
      <c r="L216" s="235" t="s">
        <v>895</v>
      </c>
      <c r="M216" s="296">
        <v>1.0</v>
      </c>
      <c r="N216" s="269">
        <v>4.0</v>
      </c>
      <c r="O216" s="296">
        <v>0.0</v>
      </c>
      <c r="P216" s="315">
        <v>46174.0</v>
      </c>
      <c r="Q216" s="213">
        <v>1.0</v>
      </c>
      <c r="R216" s="213">
        <v>6.0</v>
      </c>
      <c r="S216" s="296">
        <v>2026.0</v>
      </c>
      <c r="T216" s="235" t="s">
        <v>28</v>
      </c>
      <c r="U216" s="296">
        <v>0.0</v>
      </c>
      <c r="V216" s="315">
        <v>46174.0</v>
      </c>
      <c r="W216" s="296">
        <v>1.0</v>
      </c>
      <c r="X216" s="296">
        <v>6.0</v>
      </c>
      <c r="Y216" s="296">
        <v>2026.0</v>
      </c>
      <c r="Z216" s="235" t="s">
        <v>28</v>
      </c>
    </row>
    <row r="217">
      <c r="A217" s="293" t="s">
        <v>971</v>
      </c>
      <c r="B217" s="295">
        <v>6.485166449E9</v>
      </c>
      <c r="C217" s="295">
        <v>46166.0</v>
      </c>
      <c r="D217" s="296">
        <v>24.0</v>
      </c>
      <c r="E217" s="296">
        <v>5.0</v>
      </c>
      <c r="F217" s="296">
        <v>2026.0</v>
      </c>
      <c r="G217" s="295">
        <v>46167.0</v>
      </c>
      <c r="H217" s="296">
        <v>25.0</v>
      </c>
      <c r="I217" s="269">
        <v>5.0</v>
      </c>
      <c r="J217" s="296">
        <v>2026.0</v>
      </c>
      <c r="K217" s="235" t="s">
        <v>28</v>
      </c>
      <c r="L217" s="235" t="s">
        <v>518</v>
      </c>
      <c r="M217" s="296">
        <v>1.0</v>
      </c>
      <c r="N217" s="296">
        <v>1.0</v>
      </c>
      <c r="O217" s="296">
        <v>2.0</v>
      </c>
      <c r="P217" s="315">
        <v>46174.0</v>
      </c>
      <c r="Q217" s="213">
        <v>1.0</v>
      </c>
      <c r="R217" s="213">
        <v>6.0</v>
      </c>
      <c r="S217" s="296">
        <v>2026.0</v>
      </c>
      <c r="T217" s="235" t="s">
        <v>28</v>
      </c>
      <c r="U217" s="296">
        <v>29.23</v>
      </c>
      <c r="V217" s="315">
        <v>46174.0</v>
      </c>
      <c r="W217" s="296">
        <v>1.0</v>
      </c>
      <c r="X217" s="296">
        <v>6.0</v>
      </c>
      <c r="Y217" s="296">
        <v>2026.0</v>
      </c>
      <c r="Z217" s="235" t="s">
        <v>28</v>
      </c>
    </row>
    <row r="218">
      <c r="A218" s="293" t="s">
        <v>972</v>
      </c>
      <c r="B218" s="299">
        <v>5.36785631E9</v>
      </c>
      <c r="C218" s="295">
        <v>46153.0</v>
      </c>
      <c r="D218" s="296">
        <v>11.0</v>
      </c>
      <c r="E218" s="296">
        <v>5.0</v>
      </c>
      <c r="F218" s="296">
        <v>2026.0</v>
      </c>
      <c r="G218" s="295">
        <v>46155.0</v>
      </c>
      <c r="H218" s="269">
        <v>13.0</v>
      </c>
      <c r="I218" s="296">
        <v>5.0</v>
      </c>
      <c r="J218" s="269">
        <v>2026.0</v>
      </c>
      <c r="K218" s="235" t="s">
        <v>28</v>
      </c>
      <c r="L218" s="235" t="s">
        <v>895</v>
      </c>
      <c r="M218" s="296">
        <v>2.0</v>
      </c>
      <c r="N218" s="269">
        <v>2.0</v>
      </c>
      <c r="O218" s="296">
        <v>0.0</v>
      </c>
      <c r="P218" s="315">
        <v>46174.0</v>
      </c>
      <c r="Q218" s="213">
        <v>1.0</v>
      </c>
      <c r="R218" s="213">
        <v>6.0</v>
      </c>
      <c r="S218" s="296">
        <v>2026.0</v>
      </c>
      <c r="T218" s="235" t="s">
        <v>28</v>
      </c>
      <c r="U218" s="296">
        <v>0.0</v>
      </c>
      <c r="V218" s="315">
        <v>46174.0</v>
      </c>
      <c r="W218" s="296">
        <v>1.0</v>
      </c>
      <c r="X218" s="296">
        <v>6.0</v>
      </c>
      <c r="Y218" s="296">
        <v>2026.0</v>
      </c>
      <c r="Z218" s="235" t="s">
        <v>28</v>
      </c>
    </row>
    <row r="219">
      <c r="A219" s="293" t="s">
        <v>973</v>
      </c>
      <c r="B219" s="295">
        <v>6.063730041E9</v>
      </c>
      <c r="C219" s="295">
        <v>46144.0</v>
      </c>
      <c r="D219" s="296">
        <v>2.0</v>
      </c>
      <c r="E219" s="296">
        <v>5.0</v>
      </c>
      <c r="F219" s="296">
        <v>2026.0</v>
      </c>
      <c r="G219" s="295">
        <v>46146.0</v>
      </c>
      <c r="H219" s="296">
        <v>4.0</v>
      </c>
      <c r="I219" s="269">
        <v>5.0</v>
      </c>
      <c r="J219" s="296">
        <v>2026.0</v>
      </c>
      <c r="K219" s="235" t="s">
        <v>28</v>
      </c>
      <c r="L219" s="235" t="s">
        <v>518</v>
      </c>
      <c r="M219" s="296">
        <v>1.0</v>
      </c>
      <c r="N219" s="296">
        <v>2.0</v>
      </c>
      <c r="O219" s="296">
        <v>4.0</v>
      </c>
      <c r="P219" s="315">
        <v>46174.0</v>
      </c>
      <c r="Q219" s="213">
        <v>1.0</v>
      </c>
      <c r="R219" s="213">
        <v>6.0</v>
      </c>
      <c r="S219" s="296">
        <v>2026.0</v>
      </c>
      <c r="T219" s="235" t="s">
        <v>28</v>
      </c>
      <c r="U219" s="296">
        <v>75.18</v>
      </c>
      <c r="V219" s="315">
        <v>46174.0</v>
      </c>
      <c r="W219" s="296">
        <v>1.0</v>
      </c>
      <c r="X219" s="296">
        <v>6.0</v>
      </c>
      <c r="Y219" s="296">
        <v>2026.0</v>
      </c>
      <c r="Z219" s="235" t="s">
        <v>28</v>
      </c>
    </row>
    <row r="220">
      <c r="A220" s="293" t="s">
        <v>974</v>
      </c>
      <c r="B220" s="295">
        <v>5.856673806E9</v>
      </c>
      <c r="C220" s="295">
        <v>46156.0</v>
      </c>
      <c r="D220" s="296">
        <v>14.0</v>
      </c>
      <c r="E220" s="296">
        <v>5.0</v>
      </c>
      <c r="F220" s="296">
        <v>2026.0</v>
      </c>
      <c r="G220" s="295">
        <v>46159.0</v>
      </c>
      <c r="H220" s="296">
        <v>17.0</v>
      </c>
      <c r="I220" s="269">
        <v>5.0</v>
      </c>
      <c r="J220" s="296">
        <v>2026.0</v>
      </c>
      <c r="K220" s="235" t="s">
        <v>28</v>
      </c>
      <c r="L220" s="235" t="s">
        <v>518</v>
      </c>
      <c r="M220" s="296">
        <v>1.0</v>
      </c>
      <c r="N220" s="296">
        <v>3.0</v>
      </c>
      <c r="O220" s="296">
        <v>6.0</v>
      </c>
      <c r="P220" s="315">
        <v>46174.0</v>
      </c>
      <c r="Q220" s="213">
        <v>1.0</v>
      </c>
      <c r="R220" s="213">
        <v>6.0</v>
      </c>
      <c r="S220" s="296">
        <v>2026.0</v>
      </c>
      <c r="T220" s="235" t="s">
        <v>28</v>
      </c>
      <c r="U220" s="296">
        <v>104.42</v>
      </c>
      <c r="V220" s="315">
        <v>46174.0</v>
      </c>
      <c r="W220" s="296">
        <v>1.0</v>
      </c>
      <c r="X220" s="296">
        <v>6.0</v>
      </c>
      <c r="Y220" s="296">
        <v>2026.0</v>
      </c>
      <c r="Z220" s="235" t="s">
        <v>28</v>
      </c>
    </row>
    <row r="221">
      <c r="A221" s="293" t="s">
        <v>975</v>
      </c>
      <c r="B221" s="295">
        <v>5.169475058E9</v>
      </c>
      <c r="C221" s="295">
        <v>46158.0</v>
      </c>
      <c r="D221" s="296">
        <v>16.0</v>
      </c>
      <c r="E221" s="296">
        <v>5.0</v>
      </c>
      <c r="F221" s="296">
        <v>2026.0</v>
      </c>
      <c r="G221" s="295">
        <v>46162.0</v>
      </c>
      <c r="H221" s="296">
        <v>20.0</v>
      </c>
      <c r="I221" s="269">
        <v>5.0</v>
      </c>
      <c r="J221" s="296">
        <v>2026.0</v>
      </c>
      <c r="K221" s="235" t="s">
        <v>28</v>
      </c>
      <c r="L221" s="235" t="s">
        <v>518</v>
      </c>
      <c r="M221" s="296">
        <v>1.0</v>
      </c>
      <c r="N221" s="296">
        <v>4.0</v>
      </c>
      <c r="O221" s="296">
        <v>8.0</v>
      </c>
      <c r="P221" s="315">
        <v>46174.0</v>
      </c>
      <c r="Q221" s="213">
        <v>1.0</v>
      </c>
      <c r="R221" s="213">
        <v>6.0</v>
      </c>
      <c r="S221" s="296">
        <v>2026.0</v>
      </c>
      <c r="T221" s="235" t="s">
        <v>28</v>
      </c>
      <c r="U221" s="296">
        <v>150.37</v>
      </c>
      <c r="V221" s="315">
        <v>46174.0</v>
      </c>
      <c r="W221" s="296">
        <v>1.0</v>
      </c>
      <c r="X221" s="296">
        <v>6.0</v>
      </c>
      <c r="Y221" s="296">
        <v>2026.0</v>
      </c>
      <c r="Z221" s="235" t="s">
        <v>28</v>
      </c>
    </row>
    <row r="222">
      <c r="A222" s="293" t="s">
        <v>977</v>
      </c>
      <c r="B222" s="295">
        <v>6.995084518E9</v>
      </c>
      <c r="C222" s="295">
        <v>46150.0</v>
      </c>
      <c r="D222" s="296">
        <v>8.0</v>
      </c>
      <c r="E222" s="296">
        <v>5.0</v>
      </c>
      <c r="F222" s="296">
        <v>2026.0</v>
      </c>
      <c r="G222" s="295">
        <v>46152.0</v>
      </c>
      <c r="H222" s="296">
        <v>10.0</v>
      </c>
      <c r="I222" s="269">
        <v>5.0</v>
      </c>
      <c r="J222" s="296">
        <v>2026.0</v>
      </c>
      <c r="K222" s="235" t="s">
        <v>28</v>
      </c>
      <c r="L222" s="235" t="s">
        <v>518</v>
      </c>
      <c r="M222" s="296">
        <v>1.0</v>
      </c>
      <c r="N222" s="296">
        <v>2.0</v>
      </c>
      <c r="O222" s="296">
        <v>4.0</v>
      </c>
      <c r="P222" s="315">
        <v>46174.0</v>
      </c>
      <c r="Q222" s="213">
        <v>1.0</v>
      </c>
      <c r="R222" s="213">
        <v>6.0</v>
      </c>
      <c r="S222" s="296">
        <v>2026.0</v>
      </c>
      <c r="T222" s="235" t="s">
        <v>28</v>
      </c>
      <c r="U222" s="296">
        <v>75.18</v>
      </c>
      <c r="V222" s="315">
        <v>46174.0</v>
      </c>
      <c r="W222" s="296">
        <v>1.0</v>
      </c>
      <c r="X222" s="296">
        <v>6.0</v>
      </c>
      <c r="Y222" s="296">
        <v>2026.0</v>
      </c>
      <c r="Z222" s="235" t="s">
        <v>28</v>
      </c>
    </row>
    <row r="223">
      <c r="A223" s="293" t="s">
        <v>978</v>
      </c>
      <c r="B223" s="295">
        <v>6.302484779E9</v>
      </c>
      <c r="C223" s="295">
        <v>46144.0</v>
      </c>
      <c r="D223" s="296">
        <v>2.0</v>
      </c>
      <c r="E223" s="296">
        <v>5.0</v>
      </c>
      <c r="F223" s="296">
        <v>2026.0</v>
      </c>
      <c r="G223" s="295">
        <v>46146.0</v>
      </c>
      <c r="H223" s="296">
        <v>4.0</v>
      </c>
      <c r="I223" s="269">
        <v>5.0</v>
      </c>
      <c r="J223" s="296">
        <v>2026.0</v>
      </c>
      <c r="K223" s="235" t="s">
        <v>28</v>
      </c>
      <c r="L223" s="235" t="s">
        <v>895</v>
      </c>
      <c r="M223" s="296">
        <v>1.0</v>
      </c>
      <c r="N223" s="296">
        <v>2.0</v>
      </c>
      <c r="O223" s="296">
        <v>0.0</v>
      </c>
      <c r="P223" s="315">
        <v>46174.0</v>
      </c>
      <c r="Q223" s="213">
        <v>1.0</v>
      </c>
      <c r="R223" s="213">
        <v>6.0</v>
      </c>
      <c r="S223" s="296">
        <v>2026.0</v>
      </c>
      <c r="T223" s="235" t="s">
        <v>28</v>
      </c>
      <c r="U223" s="296">
        <v>0.0</v>
      </c>
      <c r="V223" s="315">
        <v>46174.0</v>
      </c>
      <c r="W223" s="296">
        <v>1.0</v>
      </c>
      <c r="X223" s="296">
        <v>6.0</v>
      </c>
      <c r="Y223" s="296">
        <v>2026.0</v>
      </c>
      <c r="Z223" s="235" t="s">
        <v>28</v>
      </c>
    </row>
    <row r="224">
      <c r="A224" s="293" t="s">
        <v>980</v>
      </c>
      <c r="B224" s="295">
        <v>5.688579807E9</v>
      </c>
      <c r="C224" s="295">
        <v>46162.0</v>
      </c>
      <c r="D224" s="296">
        <v>20.0</v>
      </c>
      <c r="E224" s="296">
        <v>5.0</v>
      </c>
      <c r="F224" s="296">
        <v>2026.0</v>
      </c>
      <c r="G224" s="295">
        <v>46163.0</v>
      </c>
      <c r="H224" s="296">
        <v>21.0</v>
      </c>
      <c r="I224" s="269">
        <v>5.0</v>
      </c>
      <c r="J224" s="296">
        <v>2026.0</v>
      </c>
      <c r="K224" s="235" t="s">
        <v>28</v>
      </c>
      <c r="L224" s="235" t="s">
        <v>518</v>
      </c>
      <c r="M224" s="296">
        <v>1.0</v>
      </c>
      <c r="N224" s="296">
        <v>1.0</v>
      </c>
      <c r="O224" s="296">
        <v>2.0</v>
      </c>
      <c r="P224" s="315">
        <v>46174.0</v>
      </c>
      <c r="Q224" s="213">
        <v>1.0</v>
      </c>
      <c r="R224" s="213">
        <v>6.0</v>
      </c>
      <c r="S224" s="296">
        <v>2026.0</v>
      </c>
      <c r="T224" s="235" t="s">
        <v>28</v>
      </c>
      <c r="U224" s="296">
        <v>37.59</v>
      </c>
      <c r="V224" s="315">
        <v>46174.0</v>
      </c>
      <c r="W224" s="296">
        <v>1.0</v>
      </c>
      <c r="X224" s="296">
        <v>6.0</v>
      </c>
      <c r="Y224" s="296">
        <v>2026.0</v>
      </c>
      <c r="Z224" s="235" t="s">
        <v>28</v>
      </c>
    </row>
    <row r="225">
      <c r="A225" s="293" t="s">
        <v>982</v>
      </c>
      <c r="B225" s="295">
        <v>5.649616304E9</v>
      </c>
      <c r="C225" s="295">
        <v>46165.0</v>
      </c>
      <c r="D225" s="296">
        <v>23.0</v>
      </c>
      <c r="E225" s="296">
        <v>5.0</v>
      </c>
      <c r="F225" s="296">
        <v>2026.0</v>
      </c>
      <c r="G225" s="295">
        <v>46168.0</v>
      </c>
      <c r="H225" s="296">
        <v>26.0</v>
      </c>
      <c r="I225" s="269">
        <v>5.0</v>
      </c>
      <c r="J225" s="296">
        <v>2026.0</v>
      </c>
      <c r="K225" s="235" t="s">
        <v>28</v>
      </c>
      <c r="L225" s="235" t="s">
        <v>518</v>
      </c>
      <c r="M225" s="296">
        <v>1.0</v>
      </c>
      <c r="N225" s="296">
        <v>3.0</v>
      </c>
      <c r="O225" s="296">
        <v>6.0</v>
      </c>
      <c r="P225" s="315">
        <v>46174.0</v>
      </c>
      <c r="Q225" s="213">
        <v>1.0</v>
      </c>
      <c r="R225" s="213">
        <v>6.0</v>
      </c>
      <c r="S225" s="296">
        <v>2026.0</v>
      </c>
      <c r="T225" s="235" t="s">
        <v>28</v>
      </c>
      <c r="U225" s="296">
        <v>87.7</v>
      </c>
      <c r="V225" s="315">
        <v>46174.0</v>
      </c>
      <c r="W225" s="296">
        <v>1.0</v>
      </c>
      <c r="X225" s="296">
        <v>6.0</v>
      </c>
      <c r="Y225" s="296">
        <v>2026.0</v>
      </c>
      <c r="Z225" s="235" t="s">
        <v>28</v>
      </c>
    </row>
    <row r="226">
      <c r="A226" s="293" t="s">
        <v>983</v>
      </c>
      <c r="B226" s="295">
        <v>5.352945543E9</v>
      </c>
      <c r="C226" s="295">
        <v>46157.0</v>
      </c>
      <c r="D226" s="296">
        <v>15.0</v>
      </c>
      <c r="E226" s="296">
        <v>5.0</v>
      </c>
      <c r="F226" s="296">
        <v>2026.0</v>
      </c>
      <c r="G226" s="295">
        <v>46158.0</v>
      </c>
      <c r="H226" s="296">
        <v>16.0</v>
      </c>
      <c r="I226" s="269">
        <v>5.0</v>
      </c>
      <c r="J226" s="296">
        <v>2026.0</v>
      </c>
      <c r="K226" s="235" t="s">
        <v>28</v>
      </c>
      <c r="L226" s="235" t="s">
        <v>518</v>
      </c>
      <c r="M226" s="296">
        <v>1.0</v>
      </c>
      <c r="N226" s="296">
        <v>1.0</v>
      </c>
      <c r="O226" s="296">
        <v>2.0</v>
      </c>
      <c r="P226" s="315">
        <v>46174.0</v>
      </c>
      <c r="Q226" s="213">
        <v>1.0</v>
      </c>
      <c r="R226" s="213">
        <v>6.0</v>
      </c>
      <c r="S226" s="296">
        <v>2026.0</v>
      </c>
      <c r="T226" s="235" t="s">
        <v>28</v>
      </c>
      <c r="U226" s="296">
        <v>37.59</v>
      </c>
      <c r="V226" s="315">
        <v>46174.0</v>
      </c>
      <c r="W226" s="296">
        <v>1.0</v>
      </c>
      <c r="X226" s="296">
        <v>6.0</v>
      </c>
      <c r="Y226" s="296">
        <v>2026.0</v>
      </c>
      <c r="Z226" s="235" t="s">
        <v>28</v>
      </c>
    </row>
    <row r="227">
      <c r="A227" s="293" t="s">
        <v>985</v>
      </c>
      <c r="B227" s="295">
        <v>5.034906335E9</v>
      </c>
      <c r="C227" s="295">
        <v>46167.0</v>
      </c>
      <c r="D227" s="296">
        <v>25.0</v>
      </c>
      <c r="E227" s="296">
        <v>5.0</v>
      </c>
      <c r="F227" s="296">
        <v>2026.0</v>
      </c>
      <c r="G227" s="295">
        <v>46169.0</v>
      </c>
      <c r="H227" s="296">
        <v>27.0</v>
      </c>
      <c r="I227" s="269">
        <v>5.0</v>
      </c>
      <c r="J227" s="296">
        <v>2026.0</v>
      </c>
      <c r="K227" s="235" t="s">
        <v>28</v>
      </c>
      <c r="L227" s="235" t="s">
        <v>518</v>
      </c>
      <c r="M227" s="296">
        <v>1.0</v>
      </c>
      <c r="N227" s="296">
        <v>2.0</v>
      </c>
      <c r="O227" s="296">
        <v>4.0</v>
      </c>
      <c r="P227" s="315">
        <v>46174.0</v>
      </c>
      <c r="Q227" s="213">
        <v>1.0</v>
      </c>
      <c r="R227" s="213">
        <v>6.0</v>
      </c>
      <c r="S227" s="296">
        <v>2026.0</v>
      </c>
      <c r="T227" s="235" t="s">
        <v>28</v>
      </c>
      <c r="U227" s="296">
        <v>62.64</v>
      </c>
      <c r="V227" s="315">
        <v>46174.0</v>
      </c>
      <c r="W227" s="296">
        <v>1.0</v>
      </c>
      <c r="X227" s="296">
        <v>6.0</v>
      </c>
      <c r="Y227" s="296">
        <v>2026.0</v>
      </c>
      <c r="Z227" s="235" t="s">
        <v>28</v>
      </c>
    </row>
    <row r="228">
      <c r="A228" s="293" t="s">
        <v>986</v>
      </c>
      <c r="B228" s="295">
        <v>6.262146047E9</v>
      </c>
      <c r="C228" s="295">
        <v>46166.0</v>
      </c>
      <c r="D228" s="296">
        <v>24.0</v>
      </c>
      <c r="E228" s="296">
        <v>5.0</v>
      </c>
      <c r="F228" s="296">
        <v>2026.0</v>
      </c>
      <c r="G228" s="295">
        <v>46168.0</v>
      </c>
      <c r="H228" s="296">
        <v>26.0</v>
      </c>
      <c r="I228" s="269">
        <v>5.0</v>
      </c>
      <c r="J228" s="296">
        <v>2026.0</v>
      </c>
      <c r="K228" s="235" t="s">
        <v>28</v>
      </c>
      <c r="L228" s="235" t="s">
        <v>518</v>
      </c>
      <c r="M228" s="296">
        <v>1.0</v>
      </c>
      <c r="N228" s="296">
        <v>2.0</v>
      </c>
      <c r="O228" s="296">
        <v>4.0</v>
      </c>
      <c r="P228" s="315">
        <v>46174.0</v>
      </c>
      <c r="Q228" s="213">
        <v>1.0</v>
      </c>
      <c r="R228" s="213">
        <v>6.0</v>
      </c>
      <c r="S228" s="296">
        <v>2026.0</v>
      </c>
      <c r="T228" s="235" t="s">
        <v>28</v>
      </c>
      <c r="U228" s="296">
        <v>58.46</v>
      </c>
      <c r="V228" s="315">
        <v>46174.0</v>
      </c>
      <c r="W228" s="296">
        <v>1.0</v>
      </c>
      <c r="X228" s="296">
        <v>6.0</v>
      </c>
      <c r="Y228" s="296">
        <v>2026.0</v>
      </c>
      <c r="Z228" s="235" t="s">
        <v>28</v>
      </c>
    </row>
    <row r="229">
      <c r="A229" s="293" t="s">
        <v>988</v>
      </c>
      <c r="B229" s="299">
        <v>6.282731349E9</v>
      </c>
      <c r="C229" s="295">
        <v>46156.0</v>
      </c>
      <c r="D229" s="296">
        <v>14.0</v>
      </c>
      <c r="E229" s="296">
        <v>5.0</v>
      </c>
      <c r="F229" s="296">
        <v>2026.0</v>
      </c>
      <c r="G229" s="295">
        <v>46159.0</v>
      </c>
      <c r="H229" s="269">
        <v>17.0</v>
      </c>
      <c r="I229" s="296">
        <v>5.0</v>
      </c>
      <c r="J229" s="269">
        <v>2026.0</v>
      </c>
      <c r="K229" s="235" t="s">
        <v>28</v>
      </c>
      <c r="L229" s="235" t="s">
        <v>895</v>
      </c>
      <c r="M229" s="296">
        <v>2.0</v>
      </c>
      <c r="N229" s="269">
        <v>3.0</v>
      </c>
      <c r="O229" s="296">
        <v>0.0</v>
      </c>
      <c r="P229" s="315">
        <v>46174.0</v>
      </c>
      <c r="Q229" s="213">
        <v>1.0</v>
      </c>
      <c r="R229" s="213">
        <v>6.0</v>
      </c>
      <c r="S229" s="296">
        <v>2026.0</v>
      </c>
      <c r="T229" s="235" t="s">
        <v>28</v>
      </c>
      <c r="U229" s="296">
        <v>0.0</v>
      </c>
      <c r="V229" s="315">
        <v>46174.0</v>
      </c>
      <c r="W229" s="296">
        <v>1.0</v>
      </c>
      <c r="X229" s="296">
        <v>6.0</v>
      </c>
      <c r="Y229" s="296">
        <v>2026.0</v>
      </c>
      <c r="Z229" s="235" t="s">
        <v>28</v>
      </c>
    </row>
    <row r="230">
      <c r="A230" s="293" t="s">
        <v>990</v>
      </c>
      <c r="B230" s="299">
        <v>5.856208207E9</v>
      </c>
      <c r="C230" s="295">
        <v>46167.0</v>
      </c>
      <c r="D230" s="296">
        <v>25.0</v>
      </c>
      <c r="E230" s="296">
        <v>5.0</v>
      </c>
      <c r="F230" s="296">
        <v>2026.0</v>
      </c>
      <c r="G230" s="295">
        <v>46170.0</v>
      </c>
      <c r="H230" s="269">
        <v>28.0</v>
      </c>
      <c r="I230" s="296">
        <v>5.0</v>
      </c>
      <c r="J230" s="269">
        <v>2026.0</v>
      </c>
      <c r="K230" s="235" t="s">
        <v>28</v>
      </c>
      <c r="L230" s="235" t="s">
        <v>895</v>
      </c>
      <c r="M230" s="296">
        <v>1.0</v>
      </c>
      <c r="N230" s="269">
        <v>3.0</v>
      </c>
      <c r="O230" s="296">
        <v>0.0</v>
      </c>
      <c r="P230" s="315">
        <v>46174.0</v>
      </c>
      <c r="Q230" s="213">
        <v>1.0</v>
      </c>
      <c r="R230" s="213">
        <v>6.0</v>
      </c>
      <c r="S230" s="296">
        <v>2026.0</v>
      </c>
      <c r="T230" s="235" t="s">
        <v>28</v>
      </c>
      <c r="U230" s="296">
        <v>0.0</v>
      </c>
      <c r="V230" s="315">
        <v>46174.0</v>
      </c>
      <c r="W230" s="296">
        <v>1.0</v>
      </c>
      <c r="X230" s="296">
        <v>6.0</v>
      </c>
      <c r="Y230" s="296">
        <v>2026.0</v>
      </c>
      <c r="Z230" s="235" t="s">
        <v>28</v>
      </c>
    </row>
    <row r="231">
      <c r="A231" s="293" t="s">
        <v>992</v>
      </c>
      <c r="B231" s="295">
        <v>5.368107852E9</v>
      </c>
      <c r="C231" s="295">
        <v>46168.0</v>
      </c>
      <c r="D231" s="296">
        <v>26.0</v>
      </c>
      <c r="E231" s="296">
        <v>5.0</v>
      </c>
      <c r="F231" s="296">
        <v>2026.0</v>
      </c>
      <c r="G231" s="295">
        <v>46170.0</v>
      </c>
      <c r="H231" s="296">
        <v>28.0</v>
      </c>
      <c r="I231" s="269">
        <v>5.0</v>
      </c>
      <c r="J231" s="296">
        <v>2026.0</v>
      </c>
      <c r="K231" s="235" t="s">
        <v>28</v>
      </c>
      <c r="L231" s="235" t="s">
        <v>518</v>
      </c>
      <c r="M231" s="296">
        <v>1.0</v>
      </c>
      <c r="N231" s="296">
        <v>2.0</v>
      </c>
      <c r="O231" s="296">
        <v>4.0</v>
      </c>
      <c r="P231" s="315">
        <v>46174.0</v>
      </c>
      <c r="Q231" s="213">
        <v>1.0</v>
      </c>
      <c r="R231" s="213">
        <v>6.0</v>
      </c>
      <c r="S231" s="296">
        <v>2026.0</v>
      </c>
      <c r="T231" s="235" t="s">
        <v>28</v>
      </c>
      <c r="U231" s="296">
        <v>75.18</v>
      </c>
      <c r="V231" s="315">
        <v>46174.0</v>
      </c>
      <c r="W231" s="296">
        <v>1.0</v>
      </c>
      <c r="X231" s="296">
        <v>6.0</v>
      </c>
      <c r="Y231" s="296">
        <v>2026.0</v>
      </c>
      <c r="Z231" s="235" t="s">
        <v>28</v>
      </c>
    </row>
    <row r="232">
      <c r="A232" s="293" t="s">
        <v>994</v>
      </c>
      <c r="B232" s="295">
        <v>6.548055013E9</v>
      </c>
      <c r="C232" s="295">
        <v>46145.0</v>
      </c>
      <c r="D232" s="296">
        <v>3.0</v>
      </c>
      <c r="E232" s="296">
        <v>5.0</v>
      </c>
      <c r="F232" s="296">
        <v>2026.0</v>
      </c>
      <c r="G232" s="295">
        <v>46149.0</v>
      </c>
      <c r="H232" s="296">
        <v>7.0</v>
      </c>
      <c r="I232" s="269">
        <v>5.0</v>
      </c>
      <c r="J232" s="296">
        <v>2026.0</v>
      </c>
      <c r="K232" s="235" t="s">
        <v>28</v>
      </c>
      <c r="L232" s="235" t="s">
        <v>518</v>
      </c>
      <c r="M232" s="296">
        <v>1.0</v>
      </c>
      <c r="N232" s="296">
        <v>4.0</v>
      </c>
      <c r="O232" s="296">
        <v>8.0</v>
      </c>
      <c r="P232" s="315">
        <v>46174.0</v>
      </c>
      <c r="Q232" s="213">
        <v>1.0</v>
      </c>
      <c r="R232" s="213">
        <v>6.0</v>
      </c>
      <c r="S232" s="296">
        <v>2026.0</v>
      </c>
      <c r="T232" s="235" t="s">
        <v>28</v>
      </c>
      <c r="U232" s="296">
        <v>150.37</v>
      </c>
      <c r="V232" s="315">
        <v>46174.0</v>
      </c>
      <c r="W232" s="296">
        <v>1.0</v>
      </c>
      <c r="X232" s="296">
        <v>6.0</v>
      </c>
      <c r="Y232" s="296">
        <v>2026.0</v>
      </c>
      <c r="Z232" s="235" t="s">
        <v>28</v>
      </c>
    </row>
    <row r="233">
      <c r="A233" s="293" t="s">
        <v>995</v>
      </c>
      <c r="B233" s="299">
        <v>6.132438956E9</v>
      </c>
      <c r="C233" s="295">
        <v>46161.0</v>
      </c>
      <c r="D233" s="296">
        <v>19.0</v>
      </c>
      <c r="E233" s="296">
        <v>5.0</v>
      </c>
      <c r="F233" s="296">
        <v>2026.0</v>
      </c>
      <c r="G233" s="295">
        <v>46165.0</v>
      </c>
      <c r="H233" s="269">
        <v>23.0</v>
      </c>
      <c r="I233" s="296">
        <v>5.0</v>
      </c>
      <c r="J233" s="269">
        <v>2026.0</v>
      </c>
      <c r="K233" s="235" t="s">
        <v>28</v>
      </c>
      <c r="L233" s="235" t="s">
        <v>895</v>
      </c>
      <c r="M233" s="296">
        <v>1.0</v>
      </c>
      <c r="N233" s="269">
        <v>4.0</v>
      </c>
      <c r="O233" s="296">
        <v>0.0</v>
      </c>
      <c r="P233" s="315">
        <v>46174.0</v>
      </c>
      <c r="Q233" s="213">
        <v>1.0</v>
      </c>
      <c r="R233" s="213">
        <v>6.0</v>
      </c>
      <c r="S233" s="296">
        <v>2026.0</v>
      </c>
      <c r="T233" s="235" t="s">
        <v>28</v>
      </c>
      <c r="U233" s="296">
        <v>0.0</v>
      </c>
      <c r="V233" s="315">
        <v>46174.0</v>
      </c>
      <c r="W233" s="296">
        <v>1.0</v>
      </c>
      <c r="X233" s="296">
        <v>6.0</v>
      </c>
      <c r="Y233" s="296">
        <v>2026.0</v>
      </c>
      <c r="Z233" s="235" t="s">
        <v>28</v>
      </c>
    </row>
    <row r="234">
      <c r="A234" s="293" t="s">
        <v>997</v>
      </c>
      <c r="B234" s="295">
        <v>5.722259362E9</v>
      </c>
      <c r="C234" s="295">
        <v>46165.0</v>
      </c>
      <c r="D234" s="296">
        <v>23.0</v>
      </c>
      <c r="E234" s="296">
        <v>5.0</v>
      </c>
      <c r="F234" s="296">
        <v>2026.0</v>
      </c>
      <c r="G234" s="295">
        <v>46167.0</v>
      </c>
      <c r="H234" s="296">
        <v>25.0</v>
      </c>
      <c r="I234" s="269">
        <v>5.0</v>
      </c>
      <c r="J234" s="296">
        <v>2026.0</v>
      </c>
      <c r="K234" s="235" t="s">
        <v>28</v>
      </c>
      <c r="L234" s="235" t="s">
        <v>518</v>
      </c>
      <c r="M234" s="296">
        <v>1.0</v>
      </c>
      <c r="N234" s="296">
        <v>2.0</v>
      </c>
      <c r="O234" s="296">
        <v>4.0</v>
      </c>
      <c r="P234" s="315">
        <v>46174.0</v>
      </c>
      <c r="Q234" s="213">
        <v>1.0</v>
      </c>
      <c r="R234" s="213">
        <v>6.0</v>
      </c>
      <c r="S234" s="296">
        <v>2026.0</v>
      </c>
      <c r="T234" s="235" t="s">
        <v>28</v>
      </c>
      <c r="U234" s="296">
        <v>58.46</v>
      </c>
      <c r="V234" s="315">
        <v>46174.0</v>
      </c>
      <c r="W234" s="296">
        <v>1.0</v>
      </c>
      <c r="X234" s="296">
        <v>6.0</v>
      </c>
      <c r="Y234" s="296">
        <v>2026.0</v>
      </c>
      <c r="Z234" s="235" t="s">
        <v>28</v>
      </c>
    </row>
    <row r="235">
      <c r="A235" s="293" t="s">
        <v>999</v>
      </c>
      <c r="B235" s="295">
        <v>5.423667038E9</v>
      </c>
      <c r="C235" s="295">
        <v>46160.0</v>
      </c>
      <c r="D235" s="296">
        <v>18.0</v>
      </c>
      <c r="E235" s="296">
        <v>5.0</v>
      </c>
      <c r="F235" s="296">
        <v>2026.0</v>
      </c>
      <c r="G235" s="295">
        <v>46161.0</v>
      </c>
      <c r="H235" s="296">
        <v>19.0</v>
      </c>
      <c r="I235" s="269">
        <v>5.0</v>
      </c>
      <c r="J235" s="296">
        <v>2026.0</v>
      </c>
      <c r="K235" s="235" t="s">
        <v>28</v>
      </c>
      <c r="L235" s="235" t="s">
        <v>518</v>
      </c>
      <c r="M235" s="296">
        <v>1.0</v>
      </c>
      <c r="N235" s="296">
        <v>1.0</v>
      </c>
      <c r="O235" s="296">
        <v>2.0</v>
      </c>
      <c r="P235" s="315">
        <v>46174.0</v>
      </c>
      <c r="Q235" s="213">
        <v>1.0</v>
      </c>
      <c r="R235" s="213">
        <v>6.0</v>
      </c>
      <c r="S235" s="296">
        <v>2026.0</v>
      </c>
      <c r="T235" s="235" t="s">
        <v>28</v>
      </c>
      <c r="U235" s="296">
        <v>37.59</v>
      </c>
      <c r="V235" s="315">
        <v>46174.0</v>
      </c>
      <c r="W235" s="296">
        <v>1.0</v>
      </c>
      <c r="X235" s="296">
        <v>6.0</v>
      </c>
      <c r="Y235" s="296">
        <v>2026.0</v>
      </c>
      <c r="Z235" s="235" t="s">
        <v>28</v>
      </c>
    </row>
    <row r="236">
      <c r="A236" s="293" t="s">
        <v>1001</v>
      </c>
      <c r="B236" s="295">
        <v>6.698149436E9</v>
      </c>
      <c r="C236" s="295">
        <v>46144.0</v>
      </c>
      <c r="D236" s="296">
        <v>2.0</v>
      </c>
      <c r="E236" s="296">
        <v>5.0</v>
      </c>
      <c r="F236" s="296">
        <v>2026.0</v>
      </c>
      <c r="G236" s="295">
        <v>46147.0</v>
      </c>
      <c r="H236" s="296">
        <v>5.0</v>
      </c>
      <c r="I236" s="269">
        <v>5.0</v>
      </c>
      <c r="J236" s="296">
        <v>2026.0</v>
      </c>
      <c r="K236" s="235" t="s">
        <v>28</v>
      </c>
      <c r="L236" s="235" t="s">
        <v>518</v>
      </c>
      <c r="M236" s="296">
        <v>1.0</v>
      </c>
      <c r="N236" s="296">
        <v>3.0</v>
      </c>
      <c r="O236" s="296">
        <v>6.0</v>
      </c>
      <c r="P236" s="315">
        <v>46174.0</v>
      </c>
      <c r="Q236" s="213">
        <v>1.0</v>
      </c>
      <c r="R236" s="213">
        <v>6.0</v>
      </c>
      <c r="S236" s="296">
        <v>2026.0</v>
      </c>
      <c r="T236" s="235" t="s">
        <v>28</v>
      </c>
      <c r="U236" s="296">
        <v>112.78</v>
      </c>
      <c r="V236" s="315">
        <v>46174.0</v>
      </c>
      <c r="W236" s="296">
        <v>1.0</v>
      </c>
      <c r="X236" s="296">
        <v>6.0</v>
      </c>
      <c r="Y236" s="296">
        <v>2026.0</v>
      </c>
      <c r="Z236" s="235" t="s">
        <v>28</v>
      </c>
    </row>
    <row r="237">
      <c r="A237" s="293" t="s">
        <v>1003</v>
      </c>
      <c r="B237" s="295">
        <v>6.237166978E9</v>
      </c>
      <c r="C237" s="295">
        <v>46149.0</v>
      </c>
      <c r="D237" s="296">
        <v>7.0</v>
      </c>
      <c r="E237" s="296">
        <v>5.0</v>
      </c>
      <c r="F237" s="296">
        <v>2026.0</v>
      </c>
      <c r="G237" s="295">
        <v>46150.0</v>
      </c>
      <c r="H237" s="296">
        <v>8.0</v>
      </c>
      <c r="I237" s="269">
        <v>5.0</v>
      </c>
      <c r="J237" s="296">
        <v>2026.0</v>
      </c>
      <c r="K237" s="235" t="s">
        <v>28</v>
      </c>
      <c r="L237" s="235" t="s">
        <v>518</v>
      </c>
      <c r="M237" s="296">
        <v>1.0</v>
      </c>
      <c r="N237" s="296">
        <v>1.0</v>
      </c>
      <c r="O237" s="296">
        <v>2.0</v>
      </c>
      <c r="P237" s="315">
        <v>46174.0</v>
      </c>
      <c r="Q237" s="213">
        <v>1.0</v>
      </c>
      <c r="R237" s="213">
        <v>6.0</v>
      </c>
      <c r="S237" s="296">
        <v>2026.0</v>
      </c>
      <c r="T237" s="235" t="s">
        <v>28</v>
      </c>
      <c r="U237" s="296">
        <v>37.59</v>
      </c>
      <c r="V237" s="315">
        <v>46174.0</v>
      </c>
      <c r="W237" s="296">
        <v>1.0</v>
      </c>
      <c r="X237" s="296">
        <v>6.0</v>
      </c>
      <c r="Y237" s="296">
        <v>2026.0</v>
      </c>
      <c r="Z237" s="235" t="s">
        <v>28</v>
      </c>
    </row>
    <row r="238">
      <c r="A238" s="293" t="s">
        <v>1005</v>
      </c>
      <c r="B238" s="295">
        <v>5.678060938E9</v>
      </c>
      <c r="C238" s="295">
        <v>46164.0</v>
      </c>
      <c r="D238" s="296">
        <v>22.0</v>
      </c>
      <c r="E238" s="296">
        <v>5.0</v>
      </c>
      <c r="F238" s="296">
        <v>2026.0</v>
      </c>
      <c r="G238" s="295">
        <v>46165.0</v>
      </c>
      <c r="H238" s="296">
        <v>23.0</v>
      </c>
      <c r="I238" s="269">
        <v>5.0</v>
      </c>
      <c r="J238" s="296">
        <v>2026.0</v>
      </c>
      <c r="K238" s="235" t="s">
        <v>28</v>
      </c>
      <c r="L238" s="235" t="s">
        <v>518</v>
      </c>
      <c r="M238" s="296">
        <v>1.0</v>
      </c>
      <c r="N238" s="296">
        <v>1.0</v>
      </c>
      <c r="O238" s="296">
        <v>2.0</v>
      </c>
      <c r="P238" s="315">
        <v>46174.0</v>
      </c>
      <c r="Q238" s="213">
        <v>1.0</v>
      </c>
      <c r="R238" s="213">
        <v>6.0</v>
      </c>
      <c r="S238" s="296">
        <v>2026.0</v>
      </c>
      <c r="T238" s="235" t="s">
        <v>28</v>
      </c>
      <c r="U238" s="296">
        <v>37.59</v>
      </c>
      <c r="V238" s="315">
        <v>46174.0</v>
      </c>
      <c r="W238" s="296">
        <v>1.0</v>
      </c>
      <c r="X238" s="296">
        <v>6.0</v>
      </c>
      <c r="Y238" s="296">
        <v>2026.0</v>
      </c>
      <c r="Z238" s="235" t="s">
        <v>28</v>
      </c>
    </row>
    <row r="239">
      <c r="A239" s="293" t="s">
        <v>1005</v>
      </c>
      <c r="B239" s="299">
        <v>5.374860878E9</v>
      </c>
      <c r="C239" s="295">
        <v>46172.0</v>
      </c>
      <c r="D239" s="296">
        <v>30.0</v>
      </c>
      <c r="E239" s="296">
        <v>5.0</v>
      </c>
      <c r="F239" s="296">
        <v>2026.0</v>
      </c>
      <c r="G239" s="295">
        <v>46173.0</v>
      </c>
      <c r="H239" s="269">
        <v>31.0</v>
      </c>
      <c r="I239" s="296">
        <v>5.0</v>
      </c>
      <c r="J239" s="269">
        <v>2026.0</v>
      </c>
      <c r="K239" s="235" t="s">
        <v>28</v>
      </c>
      <c r="L239" s="235" t="s">
        <v>895</v>
      </c>
      <c r="M239" s="296">
        <v>1.0</v>
      </c>
      <c r="N239" s="269">
        <v>1.0</v>
      </c>
      <c r="O239" s="296">
        <v>0.0</v>
      </c>
      <c r="P239" s="315">
        <v>46174.0</v>
      </c>
      <c r="Q239" s="213">
        <v>1.0</v>
      </c>
      <c r="R239" s="213">
        <v>6.0</v>
      </c>
      <c r="S239" s="296">
        <v>2026.0</v>
      </c>
      <c r="T239" s="235" t="s">
        <v>28</v>
      </c>
      <c r="U239" s="296">
        <v>0.0</v>
      </c>
      <c r="V239" s="315">
        <v>46174.0</v>
      </c>
      <c r="W239" s="296">
        <v>1.0</v>
      </c>
      <c r="X239" s="296">
        <v>6.0</v>
      </c>
      <c r="Y239" s="296">
        <v>2026.0</v>
      </c>
      <c r="Z239" s="235" t="s">
        <v>28</v>
      </c>
    </row>
    <row r="240">
      <c r="A240" s="293" t="s">
        <v>1008</v>
      </c>
      <c r="B240" s="299">
        <v>6.861176195E9</v>
      </c>
      <c r="C240" s="295">
        <v>46169.0</v>
      </c>
      <c r="D240" s="296">
        <v>27.0</v>
      </c>
      <c r="E240" s="296">
        <v>5.0</v>
      </c>
      <c r="F240" s="296">
        <v>2026.0</v>
      </c>
      <c r="G240" s="295">
        <v>46172.0</v>
      </c>
      <c r="H240" s="269">
        <v>30.0</v>
      </c>
      <c r="I240" s="296">
        <v>5.0</v>
      </c>
      <c r="J240" s="269">
        <v>2026.0</v>
      </c>
      <c r="K240" s="235" t="s">
        <v>28</v>
      </c>
      <c r="L240" s="235" t="s">
        <v>895</v>
      </c>
      <c r="M240" s="296">
        <v>1.0</v>
      </c>
      <c r="N240" s="269">
        <v>3.0</v>
      </c>
      <c r="O240" s="296">
        <v>0.0</v>
      </c>
      <c r="P240" s="315">
        <v>46174.0</v>
      </c>
      <c r="Q240" s="213">
        <v>1.0</v>
      </c>
      <c r="R240" s="213">
        <v>6.0</v>
      </c>
      <c r="S240" s="296">
        <v>2026.0</v>
      </c>
      <c r="T240" s="235" t="s">
        <v>28</v>
      </c>
      <c r="U240" s="296">
        <v>0.0</v>
      </c>
      <c r="V240" s="315">
        <v>46174.0</v>
      </c>
      <c r="W240" s="296">
        <v>1.0</v>
      </c>
      <c r="X240" s="296">
        <v>6.0</v>
      </c>
      <c r="Y240" s="296">
        <v>2026.0</v>
      </c>
      <c r="Z240" s="235" t="s">
        <v>28</v>
      </c>
    </row>
    <row r="241">
      <c r="A241" s="293" t="s">
        <v>1011</v>
      </c>
      <c r="B241" s="295">
        <v>6.067275556E9</v>
      </c>
      <c r="C241" s="295">
        <v>46144.0</v>
      </c>
      <c r="D241" s="296">
        <v>2.0</v>
      </c>
      <c r="E241" s="296">
        <v>5.0</v>
      </c>
      <c r="F241" s="296">
        <v>2026.0</v>
      </c>
      <c r="G241" s="295">
        <v>46145.0</v>
      </c>
      <c r="H241" s="296">
        <v>3.0</v>
      </c>
      <c r="I241" s="269">
        <v>5.0</v>
      </c>
      <c r="J241" s="296">
        <v>2026.0</v>
      </c>
      <c r="K241" s="235" t="s">
        <v>28</v>
      </c>
      <c r="L241" s="235" t="s">
        <v>518</v>
      </c>
      <c r="M241" s="296">
        <v>1.0</v>
      </c>
      <c r="N241" s="296">
        <v>1.0</v>
      </c>
      <c r="O241" s="296">
        <v>2.0</v>
      </c>
      <c r="P241" s="315">
        <v>46174.0</v>
      </c>
      <c r="Q241" s="213">
        <v>1.0</v>
      </c>
      <c r="R241" s="213">
        <v>6.0</v>
      </c>
      <c r="S241" s="296">
        <v>2026.0</v>
      </c>
      <c r="T241" s="235" t="s">
        <v>28</v>
      </c>
      <c r="U241" s="296">
        <v>37.59</v>
      </c>
      <c r="V241" s="315">
        <v>46174.0</v>
      </c>
      <c r="W241" s="296">
        <v>1.0</v>
      </c>
      <c r="X241" s="296">
        <v>6.0</v>
      </c>
      <c r="Y241" s="296">
        <v>2026.0</v>
      </c>
      <c r="Z241" s="235" t="s">
        <v>28</v>
      </c>
    </row>
    <row r="242">
      <c r="A242" s="293" t="s">
        <v>1013</v>
      </c>
      <c r="B242" s="295">
        <v>6.85741346E9</v>
      </c>
      <c r="C242" s="295">
        <v>46147.0</v>
      </c>
      <c r="D242" s="296">
        <v>5.0</v>
      </c>
      <c r="E242" s="296">
        <v>5.0</v>
      </c>
      <c r="F242" s="296">
        <v>2026.0</v>
      </c>
      <c r="G242" s="295">
        <v>46148.0</v>
      </c>
      <c r="H242" s="296">
        <v>6.0</v>
      </c>
      <c r="I242" s="269">
        <v>5.0</v>
      </c>
      <c r="J242" s="296">
        <v>2026.0</v>
      </c>
      <c r="K242" s="235" t="s">
        <v>28</v>
      </c>
      <c r="L242" s="235" t="s">
        <v>518</v>
      </c>
      <c r="M242" s="296">
        <v>1.0</v>
      </c>
      <c r="N242" s="296">
        <v>1.0</v>
      </c>
      <c r="O242" s="296">
        <v>2.0</v>
      </c>
      <c r="P242" s="315">
        <v>46174.0</v>
      </c>
      <c r="Q242" s="213">
        <v>1.0</v>
      </c>
      <c r="R242" s="213">
        <v>6.0</v>
      </c>
      <c r="S242" s="296">
        <v>2026.0</v>
      </c>
      <c r="T242" s="235" t="s">
        <v>28</v>
      </c>
      <c r="U242" s="296">
        <v>37.59</v>
      </c>
      <c r="V242" s="315">
        <v>46174.0</v>
      </c>
      <c r="W242" s="296">
        <v>1.0</v>
      </c>
      <c r="X242" s="296">
        <v>6.0</v>
      </c>
      <c r="Y242" s="296">
        <v>2026.0</v>
      </c>
      <c r="Z242" s="235" t="s">
        <v>28</v>
      </c>
    </row>
    <row r="243">
      <c r="A243" s="293" t="s">
        <v>1015</v>
      </c>
      <c r="B243" s="295">
        <v>5.804611214E9</v>
      </c>
      <c r="C243" s="295">
        <v>46165.0</v>
      </c>
      <c r="D243" s="296">
        <v>23.0</v>
      </c>
      <c r="E243" s="296">
        <v>5.0</v>
      </c>
      <c r="F243" s="296">
        <v>2026.0</v>
      </c>
      <c r="G243" s="295">
        <v>46166.0</v>
      </c>
      <c r="H243" s="296">
        <v>24.0</v>
      </c>
      <c r="I243" s="269">
        <v>5.0</v>
      </c>
      <c r="J243" s="296">
        <v>2026.0</v>
      </c>
      <c r="K243" s="235" t="s">
        <v>28</v>
      </c>
      <c r="L243" s="235" t="s">
        <v>518</v>
      </c>
      <c r="M243" s="296">
        <v>1.0</v>
      </c>
      <c r="N243" s="296">
        <v>1.0</v>
      </c>
      <c r="O243" s="296">
        <v>2.0</v>
      </c>
      <c r="P243" s="315">
        <v>46174.0</v>
      </c>
      <c r="Q243" s="213">
        <v>1.0</v>
      </c>
      <c r="R243" s="213">
        <v>6.0</v>
      </c>
      <c r="S243" s="296">
        <v>2026.0</v>
      </c>
      <c r="T243" s="235" t="s">
        <v>28</v>
      </c>
      <c r="U243" s="296">
        <v>37.59</v>
      </c>
      <c r="V243" s="315">
        <v>46174.0</v>
      </c>
      <c r="W243" s="296">
        <v>1.0</v>
      </c>
      <c r="X243" s="296">
        <v>6.0</v>
      </c>
      <c r="Y243" s="296">
        <v>2026.0</v>
      </c>
      <c r="Z243" s="235" t="s">
        <v>28</v>
      </c>
    </row>
    <row r="244">
      <c r="A244" s="293" t="s">
        <v>1017</v>
      </c>
      <c r="B244" s="295">
        <v>5.684616228E9</v>
      </c>
      <c r="C244" s="295">
        <v>46156.0</v>
      </c>
      <c r="D244" s="296">
        <v>14.0</v>
      </c>
      <c r="E244" s="296">
        <v>5.0</v>
      </c>
      <c r="F244" s="296">
        <v>2026.0</v>
      </c>
      <c r="G244" s="295">
        <v>46157.0</v>
      </c>
      <c r="H244" s="296">
        <v>15.0</v>
      </c>
      <c r="I244" s="269">
        <v>5.0</v>
      </c>
      <c r="J244" s="296">
        <v>2026.0</v>
      </c>
      <c r="K244" s="235" t="s">
        <v>28</v>
      </c>
      <c r="L244" s="235" t="s">
        <v>518</v>
      </c>
      <c r="M244" s="296">
        <v>1.0</v>
      </c>
      <c r="N244" s="296">
        <v>1.0</v>
      </c>
      <c r="O244" s="296">
        <v>2.0</v>
      </c>
      <c r="P244" s="315">
        <v>46174.0</v>
      </c>
      <c r="Q244" s="213">
        <v>1.0</v>
      </c>
      <c r="R244" s="213">
        <v>6.0</v>
      </c>
      <c r="S244" s="296">
        <v>2026.0</v>
      </c>
      <c r="T244" s="235" t="s">
        <v>28</v>
      </c>
      <c r="U244" s="296">
        <v>37.59</v>
      </c>
      <c r="V244" s="315">
        <v>46174.0</v>
      </c>
      <c r="W244" s="296">
        <v>1.0</v>
      </c>
      <c r="X244" s="296">
        <v>6.0</v>
      </c>
      <c r="Y244" s="296">
        <v>2026.0</v>
      </c>
      <c r="Z244" s="235" t="s">
        <v>28</v>
      </c>
    </row>
    <row r="245">
      <c r="A245" s="293" t="s">
        <v>1019</v>
      </c>
      <c r="B245" s="299">
        <v>6.001271215E9</v>
      </c>
      <c r="C245" s="295">
        <v>46149.0</v>
      </c>
      <c r="D245" s="296">
        <v>7.0</v>
      </c>
      <c r="E245" s="296">
        <v>5.0</v>
      </c>
      <c r="F245" s="296">
        <v>2026.0</v>
      </c>
      <c r="G245" s="295">
        <v>46151.0</v>
      </c>
      <c r="H245" s="269">
        <v>9.0</v>
      </c>
      <c r="I245" s="296">
        <v>5.0</v>
      </c>
      <c r="J245" s="269">
        <v>2026.0</v>
      </c>
      <c r="K245" s="235" t="s">
        <v>28</v>
      </c>
      <c r="L245" s="235" t="s">
        <v>895</v>
      </c>
      <c r="M245" s="296">
        <v>1.0</v>
      </c>
      <c r="N245" s="269">
        <v>2.0</v>
      </c>
      <c r="O245" s="296">
        <v>0.0</v>
      </c>
      <c r="P245" s="315">
        <v>46174.0</v>
      </c>
      <c r="Q245" s="213">
        <v>1.0</v>
      </c>
      <c r="R245" s="213">
        <v>6.0</v>
      </c>
      <c r="S245" s="296">
        <v>2026.0</v>
      </c>
      <c r="T245" s="235" t="s">
        <v>28</v>
      </c>
      <c r="U245" s="296">
        <v>0.0</v>
      </c>
      <c r="V245" s="315">
        <v>46174.0</v>
      </c>
      <c r="W245" s="296">
        <v>1.0</v>
      </c>
      <c r="X245" s="296">
        <v>6.0</v>
      </c>
      <c r="Y245" s="296">
        <v>2026.0</v>
      </c>
      <c r="Z245" s="235" t="s">
        <v>28</v>
      </c>
    </row>
    <row r="246">
      <c r="A246" s="293" t="s">
        <v>1021</v>
      </c>
      <c r="B246" s="295">
        <v>5.991599745E9</v>
      </c>
      <c r="C246" s="295">
        <v>46166.0</v>
      </c>
      <c r="D246" s="296">
        <v>24.0</v>
      </c>
      <c r="E246" s="296">
        <v>5.0</v>
      </c>
      <c r="F246" s="296">
        <v>2026.0</v>
      </c>
      <c r="G246" s="295">
        <v>46168.0</v>
      </c>
      <c r="H246" s="296">
        <v>26.0</v>
      </c>
      <c r="I246" s="269">
        <v>5.0</v>
      </c>
      <c r="J246" s="296">
        <v>2026.0</v>
      </c>
      <c r="K246" s="235" t="s">
        <v>28</v>
      </c>
      <c r="L246" s="235" t="s">
        <v>518</v>
      </c>
      <c r="M246" s="296">
        <v>1.0</v>
      </c>
      <c r="N246" s="296">
        <v>2.0</v>
      </c>
      <c r="O246" s="296">
        <v>4.0</v>
      </c>
      <c r="P246" s="315">
        <v>46174.0</v>
      </c>
      <c r="Q246" s="213">
        <v>1.0</v>
      </c>
      <c r="R246" s="213">
        <v>6.0</v>
      </c>
      <c r="S246" s="296">
        <v>2026.0</v>
      </c>
      <c r="T246" s="235" t="s">
        <v>28</v>
      </c>
      <c r="U246" s="296">
        <v>75.18</v>
      </c>
      <c r="V246" s="315">
        <v>46174.0</v>
      </c>
      <c r="W246" s="296">
        <v>1.0</v>
      </c>
      <c r="X246" s="296">
        <v>6.0</v>
      </c>
      <c r="Y246" s="296">
        <v>2026.0</v>
      </c>
      <c r="Z246" s="235" t="s">
        <v>28</v>
      </c>
    </row>
    <row r="247">
      <c r="A247" s="293" t="s">
        <v>1023</v>
      </c>
      <c r="B247" s="295">
        <v>5.928543815E9</v>
      </c>
      <c r="C247" s="295">
        <v>46152.0</v>
      </c>
      <c r="D247" s="296">
        <v>10.0</v>
      </c>
      <c r="E247" s="296">
        <v>5.0</v>
      </c>
      <c r="F247" s="296">
        <v>2026.0</v>
      </c>
      <c r="G247" s="295">
        <v>46157.0</v>
      </c>
      <c r="H247" s="296">
        <v>15.0</v>
      </c>
      <c r="I247" s="269">
        <v>5.0</v>
      </c>
      <c r="J247" s="296">
        <v>2026.0</v>
      </c>
      <c r="K247" s="235" t="s">
        <v>28</v>
      </c>
      <c r="L247" s="235" t="s">
        <v>518</v>
      </c>
      <c r="M247" s="296">
        <v>1.0</v>
      </c>
      <c r="N247" s="296">
        <v>5.0</v>
      </c>
      <c r="O247" s="296">
        <v>10.0</v>
      </c>
      <c r="P247" s="315">
        <v>46174.0</v>
      </c>
      <c r="Q247" s="213">
        <v>1.0</v>
      </c>
      <c r="R247" s="213">
        <v>6.0</v>
      </c>
      <c r="S247" s="296">
        <v>2026.0</v>
      </c>
      <c r="T247" s="235" t="s">
        <v>28</v>
      </c>
      <c r="U247" s="296">
        <v>187.96</v>
      </c>
      <c r="V247" s="315">
        <v>46174.0</v>
      </c>
      <c r="W247" s="296">
        <v>1.0</v>
      </c>
      <c r="X247" s="296">
        <v>6.0</v>
      </c>
      <c r="Y247" s="296">
        <v>2026.0</v>
      </c>
      <c r="Z247" s="235" t="s">
        <v>28</v>
      </c>
    </row>
    <row r="248">
      <c r="A248" s="293" t="s">
        <v>1025</v>
      </c>
      <c r="B248" s="299">
        <v>5.627491066E9</v>
      </c>
      <c r="C248" s="295">
        <v>46157.0</v>
      </c>
      <c r="D248" s="296">
        <v>15.0</v>
      </c>
      <c r="E248" s="296">
        <v>5.0</v>
      </c>
      <c r="F248" s="296">
        <v>2026.0</v>
      </c>
      <c r="G248" s="295">
        <v>46158.0</v>
      </c>
      <c r="H248" s="269">
        <v>16.0</v>
      </c>
      <c r="I248" s="296">
        <v>5.0</v>
      </c>
      <c r="J248" s="269">
        <v>2026.0</v>
      </c>
      <c r="K248" s="235" t="s">
        <v>28</v>
      </c>
      <c r="L248" s="235" t="s">
        <v>895</v>
      </c>
      <c r="M248" s="296">
        <v>1.0</v>
      </c>
      <c r="N248" s="269">
        <v>1.0</v>
      </c>
      <c r="O248" s="296">
        <v>0.0</v>
      </c>
      <c r="P248" s="315">
        <v>46174.0</v>
      </c>
      <c r="Q248" s="213">
        <v>1.0</v>
      </c>
      <c r="R248" s="213">
        <v>6.0</v>
      </c>
      <c r="S248" s="296">
        <v>2026.0</v>
      </c>
      <c r="T248" s="235" t="s">
        <v>28</v>
      </c>
      <c r="U248" s="296">
        <v>0.0</v>
      </c>
      <c r="V248" s="315">
        <v>46174.0</v>
      </c>
      <c r="W248" s="296">
        <v>1.0</v>
      </c>
      <c r="X248" s="296">
        <v>6.0</v>
      </c>
      <c r="Y248" s="296">
        <v>2026.0</v>
      </c>
      <c r="Z248" s="235" t="s">
        <v>28</v>
      </c>
    </row>
    <row r="249">
      <c r="A249" s="293" t="s">
        <v>1027</v>
      </c>
      <c r="B249" s="299">
        <v>6.960243326E9</v>
      </c>
      <c r="C249" s="295">
        <v>46160.0</v>
      </c>
      <c r="D249" s="296">
        <v>18.0</v>
      </c>
      <c r="E249" s="296">
        <v>5.0</v>
      </c>
      <c r="F249" s="296">
        <v>2026.0</v>
      </c>
      <c r="G249" s="295">
        <v>46162.0</v>
      </c>
      <c r="H249" s="269">
        <v>20.0</v>
      </c>
      <c r="I249" s="296">
        <v>5.0</v>
      </c>
      <c r="J249" s="269">
        <v>2026.0</v>
      </c>
      <c r="K249" s="235" t="s">
        <v>28</v>
      </c>
      <c r="L249" s="235" t="s">
        <v>895</v>
      </c>
      <c r="M249" s="296">
        <v>1.0</v>
      </c>
      <c r="N249" s="269">
        <v>2.0</v>
      </c>
      <c r="O249" s="296">
        <v>0.0</v>
      </c>
      <c r="P249" s="315">
        <v>46174.0</v>
      </c>
      <c r="Q249" s="213">
        <v>1.0</v>
      </c>
      <c r="R249" s="213">
        <v>6.0</v>
      </c>
      <c r="S249" s="296">
        <v>2026.0</v>
      </c>
      <c r="T249" s="235" t="s">
        <v>28</v>
      </c>
      <c r="U249" s="296">
        <v>0.0</v>
      </c>
      <c r="V249" s="315">
        <v>46174.0</v>
      </c>
      <c r="W249" s="296">
        <v>1.0</v>
      </c>
      <c r="X249" s="296">
        <v>6.0</v>
      </c>
      <c r="Y249" s="296">
        <v>2026.0</v>
      </c>
      <c r="Z249" s="235" t="s">
        <v>28</v>
      </c>
    </row>
    <row r="250">
      <c r="A250" s="293" t="s">
        <v>1029</v>
      </c>
      <c r="B250" s="295">
        <v>6.325097643E9</v>
      </c>
      <c r="C250" s="295">
        <v>46150.0</v>
      </c>
      <c r="D250" s="296">
        <v>8.0</v>
      </c>
      <c r="E250" s="296">
        <v>5.0</v>
      </c>
      <c r="F250" s="296">
        <v>2026.0</v>
      </c>
      <c r="G250" s="295">
        <v>46155.0</v>
      </c>
      <c r="H250" s="296">
        <v>13.0</v>
      </c>
      <c r="I250" s="269">
        <v>5.0</v>
      </c>
      <c r="J250" s="296">
        <v>2026.0</v>
      </c>
      <c r="K250" s="235" t="s">
        <v>28</v>
      </c>
      <c r="L250" s="235" t="s">
        <v>518</v>
      </c>
      <c r="M250" s="296">
        <v>1.0</v>
      </c>
      <c r="N250" s="296">
        <v>5.0</v>
      </c>
      <c r="O250" s="296">
        <v>10.0</v>
      </c>
      <c r="P250" s="315">
        <v>46174.0</v>
      </c>
      <c r="Q250" s="213">
        <v>1.0</v>
      </c>
      <c r="R250" s="213">
        <v>6.0</v>
      </c>
      <c r="S250" s="296">
        <v>2026.0</v>
      </c>
      <c r="T250" s="235" t="s">
        <v>28</v>
      </c>
      <c r="U250" s="296">
        <v>187.96</v>
      </c>
      <c r="V250" s="315">
        <v>46174.0</v>
      </c>
      <c r="W250" s="296">
        <v>1.0</v>
      </c>
      <c r="X250" s="296">
        <v>6.0</v>
      </c>
      <c r="Y250" s="296">
        <v>2026.0</v>
      </c>
      <c r="Z250" s="235" t="s">
        <v>28</v>
      </c>
    </row>
    <row r="251">
      <c r="A251" s="293" t="s">
        <v>1031</v>
      </c>
      <c r="B251" s="295">
        <v>6.953098081E9</v>
      </c>
      <c r="C251" s="295">
        <v>46157.0</v>
      </c>
      <c r="D251" s="296">
        <v>15.0</v>
      </c>
      <c r="E251" s="296">
        <v>5.0</v>
      </c>
      <c r="F251" s="296">
        <v>2026.0</v>
      </c>
      <c r="G251" s="295">
        <v>46162.0</v>
      </c>
      <c r="H251" s="296">
        <v>20.0</v>
      </c>
      <c r="I251" s="269">
        <v>5.0</v>
      </c>
      <c r="J251" s="296">
        <v>2026.0</v>
      </c>
      <c r="K251" s="235" t="s">
        <v>28</v>
      </c>
      <c r="L251" s="235" t="s">
        <v>518</v>
      </c>
      <c r="M251" s="296">
        <v>1.0</v>
      </c>
      <c r="N251" s="296">
        <v>5.0</v>
      </c>
      <c r="O251" s="296">
        <v>10.0</v>
      </c>
      <c r="P251" s="315">
        <v>46174.0</v>
      </c>
      <c r="Q251" s="213">
        <v>1.0</v>
      </c>
      <c r="R251" s="213">
        <v>6.0</v>
      </c>
      <c r="S251" s="296">
        <v>2026.0</v>
      </c>
      <c r="T251" s="235" t="s">
        <v>28</v>
      </c>
      <c r="U251" s="296">
        <v>187.96</v>
      </c>
      <c r="V251" s="315">
        <v>46174.0</v>
      </c>
      <c r="W251" s="296">
        <v>1.0</v>
      </c>
      <c r="X251" s="296">
        <v>6.0</v>
      </c>
      <c r="Y251" s="296">
        <v>2026.0</v>
      </c>
      <c r="Z251" s="235" t="s">
        <v>28</v>
      </c>
    </row>
    <row r="252">
      <c r="A252" s="293" t="s">
        <v>1031</v>
      </c>
      <c r="B252" s="299">
        <v>5.254864051E9</v>
      </c>
      <c r="C252" s="295">
        <v>46157.0</v>
      </c>
      <c r="D252" s="296">
        <v>15.0</v>
      </c>
      <c r="E252" s="296">
        <v>5.0</v>
      </c>
      <c r="F252" s="296">
        <v>2026.0</v>
      </c>
      <c r="G252" s="295">
        <v>46162.0</v>
      </c>
      <c r="H252" s="269">
        <v>20.0</v>
      </c>
      <c r="I252" s="296">
        <v>5.0</v>
      </c>
      <c r="J252" s="269">
        <v>2026.0</v>
      </c>
      <c r="K252" s="235" t="s">
        <v>28</v>
      </c>
      <c r="L252" s="235" t="s">
        <v>895</v>
      </c>
      <c r="M252" s="296">
        <v>1.0</v>
      </c>
      <c r="N252" s="269">
        <v>5.0</v>
      </c>
      <c r="O252" s="296">
        <v>0.0</v>
      </c>
      <c r="P252" s="315">
        <v>46174.0</v>
      </c>
      <c r="Q252" s="213">
        <v>1.0</v>
      </c>
      <c r="R252" s="213">
        <v>6.0</v>
      </c>
      <c r="S252" s="296">
        <v>2026.0</v>
      </c>
      <c r="T252" s="235" t="s">
        <v>28</v>
      </c>
      <c r="U252" s="296">
        <v>0.0</v>
      </c>
      <c r="V252" s="315">
        <v>46174.0</v>
      </c>
      <c r="W252" s="296">
        <v>1.0</v>
      </c>
      <c r="X252" s="296">
        <v>6.0</v>
      </c>
      <c r="Y252" s="296">
        <v>2026.0</v>
      </c>
      <c r="Z252" s="235" t="s">
        <v>28</v>
      </c>
    </row>
    <row r="253">
      <c r="A253" s="293" t="s">
        <v>1032</v>
      </c>
      <c r="B253" s="295">
        <v>6.689614132E9</v>
      </c>
      <c r="C253" s="295">
        <v>46144.0</v>
      </c>
      <c r="D253" s="296">
        <v>2.0</v>
      </c>
      <c r="E253" s="296">
        <v>5.0</v>
      </c>
      <c r="F253" s="296">
        <v>2026.0</v>
      </c>
      <c r="G253" s="295">
        <v>46148.0</v>
      </c>
      <c r="H253" s="296">
        <v>6.0</v>
      </c>
      <c r="I253" s="269">
        <v>5.0</v>
      </c>
      <c r="J253" s="296">
        <v>2026.0</v>
      </c>
      <c r="K253" s="235" t="s">
        <v>28</v>
      </c>
      <c r="L253" s="235" t="s">
        <v>518</v>
      </c>
      <c r="M253" s="296">
        <v>1.0</v>
      </c>
      <c r="N253" s="296">
        <v>4.0</v>
      </c>
      <c r="O253" s="296">
        <v>8.0</v>
      </c>
      <c r="P253" s="315">
        <v>46174.0</v>
      </c>
      <c r="Q253" s="213">
        <v>1.0</v>
      </c>
      <c r="R253" s="213">
        <v>6.0</v>
      </c>
      <c r="S253" s="296">
        <v>2026.0</v>
      </c>
      <c r="T253" s="235" t="s">
        <v>28</v>
      </c>
      <c r="U253" s="296">
        <v>150.37</v>
      </c>
      <c r="V253" s="315">
        <v>46174.0</v>
      </c>
      <c r="W253" s="296">
        <v>1.0</v>
      </c>
      <c r="X253" s="296">
        <v>6.0</v>
      </c>
      <c r="Y253" s="296">
        <v>2026.0</v>
      </c>
      <c r="Z253" s="235" t="s">
        <v>28</v>
      </c>
    </row>
    <row r="254">
      <c r="A254" s="293" t="s">
        <v>1034</v>
      </c>
      <c r="B254" s="295">
        <v>5.923688092E9</v>
      </c>
      <c r="C254" s="295">
        <v>46170.0</v>
      </c>
      <c r="D254" s="296">
        <v>28.0</v>
      </c>
      <c r="E254" s="296">
        <v>5.0</v>
      </c>
      <c r="F254" s="296">
        <v>2026.0</v>
      </c>
      <c r="G254" s="295">
        <v>46171.0</v>
      </c>
      <c r="H254" s="296">
        <v>29.0</v>
      </c>
      <c r="I254" s="269">
        <v>5.0</v>
      </c>
      <c r="J254" s="296">
        <v>2026.0</v>
      </c>
      <c r="K254" s="235" t="s">
        <v>28</v>
      </c>
      <c r="L254" s="235" t="s">
        <v>518</v>
      </c>
      <c r="M254" s="296">
        <v>1.0</v>
      </c>
      <c r="N254" s="296">
        <v>1.0</v>
      </c>
      <c r="O254" s="296">
        <v>2.0</v>
      </c>
      <c r="P254" s="315">
        <v>46174.0</v>
      </c>
      <c r="Q254" s="213">
        <v>1.0</v>
      </c>
      <c r="R254" s="213">
        <v>6.0</v>
      </c>
      <c r="S254" s="296">
        <v>2026.0</v>
      </c>
      <c r="T254" s="235" t="s">
        <v>28</v>
      </c>
      <c r="U254" s="296">
        <v>29.23</v>
      </c>
      <c r="V254" s="315">
        <v>46174.0</v>
      </c>
      <c r="W254" s="296">
        <v>1.0</v>
      </c>
      <c r="X254" s="296">
        <v>6.0</v>
      </c>
      <c r="Y254" s="296">
        <v>2026.0</v>
      </c>
      <c r="Z254" s="235" t="s">
        <v>28</v>
      </c>
    </row>
    <row r="255">
      <c r="A255" s="293" t="s">
        <v>1036</v>
      </c>
      <c r="B255" s="295">
        <v>5.089807753E9</v>
      </c>
      <c r="C255" s="295">
        <v>46155.0</v>
      </c>
      <c r="D255" s="296">
        <v>13.0</v>
      </c>
      <c r="E255" s="296">
        <v>5.0</v>
      </c>
      <c r="F255" s="296">
        <v>2026.0</v>
      </c>
      <c r="G255" s="295">
        <v>46160.0</v>
      </c>
      <c r="H255" s="296">
        <v>18.0</v>
      </c>
      <c r="I255" s="269">
        <v>5.0</v>
      </c>
      <c r="J255" s="296">
        <v>2026.0</v>
      </c>
      <c r="K255" s="235" t="s">
        <v>28</v>
      </c>
      <c r="L255" s="235" t="s">
        <v>518</v>
      </c>
      <c r="M255" s="296">
        <v>1.0</v>
      </c>
      <c r="N255" s="296">
        <v>5.0</v>
      </c>
      <c r="O255" s="296">
        <v>10.0</v>
      </c>
      <c r="P255" s="315">
        <v>46174.0</v>
      </c>
      <c r="Q255" s="213">
        <v>1.0</v>
      </c>
      <c r="R255" s="213">
        <v>6.0</v>
      </c>
      <c r="S255" s="296">
        <v>2026.0</v>
      </c>
      <c r="T255" s="235" t="s">
        <v>28</v>
      </c>
      <c r="U255" s="296">
        <v>187.96</v>
      </c>
      <c r="V255" s="315">
        <v>46174.0</v>
      </c>
      <c r="W255" s="296">
        <v>1.0</v>
      </c>
      <c r="X255" s="296">
        <v>6.0</v>
      </c>
      <c r="Y255" s="296">
        <v>2026.0</v>
      </c>
      <c r="Z255" s="235" t="s">
        <v>28</v>
      </c>
    </row>
    <row r="256">
      <c r="A256" s="293" t="s">
        <v>1037</v>
      </c>
      <c r="B256" s="295">
        <v>6.211821263E9</v>
      </c>
      <c r="C256" s="295">
        <v>46163.0</v>
      </c>
      <c r="D256" s="296">
        <v>21.0</v>
      </c>
      <c r="E256" s="296">
        <v>5.0</v>
      </c>
      <c r="F256" s="296">
        <v>2026.0</v>
      </c>
      <c r="G256" s="295">
        <v>46164.0</v>
      </c>
      <c r="H256" s="296">
        <v>22.0</v>
      </c>
      <c r="I256" s="269">
        <v>5.0</v>
      </c>
      <c r="J256" s="296">
        <v>2026.0</v>
      </c>
      <c r="K256" s="235" t="s">
        <v>28</v>
      </c>
      <c r="L256" s="235" t="s">
        <v>518</v>
      </c>
      <c r="M256" s="296">
        <v>1.0</v>
      </c>
      <c r="N256" s="296">
        <v>1.0</v>
      </c>
      <c r="O256" s="296">
        <v>2.0</v>
      </c>
      <c r="P256" s="315">
        <v>46174.0</v>
      </c>
      <c r="Q256" s="213">
        <v>1.0</v>
      </c>
      <c r="R256" s="213">
        <v>6.0</v>
      </c>
      <c r="S256" s="296">
        <v>2026.0</v>
      </c>
      <c r="T256" s="235" t="s">
        <v>28</v>
      </c>
      <c r="U256" s="296">
        <v>29.23</v>
      </c>
      <c r="V256" s="315">
        <v>46174.0</v>
      </c>
      <c r="W256" s="296">
        <v>1.0</v>
      </c>
      <c r="X256" s="296">
        <v>6.0</v>
      </c>
      <c r="Y256" s="296">
        <v>2026.0</v>
      </c>
      <c r="Z256" s="235" t="s">
        <v>28</v>
      </c>
    </row>
    <row r="257">
      <c r="A257" s="293" t="s">
        <v>1040</v>
      </c>
      <c r="B257" s="295">
        <v>5.326664414E9</v>
      </c>
      <c r="C257" s="295">
        <v>46171.0</v>
      </c>
      <c r="D257" s="296">
        <v>29.0</v>
      </c>
      <c r="E257" s="296">
        <v>5.0</v>
      </c>
      <c r="F257" s="296">
        <v>2026.0</v>
      </c>
      <c r="G257" s="295">
        <v>46172.0</v>
      </c>
      <c r="H257" s="296">
        <v>30.0</v>
      </c>
      <c r="I257" s="269">
        <v>5.0</v>
      </c>
      <c r="J257" s="296">
        <v>2026.0</v>
      </c>
      <c r="K257" s="235" t="s">
        <v>28</v>
      </c>
      <c r="L257" s="235" t="s">
        <v>518</v>
      </c>
      <c r="M257" s="296">
        <v>1.0</v>
      </c>
      <c r="N257" s="296">
        <v>1.0</v>
      </c>
      <c r="O257" s="296">
        <v>2.0</v>
      </c>
      <c r="P257" s="315">
        <v>46174.0</v>
      </c>
      <c r="Q257" s="213">
        <v>1.0</v>
      </c>
      <c r="R257" s="213">
        <v>6.0</v>
      </c>
      <c r="S257" s="296">
        <v>2026.0</v>
      </c>
      <c r="T257" s="235" t="s">
        <v>28</v>
      </c>
      <c r="U257" s="296">
        <v>29.23</v>
      </c>
      <c r="V257" s="315">
        <v>46174.0</v>
      </c>
      <c r="W257" s="296">
        <v>1.0</v>
      </c>
      <c r="X257" s="296">
        <v>6.0</v>
      </c>
      <c r="Y257" s="296">
        <v>2026.0</v>
      </c>
      <c r="Z257" s="235" t="s">
        <v>28</v>
      </c>
    </row>
    <row r="258">
      <c r="A258" s="293" t="s">
        <v>1041</v>
      </c>
      <c r="B258" s="295">
        <v>5.270532181E9</v>
      </c>
      <c r="C258" s="295">
        <v>46165.0</v>
      </c>
      <c r="D258" s="296">
        <v>23.0</v>
      </c>
      <c r="E258" s="296">
        <v>5.0</v>
      </c>
      <c r="F258" s="296">
        <v>2026.0</v>
      </c>
      <c r="G258" s="295">
        <v>46166.0</v>
      </c>
      <c r="H258" s="296">
        <v>24.0</v>
      </c>
      <c r="I258" s="269">
        <v>5.0</v>
      </c>
      <c r="J258" s="296">
        <v>2026.0</v>
      </c>
      <c r="K258" s="235" t="s">
        <v>28</v>
      </c>
      <c r="L258" s="235" t="s">
        <v>518</v>
      </c>
      <c r="M258" s="296">
        <v>1.0</v>
      </c>
      <c r="N258" s="296">
        <v>1.0</v>
      </c>
      <c r="O258" s="296">
        <v>2.0</v>
      </c>
      <c r="P258" s="315">
        <v>46174.0</v>
      </c>
      <c r="Q258" s="213">
        <v>1.0</v>
      </c>
      <c r="R258" s="213">
        <v>6.0</v>
      </c>
      <c r="S258" s="296">
        <v>2026.0</v>
      </c>
      <c r="T258" s="235" t="s">
        <v>28</v>
      </c>
      <c r="U258" s="296">
        <v>37.59</v>
      </c>
      <c r="V258" s="315">
        <v>46174.0</v>
      </c>
      <c r="W258" s="296">
        <v>1.0</v>
      </c>
      <c r="X258" s="296">
        <v>6.0</v>
      </c>
      <c r="Y258" s="296">
        <v>2026.0</v>
      </c>
      <c r="Z258" s="235" t="s">
        <v>28</v>
      </c>
    </row>
    <row r="259">
      <c r="A259" s="293" t="s">
        <v>1042</v>
      </c>
      <c r="B259" s="299">
        <v>6.849067994E9</v>
      </c>
      <c r="C259" s="295">
        <v>46149.0</v>
      </c>
      <c r="D259" s="296">
        <v>7.0</v>
      </c>
      <c r="E259" s="296">
        <v>5.0</v>
      </c>
      <c r="F259" s="296">
        <v>2026.0</v>
      </c>
      <c r="G259" s="295">
        <v>46150.0</v>
      </c>
      <c r="H259" s="269">
        <v>8.0</v>
      </c>
      <c r="I259" s="296">
        <v>5.0</v>
      </c>
      <c r="J259" s="269">
        <v>2026.0</v>
      </c>
      <c r="K259" s="235" t="s">
        <v>28</v>
      </c>
      <c r="L259" s="235" t="s">
        <v>895</v>
      </c>
      <c r="M259" s="296">
        <v>1.0</v>
      </c>
      <c r="N259" s="269">
        <v>1.0</v>
      </c>
      <c r="O259" s="296">
        <v>0.0</v>
      </c>
      <c r="P259" s="315">
        <v>46174.0</v>
      </c>
      <c r="Q259" s="213">
        <v>1.0</v>
      </c>
      <c r="R259" s="213">
        <v>6.0</v>
      </c>
      <c r="S259" s="296">
        <v>2026.0</v>
      </c>
      <c r="T259" s="235" t="s">
        <v>28</v>
      </c>
      <c r="U259" s="296">
        <v>0.0</v>
      </c>
      <c r="V259" s="315">
        <v>46174.0</v>
      </c>
      <c r="W259" s="296">
        <v>1.0</v>
      </c>
      <c r="X259" s="296">
        <v>6.0</v>
      </c>
      <c r="Y259" s="296">
        <v>2026.0</v>
      </c>
      <c r="Z259" s="235" t="s">
        <v>28</v>
      </c>
    </row>
    <row r="260">
      <c r="A260" s="293" t="s">
        <v>1044</v>
      </c>
      <c r="B260" s="295">
        <v>5.49606626E9</v>
      </c>
      <c r="C260" s="295">
        <v>46151.0</v>
      </c>
      <c r="D260" s="296">
        <v>9.0</v>
      </c>
      <c r="E260" s="296">
        <v>5.0</v>
      </c>
      <c r="F260" s="296">
        <v>2026.0</v>
      </c>
      <c r="G260" s="295">
        <v>46154.0</v>
      </c>
      <c r="H260" s="296">
        <v>12.0</v>
      </c>
      <c r="I260" s="269">
        <v>5.0</v>
      </c>
      <c r="J260" s="296">
        <v>2026.0</v>
      </c>
      <c r="K260" s="235" t="s">
        <v>28</v>
      </c>
      <c r="L260" s="235" t="s">
        <v>518</v>
      </c>
      <c r="M260" s="296">
        <v>1.0</v>
      </c>
      <c r="N260" s="296">
        <v>3.0</v>
      </c>
      <c r="O260" s="296">
        <v>6.0</v>
      </c>
      <c r="P260" s="315">
        <v>46174.0</v>
      </c>
      <c r="Q260" s="213">
        <v>1.0</v>
      </c>
      <c r="R260" s="213">
        <v>6.0</v>
      </c>
      <c r="S260" s="296">
        <v>2026.0</v>
      </c>
      <c r="T260" s="235" t="s">
        <v>28</v>
      </c>
      <c r="U260" s="296">
        <v>112.78</v>
      </c>
      <c r="V260" s="315">
        <v>46174.0</v>
      </c>
      <c r="W260" s="296">
        <v>1.0</v>
      </c>
      <c r="X260" s="296">
        <v>6.0</v>
      </c>
      <c r="Y260" s="296">
        <v>2026.0</v>
      </c>
      <c r="Z260" s="235" t="s">
        <v>28</v>
      </c>
    </row>
    <row r="261">
      <c r="A261" s="293" t="s">
        <v>1045</v>
      </c>
      <c r="B261" s="295">
        <v>6.238328653E9</v>
      </c>
      <c r="C261" s="295">
        <v>46171.0</v>
      </c>
      <c r="D261" s="296">
        <v>29.0</v>
      </c>
      <c r="E261" s="296">
        <v>5.0</v>
      </c>
      <c r="F261" s="296">
        <v>2026.0</v>
      </c>
      <c r="G261" s="295">
        <v>46172.0</v>
      </c>
      <c r="H261" s="296">
        <v>30.0</v>
      </c>
      <c r="I261" s="269">
        <v>5.0</v>
      </c>
      <c r="J261" s="296">
        <v>2026.0</v>
      </c>
      <c r="K261" s="235" t="s">
        <v>28</v>
      </c>
      <c r="L261" s="235" t="s">
        <v>518</v>
      </c>
      <c r="M261" s="296">
        <v>1.0</v>
      </c>
      <c r="N261" s="296">
        <v>1.0</v>
      </c>
      <c r="O261" s="296">
        <v>2.0</v>
      </c>
      <c r="P261" s="315">
        <v>46174.0</v>
      </c>
      <c r="Q261" s="213">
        <v>1.0</v>
      </c>
      <c r="R261" s="213">
        <v>6.0</v>
      </c>
      <c r="S261" s="296">
        <v>2026.0</v>
      </c>
      <c r="T261" s="235" t="s">
        <v>28</v>
      </c>
      <c r="U261" s="296">
        <v>29.23</v>
      </c>
      <c r="V261" s="315">
        <v>46174.0</v>
      </c>
      <c r="W261" s="296">
        <v>1.0</v>
      </c>
      <c r="X261" s="296">
        <v>6.0</v>
      </c>
      <c r="Y261" s="296">
        <v>2026.0</v>
      </c>
      <c r="Z261" s="235" t="s">
        <v>28</v>
      </c>
    </row>
    <row r="262">
      <c r="A262" s="293" t="s">
        <v>1047</v>
      </c>
      <c r="B262" s="295">
        <v>6.867119983E9</v>
      </c>
      <c r="C262" s="295">
        <v>46148.0</v>
      </c>
      <c r="D262" s="296">
        <v>6.0</v>
      </c>
      <c r="E262" s="296">
        <v>5.0</v>
      </c>
      <c r="F262" s="296">
        <v>2026.0</v>
      </c>
      <c r="G262" s="295">
        <v>46151.0</v>
      </c>
      <c r="H262" s="296">
        <v>9.0</v>
      </c>
      <c r="I262" s="269">
        <v>5.0</v>
      </c>
      <c r="J262" s="296">
        <v>2026.0</v>
      </c>
      <c r="K262" s="235" t="s">
        <v>28</v>
      </c>
      <c r="L262" s="235" t="s">
        <v>518</v>
      </c>
      <c r="M262" s="296">
        <v>1.0</v>
      </c>
      <c r="N262" s="296">
        <v>3.0</v>
      </c>
      <c r="O262" s="296">
        <v>6.0</v>
      </c>
      <c r="P262" s="315">
        <v>46174.0</v>
      </c>
      <c r="Q262" s="213">
        <v>1.0</v>
      </c>
      <c r="R262" s="213">
        <v>6.0</v>
      </c>
      <c r="S262" s="296">
        <v>2026.0</v>
      </c>
      <c r="T262" s="235" t="s">
        <v>28</v>
      </c>
      <c r="U262" s="296">
        <v>112.78</v>
      </c>
      <c r="V262" s="315">
        <v>46174.0</v>
      </c>
      <c r="W262" s="296">
        <v>1.0</v>
      </c>
      <c r="X262" s="296">
        <v>6.0</v>
      </c>
      <c r="Y262" s="296">
        <v>2026.0</v>
      </c>
      <c r="Z262" s="235" t="s">
        <v>28</v>
      </c>
    </row>
    <row r="263">
      <c r="A263" s="293" t="s">
        <v>1048</v>
      </c>
      <c r="B263" s="295">
        <v>5.345703847E9</v>
      </c>
      <c r="C263" s="295">
        <v>46159.0</v>
      </c>
      <c r="D263" s="296">
        <v>17.0</v>
      </c>
      <c r="E263" s="296">
        <v>5.0</v>
      </c>
      <c r="F263" s="296">
        <v>2026.0</v>
      </c>
      <c r="G263" s="295">
        <v>46161.0</v>
      </c>
      <c r="H263" s="296">
        <v>19.0</v>
      </c>
      <c r="I263" s="269">
        <v>5.0</v>
      </c>
      <c r="J263" s="296">
        <v>2026.0</v>
      </c>
      <c r="K263" s="235" t="s">
        <v>28</v>
      </c>
      <c r="L263" s="235" t="s">
        <v>518</v>
      </c>
      <c r="M263" s="296">
        <v>1.0</v>
      </c>
      <c r="N263" s="296">
        <v>2.0</v>
      </c>
      <c r="O263" s="296">
        <v>4.0</v>
      </c>
      <c r="P263" s="315">
        <v>46174.0</v>
      </c>
      <c r="Q263" s="213">
        <v>1.0</v>
      </c>
      <c r="R263" s="213">
        <v>6.0</v>
      </c>
      <c r="S263" s="296">
        <v>2026.0</v>
      </c>
      <c r="T263" s="235" t="s">
        <v>28</v>
      </c>
      <c r="U263" s="296">
        <v>75.18</v>
      </c>
      <c r="V263" s="315">
        <v>46174.0</v>
      </c>
      <c r="W263" s="296">
        <v>1.0</v>
      </c>
      <c r="X263" s="296">
        <v>6.0</v>
      </c>
      <c r="Y263" s="296">
        <v>2026.0</v>
      </c>
      <c r="Z263" s="235" t="s">
        <v>28</v>
      </c>
    </row>
    <row r="264">
      <c r="A264" s="293" t="s">
        <v>1049</v>
      </c>
      <c r="B264" s="294">
        <v>5.950752669E9</v>
      </c>
      <c r="C264" s="299">
        <v>46172.0</v>
      </c>
      <c r="D264" s="296">
        <v>30.0</v>
      </c>
      <c r="E264" s="296">
        <v>5.0</v>
      </c>
      <c r="F264" s="296">
        <v>2026.0</v>
      </c>
      <c r="G264" s="299">
        <v>46175.0</v>
      </c>
      <c r="H264" s="296">
        <v>2.0</v>
      </c>
      <c r="I264" s="269">
        <v>6.0</v>
      </c>
      <c r="J264" s="296">
        <v>2026.0</v>
      </c>
      <c r="K264" s="235" t="s">
        <v>28</v>
      </c>
      <c r="L264" s="235" t="s">
        <v>518</v>
      </c>
      <c r="M264" s="235">
        <v>1.0</v>
      </c>
      <c r="N264" s="235">
        <v>3.0</v>
      </c>
      <c r="O264" s="235">
        <v>6.0</v>
      </c>
      <c r="P264" s="299">
        <v>46204.0</v>
      </c>
      <c r="Q264" s="213">
        <v>1.0</v>
      </c>
      <c r="R264" s="213">
        <v>7.0</v>
      </c>
      <c r="S264" s="296">
        <v>2026.0</v>
      </c>
      <c r="T264" s="235" t="s">
        <v>28</v>
      </c>
      <c r="U264" s="235">
        <v>112.78</v>
      </c>
      <c r="V264" s="299">
        <v>46204.0</v>
      </c>
      <c r="W264" s="296">
        <v>1.0</v>
      </c>
      <c r="X264" s="296">
        <v>7.0</v>
      </c>
      <c r="Y264" s="296">
        <v>2026.0</v>
      </c>
      <c r="Z264" s="235" t="s">
        <v>28</v>
      </c>
    </row>
    <row r="265">
      <c r="A265" s="293" t="s">
        <v>1050</v>
      </c>
      <c r="B265" s="293">
        <v>5.772699294E9</v>
      </c>
      <c r="C265" s="299">
        <v>46173.0</v>
      </c>
      <c r="D265" s="296">
        <v>31.0</v>
      </c>
      <c r="E265" s="296">
        <v>5.0</v>
      </c>
      <c r="F265" s="296">
        <v>2026.0</v>
      </c>
      <c r="G265" s="299">
        <v>46178.0</v>
      </c>
      <c r="H265" s="269">
        <v>5.0</v>
      </c>
      <c r="I265" s="296">
        <v>6.0</v>
      </c>
      <c r="J265" s="269">
        <v>2026.0</v>
      </c>
      <c r="K265" s="235" t="s">
        <v>28</v>
      </c>
      <c r="L265" s="235" t="s">
        <v>518</v>
      </c>
      <c r="M265" s="235">
        <v>1.0</v>
      </c>
      <c r="N265" s="164">
        <v>5.0</v>
      </c>
      <c r="O265" s="235">
        <v>10.0</v>
      </c>
      <c r="P265" s="299">
        <v>46204.0</v>
      </c>
      <c r="Q265" s="213">
        <v>1.0</v>
      </c>
      <c r="R265" s="213">
        <v>7.0</v>
      </c>
      <c r="S265" s="296">
        <v>2026.0</v>
      </c>
      <c r="T265" s="235" t="s">
        <v>28</v>
      </c>
      <c r="U265" s="235">
        <v>187.96</v>
      </c>
      <c r="V265" s="299">
        <v>46204.0</v>
      </c>
      <c r="W265" s="296">
        <v>1.0</v>
      </c>
      <c r="X265" s="296">
        <v>7.0</v>
      </c>
      <c r="Y265" s="296">
        <v>2026.0</v>
      </c>
      <c r="Z265" s="235" t="s">
        <v>28</v>
      </c>
    </row>
    <row r="266">
      <c r="A266" s="293" t="s">
        <v>1052</v>
      </c>
      <c r="B266" s="294">
        <v>6.857454029E9</v>
      </c>
      <c r="C266" s="299">
        <v>46173.0</v>
      </c>
      <c r="D266" s="296">
        <v>31.0</v>
      </c>
      <c r="E266" s="296">
        <v>5.0</v>
      </c>
      <c r="F266" s="296">
        <v>2026.0</v>
      </c>
      <c r="G266" s="299">
        <v>46174.0</v>
      </c>
      <c r="H266" s="296">
        <v>1.0</v>
      </c>
      <c r="I266" s="269">
        <v>6.0</v>
      </c>
      <c r="J266" s="296">
        <v>2026.0</v>
      </c>
      <c r="K266" s="235" t="s">
        <v>28</v>
      </c>
      <c r="L266" s="235" t="s">
        <v>1053</v>
      </c>
      <c r="M266" s="235">
        <v>1.0</v>
      </c>
      <c r="N266" s="235">
        <v>1.0</v>
      </c>
      <c r="O266" s="235">
        <v>0.0</v>
      </c>
      <c r="P266" s="299">
        <v>46204.0</v>
      </c>
      <c r="Q266" s="213">
        <v>1.0</v>
      </c>
      <c r="R266" s="213">
        <v>7.0</v>
      </c>
      <c r="S266" s="296">
        <v>2026.0</v>
      </c>
      <c r="T266" s="235" t="s">
        <v>28</v>
      </c>
      <c r="U266" s="235">
        <v>37.62</v>
      </c>
      <c r="V266" s="299">
        <v>46204.0</v>
      </c>
      <c r="W266" s="296">
        <v>1.0</v>
      </c>
      <c r="X266" s="296">
        <v>7.0</v>
      </c>
      <c r="Y266" s="296">
        <v>2026.0</v>
      </c>
      <c r="Z266" s="235" t="s">
        <v>28</v>
      </c>
    </row>
    <row r="267">
      <c r="A267" s="293" t="s">
        <v>1055</v>
      </c>
      <c r="B267" s="293">
        <v>6.367196339E9</v>
      </c>
      <c r="C267" s="299">
        <v>46179.0</v>
      </c>
      <c r="D267" s="296">
        <v>6.0</v>
      </c>
      <c r="E267" s="296">
        <v>6.0</v>
      </c>
      <c r="F267" s="296">
        <v>2026.0</v>
      </c>
      <c r="G267" s="299">
        <v>46181.0</v>
      </c>
      <c r="H267" s="269">
        <v>8.0</v>
      </c>
      <c r="I267" s="296">
        <v>6.0</v>
      </c>
      <c r="J267" s="269">
        <v>2026.0</v>
      </c>
      <c r="K267" s="235" t="s">
        <v>28</v>
      </c>
      <c r="L267" s="235" t="s">
        <v>518</v>
      </c>
      <c r="M267" s="235">
        <v>2.0</v>
      </c>
      <c r="N267" s="164">
        <v>4.0</v>
      </c>
      <c r="O267" s="235">
        <v>8.0</v>
      </c>
      <c r="P267" s="299">
        <v>46204.0</v>
      </c>
      <c r="Q267" s="213">
        <v>1.0</v>
      </c>
      <c r="R267" s="213">
        <v>7.0</v>
      </c>
      <c r="S267" s="296">
        <v>2026.0</v>
      </c>
      <c r="T267" s="235" t="s">
        <v>28</v>
      </c>
      <c r="U267" s="235">
        <v>116.92</v>
      </c>
      <c r="V267" s="299">
        <v>46204.0</v>
      </c>
      <c r="W267" s="296">
        <v>1.0</v>
      </c>
      <c r="X267" s="296">
        <v>7.0</v>
      </c>
      <c r="Y267" s="296">
        <v>2026.0</v>
      </c>
      <c r="Z267" s="235" t="s">
        <v>28</v>
      </c>
    </row>
    <row r="268">
      <c r="A268" s="293" t="s">
        <v>1056</v>
      </c>
      <c r="B268" s="293">
        <v>6.289307099E9</v>
      </c>
      <c r="C268" s="299">
        <v>46177.0</v>
      </c>
      <c r="D268" s="296">
        <v>4.0</v>
      </c>
      <c r="E268" s="296">
        <v>6.0</v>
      </c>
      <c r="F268" s="296">
        <v>2026.0</v>
      </c>
      <c r="G268" s="299">
        <v>46178.0</v>
      </c>
      <c r="H268" s="269">
        <v>5.0</v>
      </c>
      <c r="I268" s="296">
        <v>6.0</v>
      </c>
      <c r="J268" s="269">
        <v>2026.0</v>
      </c>
      <c r="K268" s="235" t="s">
        <v>28</v>
      </c>
      <c r="L268" s="235" t="s">
        <v>518</v>
      </c>
      <c r="M268" s="235">
        <v>1.0</v>
      </c>
      <c r="N268" s="164">
        <v>1.0</v>
      </c>
      <c r="O268" s="235">
        <v>2.0</v>
      </c>
      <c r="P268" s="299">
        <v>46204.0</v>
      </c>
      <c r="Q268" s="213">
        <v>1.0</v>
      </c>
      <c r="R268" s="213">
        <v>7.0</v>
      </c>
      <c r="S268" s="296">
        <v>2026.0</v>
      </c>
      <c r="T268" s="235" t="s">
        <v>28</v>
      </c>
      <c r="U268" s="235">
        <v>26.72</v>
      </c>
      <c r="V268" s="299">
        <v>46204.0</v>
      </c>
      <c r="W268" s="296">
        <v>1.0</v>
      </c>
      <c r="X268" s="296">
        <v>7.0</v>
      </c>
      <c r="Y268" s="296">
        <v>2026.0</v>
      </c>
      <c r="Z268" s="235" t="s">
        <v>28</v>
      </c>
    </row>
    <row r="269">
      <c r="A269" s="293" t="s">
        <v>1057</v>
      </c>
      <c r="B269" s="293">
        <v>5.59471737E9</v>
      </c>
      <c r="C269" s="299">
        <v>46181.0</v>
      </c>
      <c r="D269" s="296">
        <v>8.0</v>
      </c>
      <c r="E269" s="296">
        <v>6.0</v>
      </c>
      <c r="F269" s="296">
        <v>2026.0</v>
      </c>
      <c r="G269" s="299">
        <v>46182.0</v>
      </c>
      <c r="H269" s="269">
        <v>9.0</v>
      </c>
      <c r="I269" s="296">
        <v>6.0</v>
      </c>
      <c r="J269" s="269">
        <v>2026.0</v>
      </c>
      <c r="K269" s="235" t="s">
        <v>28</v>
      </c>
      <c r="L269" s="235" t="s">
        <v>518</v>
      </c>
      <c r="M269" s="235">
        <v>1.0</v>
      </c>
      <c r="N269" s="164">
        <v>1.0</v>
      </c>
      <c r="O269" s="235">
        <v>2.0</v>
      </c>
      <c r="P269" s="299">
        <v>46204.0</v>
      </c>
      <c r="Q269" s="213">
        <v>1.0</v>
      </c>
      <c r="R269" s="213">
        <v>7.0</v>
      </c>
      <c r="S269" s="296">
        <v>2026.0</v>
      </c>
      <c r="T269" s="235" t="s">
        <v>28</v>
      </c>
      <c r="U269" s="235">
        <v>35.08</v>
      </c>
      <c r="V269" s="299">
        <v>46204.0</v>
      </c>
      <c r="W269" s="296">
        <v>1.0</v>
      </c>
      <c r="X269" s="296">
        <v>7.0</v>
      </c>
      <c r="Y269" s="296">
        <v>2026.0</v>
      </c>
      <c r="Z269" s="235" t="s">
        <v>28</v>
      </c>
    </row>
    <row r="270">
      <c r="A270" s="293" t="s">
        <v>1059</v>
      </c>
      <c r="B270" s="294">
        <v>5.627262754E9</v>
      </c>
      <c r="C270" s="299">
        <v>46195.0</v>
      </c>
      <c r="D270" s="296">
        <v>22.0</v>
      </c>
      <c r="E270" s="296">
        <v>6.0</v>
      </c>
      <c r="F270" s="296">
        <v>2026.0</v>
      </c>
      <c r="G270" s="299">
        <v>46196.0</v>
      </c>
      <c r="H270" s="296">
        <v>23.0</v>
      </c>
      <c r="I270" s="269">
        <v>6.0</v>
      </c>
      <c r="J270" s="296">
        <v>2026.0</v>
      </c>
      <c r="K270" s="235" t="s">
        <v>28</v>
      </c>
      <c r="L270" s="235" t="s">
        <v>518</v>
      </c>
      <c r="M270" s="235">
        <v>1.0</v>
      </c>
      <c r="N270" s="235">
        <v>1.0</v>
      </c>
      <c r="O270" s="235">
        <v>2.0</v>
      </c>
      <c r="P270" s="299">
        <v>46204.0</v>
      </c>
      <c r="Q270" s="213">
        <v>1.0</v>
      </c>
      <c r="R270" s="213">
        <v>7.0</v>
      </c>
      <c r="S270" s="296">
        <v>2026.0</v>
      </c>
      <c r="T270" s="235" t="s">
        <v>28</v>
      </c>
      <c r="U270" s="235">
        <v>29.23</v>
      </c>
      <c r="V270" s="299">
        <v>46204.0</v>
      </c>
      <c r="W270" s="296">
        <v>1.0</v>
      </c>
      <c r="X270" s="296">
        <v>7.0</v>
      </c>
      <c r="Y270" s="296">
        <v>2026.0</v>
      </c>
      <c r="Z270" s="235" t="s">
        <v>28</v>
      </c>
    </row>
    <row r="271">
      <c r="A271" s="293" t="s">
        <v>1060</v>
      </c>
      <c r="B271" s="293">
        <v>5.865942444E9</v>
      </c>
      <c r="C271" s="299">
        <v>46180.0</v>
      </c>
      <c r="D271" s="296">
        <v>7.0</v>
      </c>
      <c r="E271" s="296">
        <v>6.0</v>
      </c>
      <c r="F271" s="296">
        <v>2026.0</v>
      </c>
      <c r="G271" s="299">
        <v>46181.0</v>
      </c>
      <c r="H271" s="269">
        <v>8.0</v>
      </c>
      <c r="I271" s="296">
        <v>6.0</v>
      </c>
      <c r="J271" s="269">
        <v>2026.0</v>
      </c>
      <c r="K271" s="235" t="s">
        <v>28</v>
      </c>
      <c r="L271" s="235" t="s">
        <v>518</v>
      </c>
      <c r="M271" s="235">
        <v>1.0</v>
      </c>
      <c r="N271" s="164">
        <v>1.0</v>
      </c>
      <c r="O271" s="235">
        <v>2.0</v>
      </c>
      <c r="P271" s="299">
        <v>46204.0</v>
      </c>
      <c r="Q271" s="213">
        <v>1.0</v>
      </c>
      <c r="R271" s="213">
        <v>7.0</v>
      </c>
      <c r="S271" s="296">
        <v>2026.0</v>
      </c>
      <c r="T271" s="235" t="s">
        <v>28</v>
      </c>
      <c r="U271" s="235">
        <v>37.59</v>
      </c>
      <c r="V271" s="299">
        <v>46204.0</v>
      </c>
      <c r="W271" s="296">
        <v>1.0</v>
      </c>
      <c r="X271" s="296">
        <v>7.0</v>
      </c>
      <c r="Y271" s="296">
        <v>2026.0</v>
      </c>
      <c r="Z271" s="235" t="s">
        <v>28</v>
      </c>
    </row>
    <row r="272">
      <c r="A272" s="293" t="s">
        <v>1061</v>
      </c>
      <c r="B272" s="293">
        <v>5.223573433E9</v>
      </c>
      <c r="C272" s="299">
        <v>46184.0</v>
      </c>
      <c r="D272" s="296">
        <v>11.0</v>
      </c>
      <c r="E272" s="296">
        <v>6.0</v>
      </c>
      <c r="F272" s="296">
        <v>2026.0</v>
      </c>
      <c r="G272" s="299">
        <v>46185.0</v>
      </c>
      <c r="H272" s="269">
        <v>12.0</v>
      </c>
      <c r="I272" s="296">
        <v>6.0</v>
      </c>
      <c r="J272" s="269">
        <v>2026.0</v>
      </c>
      <c r="K272" s="235" t="s">
        <v>28</v>
      </c>
      <c r="L272" s="235" t="s">
        <v>518</v>
      </c>
      <c r="M272" s="235">
        <v>1.0</v>
      </c>
      <c r="N272" s="164">
        <v>1.0</v>
      </c>
      <c r="O272" s="235">
        <v>2.0</v>
      </c>
      <c r="P272" s="299">
        <v>46204.0</v>
      </c>
      <c r="Q272" s="213">
        <v>1.0</v>
      </c>
      <c r="R272" s="213">
        <v>7.0</v>
      </c>
      <c r="S272" s="296">
        <v>2026.0</v>
      </c>
      <c r="T272" s="235" t="s">
        <v>28</v>
      </c>
      <c r="U272" s="235">
        <v>45.95</v>
      </c>
      <c r="V272" s="299">
        <v>46204.0</v>
      </c>
      <c r="W272" s="296">
        <v>1.0</v>
      </c>
      <c r="X272" s="296">
        <v>7.0</v>
      </c>
      <c r="Y272" s="296">
        <v>2026.0</v>
      </c>
      <c r="Z272" s="235" t="s">
        <v>28</v>
      </c>
    </row>
    <row r="273">
      <c r="A273" s="293" t="s">
        <v>1063</v>
      </c>
      <c r="B273" s="294">
        <v>6.057478398E9</v>
      </c>
      <c r="C273" s="299">
        <v>46174.0</v>
      </c>
      <c r="D273" s="296">
        <v>1.0</v>
      </c>
      <c r="E273" s="296">
        <v>6.0</v>
      </c>
      <c r="F273" s="296">
        <v>2026.0</v>
      </c>
      <c r="G273" s="299">
        <v>46175.0</v>
      </c>
      <c r="H273" s="296">
        <v>2.0</v>
      </c>
      <c r="I273" s="269">
        <v>6.0</v>
      </c>
      <c r="J273" s="296">
        <v>2026.0</v>
      </c>
      <c r="K273" s="235" t="s">
        <v>28</v>
      </c>
      <c r="L273" s="235" t="s">
        <v>518</v>
      </c>
      <c r="M273" s="235">
        <v>1.0</v>
      </c>
      <c r="N273" s="235">
        <v>1.0</v>
      </c>
      <c r="O273" s="235">
        <v>2.0</v>
      </c>
      <c r="P273" s="299">
        <v>46204.0</v>
      </c>
      <c r="Q273" s="213">
        <v>1.0</v>
      </c>
      <c r="R273" s="213">
        <v>7.0</v>
      </c>
      <c r="S273" s="296">
        <v>2026.0</v>
      </c>
      <c r="T273" s="235" t="s">
        <v>28</v>
      </c>
      <c r="U273" s="235">
        <v>45.95</v>
      </c>
      <c r="V273" s="299">
        <v>46204.0</v>
      </c>
      <c r="W273" s="296">
        <v>1.0</v>
      </c>
      <c r="X273" s="296">
        <v>7.0</v>
      </c>
      <c r="Y273" s="296">
        <v>2026.0</v>
      </c>
      <c r="Z273" s="235" t="s">
        <v>28</v>
      </c>
    </row>
    <row r="274">
      <c r="A274" s="293" t="s">
        <v>1064</v>
      </c>
      <c r="B274" s="293">
        <v>5.856674106E9</v>
      </c>
      <c r="C274" s="299">
        <v>46177.0</v>
      </c>
      <c r="D274" s="296">
        <v>4.0</v>
      </c>
      <c r="E274" s="296">
        <v>6.0</v>
      </c>
      <c r="F274" s="296">
        <v>2026.0</v>
      </c>
      <c r="G274" s="299">
        <v>46178.0</v>
      </c>
      <c r="H274" s="269">
        <v>5.0</v>
      </c>
      <c r="I274" s="296">
        <v>6.0</v>
      </c>
      <c r="J274" s="269">
        <v>2026.0</v>
      </c>
      <c r="K274" s="235" t="s">
        <v>28</v>
      </c>
      <c r="L274" s="235" t="s">
        <v>518</v>
      </c>
      <c r="M274" s="235">
        <v>1.0</v>
      </c>
      <c r="N274" s="164">
        <v>1.0</v>
      </c>
      <c r="O274" s="235">
        <v>2.0</v>
      </c>
      <c r="P274" s="299">
        <v>46204.0</v>
      </c>
      <c r="Q274" s="213">
        <v>1.0</v>
      </c>
      <c r="R274" s="213">
        <v>7.0</v>
      </c>
      <c r="S274" s="296">
        <v>2026.0</v>
      </c>
      <c r="T274" s="235" t="s">
        <v>28</v>
      </c>
      <c r="U274" s="235">
        <v>35.08</v>
      </c>
      <c r="V274" s="299">
        <v>46204.0</v>
      </c>
      <c r="W274" s="296">
        <v>1.0</v>
      </c>
      <c r="X274" s="296">
        <v>7.0</v>
      </c>
      <c r="Y274" s="296">
        <v>2026.0</v>
      </c>
      <c r="Z274" s="235" t="s">
        <v>28</v>
      </c>
    </row>
    <row r="275">
      <c r="A275" s="293" t="s">
        <v>1066</v>
      </c>
      <c r="B275" s="293">
        <v>5.123728762E9</v>
      </c>
      <c r="C275" s="299">
        <v>46187.0</v>
      </c>
      <c r="D275" s="296">
        <v>14.0</v>
      </c>
      <c r="E275" s="296">
        <v>6.0</v>
      </c>
      <c r="F275" s="296">
        <v>2026.0</v>
      </c>
      <c r="G275" s="299">
        <v>46189.0</v>
      </c>
      <c r="H275" s="269">
        <v>16.0</v>
      </c>
      <c r="I275" s="296">
        <v>6.0</v>
      </c>
      <c r="J275" s="269">
        <v>2026.0</v>
      </c>
      <c r="K275" s="235" t="s">
        <v>28</v>
      </c>
      <c r="L275" s="235" t="s">
        <v>518</v>
      </c>
      <c r="M275" s="235">
        <v>1.0</v>
      </c>
      <c r="N275" s="164">
        <v>2.0</v>
      </c>
      <c r="O275" s="235">
        <v>4.0</v>
      </c>
      <c r="P275" s="299">
        <v>46204.0</v>
      </c>
      <c r="Q275" s="213">
        <v>1.0</v>
      </c>
      <c r="R275" s="213">
        <v>7.0</v>
      </c>
      <c r="S275" s="296">
        <v>2026.0</v>
      </c>
      <c r="T275" s="235" t="s">
        <v>28</v>
      </c>
      <c r="U275" s="235">
        <v>58.46</v>
      </c>
      <c r="V275" s="299">
        <v>46204.0</v>
      </c>
      <c r="W275" s="296">
        <v>1.0</v>
      </c>
      <c r="X275" s="296">
        <v>7.0</v>
      </c>
      <c r="Y275" s="296">
        <v>2026.0</v>
      </c>
      <c r="Z275" s="235" t="s">
        <v>28</v>
      </c>
    </row>
    <row r="276">
      <c r="A276" s="293" t="s">
        <v>1067</v>
      </c>
      <c r="B276" s="293">
        <v>6.506058509E9</v>
      </c>
      <c r="C276" s="299">
        <v>46179.0</v>
      </c>
      <c r="D276" s="296">
        <v>6.0</v>
      </c>
      <c r="E276" s="296">
        <v>6.0</v>
      </c>
      <c r="F276" s="296">
        <v>2026.0</v>
      </c>
      <c r="G276" s="299">
        <v>46182.0</v>
      </c>
      <c r="H276" s="269">
        <v>9.0</v>
      </c>
      <c r="I276" s="296">
        <v>6.0</v>
      </c>
      <c r="J276" s="269">
        <v>2026.0</v>
      </c>
      <c r="K276" s="235" t="s">
        <v>28</v>
      </c>
      <c r="L276" s="235" t="s">
        <v>518</v>
      </c>
      <c r="M276" s="235">
        <v>1.0</v>
      </c>
      <c r="N276" s="164">
        <v>3.0</v>
      </c>
      <c r="O276" s="235">
        <v>6.0</v>
      </c>
      <c r="P276" s="299">
        <v>46204.0</v>
      </c>
      <c r="Q276" s="213">
        <v>1.0</v>
      </c>
      <c r="R276" s="213">
        <v>7.0</v>
      </c>
      <c r="S276" s="296">
        <v>2026.0</v>
      </c>
      <c r="T276" s="235" t="s">
        <v>28</v>
      </c>
      <c r="U276" s="235">
        <v>87.7</v>
      </c>
      <c r="V276" s="299">
        <v>46204.0</v>
      </c>
      <c r="W276" s="296">
        <v>1.0</v>
      </c>
      <c r="X276" s="296">
        <v>7.0</v>
      </c>
      <c r="Y276" s="296">
        <v>2026.0</v>
      </c>
      <c r="Z276" s="235" t="s">
        <v>28</v>
      </c>
    </row>
    <row r="277">
      <c r="A277" s="293" t="s">
        <v>1067</v>
      </c>
      <c r="B277" s="294">
        <v>5.386182759E9</v>
      </c>
      <c r="C277" s="299">
        <v>46191.0</v>
      </c>
      <c r="D277" s="296">
        <v>18.0</v>
      </c>
      <c r="E277" s="296">
        <v>6.0</v>
      </c>
      <c r="F277" s="296">
        <v>2026.0</v>
      </c>
      <c r="G277" s="299">
        <v>46194.0</v>
      </c>
      <c r="H277" s="296">
        <v>21.0</v>
      </c>
      <c r="I277" s="269">
        <v>6.0</v>
      </c>
      <c r="J277" s="296">
        <v>2026.0</v>
      </c>
      <c r="K277" s="164" t="s">
        <v>28</v>
      </c>
      <c r="L277" s="235" t="s">
        <v>518</v>
      </c>
      <c r="M277" s="235">
        <v>1.0</v>
      </c>
      <c r="N277" s="235">
        <v>3.0</v>
      </c>
      <c r="O277" s="235">
        <v>6.0</v>
      </c>
      <c r="P277" s="299">
        <v>46204.0</v>
      </c>
      <c r="Q277" s="213">
        <v>1.0</v>
      </c>
      <c r="R277" s="213">
        <v>7.0</v>
      </c>
      <c r="S277" s="296">
        <v>2026.0</v>
      </c>
      <c r="T277" s="235" t="s">
        <v>28</v>
      </c>
      <c r="U277" s="235">
        <v>87.7</v>
      </c>
      <c r="V277" s="299">
        <v>46204.0</v>
      </c>
      <c r="W277" s="296">
        <v>1.0</v>
      </c>
      <c r="X277" s="296">
        <v>7.0</v>
      </c>
      <c r="Y277" s="296">
        <v>2026.0</v>
      </c>
      <c r="Z277" s="235" t="s">
        <v>28</v>
      </c>
    </row>
    <row r="278">
      <c r="A278" s="293" t="s">
        <v>1068</v>
      </c>
      <c r="B278" s="294">
        <v>6.292961789E9</v>
      </c>
      <c r="C278" s="299">
        <v>46192.0</v>
      </c>
      <c r="D278" s="296">
        <v>19.0</v>
      </c>
      <c r="E278" s="296">
        <v>6.0</v>
      </c>
      <c r="F278" s="296">
        <v>2026.0</v>
      </c>
      <c r="G278" s="299">
        <v>46193.0</v>
      </c>
      <c r="H278" s="296">
        <v>20.0</v>
      </c>
      <c r="I278" s="269">
        <v>6.0</v>
      </c>
      <c r="J278" s="296">
        <v>2026.0</v>
      </c>
      <c r="K278" s="235" t="s">
        <v>28</v>
      </c>
      <c r="L278" s="235" t="s">
        <v>518</v>
      </c>
      <c r="M278" s="235">
        <v>1.0</v>
      </c>
      <c r="N278" s="235">
        <v>1.0</v>
      </c>
      <c r="O278" s="235">
        <v>2.0</v>
      </c>
      <c r="P278" s="299">
        <v>46204.0</v>
      </c>
      <c r="Q278" s="213">
        <v>1.0</v>
      </c>
      <c r="R278" s="213">
        <v>7.0</v>
      </c>
      <c r="S278" s="296">
        <v>2026.0</v>
      </c>
      <c r="T278" s="235" t="s">
        <v>28</v>
      </c>
      <c r="U278" s="235">
        <v>29.23</v>
      </c>
      <c r="V278" s="299">
        <v>46204.0</v>
      </c>
      <c r="W278" s="296">
        <v>1.0</v>
      </c>
      <c r="X278" s="296">
        <v>7.0</v>
      </c>
      <c r="Y278" s="296">
        <v>2026.0</v>
      </c>
      <c r="Z278" s="235" t="s">
        <v>28</v>
      </c>
    </row>
    <row r="279">
      <c r="A279" s="293" t="s">
        <v>1069</v>
      </c>
      <c r="B279" s="294">
        <v>5.66607162E9</v>
      </c>
      <c r="C279" s="299">
        <v>46194.0</v>
      </c>
      <c r="D279" s="296">
        <v>21.0</v>
      </c>
      <c r="E279" s="296">
        <v>6.0</v>
      </c>
      <c r="F279" s="296">
        <v>2026.0</v>
      </c>
      <c r="G279" s="299">
        <v>46197.0</v>
      </c>
      <c r="H279" s="296">
        <v>24.0</v>
      </c>
      <c r="I279" s="269">
        <v>6.0</v>
      </c>
      <c r="J279" s="296">
        <v>2026.0</v>
      </c>
      <c r="K279" s="235" t="s">
        <v>28</v>
      </c>
      <c r="L279" s="235" t="s">
        <v>518</v>
      </c>
      <c r="M279" s="235">
        <v>1.0</v>
      </c>
      <c r="N279" s="235">
        <v>3.0</v>
      </c>
      <c r="O279" s="235">
        <v>6.0</v>
      </c>
      <c r="P279" s="299">
        <v>46204.0</v>
      </c>
      <c r="Q279" s="213">
        <v>1.0</v>
      </c>
      <c r="R279" s="213">
        <v>7.0</v>
      </c>
      <c r="S279" s="296">
        <v>2026.0</v>
      </c>
      <c r="T279" s="235" t="s">
        <v>28</v>
      </c>
      <c r="U279" s="235">
        <v>87.7</v>
      </c>
      <c r="V279" s="299">
        <v>46204.0</v>
      </c>
      <c r="W279" s="296">
        <v>1.0</v>
      </c>
      <c r="X279" s="296">
        <v>7.0</v>
      </c>
      <c r="Y279" s="296">
        <v>2026.0</v>
      </c>
      <c r="Z279" s="235" t="s">
        <v>28</v>
      </c>
    </row>
    <row r="280">
      <c r="A280" s="293" t="s">
        <v>1070</v>
      </c>
      <c r="B280" s="293">
        <v>6.78933666E9</v>
      </c>
      <c r="C280" s="299">
        <v>46181.0</v>
      </c>
      <c r="D280" s="296">
        <v>8.0</v>
      </c>
      <c r="E280" s="296">
        <v>6.0</v>
      </c>
      <c r="F280" s="296">
        <v>2026.0</v>
      </c>
      <c r="G280" s="299">
        <v>46184.0</v>
      </c>
      <c r="H280" s="269">
        <v>11.0</v>
      </c>
      <c r="I280" s="296">
        <v>6.0</v>
      </c>
      <c r="J280" s="269">
        <v>2026.0</v>
      </c>
      <c r="K280" s="235" t="s">
        <v>28</v>
      </c>
      <c r="L280" s="235" t="s">
        <v>518</v>
      </c>
      <c r="M280" s="235">
        <v>1.0</v>
      </c>
      <c r="N280" s="164">
        <v>3.0</v>
      </c>
      <c r="O280" s="235">
        <v>6.0</v>
      </c>
      <c r="P280" s="299">
        <v>46204.0</v>
      </c>
      <c r="Q280" s="213">
        <v>1.0</v>
      </c>
      <c r="R280" s="213">
        <v>7.0</v>
      </c>
      <c r="S280" s="296">
        <v>2026.0</v>
      </c>
      <c r="T280" s="235" t="s">
        <v>28</v>
      </c>
      <c r="U280" s="235">
        <v>104.42</v>
      </c>
      <c r="V280" s="299">
        <v>46204.0</v>
      </c>
      <c r="W280" s="296">
        <v>1.0</v>
      </c>
      <c r="X280" s="296">
        <v>7.0</v>
      </c>
      <c r="Y280" s="296">
        <v>2026.0</v>
      </c>
      <c r="Z280" s="235" t="s">
        <v>28</v>
      </c>
    </row>
    <row r="281">
      <c r="A281" s="293" t="s">
        <v>1072</v>
      </c>
      <c r="B281" s="294">
        <v>5.874675055E9</v>
      </c>
      <c r="C281" s="299">
        <v>46195.0</v>
      </c>
      <c r="D281" s="296">
        <v>22.0</v>
      </c>
      <c r="E281" s="296">
        <v>6.0</v>
      </c>
      <c r="F281" s="296">
        <v>2026.0</v>
      </c>
      <c r="G281" s="299">
        <v>46196.0</v>
      </c>
      <c r="H281" s="296">
        <v>23.0</v>
      </c>
      <c r="I281" s="269">
        <v>6.0</v>
      </c>
      <c r="J281" s="296">
        <v>2026.0</v>
      </c>
      <c r="K281" s="235" t="s">
        <v>28</v>
      </c>
      <c r="L281" s="235" t="s">
        <v>518</v>
      </c>
      <c r="M281" s="235">
        <v>1.0</v>
      </c>
      <c r="N281" s="235">
        <v>1.0</v>
      </c>
      <c r="O281" s="235">
        <v>2.0</v>
      </c>
      <c r="P281" s="299">
        <v>46204.0</v>
      </c>
      <c r="Q281" s="213">
        <v>1.0</v>
      </c>
      <c r="R281" s="213">
        <v>7.0</v>
      </c>
      <c r="S281" s="296">
        <v>2026.0</v>
      </c>
      <c r="T281" s="235" t="s">
        <v>28</v>
      </c>
      <c r="U281" s="235">
        <v>29.23</v>
      </c>
      <c r="V281" s="299">
        <v>46204.0</v>
      </c>
      <c r="W281" s="296">
        <v>1.0</v>
      </c>
      <c r="X281" s="296">
        <v>7.0</v>
      </c>
      <c r="Y281" s="296">
        <v>2026.0</v>
      </c>
      <c r="Z281" s="235" t="s">
        <v>28</v>
      </c>
    </row>
    <row r="282">
      <c r="A282" s="293" t="s">
        <v>1073</v>
      </c>
      <c r="B282" s="294">
        <v>5.711323609E9</v>
      </c>
      <c r="C282" s="299">
        <v>46191.0</v>
      </c>
      <c r="D282" s="296">
        <v>18.0</v>
      </c>
      <c r="E282" s="296">
        <v>6.0</v>
      </c>
      <c r="F282" s="296">
        <v>2026.0</v>
      </c>
      <c r="G282" s="299">
        <v>46192.0</v>
      </c>
      <c r="H282" s="296">
        <v>19.0</v>
      </c>
      <c r="I282" s="269">
        <v>6.0</v>
      </c>
      <c r="J282" s="296">
        <v>2026.0</v>
      </c>
      <c r="K282" s="235" t="s">
        <v>28</v>
      </c>
      <c r="L282" s="235" t="s">
        <v>518</v>
      </c>
      <c r="M282" s="235">
        <v>3.0</v>
      </c>
      <c r="N282" s="235">
        <v>1.0</v>
      </c>
      <c r="O282" s="235">
        <v>6.0</v>
      </c>
      <c r="P282" s="299">
        <v>46204.0</v>
      </c>
      <c r="Q282" s="213">
        <v>1.0</v>
      </c>
      <c r="R282" s="213">
        <v>7.0</v>
      </c>
      <c r="S282" s="296">
        <v>2026.0</v>
      </c>
      <c r="T282" s="235" t="s">
        <v>28</v>
      </c>
      <c r="U282" s="235">
        <v>112.77</v>
      </c>
      <c r="V282" s="299">
        <v>46204.0</v>
      </c>
      <c r="W282" s="296">
        <v>1.0</v>
      </c>
      <c r="X282" s="296">
        <v>7.0</v>
      </c>
      <c r="Y282" s="296">
        <v>2026.0</v>
      </c>
      <c r="Z282" s="235" t="s">
        <v>28</v>
      </c>
    </row>
    <row r="283">
      <c r="A283" s="293" t="s">
        <v>1075</v>
      </c>
      <c r="B283" s="293">
        <v>6.03003281E9</v>
      </c>
      <c r="C283" s="299">
        <v>46181.0</v>
      </c>
      <c r="D283" s="296">
        <v>8.0</v>
      </c>
      <c r="E283" s="296">
        <v>6.0</v>
      </c>
      <c r="F283" s="296">
        <v>2026.0</v>
      </c>
      <c r="G283" s="299">
        <v>46183.0</v>
      </c>
      <c r="H283" s="269">
        <v>10.0</v>
      </c>
      <c r="I283" s="296">
        <v>6.0</v>
      </c>
      <c r="J283" s="269">
        <v>2026.0</v>
      </c>
      <c r="K283" s="235" t="s">
        <v>28</v>
      </c>
      <c r="L283" s="235" t="s">
        <v>518</v>
      </c>
      <c r="M283" s="235">
        <v>1.0</v>
      </c>
      <c r="N283" s="164">
        <v>2.0</v>
      </c>
      <c r="O283" s="235">
        <v>4.0</v>
      </c>
      <c r="P283" s="299">
        <v>46204.0</v>
      </c>
      <c r="Q283" s="213">
        <v>1.0</v>
      </c>
      <c r="R283" s="213">
        <v>7.0</v>
      </c>
      <c r="S283" s="296">
        <v>2026.0</v>
      </c>
      <c r="T283" s="235" t="s">
        <v>28</v>
      </c>
      <c r="U283" s="235">
        <v>75.18</v>
      </c>
      <c r="V283" s="299">
        <v>46204.0</v>
      </c>
      <c r="W283" s="296">
        <v>1.0</v>
      </c>
      <c r="X283" s="296">
        <v>7.0</v>
      </c>
      <c r="Y283" s="296">
        <v>2026.0</v>
      </c>
      <c r="Z283" s="235" t="s">
        <v>28</v>
      </c>
    </row>
    <row r="284">
      <c r="A284" s="293" t="s">
        <v>1076</v>
      </c>
      <c r="B284" s="294">
        <v>6.004919211E9</v>
      </c>
      <c r="C284" s="299">
        <v>46190.0</v>
      </c>
      <c r="D284" s="296">
        <v>17.0</v>
      </c>
      <c r="E284" s="296">
        <v>6.0</v>
      </c>
      <c r="F284" s="296">
        <v>2026.0</v>
      </c>
      <c r="G284" s="299">
        <v>46195.0</v>
      </c>
      <c r="H284" s="296">
        <v>22.0</v>
      </c>
      <c r="I284" s="269">
        <v>6.0</v>
      </c>
      <c r="J284" s="296">
        <v>2026.0</v>
      </c>
      <c r="K284" s="235" t="s">
        <v>28</v>
      </c>
      <c r="L284" s="235" t="s">
        <v>518</v>
      </c>
      <c r="M284" s="235">
        <v>1.0</v>
      </c>
      <c r="N284" s="235">
        <v>5.0</v>
      </c>
      <c r="O284" s="235">
        <v>10.0</v>
      </c>
      <c r="P284" s="299">
        <v>46204.0</v>
      </c>
      <c r="Q284" s="213">
        <v>1.0</v>
      </c>
      <c r="R284" s="213">
        <v>7.0</v>
      </c>
      <c r="S284" s="296">
        <v>2026.0</v>
      </c>
      <c r="T284" s="235" t="s">
        <v>28</v>
      </c>
      <c r="U284" s="235">
        <v>146.16</v>
      </c>
      <c r="V284" s="299">
        <v>46204.0</v>
      </c>
      <c r="W284" s="296">
        <v>1.0</v>
      </c>
      <c r="X284" s="296">
        <v>7.0</v>
      </c>
      <c r="Y284" s="296">
        <v>2026.0</v>
      </c>
      <c r="Z284" s="235" t="s">
        <v>28</v>
      </c>
    </row>
    <row r="285">
      <c r="A285" s="293" t="s">
        <v>1077</v>
      </c>
      <c r="B285" s="293">
        <v>5.843944054E9</v>
      </c>
      <c r="C285" s="299">
        <v>46179.0</v>
      </c>
      <c r="D285" s="296">
        <v>6.0</v>
      </c>
      <c r="E285" s="296">
        <v>6.0</v>
      </c>
      <c r="F285" s="296">
        <v>2026.0</v>
      </c>
      <c r="G285" s="299">
        <v>46180.0</v>
      </c>
      <c r="H285" s="269">
        <v>7.0</v>
      </c>
      <c r="I285" s="296">
        <v>6.0</v>
      </c>
      <c r="J285" s="269">
        <v>2026.0</v>
      </c>
      <c r="K285" s="235" t="s">
        <v>28</v>
      </c>
      <c r="L285" s="235" t="s">
        <v>518</v>
      </c>
      <c r="M285" s="235">
        <v>1.0</v>
      </c>
      <c r="N285" s="164">
        <v>1.0</v>
      </c>
      <c r="O285" s="235">
        <v>2.0</v>
      </c>
      <c r="P285" s="299">
        <v>46204.0</v>
      </c>
      <c r="Q285" s="213">
        <v>1.0</v>
      </c>
      <c r="R285" s="213">
        <v>7.0</v>
      </c>
      <c r="S285" s="296">
        <v>2026.0</v>
      </c>
      <c r="T285" s="235" t="s">
        <v>28</v>
      </c>
      <c r="U285" s="235">
        <v>29.23</v>
      </c>
      <c r="V285" s="299">
        <v>46204.0</v>
      </c>
      <c r="W285" s="296">
        <v>1.0</v>
      </c>
      <c r="X285" s="296">
        <v>7.0</v>
      </c>
      <c r="Y285" s="296">
        <v>2026.0</v>
      </c>
      <c r="Z285" s="235" t="s">
        <v>28</v>
      </c>
    </row>
    <row r="286">
      <c r="A286" s="293" t="s">
        <v>1079</v>
      </c>
      <c r="B286" s="293">
        <v>5.059264716E9</v>
      </c>
      <c r="C286" s="299">
        <v>46188.0</v>
      </c>
      <c r="D286" s="296">
        <v>15.0</v>
      </c>
      <c r="E286" s="296">
        <v>6.0</v>
      </c>
      <c r="F286" s="296">
        <v>2026.0</v>
      </c>
      <c r="G286" s="299">
        <v>46189.0</v>
      </c>
      <c r="H286" s="269">
        <v>16.0</v>
      </c>
      <c r="I286" s="296">
        <v>6.0</v>
      </c>
      <c r="J286" s="269">
        <v>2026.0</v>
      </c>
      <c r="K286" s="235" t="s">
        <v>28</v>
      </c>
      <c r="L286" s="235" t="s">
        <v>518</v>
      </c>
      <c r="M286" s="235">
        <v>1.0</v>
      </c>
      <c r="N286" s="164">
        <v>1.0</v>
      </c>
      <c r="O286" s="235">
        <v>2.0</v>
      </c>
      <c r="P286" s="299">
        <v>46204.0</v>
      </c>
      <c r="Q286" s="213">
        <v>1.0</v>
      </c>
      <c r="R286" s="213">
        <v>7.0</v>
      </c>
      <c r="S286" s="296">
        <v>2026.0</v>
      </c>
      <c r="T286" s="235" t="s">
        <v>28</v>
      </c>
      <c r="U286" s="235">
        <v>29.23</v>
      </c>
      <c r="V286" s="299">
        <v>46204.0</v>
      </c>
      <c r="W286" s="296">
        <v>1.0</v>
      </c>
      <c r="X286" s="296">
        <v>7.0</v>
      </c>
      <c r="Y286" s="296">
        <v>2026.0</v>
      </c>
      <c r="Z286" s="235" t="s">
        <v>28</v>
      </c>
    </row>
    <row r="287">
      <c r="A287" s="293" t="s">
        <v>1081</v>
      </c>
      <c r="B287" s="293">
        <v>5.292701445E9</v>
      </c>
      <c r="C287" s="299">
        <v>46182.0</v>
      </c>
      <c r="D287" s="296">
        <v>9.0</v>
      </c>
      <c r="E287" s="296">
        <v>6.0</v>
      </c>
      <c r="F287" s="296">
        <v>2026.0</v>
      </c>
      <c r="G287" s="299">
        <v>46186.0</v>
      </c>
      <c r="H287" s="269">
        <v>13.0</v>
      </c>
      <c r="I287" s="296">
        <v>6.0</v>
      </c>
      <c r="J287" s="269">
        <v>2026.0</v>
      </c>
      <c r="K287" s="235" t="s">
        <v>28</v>
      </c>
      <c r="L287" s="235" t="s">
        <v>518</v>
      </c>
      <c r="M287" s="235">
        <v>1.0</v>
      </c>
      <c r="N287" s="164">
        <v>4.0</v>
      </c>
      <c r="O287" s="235">
        <v>7.99999999999997</v>
      </c>
      <c r="P287" s="299">
        <v>46204.0</v>
      </c>
      <c r="Q287" s="213">
        <v>1.0</v>
      </c>
      <c r="R287" s="213">
        <v>7.0</v>
      </c>
      <c r="S287" s="296">
        <v>2026.0</v>
      </c>
      <c r="T287" s="235" t="s">
        <v>28</v>
      </c>
      <c r="U287" s="235">
        <v>136.99</v>
      </c>
      <c r="V287" s="299">
        <v>46204.0</v>
      </c>
      <c r="W287" s="296">
        <v>1.0</v>
      </c>
      <c r="X287" s="296">
        <v>7.0</v>
      </c>
      <c r="Y287" s="296">
        <v>2026.0</v>
      </c>
      <c r="Z287" s="235" t="s">
        <v>28</v>
      </c>
    </row>
    <row r="288">
      <c r="A288" s="293" t="s">
        <v>1081</v>
      </c>
      <c r="B288" s="293">
        <v>6.358094793E9</v>
      </c>
      <c r="C288" s="299">
        <v>46186.0</v>
      </c>
      <c r="D288" s="296">
        <v>13.0</v>
      </c>
      <c r="E288" s="296">
        <v>6.0</v>
      </c>
      <c r="F288" s="296">
        <v>2026.0</v>
      </c>
      <c r="G288" s="299">
        <v>46187.0</v>
      </c>
      <c r="H288" s="269">
        <v>14.0</v>
      </c>
      <c r="I288" s="296">
        <v>6.0</v>
      </c>
      <c r="J288" s="269">
        <v>2026.0</v>
      </c>
      <c r="K288" s="235" t="s">
        <v>28</v>
      </c>
      <c r="L288" s="235" t="s">
        <v>518</v>
      </c>
      <c r="M288" s="235">
        <v>1.0</v>
      </c>
      <c r="N288" s="164">
        <v>1.0</v>
      </c>
      <c r="O288" s="235">
        <v>2.0</v>
      </c>
      <c r="P288" s="299">
        <v>46204.0</v>
      </c>
      <c r="Q288" s="213">
        <v>1.0</v>
      </c>
      <c r="R288" s="213">
        <v>7.0</v>
      </c>
      <c r="S288" s="296">
        <v>2026.0</v>
      </c>
      <c r="T288" s="235" t="s">
        <v>28</v>
      </c>
      <c r="U288" s="235">
        <v>29.23</v>
      </c>
      <c r="V288" s="299">
        <v>46204.0</v>
      </c>
      <c r="W288" s="296">
        <v>1.0</v>
      </c>
      <c r="X288" s="296">
        <v>7.0</v>
      </c>
      <c r="Y288" s="296">
        <v>2026.0</v>
      </c>
      <c r="Z288" s="235" t="s">
        <v>28</v>
      </c>
    </row>
    <row r="289">
      <c r="A289" s="293" t="s">
        <v>1083</v>
      </c>
      <c r="B289" s="294">
        <v>6.437121873E9</v>
      </c>
      <c r="C289" s="299">
        <v>46197.0</v>
      </c>
      <c r="D289" s="296">
        <v>24.0</v>
      </c>
      <c r="E289" s="296">
        <v>6.0</v>
      </c>
      <c r="F289" s="296">
        <v>2026.0</v>
      </c>
      <c r="G289" s="299">
        <v>46200.0</v>
      </c>
      <c r="H289" s="296">
        <v>27.0</v>
      </c>
      <c r="I289" s="269">
        <v>6.0</v>
      </c>
      <c r="J289" s="296">
        <v>2026.0</v>
      </c>
      <c r="K289" s="235" t="s">
        <v>28</v>
      </c>
      <c r="L289" s="235" t="s">
        <v>518</v>
      </c>
      <c r="M289" s="235">
        <v>1.0</v>
      </c>
      <c r="N289" s="235">
        <v>3.0</v>
      </c>
      <c r="O289" s="235">
        <v>6.0</v>
      </c>
      <c r="P289" s="299">
        <v>46204.0</v>
      </c>
      <c r="Q289" s="213">
        <v>1.0</v>
      </c>
      <c r="R289" s="213">
        <v>7.0</v>
      </c>
      <c r="S289" s="296">
        <v>2026.0</v>
      </c>
      <c r="T289" s="235" t="s">
        <v>28</v>
      </c>
      <c r="U289" s="235">
        <v>112.78</v>
      </c>
      <c r="V289" s="299">
        <v>46204.0</v>
      </c>
      <c r="W289" s="296">
        <v>1.0</v>
      </c>
      <c r="X289" s="296">
        <v>7.0</v>
      </c>
      <c r="Y289" s="296">
        <v>2026.0</v>
      </c>
      <c r="Z289" s="235" t="s">
        <v>28</v>
      </c>
    </row>
    <row r="290">
      <c r="A290" s="293" t="s">
        <v>1085</v>
      </c>
      <c r="B290" s="294">
        <v>5.528969029E9</v>
      </c>
      <c r="C290" s="299">
        <v>46176.0</v>
      </c>
      <c r="D290" s="296">
        <v>3.0</v>
      </c>
      <c r="E290" s="296">
        <v>6.0</v>
      </c>
      <c r="F290" s="296">
        <v>2026.0</v>
      </c>
      <c r="G290" s="299">
        <v>46178.0</v>
      </c>
      <c r="H290" s="296">
        <v>5.0</v>
      </c>
      <c r="I290" s="269">
        <v>6.0</v>
      </c>
      <c r="J290" s="296">
        <v>2026.0</v>
      </c>
      <c r="K290" s="235" t="s">
        <v>28</v>
      </c>
      <c r="L290" s="235" t="s">
        <v>518</v>
      </c>
      <c r="M290" s="235">
        <v>1.0</v>
      </c>
      <c r="N290" s="235">
        <v>2.0</v>
      </c>
      <c r="O290" s="235">
        <v>4.0</v>
      </c>
      <c r="P290" s="299">
        <v>46204.0</v>
      </c>
      <c r="Q290" s="213">
        <v>1.0</v>
      </c>
      <c r="R290" s="213">
        <v>7.0</v>
      </c>
      <c r="S290" s="296">
        <v>2026.0</v>
      </c>
      <c r="T290" s="235" t="s">
        <v>28</v>
      </c>
      <c r="U290" s="235">
        <v>53.45</v>
      </c>
      <c r="V290" s="299">
        <v>46204.0</v>
      </c>
      <c r="W290" s="296">
        <v>1.0</v>
      </c>
      <c r="X290" s="296">
        <v>7.0</v>
      </c>
      <c r="Y290" s="296">
        <v>2026.0</v>
      </c>
      <c r="Z290" s="235" t="s">
        <v>28</v>
      </c>
    </row>
    <row r="291">
      <c r="A291" s="293" t="s">
        <v>1086</v>
      </c>
      <c r="B291" s="294">
        <v>6.478928763E9</v>
      </c>
      <c r="C291" s="299">
        <v>46191.0</v>
      </c>
      <c r="D291" s="296">
        <v>18.0</v>
      </c>
      <c r="E291" s="296">
        <v>6.0</v>
      </c>
      <c r="F291" s="296">
        <v>2026.0</v>
      </c>
      <c r="G291" s="299">
        <v>46194.0</v>
      </c>
      <c r="H291" s="296">
        <v>21.0</v>
      </c>
      <c r="I291" s="269">
        <v>6.0</v>
      </c>
      <c r="J291" s="296">
        <v>2026.0</v>
      </c>
      <c r="K291" s="235" t="s">
        <v>28</v>
      </c>
      <c r="L291" s="235" t="s">
        <v>518</v>
      </c>
      <c r="M291" s="235">
        <v>1.0</v>
      </c>
      <c r="N291" s="235">
        <v>3.0</v>
      </c>
      <c r="O291" s="235">
        <v>6.0</v>
      </c>
      <c r="P291" s="299">
        <v>46204.0</v>
      </c>
      <c r="Q291" s="213">
        <v>1.0</v>
      </c>
      <c r="R291" s="213">
        <v>7.0</v>
      </c>
      <c r="S291" s="296">
        <v>2026.0</v>
      </c>
      <c r="T291" s="235" t="s">
        <v>28</v>
      </c>
      <c r="U291" s="235">
        <v>112.78</v>
      </c>
      <c r="V291" s="299">
        <v>46204.0</v>
      </c>
      <c r="W291" s="296">
        <v>1.0</v>
      </c>
      <c r="X291" s="296">
        <v>7.0</v>
      </c>
      <c r="Y291" s="296">
        <v>2026.0</v>
      </c>
      <c r="Z291" s="235" t="s">
        <v>28</v>
      </c>
    </row>
    <row r="292">
      <c r="A292" s="293" t="s">
        <v>1088</v>
      </c>
      <c r="B292" s="293">
        <v>6.789397752E9</v>
      </c>
      <c r="C292" s="299">
        <v>46182.0</v>
      </c>
      <c r="D292" s="296">
        <v>9.0</v>
      </c>
      <c r="E292" s="296">
        <v>6.0</v>
      </c>
      <c r="F292" s="296">
        <v>2026.0</v>
      </c>
      <c r="G292" s="299">
        <v>46183.0</v>
      </c>
      <c r="H292" s="269">
        <v>10.0</v>
      </c>
      <c r="I292" s="296">
        <v>6.0</v>
      </c>
      <c r="J292" s="269">
        <v>2026.0</v>
      </c>
      <c r="K292" s="235" t="s">
        <v>28</v>
      </c>
      <c r="L292" s="235" t="s">
        <v>518</v>
      </c>
      <c r="M292" s="235">
        <v>1.0</v>
      </c>
      <c r="N292" s="164">
        <v>1.0</v>
      </c>
      <c r="O292" s="235">
        <v>2.0</v>
      </c>
      <c r="P292" s="299">
        <v>46204.0</v>
      </c>
      <c r="Q292" s="213">
        <v>1.0</v>
      </c>
      <c r="R292" s="213">
        <v>7.0</v>
      </c>
      <c r="S292" s="296">
        <v>2026.0</v>
      </c>
      <c r="T292" s="235" t="s">
        <v>28</v>
      </c>
      <c r="U292" s="235">
        <v>26.72</v>
      </c>
      <c r="V292" s="299">
        <v>46204.0</v>
      </c>
      <c r="W292" s="296">
        <v>1.0</v>
      </c>
      <c r="X292" s="296">
        <v>7.0</v>
      </c>
      <c r="Y292" s="296">
        <v>2026.0</v>
      </c>
      <c r="Z292" s="235" t="s">
        <v>28</v>
      </c>
    </row>
    <row r="293">
      <c r="A293" s="293" t="s">
        <v>1089</v>
      </c>
      <c r="B293" s="294">
        <v>5.158021624E9</v>
      </c>
      <c r="C293" s="299">
        <v>46190.0</v>
      </c>
      <c r="D293" s="296">
        <v>17.0</v>
      </c>
      <c r="E293" s="296">
        <v>6.0</v>
      </c>
      <c r="F293" s="296">
        <v>2026.0</v>
      </c>
      <c r="G293" s="299">
        <v>46196.0</v>
      </c>
      <c r="H293" s="296">
        <v>23.0</v>
      </c>
      <c r="I293" s="269">
        <v>6.0</v>
      </c>
      <c r="J293" s="296">
        <v>2026.0</v>
      </c>
      <c r="K293" s="235" t="s">
        <v>28</v>
      </c>
      <c r="L293" s="235" t="s">
        <v>518</v>
      </c>
      <c r="M293" s="235">
        <v>1.0</v>
      </c>
      <c r="N293" s="235">
        <v>6.0</v>
      </c>
      <c r="O293" s="235">
        <v>12.0</v>
      </c>
      <c r="P293" s="299">
        <v>46204.0</v>
      </c>
      <c r="Q293" s="213">
        <v>1.0</v>
      </c>
      <c r="R293" s="213">
        <v>7.0</v>
      </c>
      <c r="S293" s="296">
        <v>2026.0</v>
      </c>
      <c r="T293" s="235" t="s">
        <v>28</v>
      </c>
      <c r="U293" s="235">
        <v>225.55</v>
      </c>
      <c r="V293" s="299">
        <v>46204.0</v>
      </c>
      <c r="W293" s="296">
        <v>1.0</v>
      </c>
      <c r="X293" s="296">
        <v>7.0</v>
      </c>
      <c r="Y293" s="296">
        <v>2026.0</v>
      </c>
      <c r="Z293" s="235" t="s">
        <v>28</v>
      </c>
    </row>
    <row r="294">
      <c r="A294" s="293" t="s">
        <v>1090</v>
      </c>
      <c r="B294" s="293">
        <v>5.169015063E9</v>
      </c>
      <c r="C294" s="299">
        <v>46189.0</v>
      </c>
      <c r="D294" s="296">
        <v>16.0</v>
      </c>
      <c r="E294" s="296">
        <v>6.0</v>
      </c>
      <c r="F294" s="296">
        <v>2026.0</v>
      </c>
      <c r="G294" s="299">
        <v>46191.0</v>
      </c>
      <c r="H294" s="269">
        <v>18.0</v>
      </c>
      <c r="I294" s="296">
        <v>6.0</v>
      </c>
      <c r="J294" s="269">
        <v>2026.0</v>
      </c>
      <c r="K294" s="235" t="s">
        <v>28</v>
      </c>
      <c r="L294" s="235" t="s">
        <v>518</v>
      </c>
      <c r="M294" s="235">
        <v>2.0</v>
      </c>
      <c r="N294" s="164">
        <v>4.0</v>
      </c>
      <c r="O294" s="235">
        <v>8.0</v>
      </c>
      <c r="P294" s="299">
        <v>46204.0</v>
      </c>
      <c r="Q294" s="213">
        <v>1.0</v>
      </c>
      <c r="R294" s="213">
        <v>7.0</v>
      </c>
      <c r="S294" s="296">
        <v>2026.0</v>
      </c>
      <c r="T294" s="235" t="s">
        <v>28</v>
      </c>
      <c r="U294" s="235">
        <v>150.36</v>
      </c>
      <c r="V294" s="299">
        <v>46204.0</v>
      </c>
      <c r="W294" s="296">
        <v>1.0</v>
      </c>
      <c r="X294" s="296">
        <v>7.0</v>
      </c>
      <c r="Y294" s="296">
        <v>2026.0</v>
      </c>
      <c r="Z294" s="235" t="s">
        <v>28</v>
      </c>
    </row>
    <row r="295">
      <c r="A295" s="293" t="s">
        <v>1090</v>
      </c>
      <c r="B295" s="293">
        <v>5.8868265E9</v>
      </c>
      <c r="C295" s="299">
        <v>46188.0</v>
      </c>
      <c r="D295" s="296">
        <v>15.0</v>
      </c>
      <c r="E295" s="296">
        <v>6.0</v>
      </c>
      <c r="F295" s="296">
        <v>2026.0</v>
      </c>
      <c r="G295" s="299">
        <v>46189.0</v>
      </c>
      <c r="H295" s="269">
        <v>16.0</v>
      </c>
      <c r="I295" s="296">
        <v>6.0</v>
      </c>
      <c r="J295" s="269">
        <v>2026.0</v>
      </c>
      <c r="K295" s="235" t="s">
        <v>28</v>
      </c>
      <c r="L295" s="235" t="s">
        <v>518</v>
      </c>
      <c r="M295" s="235">
        <v>1.0</v>
      </c>
      <c r="N295" s="164">
        <v>1.0</v>
      </c>
      <c r="O295" s="235">
        <v>2.0</v>
      </c>
      <c r="P295" s="299">
        <v>46204.0</v>
      </c>
      <c r="Q295" s="213">
        <v>1.0</v>
      </c>
      <c r="R295" s="213">
        <v>7.0</v>
      </c>
      <c r="S295" s="296">
        <v>2026.0</v>
      </c>
      <c r="T295" s="235" t="s">
        <v>28</v>
      </c>
      <c r="U295" s="235">
        <v>37.59</v>
      </c>
      <c r="V295" s="299">
        <v>46204.0</v>
      </c>
      <c r="W295" s="296">
        <v>1.0</v>
      </c>
      <c r="X295" s="296">
        <v>7.0</v>
      </c>
      <c r="Y295" s="296">
        <v>2026.0</v>
      </c>
      <c r="Z295" s="235" t="s">
        <v>28</v>
      </c>
    </row>
    <row r="296">
      <c r="A296" s="293" t="s">
        <v>1093</v>
      </c>
      <c r="B296" s="294">
        <v>5.431931311E9</v>
      </c>
      <c r="C296" s="299">
        <v>46197.0</v>
      </c>
      <c r="D296" s="296">
        <v>24.0</v>
      </c>
      <c r="E296" s="296">
        <v>6.0</v>
      </c>
      <c r="F296" s="296">
        <v>2026.0</v>
      </c>
      <c r="G296" s="299">
        <v>46198.0</v>
      </c>
      <c r="H296" s="296">
        <v>25.0</v>
      </c>
      <c r="I296" s="269">
        <v>6.0</v>
      </c>
      <c r="J296" s="296">
        <v>2026.0</v>
      </c>
      <c r="K296" s="235" t="s">
        <v>28</v>
      </c>
      <c r="L296" s="235" t="s">
        <v>1053</v>
      </c>
      <c r="M296" s="235">
        <v>1.0</v>
      </c>
      <c r="N296" s="235">
        <v>1.0</v>
      </c>
      <c r="O296" s="235">
        <v>0.0</v>
      </c>
      <c r="P296" s="299">
        <v>46204.0</v>
      </c>
      <c r="Q296" s="213">
        <v>1.0</v>
      </c>
      <c r="R296" s="213">
        <v>7.0</v>
      </c>
      <c r="S296" s="296">
        <v>2026.0</v>
      </c>
      <c r="T296" s="235" t="s">
        <v>28</v>
      </c>
      <c r="U296" s="235">
        <v>29.26</v>
      </c>
      <c r="V296" s="299">
        <v>46204.0</v>
      </c>
      <c r="W296" s="296">
        <v>1.0</v>
      </c>
      <c r="X296" s="296">
        <v>7.0</v>
      </c>
      <c r="Y296" s="296">
        <v>2026.0</v>
      </c>
      <c r="Z296" s="235" t="s">
        <v>28</v>
      </c>
    </row>
    <row r="297">
      <c r="A297" s="293" t="s">
        <v>1095</v>
      </c>
      <c r="B297" s="293">
        <v>6.392952214E9</v>
      </c>
      <c r="C297" s="299">
        <v>46188.0</v>
      </c>
      <c r="D297" s="296">
        <v>15.0</v>
      </c>
      <c r="E297" s="296">
        <v>6.0</v>
      </c>
      <c r="F297" s="296">
        <v>2026.0</v>
      </c>
      <c r="G297" s="299">
        <v>46191.0</v>
      </c>
      <c r="H297" s="269">
        <v>18.0</v>
      </c>
      <c r="I297" s="296">
        <v>6.0</v>
      </c>
      <c r="J297" s="269">
        <v>2026.0</v>
      </c>
      <c r="K297" s="235" t="s">
        <v>28</v>
      </c>
      <c r="L297" s="235" t="s">
        <v>518</v>
      </c>
      <c r="M297" s="235">
        <v>1.0</v>
      </c>
      <c r="N297" s="164">
        <v>3.0</v>
      </c>
      <c r="O297" s="235">
        <v>6.0</v>
      </c>
      <c r="P297" s="299">
        <v>46204.0</v>
      </c>
      <c r="Q297" s="213">
        <v>1.0</v>
      </c>
      <c r="R297" s="213">
        <v>7.0</v>
      </c>
      <c r="S297" s="296">
        <v>2026.0</v>
      </c>
      <c r="T297" s="235" t="s">
        <v>28</v>
      </c>
      <c r="U297" s="235">
        <v>104.42</v>
      </c>
      <c r="V297" s="299">
        <v>46204.0</v>
      </c>
      <c r="W297" s="296">
        <v>1.0</v>
      </c>
      <c r="X297" s="296">
        <v>7.0</v>
      </c>
      <c r="Y297" s="296">
        <v>2026.0</v>
      </c>
      <c r="Z297" s="235" t="s">
        <v>28</v>
      </c>
    </row>
    <row r="298">
      <c r="A298" s="293" t="s">
        <v>1097</v>
      </c>
      <c r="B298" s="293">
        <v>5.043378817E9</v>
      </c>
      <c r="C298" s="299">
        <v>46178.0</v>
      </c>
      <c r="D298" s="296">
        <v>5.0</v>
      </c>
      <c r="E298" s="296">
        <v>6.0</v>
      </c>
      <c r="F298" s="296">
        <v>2026.0</v>
      </c>
      <c r="G298" s="299">
        <v>46180.0</v>
      </c>
      <c r="H298" s="269">
        <v>7.0</v>
      </c>
      <c r="I298" s="296">
        <v>6.0</v>
      </c>
      <c r="J298" s="269">
        <v>2026.0</v>
      </c>
      <c r="K298" s="235" t="s">
        <v>28</v>
      </c>
      <c r="L298" s="235" t="s">
        <v>518</v>
      </c>
      <c r="M298" s="235">
        <v>1.0</v>
      </c>
      <c r="N298" s="164">
        <v>2.0</v>
      </c>
      <c r="O298" s="235">
        <v>4.0</v>
      </c>
      <c r="P298" s="299">
        <v>46204.0</v>
      </c>
      <c r="Q298" s="213">
        <v>1.0</v>
      </c>
      <c r="R298" s="213">
        <v>7.0</v>
      </c>
      <c r="S298" s="296">
        <v>2026.0</v>
      </c>
      <c r="T298" s="235" t="s">
        <v>28</v>
      </c>
      <c r="U298" s="235">
        <v>66.82</v>
      </c>
      <c r="V298" s="299">
        <v>46204.0</v>
      </c>
      <c r="W298" s="296">
        <v>1.0</v>
      </c>
      <c r="X298" s="296">
        <v>7.0</v>
      </c>
      <c r="Y298" s="296">
        <v>2026.0</v>
      </c>
      <c r="Z298" s="235" t="s">
        <v>28</v>
      </c>
    </row>
    <row r="299">
      <c r="A299" s="293" t="s">
        <v>1098</v>
      </c>
      <c r="B299" s="293">
        <v>5.062841345E9</v>
      </c>
      <c r="C299" s="299">
        <v>46178.0</v>
      </c>
      <c r="D299" s="296">
        <v>5.0</v>
      </c>
      <c r="E299" s="296">
        <v>6.0</v>
      </c>
      <c r="F299" s="296">
        <v>2026.0</v>
      </c>
      <c r="G299" s="299">
        <v>46180.0</v>
      </c>
      <c r="H299" s="269">
        <v>7.0</v>
      </c>
      <c r="I299" s="296">
        <v>6.0</v>
      </c>
      <c r="J299" s="269">
        <v>2026.0</v>
      </c>
      <c r="K299" s="235" t="s">
        <v>28</v>
      </c>
      <c r="L299" s="235" t="s">
        <v>518</v>
      </c>
      <c r="M299" s="235">
        <v>1.0</v>
      </c>
      <c r="N299" s="164">
        <v>2.0</v>
      </c>
      <c r="O299" s="235">
        <v>4.0</v>
      </c>
      <c r="P299" s="299">
        <v>46204.0</v>
      </c>
      <c r="Q299" s="213">
        <v>1.0</v>
      </c>
      <c r="R299" s="213">
        <v>7.0</v>
      </c>
      <c r="S299" s="296">
        <v>2026.0</v>
      </c>
      <c r="T299" s="235" t="s">
        <v>28</v>
      </c>
      <c r="U299" s="235">
        <v>58.46</v>
      </c>
      <c r="V299" s="299">
        <v>46204.0</v>
      </c>
      <c r="W299" s="296">
        <v>1.0</v>
      </c>
      <c r="X299" s="296">
        <v>7.0</v>
      </c>
      <c r="Y299" s="296">
        <v>2026.0</v>
      </c>
      <c r="Z299" s="235" t="s">
        <v>28</v>
      </c>
    </row>
    <row r="300">
      <c r="A300" s="293" t="s">
        <v>1098</v>
      </c>
      <c r="B300" s="293">
        <v>5.678497085E9</v>
      </c>
      <c r="C300" s="299">
        <v>46178.0</v>
      </c>
      <c r="D300" s="296">
        <v>5.0</v>
      </c>
      <c r="E300" s="296">
        <v>6.0</v>
      </c>
      <c r="F300" s="296">
        <v>2026.0</v>
      </c>
      <c r="G300" s="299">
        <v>46180.0</v>
      </c>
      <c r="H300" s="269">
        <v>7.0</v>
      </c>
      <c r="I300" s="296">
        <v>6.0</v>
      </c>
      <c r="J300" s="269">
        <v>2026.0</v>
      </c>
      <c r="K300" s="235" t="s">
        <v>28</v>
      </c>
      <c r="L300" s="235" t="s">
        <v>895</v>
      </c>
      <c r="M300" s="235">
        <v>1.0</v>
      </c>
      <c r="N300" s="164">
        <v>0.0</v>
      </c>
      <c r="O300" s="235">
        <v>0.0</v>
      </c>
      <c r="P300" s="299">
        <v>46204.0</v>
      </c>
      <c r="Q300" s="213">
        <v>1.0</v>
      </c>
      <c r="R300" s="213">
        <v>7.0</v>
      </c>
      <c r="S300" s="296">
        <v>2026.0</v>
      </c>
      <c r="T300" s="235" t="s">
        <v>28</v>
      </c>
      <c r="U300" s="235">
        <v>34.51</v>
      </c>
      <c r="V300" s="299">
        <v>46204.0</v>
      </c>
      <c r="W300" s="296">
        <v>1.0</v>
      </c>
      <c r="X300" s="296">
        <v>7.0</v>
      </c>
      <c r="Y300" s="296">
        <v>2026.0</v>
      </c>
      <c r="Z300" s="235" t="s">
        <v>28</v>
      </c>
    </row>
    <row r="301">
      <c r="A301" s="293" t="s">
        <v>1100</v>
      </c>
      <c r="B301" s="294">
        <v>5.2087192E9</v>
      </c>
      <c r="C301" s="299">
        <v>46176.0</v>
      </c>
      <c r="D301" s="296">
        <v>3.0</v>
      </c>
      <c r="E301" s="296">
        <v>6.0</v>
      </c>
      <c r="F301" s="296">
        <v>2026.0</v>
      </c>
      <c r="G301" s="299">
        <v>46177.0</v>
      </c>
      <c r="H301" s="296">
        <v>4.0</v>
      </c>
      <c r="I301" s="269">
        <v>6.0</v>
      </c>
      <c r="J301" s="296">
        <v>2026.0</v>
      </c>
      <c r="K301" s="235" t="s">
        <v>28</v>
      </c>
      <c r="L301" s="235" t="s">
        <v>518</v>
      </c>
      <c r="M301" s="235">
        <v>1.0</v>
      </c>
      <c r="N301" s="235">
        <v>1.0</v>
      </c>
      <c r="O301" s="235">
        <v>2.0</v>
      </c>
      <c r="P301" s="299">
        <v>46204.0</v>
      </c>
      <c r="Q301" s="213">
        <v>1.0</v>
      </c>
      <c r="R301" s="213">
        <v>7.0</v>
      </c>
      <c r="S301" s="296">
        <v>2026.0</v>
      </c>
      <c r="T301" s="235" t="s">
        <v>28</v>
      </c>
      <c r="U301" s="235">
        <v>37.59</v>
      </c>
      <c r="V301" s="299">
        <v>46204.0</v>
      </c>
      <c r="W301" s="296">
        <v>1.0</v>
      </c>
      <c r="X301" s="296">
        <v>7.0</v>
      </c>
      <c r="Y301" s="296">
        <v>2026.0</v>
      </c>
      <c r="Z301" s="235" t="s">
        <v>28</v>
      </c>
    </row>
    <row r="302">
      <c r="A302" s="293" t="s">
        <v>1100</v>
      </c>
      <c r="B302" s="293">
        <v>6.257381906E9</v>
      </c>
      <c r="C302" s="299">
        <v>46180.0</v>
      </c>
      <c r="D302" s="296">
        <v>7.0</v>
      </c>
      <c r="E302" s="296">
        <v>6.0</v>
      </c>
      <c r="F302" s="296">
        <v>2026.0</v>
      </c>
      <c r="G302" s="299">
        <v>46181.0</v>
      </c>
      <c r="H302" s="269">
        <v>8.0</v>
      </c>
      <c r="I302" s="296">
        <v>6.0</v>
      </c>
      <c r="J302" s="269">
        <v>2026.0</v>
      </c>
      <c r="K302" s="235" t="s">
        <v>28</v>
      </c>
      <c r="L302" s="235" t="s">
        <v>518</v>
      </c>
      <c r="M302" s="235">
        <v>1.0</v>
      </c>
      <c r="N302" s="164">
        <v>1.0</v>
      </c>
      <c r="O302" s="235">
        <v>2.0</v>
      </c>
      <c r="P302" s="299">
        <v>46204.0</v>
      </c>
      <c r="Q302" s="213">
        <v>1.0</v>
      </c>
      <c r="R302" s="213">
        <v>7.0</v>
      </c>
      <c r="S302" s="296">
        <v>2026.0</v>
      </c>
      <c r="T302" s="235" t="s">
        <v>28</v>
      </c>
      <c r="U302" s="235">
        <v>29.23</v>
      </c>
      <c r="V302" s="299">
        <v>46204.0</v>
      </c>
      <c r="W302" s="296">
        <v>1.0</v>
      </c>
      <c r="X302" s="296">
        <v>7.0</v>
      </c>
      <c r="Y302" s="296">
        <v>2026.0</v>
      </c>
      <c r="Z302" s="235" t="s">
        <v>28</v>
      </c>
    </row>
    <row r="303">
      <c r="A303" s="293" t="s">
        <v>1102</v>
      </c>
      <c r="B303" s="293">
        <v>6.883266807E9</v>
      </c>
      <c r="C303" s="299">
        <v>46186.0</v>
      </c>
      <c r="D303" s="296">
        <v>13.0</v>
      </c>
      <c r="E303" s="296">
        <v>6.0</v>
      </c>
      <c r="F303" s="296">
        <v>2026.0</v>
      </c>
      <c r="G303" s="299">
        <v>46190.0</v>
      </c>
      <c r="H303" s="269">
        <v>17.0</v>
      </c>
      <c r="I303" s="296">
        <v>6.0</v>
      </c>
      <c r="J303" s="269">
        <v>2026.0</v>
      </c>
      <c r="K303" s="235" t="s">
        <v>28</v>
      </c>
      <c r="L303" s="235" t="s">
        <v>518</v>
      </c>
      <c r="M303" s="235">
        <v>1.0</v>
      </c>
      <c r="N303" s="164">
        <v>4.0</v>
      </c>
      <c r="O303" s="235">
        <v>8.0</v>
      </c>
      <c r="P303" s="299">
        <v>46204.0</v>
      </c>
      <c r="Q303" s="213">
        <v>1.0</v>
      </c>
      <c r="R303" s="213">
        <v>7.0</v>
      </c>
      <c r="S303" s="296">
        <v>2026.0</v>
      </c>
      <c r="T303" s="235" t="s">
        <v>28</v>
      </c>
      <c r="U303" s="235">
        <v>150.37</v>
      </c>
      <c r="V303" s="299">
        <v>46204.0</v>
      </c>
      <c r="W303" s="296">
        <v>1.0</v>
      </c>
      <c r="X303" s="296">
        <v>7.0</v>
      </c>
      <c r="Y303" s="296">
        <v>2026.0</v>
      </c>
      <c r="Z303" s="235" t="s">
        <v>28</v>
      </c>
    </row>
    <row r="304">
      <c r="A304" s="293" t="s">
        <v>1104</v>
      </c>
      <c r="B304" s="293">
        <v>6.93585326E9</v>
      </c>
      <c r="C304" s="299">
        <v>46189.0</v>
      </c>
      <c r="D304" s="296">
        <v>16.0</v>
      </c>
      <c r="E304" s="296">
        <v>6.0</v>
      </c>
      <c r="F304" s="296">
        <v>2026.0</v>
      </c>
      <c r="G304" s="299">
        <v>46190.0</v>
      </c>
      <c r="H304" s="269">
        <v>17.0</v>
      </c>
      <c r="I304" s="296">
        <v>6.0</v>
      </c>
      <c r="J304" s="269">
        <v>2026.0</v>
      </c>
      <c r="K304" s="235" t="s">
        <v>28</v>
      </c>
      <c r="L304" s="235" t="s">
        <v>518</v>
      </c>
      <c r="M304" s="235">
        <v>1.0</v>
      </c>
      <c r="N304" s="164">
        <v>1.0</v>
      </c>
      <c r="O304" s="235">
        <v>2.0</v>
      </c>
      <c r="P304" s="299">
        <v>46204.0</v>
      </c>
      <c r="Q304" s="213">
        <v>1.0</v>
      </c>
      <c r="R304" s="213">
        <v>7.0</v>
      </c>
      <c r="S304" s="296">
        <v>2026.0</v>
      </c>
      <c r="T304" s="235" t="s">
        <v>28</v>
      </c>
      <c r="U304" s="235">
        <v>37.59</v>
      </c>
      <c r="V304" s="299">
        <v>46204.0</v>
      </c>
      <c r="W304" s="296">
        <v>1.0</v>
      </c>
      <c r="X304" s="296">
        <v>7.0</v>
      </c>
      <c r="Y304" s="296">
        <v>2026.0</v>
      </c>
      <c r="Z304" s="235" t="s">
        <v>28</v>
      </c>
    </row>
    <row r="305">
      <c r="A305" s="293" t="s">
        <v>1105</v>
      </c>
      <c r="B305" s="294">
        <v>6.394325673E9</v>
      </c>
      <c r="C305" s="299">
        <v>46190.0</v>
      </c>
      <c r="D305" s="296">
        <v>17.0</v>
      </c>
      <c r="E305" s="296">
        <v>6.0</v>
      </c>
      <c r="F305" s="296">
        <v>2026.0</v>
      </c>
      <c r="G305" s="299">
        <v>46196.0</v>
      </c>
      <c r="H305" s="296">
        <v>23.0</v>
      </c>
      <c r="I305" s="269">
        <v>6.0</v>
      </c>
      <c r="J305" s="296">
        <v>2026.0</v>
      </c>
      <c r="K305" s="235" t="s">
        <v>28</v>
      </c>
      <c r="L305" s="235" t="s">
        <v>518</v>
      </c>
      <c r="M305" s="235">
        <v>1.0</v>
      </c>
      <c r="N305" s="235">
        <v>6.0</v>
      </c>
      <c r="O305" s="235">
        <v>12.0</v>
      </c>
      <c r="P305" s="299">
        <v>46204.0</v>
      </c>
      <c r="Q305" s="213">
        <v>1.0</v>
      </c>
      <c r="R305" s="213">
        <v>7.0</v>
      </c>
      <c r="S305" s="296">
        <v>2026.0</v>
      </c>
      <c r="T305" s="235" t="s">
        <v>28</v>
      </c>
      <c r="U305" s="235">
        <v>225.55</v>
      </c>
      <c r="V305" s="299">
        <v>46204.0</v>
      </c>
      <c r="W305" s="296">
        <v>1.0</v>
      </c>
      <c r="X305" s="296">
        <v>7.0</v>
      </c>
      <c r="Y305" s="296">
        <v>2026.0</v>
      </c>
      <c r="Z305" s="235" t="s">
        <v>28</v>
      </c>
    </row>
    <row r="306">
      <c r="A306" s="293" t="s">
        <v>1106</v>
      </c>
      <c r="B306" s="294">
        <v>5.355336243E9</v>
      </c>
      <c r="C306" s="299">
        <v>46191.0</v>
      </c>
      <c r="D306" s="296">
        <v>18.0</v>
      </c>
      <c r="E306" s="296">
        <v>6.0</v>
      </c>
      <c r="F306" s="296">
        <v>2026.0</v>
      </c>
      <c r="G306" s="299">
        <v>46194.0</v>
      </c>
      <c r="H306" s="296">
        <v>21.0</v>
      </c>
      <c r="I306" s="269">
        <v>6.0</v>
      </c>
      <c r="J306" s="296">
        <v>2026.0</v>
      </c>
      <c r="K306" s="235" t="s">
        <v>28</v>
      </c>
      <c r="L306" s="235" t="s">
        <v>518</v>
      </c>
      <c r="M306" s="235">
        <v>1.0</v>
      </c>
      <c r="N306" s="235">
        <v>3.0</v>
      </c>
      <c r="O306" s="235">
        <v>6.0</v>
      </c>
      <c r="P306" s="299">
        <v>46204.0</v>
      </c>
      <c r="Q306" s="213">
        <v>1.0</v>
      </c>
      <c r="R306" s="213">
        <v>7.0</v>
      </c>
      <c r="S306" s="296">
        <v>2026.0</v>
      </c>
      <c r="T306" s="235" t="s">
        <v>28</v>
      </c>
      <c r="U306" s="235">
        <v>112.78</v>
      </c>
      <c r="V306" s="299">
        <v>46204.0</v>
      </c>
      <c r="W306" s="296">
        <v>1.0</v>
      </c>
      <c r="X306" s="296">
        <v>7.0</v>
      </c>
      <c r="Y306" s="296">
        <v>2026.0</v>
      </c>
      <c r="Z306" s="235" t="s">
        <v>28</v>
      </c>
    </row>
    <row r="307">
      <c r="A307" s="293" t="s">
        <v>1107</v>
      </c>
      <c r="B307" s="294">
        <v>6.155368318E9</v>
      </c>
      <c r="C307" s="299">
        <v>46200.0</v>
      </c>
      <c r="D307" s="296">
        <v>27.0</v>
      </c>
      <c r="E307" s="296">
        <v>6.0</v>
      </c>
      <c r="F307" s="296">
        <v>2026.0</v>
      </c>
      <c r="G307" s="299">
        <v>46201.0</v>
      </c>
      <c r="H307" s="296">
        <v>28.0</v>
      </c>
      <c r="I307" s="269">
        <v>6.0</v>
      </c>
      <c r="J307" s="296">
        <v>2026.0</v>
      </c>
      <c r="K307" s="235" t="s">
        <v>28</v>
      </c>
      <c r="L307" s="235" t="s">
        <v>518</v>
      </c>
      <c r="M307" s="235">
        <v>1.0</v>
      </c>
      <c r="N307" s="235">
        <v>1.0</v>
      </c>
      <c r="O307" s="235">
        <v>2.0</v>
      </c>
      <c r="P307" s="299">
        <v>46204.0</v>
      </c>
      <c r="Q307" s="213">
        <v>1.0</v>
      </c>
      <c r="R307" s="213">
        <v>7.0</v>
      </c>
      <c r="S307" s="296">
        <v>2026.0</v>
      </c>
      <c r="T307" s="235" t="s">
        <v>28</v>
      </c>
      <c r="U307" s="235">
        <v>29.23</v>
      </c>
      <c r="V307" s="299">
        <v>46204.0</v>
      </c>
      <c r="W307" s="296">
        <v>1.0</v>
      </c>
      <c r="X307" s="296">
        <v>7.0</v>
      </c>
      <c r="Y307" s="296">
        <v>2026.0</v>
      </c>
      <c r="Z307" s="235" t="s">
        <v>28</v>
      </c>
    </row>
    <row r="308">
      <c r="A308" s="293" t="s">
        <v>1108</v>
      </c>
      <c r="B308" s="294">
        <v>5.915920764E9</v>
      </c>
      <c r="C308" s="299">
        <v>46175.0</v>
      </c>
      <c r="D308" s="296">
        <v>2.0</v>
      </c>
      <c r="E308" s="296">
        <v>6.0</v>
      </c>
      <c r="F308" s="296">
        <v>2026.0</v>
      </c>
      <c r="G308" s="299">
        <v>46176.0</v>
      </c>
      <c r="H308" s="296">
        <v>3.0</v>
      </c>
      <c r="I308" s="269">
        <v>6.0</v>
      </c>
      <c r="J308" s="296">
        <v>2026.0</v>
      </c>
      <c r="K308" s="235" t="s">
        <v>28</v>
      </c>
      <c r="L308" s="235" t="s">
        <v>518</v>
      </c>
      <c r="M308" s="235">
        <v>1.0</v>
      </c>
      <c r="N308" s="235">
        <v>1.0</v>
      </c>
      <c r="O308" s="235">
        <v>2.0</v>
      </c>
      <c r="P308" s="299">
        <v>46204.0</v>
      </c>
      <c r="Q308" s="213">
        <v>1.0</v>
      </c>
      <c r="R308" s="213">
        <v>7.0</v>
      </c>
      <c r="S308" s="296">
        <v>2026.0</v>
      </c>
      <c r="T308" s="235" t="s">
        <v>28</v>
      </c>
      <c r="U308" s="235">
        <v>29.23</v>
      </c>
      <c r="V308" s="299">
        <v>46204.0</v>
      </c>
      <c r="W308" s="296">
        <v>1.0</v>
      </c>
      <c r="X308" s="296">
        <v>7.0</v>
      </c>
      <c r="Y308" s="296">
        <v>2026.0</v>
      </c>
      <c r="Z308" s="235" t="s">
        <v>28</v>
      </c>
    </row>
    <row r="309">
      <c r="A309" s="293" t="s">
        <v>1109</v>
      </c>
      <c r="B309" s="294">
        <v>5.125151784E9</v>
      </c>
      <c r="C309" s="299">
        <v>46191.0</v>
      </c>
      <c r="D309" s="296">
        <v>18.0</v>
      </c>
      <c r="E309" s="296">
        <v>6.0</v>
      </c>
      <c r="F309" s="296">
        <v>2026.0</v>
      </c>
      <c r="G309" s="299">
        <v>46193.0</v>
      </c>
      <c r="H309" s="296">
        <v>20.0</v>
      </c>
      <c r="I309" s="269">
        <v>6.0</v>
      </c>
      <c r="J309" s="296">
        <v>2026.0</v>
      </c>
      <c r="K309" s="235" t="s">
        <v>28</v>
      </c>
      <c r="L309" s="235" t="s">
        <v>518</v>
      </c>
      <c r="M309" s="235">
        <v>1.0</v>
      </c>
      <c r="N309" s="235">
        <v>2.0</v>
      </c>
      <c r="O309" s="235">
        <v>4.0</v>
      </c>
      <c r="P309" s="299">
        <v>46204.0</v>
      </c>
      <c r="Q309" s="213">
        <v>1.0</v>
      </c>
      <c r="R309" s="213">
        <v>7.0</v>
      </c>
      <c r="S309" s="296">
        <v>2026.0</v>
      </c>
      <c r="T309" s="235" t="s">
        <v>28</v>
      </c>
      <c r="U309" s="235">
        <v>75.18</v>
      </c>
      <c r="V309" s="299">
        <v>46204.0</v>
      </c>
      <c r="W309" s="296">
        <v>1.0</v>
      </c>
      <c r="X309" s="296">
        <v>7.0</v>
      </c>
      <c r="Y309" s="296">
        <v>2026.0</v>
      </c>
      <c r="Z309" s="235" t="s">
        <v>28</v>
      </c>
    </row>
    <row r="310">
      <c r="A310" s="293" t="s">
        <v>1111</v>
      </c>
      <c r="B310" s="294">
        <v>5.573462406E9</v>
      </c>
      <c r="C310" s="299">
        <v>46198.0</v>
      </c>
      <c r="D310" s="296">
        <v>25.0</v>
      </c>
      <c r="E310" s="296">
        <v>6.0</v>
      </c>
      <c r="F310" s="296">
        <v>2026.0</v>
      </c>
      <c r="G310" s="299">
        <v>46200.0</v>
      </c>
      <c r="H310" s="296">
        <v>27.0</v>
      </c>
      <c r="I310" s="269">
        <v>6.0</v>
      </c>
      <c r="J310" s="296">
        <v>2026.0</v>
      </c>
      <c r="K310" s="235" t="s">
        <v>28</v>
      </c>
      <c r="L310" s="235" t="s">
        <v>518</v>
      </c>
      <c r="M310" s="235">
        <v>1.0</v>
      </c>
      <c r="N310" s="235">
        <v>2.0</v>
      </c>
      <c r="O310" s="235">
        <v>4.0</v>
      </c>
      <c r="P310" s="299">
        <v>46204.0</v>
      </c>
      <c r="Q310" s="213">
        <v>1.0</v>
      </c>
      <c r="R310" s="213">
        <v>7.0</v>
      </c>
      <c r="S310" s="296">
        <v>2026.0</v>
      </c>
      <c r="T310" s="235" t="s">
        <v>28</v>
      </c>
      <c r="U310" s="235">
        <v>75.18</v>
      </c>
      <c r="V310" s="299">
        <v>46204.0</v>
      </c>
      <c r="W310" s="296">
        <v>1.0</v>
      </c>
      <c r="X310" s="296">
        <v>7.0</v>
      </c>
      <c r="Y310" s="296">
        <v>2026.0</v>
      </c>
      <c r="Z310" s="235" t="s">
        <v>28</v>
      </c>
    </row>
    <row r="311">
      <c r="A311" s="293" t="s">
        <v>1112</v>
      </c>
      <c r="B311" s="294">
        <v>5.28824523E9</v>
      </c>
      <c r="C311" s="299">
        <v>46196.0</v>
      </c>
      <c r="D311" s="296">
        <v>23.0</v>
      </c>
      <c r="E311" s="296">
        <v>6.0</v>
      </c>
      <c r="F311" s="296">
        <v>2026.0</v>
      </c>
      <c r="G311" s="299">
        <v>46198.0</v>
      </c>
      <c r="H311" s="296">
        <v>25.0</v>
      </c>
      <c r="I311" s="269">
        <v>6.0</v>
      </c>
      <c r="J311" s="296">
        <v>2026.0</v>
      </c>
      <c r="K311" s="235" t="s">
        <v>28</v>
      </c>
      <c r="L311" s="235" t="s">
        <v>518</v>
      </c>
      <c r="M311" s="235">
        <v>1.0</v>
      </c>
      <c r="N311" s="235">
        <v>2.0</v>
      </c>
      <c r="O311" s="235">
        <v>4.0</v>
      </c>
      <c r="P311" s="299">
        <v>46204.0</v>
      </c>
      <c r="Q311" s="213">
        <v>1.0</v>
      </c>
      <c r="R311" s="213">
        <v>7.0</v>
      </c>
      <c r="S311" s="296">
        <v>2026.0</v>
      </c>
      <c r="T311" s="235" t="s">
        <v>28</v>
      </c>
      <c r="U311" s="235">
        <v>58.46</v>
      </c>
      <c r="V311" s="299">
        <v>46204.0</v>
      </c>
      <c r="W311" s="296">
        <v>1.0</v>
      </c>
      <c r="X311" s="296">
        <v>7.0</v>
      </c>
      <c r="Y311" s="296">
        <v>2026.0</v>
      </c>
      <c r="Z311" s="235" t="s">
        <v>28</v>
      </c>
    </row>
    <row r="312">
      <c r="A312" s="293" t="s">
        <v>1113</v>
      </c>
      <c r="B312" s="294">
        <v>5.958433317E9</v>
      </c>
      <c r="C312" s="299">
        <v>46197.0</v>
      </c>
      <c r="D312" s="296">
        <v>24.0</v>
      </c>
      <c r="E312" s="296">
        <v>6.0</v>
      </c>
      <c r="F312" s="296">
        <v>2026.0</v>
      </c>
      <c r="G312" s="299">
        <v>46199.0</v>
      </c>
      <c r="H312" s="296">
        <v>26.0</v>
      </c>
      <c r="I312" s="269">
        <v>6.0</v>
      </c>
      <c r="J312" s="296">
        <v>2026.0</v>
      </c>
      <c r="K312" s="235" t="s">
        <v>28</v>
      </c>
      <c r="L312" s="235" t="s">
        <v>518</v>
      </c>
      <c r="M312" s="235">
        <v>1.0</v>
      </c>
      <c r="N312" s="235">
        <v>2.0</v>
      </c>
      <c r="O312" s="235">
        <v>4.0</v>
      </c>
      <c r="P312" s="299">
        <v>46204.0</v>
      </c>
      <c r="Q312" s="213">
        <v>1.0</v>
      </c>
      <c r="R312" s="213">
        <v>7.0</v>
      </c>
      <c r="S312" s="296">
        <v>2026.0</v>
      </c>
      <c r="T312" s="235" t="s">
        <v>28</v>
      </c>
      <c r="U312" s="235">
        <v>66.82</v>
      </c>
      <c r="V312" s="299">
        <v>46204.0</v>
      </c>
      <c r="W312" s="296">
        <v>1.0</v>
      </c>
      <c r="X312" s="296">
        <v>7.0</v>
      </c>
      <c r="Y312" s="296">
        <v>2026.0</v>
      </c>
      <c r="Z312" s="235" t="s">
        <v>28</v>
      </c>
    </row>
    <row r="313">
      <c r="A313" s="293" t="s">
        <v>1115</v>
      </c>
      <c r="B313" s="294">
        <v>6.008980113E9</v>
      </c>
      <c r="C313" s="299">
        <v>46196.0</v>
      </c>
      <c r="D313" s="296">
        <v>23.0</v>
      </c>
      <c r="E313" s="296">
        <v>6.0</v>
      </c>
      <c r="F313" s="296">
        <v>2026.0</v>
      </c>
      <c r="G313" s="299">
        <v>46197.0</v>
      </c>
      <c r="H313" s="296">
        <v>24.0</v>
      </c>
      <c r="I313" s="269">
        <v>6.0</v>
      </c>
      <c r="J313" s="296">
        <v>2026.0</v>
      </c>
      <c r="K313" s="235" t="s">
        <v>28</v>
      </c>
      <c r="L313" s="235" t="s">
        <v>518</v>
      </c>
      <c r="M313" s="235">
        <v>1.0</v>
      </c>
      <c r="N313" s="235">
        <v>1.0</v>
      </c>
      <c r="O313" s="235">
        <v>2.0</v>
      </c>
      <c r="P313" s="299">
        <v>46204.0</v>
      </c>
      <c r="Q313" s="213">
        <v>1.0</v>
      </c>
      <c r="R313" s="213">
        <v>7.0</v>
      </c>
      <c r="S313" s="296">
        <v>2026.0</v>
      </c>
      <c r="T313" s="235" t="s">
        <v>28</v>
      </c>
      <c r="U313" s="235">
        <v>29.23</v>
      </c>
      <c r="V313" s="299">
        <v>46204.0</v>
      </c>
      <c r="W313" s="296">
        <v>1.0</v>
      </c>
      <c r="X313" s="296">
        <v>7.0</v>
      </c>
      <c r="Y313" s="296">
        <v>2026.0</v>
      </c>
      <c r="Z313" s="235" t="s">
        <v>28</v>
      </c>
    </row>
    <row r="314">
      <c r="A314" s="293" t="s">
        <v>1117</v>
      </c>
      <c r="B314" s="293">
        <v>5.512062287E9</v>
      </c>
      <c r="C314" s="299">
        <v>46183.0</v>
      </c>
      <c r="D314" s="296">
        <v>10.0</v>
      </c>
      <c r="E314" s="296">
        <v>6.0</v>
      </c>
      <c r="F314" s="296">
        <v>2026.0</v>
      </c>
      <c r="G314" s="299">
        <v>46184.0</v>
      </c>
      <c r="H314" s="269">
        <v>11.0</v>
      </c>
      <c r="I314" s="296">
        <v>6.0</v>
      </c>
      <c r="J314" s="269">
        <v>2026.0</v>
      </c>
      <c r="K314" s="235" t="s">
        <v>28</v>
      </c>
      <c r="L314" s="235" t="s">
        <v>518</v>
      </c>
      <c r="M314" s="235">
        <v>1.0</v>
      </c>
      <c r="N314" s="164">
        <v>1.0</v>
      </c>
      <c r="O314" s="235">
        <v>2.0</v>
      </c>
      <c r="P314" s="299">
        <v>46204.0</v>
      </c>
      <c r="Q314" s="213">
        <v>1.0</v>
      </c>
      <c r="R314" s="213">
        <v>7.0</v>
      </c>
      <c r="S314" s="296">
        <v>2026.0</v>
      </c>
      <c r="T314" s="235" t="s">
        <v>28</v>
      </c>
      <c r="U314" s="235">
        <v>37.59</v>
      </c>
      <c r="V314" s="299">
        <v>46204.0</v>
      </c>
      <c r="W314" s="296">
        <v>1.0</v>
      </c>
      <c r="X314" s="296">
        <v>7.0</v>
      </c>
      <c r="Y314" s="296">
        <v>2026.0</v>
      </c>
      <c r="Z314" s="235" t="s">
        <v>28</v>
      </c>
    </row>
    <row r="315">
      <c r="A315" s="293" t="s">
        <v>1118</v>
      </c>
      <c r="B315" s="294">
        <v>6.911272936E9</v>
      </c>
      <c r="C315" s="299">
        <v>46175.0</v>
      </c>
      <c r="D315" s="296">
        <v>2.0</v>
      </c>
      <c r="E315" s="296">
        <v>6.0</v>
      </c>
      <c r="F315" s="296">
        <v>2026.0</v>
      </c>
      <c r="G315" s="299">
        <v>46176.0</v>
      </c>
      <c r="H315" s="296">
        <v>3.0</v>
      </c>
      <c r="I315" s="269">
        <v>6.0</v>
      </c>
      <c r="J315" s="296">
        <v>2026.0</v>
      </c>
      <c r="K315" s="235" t="s">
        <v>28</v>
      </c>
      <c r="L315" s="235" t="s">
        <v>518</v>
      </c>
      <c r="M315" s="235">
        <v>1.0</v>
      </c>
      <c r="N315" s="235">
        <v>1.0</v>
      </c>
      <c r="O315" s="235">
        <v>2.0</v>
      </c>
      <c r="P315" s="299">
        <v>46204.0</v>
      </c>
      <c r="Q315" s="213">
        <v>1.0</v>
      </c>
      <c r="R315" s="213">
        <v>7.0</v>
      </c>
      <c r="S315" s="296">
        <v>2026.0</v>
      </c>
      <c r="T315" s="235" t="s">
        <v>28</v>
      </c>
      <c r="U315" s="235">
        <v>26.72</v>
      </c>
      <c r="V315" s="299">
        <v>46204.0</v>
      </c>
      <c r="W315" s="296">
        <v>1.0</v>
      </c>
      <c r="X315" s="296">
        <v>7.0</v>
      </c>
      <c r="Y315" s="296">
        <v>2026.0</v>
      </c>
      <c r="Z315" s="235" t="s">
        <v>28</v>
      </c>
    </row>
    <row r="316">
      <c r="A316" s="293" t="s">
        <v>1119</v>
      </c>
      <c r="B316" s="294">
        <v>6.303141848E9</v>
      </c>
      <c r="C316" s="299">
        <v>46193.0</v>
      </c>
      <c r="D316" s="296">
        <v>20.0</v>
      </c>
      <c r="E316" s="296">
        <v>6.0</v>
      </c>
      <c r="F316" s="296">
        <v>2026.0</v>
      </c>
      <c r="G316" s="299">
        <v>46197.0</v>
      </c>
      <c r="H316" s="296">
        <v>24.0</v>
      </c>
      <c r="I316" s="269">
        <v>6.0</v>
      </c>
      <c r="J316" s="296">
        <v>2026.0</v>
      </c>
      <c r="K316" s="235" t="s">
        <v>28</v>
      </c>
      <c r="L316" s="235" t="s">
        <v>518</v>
      </c>
      <c r="M316" s="235">
        <v>1.0</v>
      </c>
      <c r="N316" s="235">
        <v>4.0</v>
      </c>
      <c r="O316" s="235">
        <v>8.0</v>
      </c>
      <c r="P316" s="299">
        <v>46204.0</v>
      </c>
      <c r="Q316" s="213">
        <v>1.0</v>
      </c>
      <c r="R316" s="213">
        <v>7.0</v>
      </c>
      <c r="S316" s="296">
        <v>2026.0</v>
      </c>
      <c r="T316" s="235" t="s">
        <v>28</v>
      </c>
      <c r="U316" s="235">
        <v>116.93</v>
      </c>
      <c r="V316" s="299">
        <v>46204.0</v>
      </c>
      <c r="W316" s="296">
        <v>1.0</v>
      </c>
      <c r="X316" s="296">
        <v>7.0</v>
      </c>
      <c r="Y316" s="296">
        <v>2026.0</v>
      </c>
      <c r="Z316" s="235" t="s">
        <v>28</v>
      </c>
    </row>
    <row r="317">
      <c r="A317" s="293" t="s">
        <v>1120</v>
      </c>
      <c r="B317" s="294">
        <v>5.249874207E9</v>
      </c>
      <c r="C317" s="299">
        <v>46176.0</v>
      </c>
      <c r="D317" s="296">
        <v>3.0</v>
      </c>
      <c r="E317" s="296">
        <v>6.0</v>
      </c>
      <c r="F317" s="296">
        <v>2026.0</v>
      </c>
      <c r="G317" s="299">
        <v>46177.0</v>
      </c>
      <c r="H317" s="296">
        <v>4.0</v>
      </c>
      <c r="I317" s="269">
        <v>6.0</v>
      </c>
      <c r="J317" s="296">
        <v>2026.0</v>
      </c>
      <c r="K317" s="235" t="s">
        <v>28</v>
      </c>
      <c r="L317" s="235" t="s">
        <v>518</v>
      </c>
      <c r="M317" s="235">
        <v>1.0</v>
      </c>
      <c r="N317" s="235">
        <v>1.0</v>
      </c>
      <c r="O317" s="235">
        <v>2.0</v>
      </c>
      <c r="P317" s="299">
        <v>46204.0</v>
      </c>
      <c r="Q317" s="213">
        <v>1.0</v>
      </c>
      <c r="R317" s="213">
        <v>7.0</v>
      </c>
      <c r="S317" s="296">
        <v>2026.0</v>
      </c>
      <c r="T317" s="235" t="s">
        <v>28</v>
      </c>
      <c r="U317" s="235">
        <v>26.72</v>
      </c>
      <c r="V317" s="299">
        <v>46204.0</v>
      </c>
      <c r="W317" s="296">
        <v>1.0</v>
      </c>
      <c r="X317" s="296">
        <v>7.0</v>
      </c>
      <c r="Y317" s="296">
        <v>2026.0</v>
      </c>
      <c r="Z317" s="235" t="s">
        <v>28</v>
      </c>
    </row>
    <row r="318">
      <c r="A318" s="293" t="s">
        <v>1121</v>
      </c>
      <c r="B318" s="294">
        <v>5.057062412E9</v>
      </c>
      <c r="C318" s="299">
        <v>46191.0</v>
      </c>
      <c r="D318" s="296">
        <v>18.0</v>
      </c>
      <c r="E318" s="296">
        <v>6.0</v>
      </c>
      <c r="F318" s="296">
        <v>2026.0</v>
      </c>
      <c r="G318" s="299">
        <v>46193.0</v>
      </c>
      <c r="H318" s="296">
        <v>20.0</v>
      </c>
      <c r="I318" s="269">
        <v>6.0</v>
      </c>
      <c r="J318" s="296">
        <v>2026.0</v>
      </c>
      <c r="K318" s="235" t="s">
        <v>28</v>
      </c>
      <c r="L318" s="235" t="s">
        <v>518</v>
      </c>
      <c r="M318" s="235">
        <v>1.0</v>
      </c>
      <c r="N318" s="235">
        <v>2.0</v>
      </c>
      <c r="O318" s="235">
        <v>4.0</v>
      </c>
      <c r="P318" s="299">
        <v>46204.0</v>
      </c>
      <c r="Q318" s="213">
        <v>1.0</v>
      </c>
      <c r="R318" s="213">
        <v>7.0</v>
      </c>
      <c r="S318" s="296">
        <v>2026.0</v>
      </c>
      <c r="T318" s="235" t="s">
        <v>28</v>
      </c>
      <c r="U318" s="235">
        <v>75.18</v>
      </c>
      <c r="V318" s="299">
        <v>46204.0</v>
      </c>
      <c r="W318" s="296">
        <v>1.0</v>
      </c>
      <c r="X318" s="296">
        <v>7.0</v>
      </c>
      <c r="Y318" s="296">
        <v>2026.0</v>
      </c>
      <c r="Z318" s="235" t="s">
        <v>28</v>
      </c>
    </row>
    <row r="319">
      <c r="A319" s="293" t="s">
        <v>1122</v>
      </c>
      <c r="B319" s="294">
        <v>6.534332663E9</v>
      </c>
      <c r="C319" s="299">
        <v>46192.0</v>
      </c>
      <c r="D319" s="296">
        <v>19.0</v>
      </c>
      <c r="E319" s="296">
        <v>6.0</v>
      </c>
      <c r="F319" s="296">
        <v>2026.0</v>
      </c>
      <c r="G319" s="299">
        <v>46193.0</v>
      </c>
      <c r="H319" s="296">
        <v>20.0</v>
      </c>
      <c r="I319" s="269">
        <v>6.0</v>
      </c>
      <c r="J319" s="296">
        <v>2026.0</v>
      </c>
      <c r="K319" s="235" t="s">
        <v>28</v>
      </c>
      <c r="L319" s="235" t="s">
        <v>518</v>
      </c>
      <c r="M319" s="235">
        <v>1.0</v>
      </c>
      <c r="N319" s="235">
        <v>1.0</v>
      </c>
      <c r="O319" s="235">
        <v>2.0</v>
      </c>
      <c r="P319" s="299">
        <v>46204.0</v>
      </c>
      <c r="Q319" s="213">
        <v>1.0</v>
      </c>
      <c r="R319" s="213">
        <v>7.0</v>
      </c>
      <c r="S319" s="296">
        <v>2026.0</v>
      </c>
      <c r="T319" s="235" t="s">
        <v>28</v>
      </c>
      <c r="U319" s="235">
        <v>37.59</v>
      </c>
      <c r="V319" s="299">
        <v>46204.0</v>
      </c>
      <c r="W319" s="296">
        <v>1.0</v>
      </c>
      <c r="X319" s="296">
        <v>7.0</v>
      </c>
      <c r="Y319" s="296">
        <v>2026.0</v>
      </c>
      <c r="Z319" s="235" t="s">
        <v>28</v>
      </c>
    </row>
    <row r="320">
      <c r="A320" s="293" t="s">
        <v>1124</v>
      </c>
      <c r="B320" s="293">
        <v>6.664273406E9</v>
      </c>
      <c r="C320" s="299">
        <v>46185.0</v>
      </c>
      <c r="D320" s="296">
        <v>12.0</v>
      </c>
      <c r="E320" s="296">
        <v>6.0</v>
      </c>
      <c r="F320" s="296">
        <v>2026.0</v>
      </c>
      <c r="G320" s="299">
        <v>46187.0</v>
      </c>
      <c r="H320" s="269">
        <v>14.0</v>
      </c>
      <c r="I320" s="296">
        <v>6.0</v>
      </c>
      <c r="J320" s="269">
        <v>2026.0</v>
      </c>
      <c r="K320" s="235" t="s">
        <v>28</v>
      </c>
      <c r="L320" s="235" t="s">
        <v>518</v>
      </c>
      <c r="M320" s="235">
        <v>1.0</v>
      </c>
      <c r="N320" s="164">
        <v>2.0</v>
      </c>
      <c r="O320" s="235">
        <v>4.0</v>
      </c>
      <c r="P320" s="299">
        <v>46204.0</v>
      </c>
      <c r="Q320" s="213">
        <v>1.0</v>
      </c>
      <c r="R320" s="213">
        <v>7.0</v>
      </c>
      <c r="S320" s="296">
        <v>2026.0</v>
      </c>
      <c r="T320" s="235" t="s">
        <v>28</v>
      </c>
      <c r="U320" s="235">
        <v>75.18</v>
      </c>
      <c r="V320" s="299">
        <v>46204.0</v>
      </c>
      <c r="W320" s="296">
        <v>1.0</v>
      </c>
      <c r="X320" s="296">
        <v>7.0</v>
      </c>
      <c r="Y320" s="296">
        <v>2026.0</v>
      </c>
      <c r="Z320" s="235" t="s">
        <v>28</v>
      </c>
    </row>
    <row r="321">
      <c r="A321" s="293" t="s">
        <v>1126</v>
      </c>
      <c r="B321" s="293">
        <v>5.433534474E9</v>
      </c>
      <c r="C321" s="299">
        <v>46187.0</v>
      </c>
      <c r="D321" s="296">
        <v>14.0</v>
      </c>
      <c r="E321" s="296">
        <v>6.0</v>
      </c>
      <c r="F321" s="296">
        <v>2026.0</v>
      </c>
      <c r="G321" s="299">
        <v>46190.0</v>
      </c>
      <c r="H321" s="269">
        <v>17.0</v>
      </c>
      <c r="I321" s="296">
        <v>6.0</v>
      </c>
      <c r="J321" s="269">
        <v>2026.0</v>
      </c>
      <c r="K321" s="235" t="s">
        <v>28</v>
      </c>
      <c r="L321" s="235" t="s">
        <v>518</v>
      </c>
      <c r="M321" s="235">
        <v>1.0</v>
      </c>
      <c r="N321" s="164">
        <v>3.0</v>
      </c>
      <c r="O321" s="235">
        <v>6.0</v>
      </c>
      <c r="P321" s="299">
        <v>46204.0</v>
      </c>
      <c r="Q321" s="213">
        <v>1.0</v>
      </c>
      <c r="R321" s="213">
        <v>7.0</v>
      </c>
      <c r="S321" s="296">
        <v>2026.0</v>
      </c>
      <c r="T321" s="235" t="s">
        <v>28</v>
      </c>
      <c r="U321" s="235">
        <v>104.42</v>
      </c>
      <c r="V321" s="299">
        <v>46204.0</v>
      </c>
      <c r="W321" s="296">
        <v>1.0</v>
      </c>
      <c r="X321" s="296">
        <v>7.0</v>
      </c>
      <c r="Y321" s="296">
        <v>2026.0</v>
      </c>
      <c r="Z321" s="235" t="s">
        <v>28</v>
      </c>
    </row>
    <row r="322">
      <c r="A322" s="293" t="s">
        <v>1128</v>
      </c>
      <c r="B322" s="294">
        <v>6.531137921E9</v>
      </c>
      <c r="C322" s="299">
        <v>46198.0</v>
      </c>
      <c r="D322" s="296">
        <v>25.0</v>
      </c>
      <c r="E322" s="296">
        <v>6.0</v>
      </c>
      <c r="F322" s="296">
        <v>2026.0</v>
      </c>
      <c r="G322" s="299">
        <v>46199.0</v>
      </c>
      <c r="H322" s="296">
        <v>26.0</v>
      </c>
      <c r="I322" s="269">
        <v>6.0</v>
      </c>
      <c r="J322" s="296">
        <v>2026.0</v>
      </c>
      <c r="K322" s="235" t="s">
        <v>28</v>
      </c>
      <c r="L322" s="235" t="s">
        <v>518</v>
      </c>
      <c r="M322" s="235">
        <v>1.0</v>
      </c>
      <c r="N322" s="235">
        <v>1.0</v>
      </c>
      <c r="O322" s="235">
        <v>2.0</v>
      </c>
      <c r="P322" s="299">
        <v>46204.0</v>
      </c>
      <c r="Q322" s="213">
        <v>1.0</v>
      </c>
      <c r="R322" s="213">
        <v>7.0</v>
      </c>
      <c r="S322" s="296">
        <v>2026.0</v>
      </c>
      <c r="T322" s="235" t="s">
        <v>28</v>
      </c>
      <c r="U322" s="235">
        <v>37.59</v>
      </c>
      <c r="V322" s="299">
        <v>46204.0</v>
      </c>
      <c r="W322" s="296">
        <v>1.0</v>
      </c>
      <c r="X322" s="296">
        <v>7.0</v>
      </c>
      <c r="Y322" s="296">
        <v>2026.0</v>
      </c>
      <c r="Z322" s="235" t="s">
        <v>28</v>
      </c>
    </row>
    <row r="323">
      <c r="A323" s="293" t="s">
        <v>1129</v>
      </c>
      <c r="B323" s="294">
        <v>6.633626401E9</v>
      </c>
      <c r="C323" s="299">
        <v>46188.0</v>
      </c>
      <c r="D323" s="296">
        <v>15.0</v>
      </c>
      <c r="E323" s="296">
        <v>6.0</v>
      </c>
      <c r="F323" s="296">
        <v>2026.0</v>
      </c>
      <c r="G323" s="299">
        <v>46194.0</v>
      </c>
      <c r="H323" s="296">
        <v>21.0</v>
      </c>
      <c r="I323" s="269">
        <v>6.0</v>
      </c>
      <c r="J323" s="296">
        <v>2026.0</v>
      </c>
      <c r="K323" s="235" t="s">
        <v>28</v>
      </c>
      <c r="L323" s="235" t="s">
        <v>518</v>
      </c>
      <c r="M323" s="235">
        <v>1.0</v>
      </c>
      <c r="N323" s="235">
        <v>6.0</v>
      </c>
      <c r="O323" s="235">
        <v>12.0</v>
      </c>
      <c r="P323" s="299">
        <v>46204.0</v>
      </c>
      <c r="Q323" s="213">
        <v>1.0</v>
      </c>
      <c r="R323" s="213">
        <v>7.0</v>
      </c>
      <c r="S323" s="296">
        <v>2026.0</v>
      </c>
      <c r="T323" s="235" t="s">
        <v>28</v>
      </c>
      <c r="U323" s="235">
        <v>225.55</v>
      </c>
      <c r="V323" s="299">
        <v>46204.0</v>
      </c>
      <c r="W323" s="296">
        <v>1.0</v>
      </c>
      <c r="X323" s="296">
        <v>7.0</v>
      </c>
      <c r="Y323" s="296">
        <v>2026.0</v>
      </c>
      <c r="Z323" s="235" t="s">
        <v>28</v>
      </c>
    </row>
    <row r="324">
      <c r="A324" s="293" t="s">
        <v>1131</v>
      </c>
      <c r="B324" s="293">
        <v>6.805437011E9</v>
      </c>
      <c r="C324" s="299">
        <v>46181.0</v>
      </c>
      <c r="D324" s="296">
        <v>8.0</v>
      </c>
      <c r="E324" s="296">
        <v>6.0</v>
      </c>
      <c r="F324" s="296">
        <v>2026.0</v>
      </c>
      <c r="G324" s="299">
        <v>46182.0</v>
      </c>
      <c r="H324" s="269">
        <v>9.0</v>
      </c>
      <c r="I324" s="296">
        <v>6.0</v>
      </c>
      <c r="J324" s="269">
        <v>2026.0</v>
      </c>
      <c r="K324" s="235" t="s">
        <v>28</v>
      </c>
      <c r="L324" s="235" t="s">
        <v>518</v>
      </c>
      <c r="M324" s="235">
        <v>1.0</v>
      </c>
      <c r="N324" s="164">
        <v>1.0</v>
      </c>
      <c r="O324" s="235">
        <v>2.0</v>
      </c>
      <c r="P324" s="299">
        <v>46204.0</v>
      </c>
      <c r="Q324" s="213">
        <v>1.0</v>
      </c>
      <c r="R324" s="213">
        <v>7.0</v>
      </c>
      <c r="S324" s="296">
        <v>2026.0</v>
      </c>
      <c r="T324" s="235" t="s">
        <v>28</v>
      </c>
      <c r="U324" s="235">
        <v>29.23</v>
      </c>
      <c r="V324" s="299">
        <v>46204.0</v>
      </c>
      <c r="W324" s="296">
        <v>1.0</v>
      </c>
      <c r="X324" s="296">
        <v>7.0</v>
      </c>
      <c r="Y324" s="296">
        <v>2026.0</v>
      </c>
      <c r="Z324" s="235" t="s">
        <v>28</v>
      </c>
    </row>
    <row r="325">
      <c r="A325" s="293" t="s">
        <v>878</v>
      </c>
      <c r="B325" s="294">
        <v>5.39688305E9</v>
      </c>
      <c r="C325" s="299">
        <v>46196.0</v>
      </c>
      <c r="D325" s="296">
        <v>23.0</v>
      </c>
      <c r="E325" s="296">
        <v>6.0</v>
      </c>
      <c r="F325" s="296">
        <v>2026.0</v>
      </c>
      <c r="G325" s="299">
        <v>46197.0</v>
      </c>
      <c r="H325" s="296">
        <v>24.0</v>
      </c>
      <c r="I325" s="269">
        <v>6.0</v>
      </c>
      <c r="J325" s="296">
        <v>2026.0</v>
      </c>
      <c r="K325" s="235" t="s">
        <v>28</v>
      </c>
      <c r="L325" s="235" t="s">
        <v>518</v>
      </c>
      <c r="M325" s="235">
        <v>1.0</v>
      </c>
      <c r="N325" s="235">
        <v>1.0</v>
      </c>
      <c r="O325" s="235">
        <v>2.0</v>
      </c>
      <c r="P325" s="299">
        <v>46204.0</v>
      </c>
      <c r="Q325" s="213">
        <v>1.0</v>
      </c>
      <c r="R325" s="213">
        <v>7.0</v>
      </c>
      <c r="S325" s="296">
        <v>2026.0</v>
      </c>
      <c r="T325" s="235" t="s">
        <v>28</v>
      </c>
      <c r="U325" s="235">
        <v>37.59</v>
      </c>
      <c r="V325" s="299">
        <v>46204.0</v>
      </c>
      <c r="W325" s="296">
        <v>1.0</v>
      </c>
      <c r="X325" s="296">
        <v>7.0</v>
      </c>
      <c r="Y325" s="296">
        <v>2026.0</v>
      </c>
      <c r="Z325" s="235" t="s">
        <v>28</v>
      </c>
    </row>
    <row r="326">
      <c r="A326" s="293" t="s">
        <v>1134</v>
      </c>
      <c r="B326" s="293">
        <v>5.575603979E9</v>
      </c>
      <c r="C326" s="299">
        <v>46177.0</v>
      </c>
      <c r="D326" s="296">
        <v>4.0</v>
      </c>
      <c r="E326" s="296">
        <v>6.0</v>
      </c>
      <c r="F326" s="296">
        <v>2026.0</v>
      </c>
      <c r="G326" s="299">
        <v>46178.0</v>
      </c>
      <c r="H326" s="269">
        <v>5.0</v>
      </c>
      <c r="I326" s="296">
        <v>6.0</v>
      </c>
      <c r="J326" s="269">
        <v>2026.0</v>
      </c>
      <c r="K326" s="235" t="s">
        <v>28</v>
      </c>
      <c r="L326" s="235" t="s">
        <v>518</v>
      </c>
      <c r="M326" s="235">
        <v>1.0</v>
      </c>
      <c r="N326" s="164">
        <v>1.0</v>
      </c>
      <c r="O326" s="235">
        <v>2.0</v>
      </c>
      <c r="P326" s="299">
        <v>46204.0</v>
      </c>
      <c r="Q326" s="213">
        <v>1.0</v>
      </c>
      <c r="R326" s="213">
        <v>7.0</v>
      </c>
      <c r="S326" s="296">
        <v>2026.0</v>
      </c>
      <c r="T326" s="235" t="s">
        <v>28</v>
      </c>
      <c r="U326" s="235">
        <v>37.59</v>
      </c>
      <c r="V326" s="299">
        <v>46204.0</v>
      </c>
      <c r="W326" s="296">
        <v>1.0</v>
      </c>
      <c r="X326" s="296">
        <v>7.0</v>
      </c>
      <c r="Y326" s="296">
        <v>2026.0</v>
      </c>
      <c r="Z326" s="235" t="s">
        <v>28</v>
      </c>
    </row>
    <row r="327">
      <c r="A327" s="293" t="s">
        <v>1136</v>
      </c>
      <c r="B327" s="293">
        <v>5.119861004E9</v>
      </c>
      <c r="C327" s="299">
        <v>46183.0</v>
      </c>
      <c r="D327" s="296">
        <v>10.0</v>
      </c>
      <c r="E327" s="296">
        <v>6.0</v>
      </c>
      <c r="F327" s="296">
        <v>2026.0</v>
      </c>
      <c r="G327" s="299">
        <v>46184.0</v>
      </c>
      <c r="H327" s="269">
        <v>11.0</v>
      </c>
      <c r="I327" s="296">
        <v>6.0</v>
      </c>
      <c r="J327" s="269">
        <v>2026.0</v>
      </c>
      <c r="K327" s="235" t="s">
        <v>28</v>
      </c>
      <c r="L327" s="235" t="s">
        <v>518</v>
      </c>
      <c r="M327" s="235">
        <v>1.0</v>
      </c>
      <c r="N327" s="164">
        <v>1.0</v>
      </c>
      <c r="O327" s="235">
        <v>2.0</v>
      </c>
      <c r="P327" s="299">
        <v>46204.0</v>
      </c>
      <c r="Q327" s="213">
        <v>1.0</v>
      </c>
      <c r="R327" s="213">
        <v>7.0</v>
      </c>
      <c r="S327" s="296">
        <v>2026.0</v>
      </c>
      <c r="T327" s="235" t="s">
        <v>28</v>
      </c>
      <c r="U327" s="235">
        <v>37.59</v>
      </c>
      <c r="V327" s="299">
        <v>46204.0</v>
      </c>
      <c r="W327" s="296">
        <v>1.0</v>
      </c>
      <c r="X327" s="296">
        <v>7.0</v>
      </c>
      <c r="Y327" s="296">
        <v>2026.0</v>
      </c>
      <c r="Z327" s="235" t="s">
        <v>28</v>
      </c>
    </row>
    <row r="328">
      <c r="A328" s="293" t="s">
        <v>1138</v>
      </c>
      <c r="B328" s="294">
        <v>5.808320022E9</v>
      </c>
      <c r="C328" s="299">
        <v>46191.0</v>
      </c>
      <c r="D328" s="296">
        <v>18.0</v>
      </c>
      <c r="E328" s="296">
        <v>6.0</v>
      </c>
      <c r="F328" s="296">
        <v>2026.0</v>
      </c>
      <c r="G328" s="299">
        <v>46192.0</v>
      </c>
      <c r="H328" s="296">
        <v>19.0</v>
      </c>
      <c r="I328" s="269">
        <v>6.0</v>
      </c>
      <c r="J328" s="296">
        <v>2026.0</v>
      </c>
      <c r="K328" s="235" t="s">
        <v>28</v>
      </c>
      <c r="L328" s="235" t="s">
        <v>518</v>
      </c>
      <c r="M328" s="235">
        <v>1.0</v>
      </c>
      <c r="N328" s="235">
        <v>1.0</v>
      </c>
      <c r="O328" s="235">
        <v>2.0</v>
      </c>
      <c r="P328" s="299">
        <v>46204.0</v>
      </c>
      <c r="Q328" s="213">
        <v>1.0</v>
      </c>
      <c r="R328" s="213">
        <v>7.0</v>
      </c>
      <c r="S328" s="296">
        <v>2026.0</v>
      </c>
      <c r="T328" s="235" t="s">
        <v>28</v>
      </c>
      <c r="U328" s="235">
        <v>29.23</v>
      </c>
      <c r="V328" s="299">
        <v>46204.0</v>
      </c>
      <c r="W328" s="296">
        <v>1.0</v>
      </c>
      <c r="X328" s="296">
        <v>7.0</v>
      </c>
      <c r="Y328" s="296">
        <v>2026.0</v>
      </c>
      <c r="Z328" s="235" t="s">
        <v>28</v>
      </c>
    </row>
    <row r="329">
      <c r="A329" s="293" t="s">
        <v>1140</v>
      </c>
      <c r="B329" s="293">
        <v>6.947502596E9</v>
      </c>
      <c r="C329" s="299">
        <v>46188.0</v>
      </c>
      <c r="D329" s="296">
        <v>15.0</v>
      </c>
      <c r="E329" s="296">
        <v>6.0</v>
      </c>
      <c r="F329" s="296">
        <v>2026.0</v>
      </c>
      <c r="G329" s="299">
        <v>46189.0</v>
      </c>
      <c r="H329" s="269">
        <v>16.0</v>
      </c>
      <c r="I329" s="296">
        <v>6.0</v>
      </c>
      <c r="J329" s="269">
        <v>2026.0</v>
      </c>
      <c r="K329" s="235" t="s">
        <v>28</v>
      </c>
      <c r="L329" s="235" t="s">
        <v>518</v>
      </c>
      <c r="M329" s="235">
        <v>1.0</v>
      </c>
      <c r="N329" s="164">
        <v>1.0</v>
      </c>
      <c r="O329" s="235">
        <v>2.0</v>
      </c>
      <c r="P329" s="299">
        <v>46204.0</v>
      </c>
      <c r="Q329" s="213">
        <v>1.0</v>
      </c>
      <c r="R329" s="213">
        <v>7.0</v>
      </c>
      <c r="S329" s="296">
        <v>2026.0</v>
      </c>
      <c r="T329" s="235" t="s">
        <v>28</v>
      </c>
      <c r="U329" s="235">
        <v>29.23</v>
      </c>
      <c r="V329" s="299">
        <v>46204.0</v>
      </c>
      <c r="W329" s="296">
        <v>1.0</v>
      </c>
      <c r="X329" s="296">
        <v>7.0</v>
      </c>
      <c r="Y329" s="296">
        <v>2026.0</v>
      </c>
      <c r="Z329" s="235" t="s">
        <v>28</v>
      </c>
    </row>
    <row r="330">
      <c r="A330" s="293" t="s">
        <v>1142</v>
      </c>
      <c r="B330" s="294">
        <v>6.094255775E9</v>
      </c>
      <c r="C330" s="299">
        <v>46192.0</v>
      </c>
      <c r="D330" s="296">
        <v>19.0</v>
      </c>
      <c r="E330" s="296">
        <v>6.0</v>
      </c>
      <c r="F330" s="296">
        <v>2026.0</v>
      </c>
      <c r="G330" s="299">
        <v>46193.0</v>
      </c>
      <c r="H330" s="296">
        <v>20.0</v>
      </c>
      <c r="I330" s="269">
        <v>6.0</v>
      </c>
      <c r="J330" s="296">
        <v>2026.0</v>
      </c>
      <c r="K330" s="235" t="s">
        <v>28</v>
      </c>
      <c r="L330" s="235" t="s">
        <v>518</v>
      </c>
      <c r="M330" s="235">
        <v>1.0</v>
      </c>
      <c r="N330" s="235">
        <v>1.0</v>
      </c>
      <c r="O330" s="235">
        <v>2.0</v>
      </c>
      <c r="P330" s="299">
        <v>46204.0</v>
      </c>
      <c r="Q330" s="213">
        <v>1.0</v>
      </c>
      <c r="R330" s="213">
        <v>7.0</v>
      </c>
      <c r="S330" s="296">
        <v>2026.0</v>
      </c>
      <c r="T330" s="235" t="s">
        <v>28</v>
      </c>
      <c r="U330" s="235">
        <v>37.59</v>
      </c>
      <c r="V330" s="299">
        <v>46204.0</v>
      </c>
      <c r="W330" s="296">
        <v>1.0</v>
      </c>
      <c r="X330" s="296">
        <v>7.0</v>
      </c>
      <c r="Y330" s="296">
        <v>2026.0</v>
      </c>
      <c r="Z330" s="235" t="s">
        <v>28</v>
      </c>
    </row>
    <row r="331">
      <c r="A331" s="293" t="s">
        <v>1144</v>
      </c>
      <c r="B331" s="293">
        <v>5.02462454E9</v>
      </c>
      <c r="C331" s="299">
        <v>46186.0</v>
      </c>
      <c r="D331" s="296">
        <v>13.0</v>
      </c>
      <c r="E331" s="296">
        <v>6.0</v>
      </c>
      <c r="F331" s="296">
        <v>2026.0</v>
      </c>
      <c r="G331" s="299">
        <v>46188.0</v>
      </c>
      <c r="H331" s="269">
        <v>15.0</v>
      </c>
      <c r="I331" s="296">
        <v>6.0</v>
      </c>
      <c r="J331" s="269">
        <v>2026.0</v>
      </c>
      <c r="K331" s="235" t="s">
        <v>28</v>
      </c>
      <c r="L331" s="235" t="s">
        <v>1053</v>
      </c>
      <c r="M331" s="235">
        <v>1.0</v>
      </c>
      <c r="N331" s="164">
        <v>2.0</v>
      </c>
      <c r="O331" s="235">
        <v>0.0</v>
      </c>
      <c r="P331" s="299">
        <v>46204.0</v>
      </c>
      <c r="Q331" s="213">
        <v>1.0</v>
      </c>
      <c r="R331" s="213">
        <v>7.0</v>
      </c>
      <c r="S331" s="296">
        <v>2026.0</v>
      </c>
      <c r="T331" s="235" t="s">
        <v>28</v>
      </c>
      <c r="U331" s="235">
        <v>37.62</v>
      </c>
      <c r="V331" s="299">
        <v>46204.0</v>
      </c>
      <c r="W331" s="296">
        <v>1.0</v>
      </c>
      <c r="X331" s="296">
        <v>7.0</v>
      </c>
      <c r="Y331" s="296">
        <v>2026.0</v>
      </c>
      <c r="Z331" s="235" t="s">
        <v>28</v>
      </c>
    </row>
    <row r="332">
      <c r="A332" s="293" t="s">
        <v>1146</v>
      </c>
      <c r="B332" s="293">
        <v>5.03110073E9</v>
      </c>
      <c r="C332" s="299">
        <v>46178.0</v>
      </c>
      <c r="D332" s="296">
        <v>5.0</v>
      </c>
      <c r="E332" s="296">
        <v>6.0</v>
      </c>
      <c r="F332" s="296">
        <v>2026.0</v>
      </c>
      <c r="G332" s="299">
        <v>46179.0</v>
      </c>
      <c r="H332" s="269">
        <v>6.0</v>
      </c>
      <c r="I332" s="296">
        <v>6.0</v>
      </c>
      <c r="J332" s="269">
        <v>2026.0</v>
      </c>
      <c r="K332" s="235" t="s">
        <v>28</v>
      </c>
      <c r="L332" s="235" t="s">
        <v>518</v>
      </c>
      <c r="M332" s="235">
        <v>1.0</v>
      </c>
      <c r="N332" s="164">
        <v>1.0</v>
      </c>
      <c r="O332" s="235">
        <v>2.0</v>
      </c>
      <c r="P332" s="299">
        <v>46204.0</v>
      </c>
      <c r="Q332" s="213">
        <v>1.0</v>
      </c>
      <c r="R332" s="213">
        <v>7.0</v>
      </c>
      <c r="S332" s="296">
        <v>2026.0</v>
      </c>
      <c r="T332" s="235" t="s">
        <v>28</v>
      </c>
      <c r="U332" s="235">
        <v>29.23</v>
      </c>
      <c r="V332" s="299">
        <v>46204.0</v>
      </c>
      <c r="W332" s="296">
        <v>1.0</v>
      </c>
      <c r="X332" s="296">
        <v>7.0</v>
      </c>
      <c r="Y332" s="296">
        <v>2026.0</v>
      </c>
      <c r="Z332" s="235" t="s">
        <v>28</v>
      </c>
    </row>
    <row r="333">
      <c r="A333" s="293" t="s">
        <v>1148</v>
      </c>
      <c r="B333" s="293">
        <v>5.246760148E9</v>
      </c>
      <c r="C333" s="299">
        <v>46184.0</v>
      </c>
      <c r="D333" s="296">
        <v>11.0</v>
      </c>
      <c r="E333" s="296">
        <v>6.0</v>
      </c>
      <c r="F333" s="296">
        <v>2026.0</v>
      </c>
      <c r="G333" s="299">
        <v>46187.0</v>
      </c>
      <c r="H333" s="269">
        <v>14.0</v>
      </c>
      <c r="I333" s="296">
        <v>6.0</v>
      </c>
      <c r="J333" s="269">
        <v>2026.0</v>
      </c>
      <c r="K333" s="235" t="s">
        <v>28</v>
      </c>
      <c r="L333" s="235" t="s">
        <v>518</v>
      </c>
      <c r="M333" s="235">
        <v>1.0</v>
      </c>
      <c r="N333" s="164">
        <v>3.0</v>
      </c>
      <c r="O333" s="235">
        <v>6.0</v>
      </c>
      <c r="P333" s="299">
        <v>46204.0</v>
      </c>
      <c r="Q333" s="213">
        <v>1.0</v>
      </c>
      <c r="R333" s="213">
        <v>7.0</v>
      </c>
      <c r="S333" s="296">
        <v>2026.0</v>
      </c>
      <c r="T333" s="235" t="s">
        <v>28</v>
      </c>
      <c r="U333" s="235">
        <v>121.14</v>
      </c>
      <c r="V333" s="299">
        <v>46204.0</v>
      </c>
      <c r="W333" s="296">
        <v>1.0</v>
      </c>
      <c r="X333" s="296">
        <v>7.0</v>
      </c>
      <c r="Y333" s="296">
        <v>2026.0</v>
      </c>
      <c r="Z333" s="235" t="s">
        <v>28</v>
      </c>
    </row>
    <row r="334">
      <c r="A334" s="293" t="s">
        <v>1151</v>
      </c>
      <c r="B334" s="294">
        <v>5.711309913E9</v>
      </c>
      <c r="C334" s="299">
        <v>46199.0</v>
      </c>
      <c r="D334" s="296">
        <v>26.0</v>
      </c>
      <c r="E334" s="296">
        <v>6.0</v>
      </c>
      <c r="F334" s="296">
        <v>2026.0</v>
      </c>
      <c r="G334" s="299">
        <v>46202.0</v>
      </c>
      <c r="H334" s="296">
        <v>29.0</v>
      </c>
      <c r="I334" s="269">
        <v>6.0</v>
      </c>
      <c r="J334" s="296">
        <v>2026.0</v>
      </c>
      <c r="K334" s="235" t="s">
        <v>28</v>
      </c>
      <c r="L334" s="235" t="s">
        <v>518</v>
      </c>
      <c r="M334" s="235">
        <v>1.0</v>
      </c>
      <c r="N334" s="235">
        <v>3.0</v>
      </c>
      <c r="O334" s="235">
        <v>6.0</v>
      </c>
      <c r="P334" s="299">
        <v>46204.0</v>
      </c>
      <c r="Q334" s="213">
        <v>1.0</v>
      </c>
      <c r="R334" s="213">
        <v>7.0</v>
      </c>
      <c r="S334" s="296">
        <v>2026.0</v>
      </c>
      <c r="T334" s="235" t="s">
        <v>28</v>
      </c>
      <c r="U334" s="235">
        <v>87.7</v>
      </c>
      <c r="V334" s="299">
        <v>46204.0</v>
      </c>
      <c r="W334" s="296">
        <v>1.0</v>
      </c>
      <c r="X334" s="296">
        <v>7.0</v>
      </c>
      <c r="Y334" s="296">
        <v>2026.0</v>
      </c>
      <c r="Z334" s="235" t="s">
        <v>28</v>
      </c>
    </row>
    <row r="335">
      <c r="A335" s="293" t="s">
        <v>1153</v>
      </c>
      <c r="B335" s="293">
        <v>5.67537971E9</v>
      </c>
      <c r="C335" s="299">
        <v>46181.0</v>
      </c>
      <c r="D335" s="296">
        <v>8.0</v>
      </c>
      <c r="E335" s="296">
        <v>6.0</v>
      </c>
      <c r="F335" s="296">
        <v>2026.0</v>
      </c>
      <c r="G335" s="299">
        <v>46185.0</v>
      </c>
      <c r="H335" s="269">
        <v>12.0</v>
      </c>
      <c r="I335" s="296">
        <v>6.0</v>
      </c>
      <c r="J335" s="269">
        <v>2026.0</v>
      </c>
      <c r="K335" s="235" t="s">
        <v>28</v>
      </c>
      <c r="L335" s="235" t="s">
        <v>518</v>
      </c>
      <c r="M335" s="235">
        <v>1.0</v>
      </c>
      <c r="N335" s="164">
        <v>4.0</v>
      </c>
      <c r="O335" s="235">
        <v>8.0</v>
      </c>
      <c r="P335" s="299">
        <v>46204.0</v>
      </c>
      <c r="Q335" s="213">
        <v>1.0</v>
      </c>
      <c r="R335" s="213">
        <v>7.0</v>
      </c>
      <c r="S335" s="296">
        <v>2026.0</v>
      </c>
      <c r="T335" s="235" t="s">
        <v>28</v>
      </c>
      <c r="U335" s="235">
        <v>167.09</v>
      </c>
      <c r="V335" s="299">
        <v>46204.0</v>
      </c>
      <c r="W335" s="296">
        <v>1.0</v>
      </c>
      <c r="X335" s="296">
        <v>7.0</v>
      </c>
      <c r="Y335" s="296">
        <v>2026.0</v>
      </c>
      <c r="Z335" s="235" t="s">
        <v>28</v>
      </c>
    </row>
    <row r="336">
      <c r="A336" s="293" t="s">
        <v>1154</v>
      </c>
      <c r="B336" s="294">
        <v>6.90527761E9</v>
      </c>
      <c r="C336" s="299">
        <v>46196.0</v>
      </c>
      <c r="D336" s="296">
        <v>23.0</v>
      </c>
      <c r="E336" s="296">
        <v>6.0</v>
      </c>
      <c r="F336" s="296">
        <v>2026.0</v>
      </c>
      <c r="G336" s="299">
        <v>46197.0</v>
      </c>
      <c r="H336" s="296">
        <v>24.0</v>
      </c>
      <c r="I336" s="269">
        <v>6.0</v>
      </c>
      <c r="J336" s="296">
        <v>2026.0</v>
      </c>
      <c r="K336" s="235" t="s">
        <v>28</v>
      </c>
      <c r="L336" s="235" t="s">
        <v>518</v>
      </c>
      <c r="M336" s="235">
        <v>1.0</v>
      </c>
      <c r="N336" s="235">
        <v>1.0</v>
      </c>
      <c r="O336" s="235">
        <v>2.0</v>
      </c>
      <c r="P336" s="299">
        <v>46204.0</v>
      </c>
      <c r="Q336" s="213">
        <v>1.0</v>
      </c>
      <c r="R336" s="213">
        <v>7.0</v>
      </c>
      <c r="S336" s="296">
        <v>2026.0</v>
      </c>
      <c r="T336" s="235" t="s">
        <v>28</v>
      </c>
      <c r="U336" s="235">
        <v>29.23</v>
      </c>
      <c r="V336" s="299">
        <v>46204.0</v>
      </c>
      <c r="W336" s="296">
        <v>1.0</v>
      </c>
      <c r="X336" s="296">
        <v>7.0</v>
      </c>
      <c r="Y336" s="296">
        <v>2026.0</v>
      </c>
      <c r="Z336" s="235" t="s">
        <v>28</v>
      </c>
    </row>
    <row r="337">
      <c r="A337" s="293" t="s">
        <v>1155</v>
      </c>
      <c r="B337" s="293">
        <v>6.083445804E9</v>
      </c>
      <c r="C337" s="299">
        <v>46182.0</v>
      </c>
      <c r="D337" s="296">
        <v>9.0</v>
      </c>
      <c r="E337" s="296">
        <v>6.0</v>
      </c>
      <c r="F337" s="296">
        <v>2026.0</v>
      </c>
      <c r="G337" s="299">
        <v>46183.0</v>
      </c>
      <c r="H337" s="269">
        <v>10.0</v>
      </c>
      <c r="I337" s="296">
        <v>6.0</v>
      </c>
      <c r="J337" s="269">
        <v>2026.0</v>
      </c>
      <c r="K337" s="235" t="s">
        <v>28</v>
      </c>
      <c r="L337" s="235" t="s">
        <v>518</v>
      </c>
      <c r="M337" s="235">
        <v>1.0</v>
      </c>
      <c r="N337" s="164">
        <v>1.0</v>
      </c>
      <c r="O337" s="235">
        <v>2.0</v>
      </c>
      <c r="P337" s="299">
        <v>46204.0</v>
      </c>
      <c r="Q337" s="213">
        <v>1.0</v>
      </c>
      <c r="R337" s="213">
        <v>7.0</v>
      </c>
      <c r="S337" s="296">
        <v>2026.0</v>
      </c>
      <c r="T337" s="235" t="s">
        <v>28</v>
      </c>
      <c r="U337" s="235">
        <v>37.59</v>
      </c>
      <c r="V337" s="299">
        <v>46204.0</v>
      </c>
      <c r="W337" s="296">
        <v>1.0</v>
      </c>
      <c r="X337" s="296">
        <v>7.0</v>
      </c>
      <c r="Y337" s="296">
        <v>2026.0</v>
      </c>
      <c r="Z337" s="235" t="s">
        <v>28</v>
      </c>
    </row>
    <row r="338">
      <c r="A338" s="293" t="s">
        <v>1157</v>
      </c>
      <c r="B338" s="293">
        <v>5.089411131E9</v>
      </c>
      <c r="C338" s="299">
        <v>46178.0</v>
      </c>
      <c r="D338" s="296">
        <v>5.0</v>
      </c>
      <c r="E338" s="296">
        <v>6.0</v>
      </c>
      <c r="F338" s="296">
        <v>2026.0</v>
      </c>
      <c r="G338" s="299">
        <v>46179.0</v>
      </c>
      <c r="H338" s="269">
        <v>6.0</v>
      </c>
      <c r="I338" s="296">
        <v>6.0</v>
      </c>
      <c r="J338" s="269">
        <v>2026.0</v>
      </c>
      <c r="K338" s="235" t="s">
        <v>28</v>
      </c>
      <c r="L338" s="235" t="s">
        <v>518</v>
      </c>
      <c r="M338" s="235">
        <v>1.0</v>
      </c>
      <c r="N338" s="164">
        <v>1.0</v>
      </c>
      <c r="O338" s="235">
        <v>2.0</v>
      </c>
      <c r="P338" s="299">
        <v>46204.0</v>
      </c>
      <c r="Q338" s="213">
        <v>1.0</v>
      </c>
      <c r="R338" s="213">
        <v>7.0</v>
      </c>
      <c r="S338" s="296">
        <v>2026.0</v>
      </c>
      <c r="T338" s="235" t="s">
        <v>28</v>
      </c>
      <c r="U338" s="235">
        <v>37.59</v>
      </c>
      <c r="V338" s="299">
        <v>46204.0</v>
      </c>
      <c r="W338" s="296">
        <v>1.0</v>
      </c>
      <c r="X338" s="296">
        <v>7.0</v>
      </c>
      <c r="Y338" s="296">
        <v>2026.0</v>
      </c>
      <c r="Z338" s="235" t="s">
        <v>28</v>
      </c>
    </row>
    <row r="339">
      <c r="A339" s="293" t="s">
        <v>1159</v>
      </c>
      <c r="B339" s="293">
        <v>5.292767278E9</v>
      </c>
      <c r="C339" s="299">
        <v>46182.0</v>
      </c>
      <c r="D339" s="296">
        <v>9.0</v>
      </c>
      <c r="E339" s="296">
        <v>6.0</v>
      </c>
      <c r="F339" s="296">
        <v>2026.0</v>
      </c>
      <c r="G339" s="299">
        <v>46187.0</v>
      </c>
      <c r="H339" s="269">
        <v>14.0</v>
      </c>
      <c r="I339" s="296">
        <v>6.0</v>
      </c>
      <c r="J339" s="269">
        <v>2026.0</v>
      </c>
      <c r="K339" s="235" t="s">
        <v>28</v>
      </c>
      <c r="L339" s="235" t="s">
        <v>518</v>
      </c>
      <c r="M339" s="235">
        <v>1.0</v>
      </c>
      <c r="N339" s="164">
        <v>5.0</v>
      </c>
      <c r="O339" s="235">
        <v>9.99999999999997</v>
      </c>
      <c r="P339" s="299">
        <v>46204.0</v>
      </c>
      <c r="Q339" s="213">
        <v>1.0</v>
      </c>
      <c r="R339" s="213">
        <v>7.0</v>
      </c>
      <c r="S339" s="296">
        <v>2026.0</v>
      </c>
      <c r="T339" s="235" t="s">
        <v>28</v>
      </c>
      <c r="U339" s="235">
        <v>174.58</v>
      </c>
      <c r="V339" s="299">
        <v>46204.0</v>
      </c>
      <c r="W339" s="296">
        <v>1.0</v>
      </c>
      <c r="X339" s="296">
        <v>7.0</v>
      </c>
      <c r="Y339" s="296">
        <v>2026.0</v>
      </c>
      <c r="Z339" s="235" t="s">
        <v>28</v>
      </c>
    </row>
    <row r="340">
      <c r="A340" s="293" t="s">
        <v>1161</v>
      </c>
      <c r="B340" s="293">
        <v>6.81479453E9</v>
      </c>
      <c r="C340" s="299">
        <v>46186.0</v>
      </c>
      <c r="D340" s="296">
        <v>13.0</v>
      </c>
      <c r="E340" s="296">
        <v>6.0</v>
      </c>
      <c r="F340" s="296">
        <v>2026.0</v>
      </c>
      <c r="G340" s="299">
        <v>46188.0</v>
      </c>
      <c r="H340" s="269">
        <v>15.0</v>
      </c>
      <c r="I340" s="296">
        <v>6.0</v>
      </c>
      <c r="J340" s="269">
        <v>2026.0</v>
      </c>
      <c r="K340" s="235" t="s">
        <v>28</v>
      </c>
      <c r="L340" s="235" t="s">
        <v>518</v>
      </c>
      <c r="M340" s="235">
        <v>1.0</v>
      </c>
      <c r="N340" s="164">
        <v>2.0</v>
      </c>
      <c r="O340" s="235">
        <v>4.0</v>
      </c>
      <c r="P340" s="299">
        <v>46204.0</v>
      </c>
      <c r="Q340" s="213">
        <v>1.0</v>
      </c>
      <c r="R340" s="213">
        <v>7.0</v>
      </c>
      <c r="S340" s="296">
        <v>2026.0</v>
      </c>
      <c r="T340" s="235" t="s">
        <v>28</v>
      </c>
      <c r="U340" s="235">
        <v>66.82</v>
      </c>
      <c r="V340" s="299">
        <v>46204.0</v>
      </c>
      <c r="W340" s="296">
        <v>1.0</v>
      </c>
      <c r="X340" s="296">
        <v>7.0</v>
      </c>
      <c r="Y340" s="296">
        <v>2026.0</v>
      </c>
      <c r="Z340" s="235" t="s">
        <v>28</v>
      </c>
    </row>
    <row r="341">
      <c r="A341" s="293" t="s">
        <v>1163</v>
      </c>
      <c r="B341" s="294">
        <v>5.056252535E9</v>
      </c>
      <c r="C341" s="299">
        <v>46197.0</v>
      </c>
      <c r="D341" s="296">
        <v>24.0</v>
      </c>
      <c r="E341" s="296">
        <v>6.0</v>
      </c>
      <c r="F341" s="296">
        <v>2026.0</v>
      </c>
      <c r="G341" s="299">
        <v>46200.0</v>
      </c>
      <c r="H341" s="296">
        <v>27.0</v>
      </c>
      <c r="I341" s="269">
        <v>6.0</v>
      </c>
      <c r="J341" s="296">
        <v>2026.0</v>
      </c>
      <c r="K341" s="235" t="s">
        <v>28</v>
      </c>
      <c r="L341" s="235" t="s">
        <v>518</v>
      </c>
      <c r="M341" s="235">
        <v>1.0</v>
      </c>
      <c r="N341" s="235">
        <v>3.0</v>
      </c>
      <c r="O341" s="235">
        <v>6.0</v>
      </c>
      <c r="P341" s="299">
        <v>46204.0</v>
      </c>
      <c r="Q341" s="213">
        <v>1.0</v>
      </c>
      <c r="R341" s="213">
        <v>7.0</v>
      </c>
      <c r="S341" s="296">
        <v>2026.0</v>
      </c>
      <c r="T341" s="235" t="s">
        <v>28</v>
      </c>
      <c r="U341" s="235">
        <v>96.06</v>
      </c>
      <c r="V341" s="299">
        <v>46204.0</v>
      </c>
      <c r="W341" s="296">
        <v>1.0</v>
      </c>
      <c r="X341" s="296">
        <v>7.0</v>
      </c>
      <c r="Y341" s="296">
        <v>2026.0</v>
      </c>
      <c r="Z341" s="235" t="s">
        <v>28</v>
      </c>
    </row>
    <row r="342">
      <c r="A342" s="293" t="s">
        <v>1165</v>
      </c>
      <c r="B342" s="293">
        <v>5.657477897E9</v>
      </c>
      <c r="C342" s="299">
        <v>46181.0</v>
      </c>
      <c r="D342" s="296">
        <v>8.0</v>
      </c>
      <c r="E342" s="296">
        <v>6.0</v>
      </c>
      <c r="F342" s="296">
        <v>2026.0</v>
      </c>
      <c r="G342" s="299">
        <v>46182.0</v>
      </c>
      <c r="H342" s="269">
        <v>9.0</v>
      </c>
      <c r="I342" s="296">
        <v>6.0</v>
      </c>
      <c r="J342" s="269">
        <v>2026.0</v>
      </c>
      <c r="K342" s="235" t="s">
        <v>28</v>
      </c>
      <c r="L342" s="235" t="s">
        <v>518</v>
      </c>
      <c r="M342" s="235">
        <v>1.0</v>
      </c>
      <c r="N342" s="164">
        <v>1.0</v>
      </c>
      <c r="O342" s="235">
        <v>2.0</v>
      </c>
      <c r="P342" s="299">
        <v>46204.0</v>
      </c>
      <c r="Q342" s="213">
        <v>1.0</v>
      </c>
      <c r="R342" s="213">
        <v>7.0</v>
      </c>
      <c r="S342" s="296">
        <v>2026.0</v>
      </c>
      <c r="T342" s="235" t="s">
        <v>28</v>
      </c>
      <c r="U342" s="235">
        <v>29.23</v>
      </c>
      <c r="V342" s="299">
        <v>46204.0</v>
      </c>
      <c r="W342" s="296">
        <v>1.0</v>
      </c>
      <c r="X342" s="296">
        <v>7.0</v>
      </c>
      <c r="Y342" s="296">
        <v>2026.0</v>
      </c>
      <c r="Z342" s="235" t="s">
        <v>28</v>
      </c>
    </row>
    <row r="343">
      <c r="A343" s="293" t="s">
        <v>1166</v>
      </c>
      <c r="B343" s="294">
        <v>6.094340104E9</v>
      </c>
      <c r="C343" s="299">
        <v>46194.0</v>
      </c>
      <c r="D343" s="296">
        <v>21.0</v>
      </c>
      <c r="E343" s="296">
        <v>6.0</v>
      </c>
      <c r="F343" s="296">
        <v>2026.0</v>
      </c>
      <c r="G343" s="299">
        <v>46195.0</v>
      </c>
      <c r="H343" s="296">
        <v>22.0</v>
      </c>
      <c r="I343" s="269">
        <v>6.0</v>
      </c>
      <c r="J343" s="296">
        <v>2026.0</v>
      </c>
      <c r="K343" s="235" t="s">
        <v>28</v>
      </c>
      <c r="L343" s="235" t="s">
        <v>518</v>
      </c>
      <c r="M343" s="235">
        <v>1.0</v>
      </c>
      <c r="N343" s="235">
        <v>1.0</v>
      </c>
      <c r="O343" s="235">
        <v>2.0</v>
      </c>
      <c r="P343" s="299">
        <v>46204.0</v>
      </c>
      <c r="Q343" s="213">
        <v>1.0</v>
      </c>
      <c r="R343" s="213">
        <v>7.0</v>
      </c>
      <c r="S343" s="296">
        <v>2026.0</v>
      </c>
      <c r="T343" s="235" t="s">
        <v>28</v>
      </c>
      <c r="U343" s="235">
        <v>37.59</v>
      </c>
      <c r="V343" s="299">
        <v>46204.0</v>
      </c>
      <c r="W343" s="296">
        <v>1.0</v>
      </c>
      <c r="X343" s="296">
        <v>7.0</v>
      </c>
      <c r="Y343" s="296">
        <v>2026.0</v>
      </c>
      <c r="Z343" s="235" t="s">
        <v>28</v>
      </c>
    </row>
    <row r="344">
      <c r="A344" s="293" t="s">
        <v>1168</v>
      </c>
      <c r="B344" s="293">
        <v>6.952636839E9</v>
      </c>
      <c r="C344" s="299">
        <v>46190.0</v>
      </c>
      <c r="D344" s="296">
        <v>17.0</v>
      </c>
      <c r="E344" s="296">
        <v>6.0</v>
      </c>
      <c r="F344" s="296">
        <v>2026.0</v>
      </c>
      <c r="G344" s="299">
        <v>46191.0</v>
      </c>
      <c r="H344" s="269">
        <v>18.0</v>
      </c>
      <c r="I344" s="296">
        <v>6.0</v>
      </c>
      <c r="J344" s="269">
        <v>2026.0</v>
      </c>
      <c r="K344" s="235" t="s">
        <v>28</v>
      </c>
      <c r="L344" s="235" t="s">
        <v>518</v>
      </c>
      <c r="M344" s="235">
        <v>1.0</v>
      </c>
      <c r="N344" s="164">
        <v>1.0</v>
      </c>
      <c r="O344" s="235">
        <v>2.0</v>
      </c>
      <c r="P344" s="299">
        <v>46204.0</v>
      </c>
      <c r="Q344" s="213">
        <v>1.0</v>
      </c>
      <c r="R344" s="213">
        <v>7.0</v>
      </c>
      <c r="S344" s="296">
        <v>2026.0</v>
      </c>
      <c r="T344" s="235" t="s">
        <v>28</v>
      </c>
      <c r="U344" s="235">
        <v>37.59</v>
      </c>
      <c r="V344" s="299">
        <v>46204.0</v>
      </c>
      <c r="W344" s="296">
        <v>1.0</v>
      </c>
      <c r="X344" s="296">
        <v>7.0</v>
      </c>
      <c r="Y344" s="296">
        <v>2026.0</v>
      </c>
      <c r="Z344" s="235" t="s">
        <v>28</v>
      </c>
    </row>
    <row r="345">
      <c r="A345" s="293" t="s">
        <v>1168</v>
      </c>
      <c r="B345" s="294">
        <v>5.01906843E9</v>
      </c>
      <c r="C345" s="299">
        <v>46199.0</v>
      </c>
      <c r="D345" s="296">
        <v>26.0</v>
      </c>
      <c r="E345" s="296">
        <v>6.0</v>
      </c>
      <c r="F345" s="296">
        <v>2026.0</v>
      </c>
      <c r="G345" s="299">
        <v>46200.0</v>
      </c>
      <c r="H345" s="296">
        <v>27.0</v>
      </c>
      <c r="I345" s="269">
        <v>6.0</v>
      </c>
      <c r="J345" s="296">
        <v>2026.0</v>
      </c>
      <c r="K345" s="235" t="s">
        <v>28</v>
      </c>
      <c r="L345" s="235" t="s">
        <v>518</v>
      </c>
      <c r="M345" s="235">
        <v>1.0</v>
      </c>
      <c r="N345" s="235">
        <v>1.0</v>
      </c>
      <c r="O345" s="235">
        <v>2.0</v>
      </c>
      <c r="P345" s="299">
        <v>46204.0</v>
      </c>
      <c r="Q345" s="213">
        <v>1.0</v>
      </c>
      <c r="R345" s="213">
        <v>7.0</v>
      </c>
      <c r="S345" s="296">
        <v>2026.0</v>
      </c>
      <c r="T345" s="235" t="s">
        <v>28</v>
      </c>
      <c r="U345" s="235">
        <v>29.23</v>
      </c>
      <c r="V345" s="299">
        <v>46204.0</v>
      </c>
      <c r="W345" s="296">
        <v>1.0</v>
      </c>
      <c r="X345" s="296">
        <v>7.0</v>
      </c>
      <c r="Y345" s="296">
        <v>2026.0</v>
      </c>
      <c r="Z345" s="235" t="s">
        <v>28</v>
      </c>
    </row>
    <row r="346">
      <c r="A346" s="293" t="s">
        <v>1172</v>
      </c>
      <c r="B346" s="293">
        <v>5.112339628E9</v>
      </c>
      <c r="C346" s="299">
        <v>46179.0</v>
      </c>
      <c r="D346" s="296">
        <v>6.0</v>
      </c>
      <c r="E346" s="296">
        <v>6.0</v>
      </c>
      <c r="F346" s="296">
        <v>2026.0</v>
      </c>
      <c r="G346" s="299">
        <v>46181.0</v>
      </c>
      <c r="H346" s="269">
        <v>8.0</v>
      </c>
      <c r="I346" s="296">
        <v>6.0</v>
      </c>
      <c r="J346" s="269">
        <v>2026.0</v>
      </c>
      <c r="K346" s="235" t="s">
        <v>28</v>
      </c>
      <c r="L346" s="235" t="s">
        <v>518</v>
      </c>
      <c r="M346" s="235">
        <v>1.0</v>
      </c>
      <c r="N346" s="164">
        <v>2.0</v>
      </c>
      <c r="O346" s="235">
        <v>4.0</v>
      </c>
      <c r="P346" s="299">
        <v>46204.0</v>
      </c>
      <c r="Q346" s="213">
        <v>1.0</v>
      </c>
      <c r="R346" s="213">
        <v>7.0</v>
      </c>
      <c r="S346" s="296">
        <v>2026.0</v>
      </c>
      <c r="T346" s="235" t="s">
        <v>28</v>
      </c>
      <c r="U346" s="235">
        <v>83.54</v>
      </c>
      <c r="V346" s="299">
        <v>46204.0</v>
      </c>
      <c r="W346" s="296">
        <v>1.0</v>
      </c>
      <c r="X346" s="296">
        <v>7.0</v>
      </c>
      <c r="Y346" s="296">
        <v>2026.0</v>
      </c>
      <c r="Z346" s="235" t="s">
        <v>28</v>
      </c>
    </row>
    <row r="347">
      <c r="A347" s="293" t="s">
        <v>1174</v>
      </c>
      <c r="B347" s="294">
        <v>6.930338712E9</v>
      </c>
      <c r="C347" s="299">
        <v>46198.0</v>
      </c>
      <c r="D347" s="296">
        <v>25.0</v>
      </c>
      <c r="E347" s="296">
        <v>6.0</v>
      </c>
      <c r="F347" s="296">
        <v>2026.0</v>
      </c>
      <c r="G347" s="299">
        <v>46199.0</v>
      </c>
      <c r="H347" s="296">
        <v>26.0</v>
      </c>
      <c r="I347" s="269">
        <v>6.0</v>
      </c>
      <c r="J347" s="296">
        <v>2026.0</v>
      </c>
      <c r="K347" s="235" t="s">
        <v>28</v>
      </c>
      <c r="L347" s="235" t="s">
        <v>518</v>
      </c>
      <c r="M347" s="235">
        <v>1.0</v>
      </c>
      <c r="N347" s="235">
        <v>1.0</v>
      </c>
      <c r="O347" s="235">
        <v>2.0</v>
      </c>
      <c r="P347" s="299">
        <v>46204.0</v>
      </c>
      <c r="Q347" s="213">
        <v>1.0</v>
      </c>
      <c r="R347" s="213">
        <v>7.0</v>
      </c>
      <c r="S347" s="296">
        <v>2026.0</v>
      </c>
      <c r="T347" s="235" t="s">
        <v>28</v>
      </c>
      <c r="U347" s="235">
        <v>37.59</v>
      </c>
      <c r="V347" s="299">
        <v>46204.0</v>
      </c>
      <c r="W347" s="296">
        <v>1.0</v>
      </c>
      <c r="X347" s="296">
        <v>7.0</v>
      </c>
      <c r="Y347" s="296">
        <v>2026.0</v>
      </c>
      <c r="Z347" s="235" t="s">
        <v>28</v>
      </c>
    </row>
    <row r="348">
      <c r="A348" s="293" t="s">
        <v>1175</v>
      </c>
      <c r="B348" s="293">
        <v>5.158119362E9</v>
      </c>
      <c r="C348" s="299">
        <v>46184.0</v>
      </c>
      <c r="D348" s="296">
        <v>11.0</v>
      </c>
      <c r="E348" s="296">
        <v>6.0</v>
      </c>
      <c r="F348" s="296">
        <v>2026.0</v>
      </c>
      <c r="G348" s="299">
        <v>46186.0</v>
      </c>
      <c r="H348" s="269">
        <v>13.0</v>
      </c>
      <c r="I348" s="296">
        <v>6.0</v>
      </c>
      <c r="J348" s="269">
        <v>2026.0</v>
      </c>
      <c r="K348" s="235" t="s">
        <v>28</v>
      </c>
      <c r="L348" s="235" t="s">
        <v>518</v>
      </c>
      <c r="M348" s="235">
        <v>1.0</v>
      </c>
      <c r="N348" s="164">
        <v>2.0</v>
      </c>
      <c r="O348" s="82">
        <v>4.0</v>
      </c>
      <c r="P348" s="299">
        <v>46204.0</v>
      </c>
      <c r="Q348" s="213">
        <v>1.0</v>
      </c>
      <c r="R348" s="213">
        <v>7.0</v>
      </c>
      <c r="S348" s="296">
        <v>2026.0</v>
      </c>
      <c r="T348" s="235" t="s">
        <v>28</v>
      </c>
      <c r="U348" s="235">
        <v>84.06</v>
      </c>
      <c r="V348" s="299">
        <v>46204.0</v>
      </c>
      <c r="W348" s="296">
        <v>1.0</v>
      </c>
      <c r="X348" s="296">
        <v>7.0</v>
      </c>
      <c r="Y348" s="296">
        <v>2026.0</v>
      </c>
      <c r="Z348" s="235" t="s">
        <v>28</v>
      </c>
    </row>
    <row r="349">
      <c r="A349" s="293" t="s">
        <v>1177</v>
      </c>
      <c r="B349" s="294">
        <v>6.067167612E9</v>
      </c>
      <c r="C349" s="299">
        <v>46193.0</v>
      </c>
      <c r="D349" s="296">
        <v>20.0</v>
      </c>
      <c r="E349" s="296">
        <v>6.0</v>
      </c>
      <c r="F349" s="296">
        <v>2026.0</v>
      </c>
      <c r="G349" s="299">
        <v>46194.0</v>
      </c>
      <c r="H349" s="296">
        <v>21.0</v>
      </c>
      <c r="I349" s="269">
        <v>6.0</v>
      </c>
      <c r="J349" s="296">
        <v>2026.0</v>
      </c>
      <c r="K349" s="235" t="s">
        <v>28</v>
      </c>
      <c r="L349" s="235" t="s">
        <v>518</v>
      </c>
      <c r="M349" s="235">
        <v>1.0</v>
      </c>
      <c r="N349" s="235">
        <v>1.0</v>
      </c>
      <c r="O349" s="235">
        <v>2.0</v>
      </c>
      <c r="P349" s="299">
        <v>46204.0</v>
      </c>
      <c r="Q349" s="213">
        <v>1.0</v>
      </c>
      <c r="R349" s="213">
        <v>7.0</v>
      </c>
      <c r="S349" s="296">
        <v>2026.0</v>
      </c>
      <c r="T349" s="235" t="s">
        <v>28</v>
      </c>
      <c r="U349" s="235">
        <v>37.59</v>
      </c>
      <c r="V349" s="299">
        <v>46204.0</v>
      </c>
      <c r="W349" s="296">
        <v>1.0</v>
      </c>
      <c r="X349" s="296">
        <v>7.0</v>
      </c>
      <c r="Y349" s="296">
        <v>2026.0</v>
      </c>
      <c r="Z349" s="235" t="s">
        <v>28</v>
      </c>
    </row>
    <row r="350">
      <c r="A350" s="293" t="s">
        <v>1179</v>
      </c>
      <c r="B350" s="294">
        <v>5.255134514E9</v>
      </c>
      <c r="C350" s="299">
        <v>46200.0</v>
      </c>
      <c r="D350" s="296">
        <v>27.0</v>
      </c>
      <c r="E350" s="296">
        <v>6.0</v>
      </c>
      <c r="F350" s="296">
        <v>2026.0</v>
      </c>
      <c r="G350" s="299">
        <v>46201.0</v>
      </c>
      <c r="H350" s="296">
        <v>28.0</v>
      </c>
      <c r="I350" s="269">
        <v>6.0</v>
      </c>
      <c r="J350" s="296">
        <v>2026.0</v>
      </c>
      <c r="K350" s="235" t="s">
        <v>28</v>
      </c>
      <c r="L350" s="235" t="s">
        <v>518</v>
      </c>
      <c r="M350" s="235">
        <v>1.0</v>
      </c>
      <c r="N350" s="235">
        <v>1.0</v>
      </c>
      <c r="O350" s="235">
        <v>2.0</v>
      </c>
      <c r="P350" s="299">
        <v>46204.0</v>
      </c>
      <c r="Q350" s="213">
        <v>1.0</v>
      </c>
      <c r="R350" s="213">
        <v>7.0</v>
      </c>
      <c r="S350" s="296">
        <v>2026.0</v>
      </c>
      <c r="T350" s="235" t="s">
        <v>28</v>
      </c>
      <c r="U350" s="235">
        <v>29.23</v>
      </c>
      <c r="V350" s="299">
        <v>46204.0</v>
      </c>
      <c r="W350" s="296">
        <v>1.0</v>
      </c>
      <c r="X350" s="296">
        <v>7.0</v>
      </c>
      <c r="Y350" s="296">
        <v>2026.0</v>
      </c>
      <c r="Z350" s="235" t="s">
        <v>28</v>
      </c>
    </row>
    <row r="351">
      <c r="A351" s="293" t="s">
        <v>1180</v>
      </c>
      <c r="B351" s="293">
        <v>6.72657306E9</v>
      </c>
      <c r="C351" s="299">
        <v>46187.0</v>
      </c>
      <c r="D351" s="296">
        <v>14.0</v>
      </c>
      <c r="E351" s="296">
        <v>6.0</v>
      </c>
      <c r="F351" s="296">
        <v>2026.0</v>
      </c>
      <c r="G351" s="299">
        <v>46188.0</v>
      </c>
      <c r="H351" s="269">
        <v>15.0</v>
      </c>
      <c r="I351" s="296">
        <v>6.0</v>
      </c>
      <c r="J351" s="269">
        <v>2026.0</v>
      </c>
      <c r="K351" s="235" t="s">
        <v>28</v>
      </c>
      <c r="L351" s="235" t="s">
        <v>518</v>
      </c>
      <c r="M351" s="235">
        <v>1.0</v>
      </c>
      <c r="N351" s="164">
        <v>1.0</v>
      </c>
      <c r="O351" s="235">
        <v>2.0</v>
      </c>
      <c r="P351" s="299">
        <v>46204.0</v>
      </c>
      <c r="Q351" s="213">
        <v>1.0</v>
      </c>
      <c r="R351" s="213">
        <v>7.0</v>
      </c>
      <c r="S351" s="296">
        <v>2026.0</v>
      </c>
      <c r="T351" s="235" t="s">
        <v>28</v>
      </c>
      <c r="U351" s="235">
        <v>37.59</v>
      </c>
      <c r="V351" s="299">
        <v>46204.0</v>
      </c>
      <c r="W351" s="296">
        <v>1.0</v>
      </c>
      <c r="X351" s="296">
        <v>7.0</v>
      </c>
      <c r="Y351" s="296">
        <v>2026.0</v>
      </c>
      <c r="Z351" s="235" t="s">
        <v>28</v>
      </c>
    </row>
    <row r="352">
      <c r="A352" s="293" t="s">
        <v>1182</v>
      </c>
      <c r="B352" s="293">
        <v>5.939881537E9</v>
      </c>
      <c r="C352" s="299">
        <v>46178.0</v>
      </c>
      <c r="D352" s="296">
        <v>5.0</v>
      </c>
      <c r="E352" s="296">
        <v>6.0</v>
      </c>
      <c r="F352" s="296">
        <v>2026.0</v>
      </c>
      <c r="G352" s="299">
        <v>46179.0</v>
      </c>
      <c r="H352" s="269">
        <v>6.0</v>
      </c>
      <c r="I352" s="296">
        <v>6.0</v>
      </c>
      <c r="J352" s="269">
        <v>2026.0</v>
      </c>
      <c r="K352" s="235" t="s">
        <v>28</v>
      </c>
      <c r="L352" s="235" t="s">
        <v>518</v>
      </c>
      <c r="M352" s="235">
        <v>1.0</v>
      </c>
      <c r="N352" s="164">
        <v>1.0</v>
      </c>
      <c r="O352" s="235">
        <v>2.0</v>
      </c>
      <c r="P352" s="299">
        <v>46204.0</v>
      </c>
      <c r="Q352" s="213">
        <v>1.0</v>
      </c>
      <c r="R352" s="213">
        <v>7.0</v>
      </c>
      <c r="S352" s="296">
        <v>2026.0</v>
      </c>
      <c r="T352" s="235" t="s">
        <v>28</v>
      </c>
      <c r="U352" s="235">
        <v>29.23</v>
      </c>
      <c r="V352" s="299">
        <v>46204.0</v>
      </c>
      <c r="W352" s="296">
        <v>1.0</v>
      </c>
      <c r="X352" s="296">
        <v>7.0</v>
      </c>
      <c r="Y352" s="296">
        <v>2026.0</v>
      </c>
      <c r="Z352" s="235" t="s">
        <v>28</v>
      </c>
    </row>
    <row r="353">
      <c r="A353" s="293" t="s">
        <v>1184</v>
      </c>
      <c r="B353" s="294">
        <v>5.266239674E9</v>
      </c>
      <c r="C353" s="299">
        <v>46192.0</v>
      </c>
      <c r="D353" s="296">
        <v>19.0</v>
      </c>
      <c r="E353" s="296">
        <v>6.0</v>
      </c>
      <c r="F353" s="296">
        <v>2026.0</v>
      </c>
      <c r="G353" s="299">
        <v>46194.0</v>
      </c>
      <c r="H353" s="296">
        <v>21.0</v>
      </c>
      <c r="I353" s="269">
        <v>6.0</v>
      </c>
      <c r="J353" s="296">
        <v>2026.0</v>
      </c>
      <c r="K353" s="235" t="s">
        <v>28</v>
      </c>
      <c r="L353" s="235" t="s">
        <v>518</v>
      </c>
      <c r="M353" s="235">
        <v>1.0</v>
      </c>
      <c r="N353" s="235">
        <v>2.0</v>
      </c>
      <c r="O353" s="235">
        <v>4.0</v>
      </c>
      <c r="P353" s="299">
        <v>46204.0</v>
      </c>
      <c r="Q353" s="213">
        <v>1.0</v>
      </c>
      <c r="R353" s="213">
        <v>7.0</v>
      </c>
      <c r="S353" s="296">
        <v>2026.0</v>
      </c>
      <c r="T353" s="235" t="s">
        <v>28</v>
      </c>
      <c r="U353" s="235">
        <v>58.46</v>
      </c>
      <c r="V353" s="299">
        <v>46204.0</v>
      </c>
      <c r="W353" s="296">
        <v>1.0</v>
      </c>
      <c r="X353" s="296">
        <v>7.0</v>
      </c>
      <c r="Y353" s="296">
        <v>2026.0</v>
      </c>
      <c r="Z353" s="235" t="s">
        <v>28</v>
      </c>
    </row>
    <row r="354">
      <c r="A354" s="293" t="s">
        <v>1187</v>
      </c>
      <c r="B354" s="294">
        <v>6.914980604E9</v>
      </c>
      <c r="C354" s="299">
        <v>46192.0</v>
      </c>
      <c r="D354" s="296">
        <v>19.0</v>
      </c>
      <c r="E354" s="296">
        <v>6.0</v>
      </c>
      <c r="F354" s="296">
        <v>2026.0</v>
      </c>
      <c r="G354" s="299">
        <v>46194.0</v>
      </c>
      <c r="H354" s="296">
        <v>21.0</v>
      </c>
      <c r="I354" s="269">
        <v>6.0</v>
      </c>
      <c r="J354" s="296">
        <v>2026.0</v>
      </c>
      <c r="K354" s="164" t="s">
        <v>28</v>
      </c>
      <c r="L354" s="235" t="s">
        <v>518</v>
      </c>
      <c r="M354" s="235">
        <v>1.0</v>
      </c>
      <c r="N354" s="235">
        <v>2.0</v>
      </c>
      <c r="O354" s="235">
        <v>4.0</v>
      </c>
      <c r="P354" s="299">
        <v>46204.0</v>
      </c>
      <c r="Q354" s="213">
        <v>1.0</v>
      </c>
      <c r="R354" s="213">
        <v>7.0</v>
      </c>
      <c r="S354" s="296">
        <v>2026.0</v>
      </c>
      <c r="T354" s="235" t="s">
        <v>28</v>
      </c>
      <c r="U354" s="235">
        <v>83.54</v>
      </c>
      <c r="V354" s="299">
        <v>46204.0</v>
      </c>
      <c r="W354" s="296">
        <v>1.0</v>
      </c>
      <c r="X354" s="296">
        <v>7.0</v>
      </c>
      <c r="Y354" s="296">
        <v>2026.0</v>
      </c>
      <c r="Z354" s="235" t="s">
        <v>28</v>
      </c>
    </row>
    <row r="355">
      <c r="A355" s="293" t="s">
        <v>1189</v>
      </c>
      <c r="B355" s="293">
        <v>5.343832278E9</v>
      </c>
      <c r="C355" s="299">
        <v>46189.0</v>
      </c>
      <c r="D355" s="296">
        <v>16.0</v>
      </c>
      <c r="E355" s="296">
        <v>6.0</v>
      </c>
      <c r="F355" s="296">
        <v>2026.0</v>
      </c>
      <c r="G355" s="299">
        <v>46190.0</v>
      </c>
      <c r="H355" s="269">
        <v>17.0</v>
      </c>
      <c r="I355" s="296">
        <v>6.0</v>
      </c>
      <c r="J355" s="269">
        <v>2026.0</v>
      </c>
      <c r="K355" s="235" t="s">
        <v>28</v>
      </c>
      <c r="L355" s="235" t="s">
        <v>518</v>
      </c>
      <c r="M355" s="235">
        <v>1.0</v>
      </c>
      <c r="N355" s="164">
        <v>1.0</v>
      </c>
      <c r="O355" s="235">
        <v>2.0</v>
      </c>
      <c r="P355" s="299">
        <v>46204.0</v>
      </c>
      <c r="Q355" s="213">
        <v>1.0</v>
      </c>
      <c r="R355" s="213">
        <v>7.0</v>
      </c>
      <c r="S355" s="296">
        <v>2026.0</v>
      </c>
      <c r="T355" s="235" t="s">
        <v>28</v>
      </c>
      <c r="U355" s="235">
        <v>37.59</v>
      </c>
      <c r="V355" s="299">
        <v>46204.0</v>
      </c>
      <c r="W355" s="296">
        <v>1.0</v>
      </c>
      <c r="X355" s="296">
        <v>7.0</v>
      </c>
      <c r="Y355" s="296">
        <v>2026.0</v>
      </c>
      <c r="Z355" s="235" t="s">
        <v>28</v>
      </c>
    </row>
    <row r="356">
      <c r="A356" s="293" t="s">
        <v>1190</v>
      </c>
      <c r="B356" s="293">
        <v>6.306176245E9</v>
      </c>
      <c r="C356" s="299">
        <v>46182.0</v>
      </c>
      <c r="D356" s="296">
        <v>9.0</v>
      </c>
      <c r="E356" s="296">
        <v>6.0</v>
      </c>
      <c r="F356" s="296">
        <v>2026.0</v>
      </c>
      <c r="G356" s="299">
        <v>46186.0</v>
      </c>
      <c r="H356" s="269">
        <v>13.0</v>
      </c>
      <c r="I356" s="296">
        <v>6.0</v>
      </c>
      <c r="J356" s="269">
        <v>2026.0</v>
      </c>
      <c r="K356" s="235" t="s">
        <v>28</v>
      </c>
      <c r="L356" s="235" t="s">
        <v>518</v>
      </c>
      <c r="M356" s="235">
        <v>1.0</v>
      </c>
      <c r="N356" s="164">
        <v>4.0</v>
      </c>
      <c r="O356" s="235">
        <v>8.0</v>
      </c>
      <c r="P356" s="299">
        <v>46204.0</v>
      </c>
      <c r="Q356" s="213">
        <v>1.0</v>
      </c>
      <c r="R356" s="213">
        <v>7.0</v>
      </c>
      <c r="S356" s="296">
        <v>2026.0</v>
      </c>
      <c r="T356" s="235" t="s">
        <v>28</v>
      </c>
      <c r="U356" s="235">
        <v>150.37</v>
      </c>
      <c r="V356" s="299">
        <v>46204.0</v>
      </c>
      <c r="W356" s="296">
        <v>1.0</v>
      </c>
      <c r="X356" s="296">
        <v>7.0</v>
      </c>
      <c r="Y356" s="296">
        <v>2026.0</v>
      </c>
      <c r="Z356" s="235" t="s">
        <v>28</v>
      </c>
    </row>
    <row r="357">
      <c r="A357" s="293" t="s">
        <v>1192</v>
      </c>
      <c r="B357" s="294">
        <v>6.86109326E9</v>
      </c>
      <c r="C357" s="299">
        <v>46191.0</v>
      </c>
      <c r="D357" s="296">
        <v>18.0</v>
      </c>
      <c r="E357" s="296">
        <v>6.0</v>
      </c>
      <c r="F357" s="296">
        <v>2026.0</v>
      </c>
      <c r="G357" s="299">
        <v>46192.0</v>
      </c>
      <c r="H357" s="296">
        <v>19.0</v>
      </c>
      <c r="I357" s="269">
        <v>6.0</v>
      </c>
      <c r="J357" s="296">
        <v>2026.0</v>
      </c>
      <c r="K357" s="235" t="s">
        <v>28</v>
      </c>
      <c r="L357" s="235" t="s">
        <v>518</v>
      </c>
      <c r="M357" s="235">
        <v>1.0</v>
      </c>
      <c r="N357" s="235">
        <v>1.0</v>
      </c>
      <c r="O357" s="235">
        <v>2.0</v>
      </c>
      <c r="P357" s="299">
        <v>46204.0</v>
      </c>
      <c r="Q357" s="213">
        <v>1.0</v>
      </c>
      <c r="R357" s="213">
        <v>7.0</v>
      </c>
      <c r="S357" s="296">
        <v>2026.0</v>
      </c>
      <c r="T357" s="235" t="s">
        <v>28</v>
      </c>
      <c r="U357" s="235">
        <v>29.23</v>
      </c>
      <c r="V357" s="299">
        <v>46204.0</v>
      </c>
      <c r="W357" s="296">
        <v>1.0</v>
      </c>
      <c r="X357" s="296">
        <v>7.0</v>
      </c>
      <c r="Y357" s="296">
        <v>2026.0</v>
      </c>
      <c r="Z357" s="235" t="s">
        <v>28</v>
      </c>
    </row>
    <row r="358">
      <c r="A358" s="293" t="s">
        <v>1194</v>
      </c>
      <c r="B358" s="293">
        <v>5.847075393E9</v>
      </c>
      <c r="C358" s="299">
        <v>46188.0</v>
      </c>
      <c r="D358" s="296">
        <v>15.0</v>
      </c>
      <c r="E358" s="296">
        <v>6.0</v>
      </c>
      <c r="F358" s="296">
        <v>2026.0</v>
      </c>
      <c r="G358" s="299">
        <v>46190.0</v>
      </c>
      <c r="H358" s="269">
        <v>17.0</v>
      </c>
      <c r="I358" s="296">
        <v>6.0</v>
      </c>
      <c r="J358" s="269">
        <v>2026.0</v>
      </c>
      <c r="K358" s="235" t="s">
        <v>28</v>
      </c>
      <c r="L358" s="235" t="s">
        <v>518</v>
      </c>
      <c r="M358" s="235">
        <v>1.0</v>
      </c>
      <c r="N358" s="164">
        <v>2.0</v>
      </c>
      <c r="O358" s="235">
        <v>4.0</v>
      </c>
      <c r="P358" s="299">
        <v>46204.0</v>
      </c>
      <c r="Q358" s="213">
        <v>1.0</v>
      </c>
      <c r="R358" s="213">
        <v>7.0</v>
      </c>
      <c r="S358" s="296">
        <v>2026.0</v>
      </c>
      <c r="T358" s="235" t="s">
        <v>28</v>
      </c>
      <c r="U358" s="235">
        <v>66.82</v>
      </c>
      <c r="V358" s="299">
        <v>46204.0</v>
      </c>
      <c r="W358" s="296">
        <v>1.0</v>
      </c>
      <c r="X358" s="296">
        <v>7.0</v>
      </c>
      <c r="Y358" s="296">
        <v>2026.0</v>
      </c>
      <c r="Z358" s="235" t="s">
        <v>28</v>
      </c>
    </row>
    <row r="359">
      <c r="A359" s="293" t="s">
        <v>1196</v>
      </c>
      <c r="B359" s="293">
        <v>6.17447792E9</v>
      </c>
      <c r="C359" s="299">
        <v>46183.0</v>
      </c>
      <c r="D359" s="296">
        <v>10.0</v>
      </c>
      <c r="E359" s="296">
        <v>6.0</v>
      </c>
      <c r="F359" s="296">
        <v>2026.0</v>
      </c>
      <c r="G359" s="299">
        <v>46184.0</v>
      </c>
      <c r="H359" s="269">
        <v>11.0</v>
      </c>
      <c r="I359" s="296">
        <v>6.0</v>
      </c>
      <c r="J359" s="269">
        <v>2026.0</v>
      </c>
      <c r="K359" s="235" t="s">
        <v>28</v>
      </c>
      <c r="L359" s="235" t="s">
        <v>518</v>
      </c>
      <c r="M359" s="235">
        <v>1.0</v>
      </c>
      <c r="N359" s="164">
        <v>1.0</v>
      </c>
      <c r="O359" s="235">
        <v>2.0</v>
      </c>
      <c r="P359" s="299">
        <v>46204.0</v>
      </c>
      <c r="Q359" s="213">
        <v>1.0</v>
      </c>
      <c r="R359" s="213">
        <v>7.0</v>
      </c>
      <c r="S359" s="296">
        <v>2026.0</v>
      </c>
      <c r="T359" s="235" t="s">
        <v>28</v>
      </c>
      <c r="U359" s="235">
        <v>37.59</v>
      </c>
      <c r="V359" s="299">
        <v>46204.0</v>
      </c>
      <c r="W359" s="296">
        <v>1.0</v>
      </c>
      <c r="X359" s="296">
        <v>7.0</v>
      </c>
      <c r="Y359" s="296">
        <v>2026.0</v>
      </c>
      <c r="Z359" s="235" t="s">
        <v>28</v>
      </c>
    </row>
    <row r="360">
      <c r="A360" s="293" t="s">
        <v>1199</v>
      </c>
      <c r="B360" s="294">
        <v>5.628755792E9</v>
      </c>
      <c r="C360" s="299">
        <v>46201.0</v>
      </c>
      <c r="D360" s="296">
        <v>28.0</v>
      </c>
      <c r="E360" s="296">
        <v>6.0</v>
      </c>
      <c r="F360" s="296">
        <v>2026.0</v>
      </c>
      <c r="G360" s="299">
        <v>46203.0</v>
      </c>
      <c r="H360" s="296">
        <v>30.0</v>
      </c>
      <c r="I360" s="269">
        <v>6.0</v>
      </c>
      <c r="J360" s="296">
        <v>2026.0</v>
      </c>
      <c r="K360" s="164" t="s">
        <v>28</v>
      </c>
      <c r="L360" s="235" t="s">
        <v>518</v>
      </c>
      <c r="M360" s="235">
        <v>1.0</v>
      </c>
      <c r="N360" s="235">
        <v>2.0</v>
      </c>
      <c r="O360" s="235">
        <v>4.0</v>
      </c>
      <c r="P360" s="299">
        <v>46204.0</v>
      </c>
      <c r="Q360" s="213">
        <v>1.0</v>
      </c>
      <c r="R360" s="213">
        <v>7.0</v>
      </c>
      <c r="S360" s="296">
        <v>2026.0</v>
      </c>
      <c r="T360" s="235" t="s">
        <v>28</v>
      </c>
      <c r="U360" s="235">
        <v>75.18</v>
      </c>
      <c r="V360" s="299">
        <v>46204.0</v>
      </c>
      <c r="W360" s="296">
        <v>1.0</v>
      </c>
      <c r="X360" s="296">
        <v>7.0</v>
      </c>
      <c r="Y360" s="296">
        <v>2026.0</v>
      </c>
      <c r="Z360" s="235" t="s">
        <v>28</v>
      </c>
    </row>
    <row r="361">
      <c r="A361" s="293" t="s">
        <v>1200</v>
      </c>
      <c r="B361" s="294">
        <v>5.642823453E9</v>
      </c>
      <c r="C361" s="299">
        <v>46194.0</v>
      </c>
      <c r="D361" s="296">
        <v>21.0</v>
      </c>
      <c r="E361" s="296">
        <v>6.0</v>
      </c>
      <c r="F361" s="296">
        <v>2026.0</v>
      </c>
      <c r="G361" s="299">
        <v>46195.0</v>
      </c>
      <c r="H361" s="296">
        <v>22.0</v>
      </c>
      <c r="I361" s="269">
        <v>6.0</v>
      </c>
      <c r="J361" s="296">
        <v>2026.0</v>
      </c>
      <c r="K361" s="235" t="s">
        <v>28</v>
      </c>
      <c r="L361" s="235" t="s">
        <v>518</v>
      </c>
      <c r="M361" s="235">
        <v>1.0</v>
      </c>
      <c r="N361" s="235">
        <v>1.0</v>
      </c>
      <c r="O361" s="235">
        <v>2.0</v>
      </c>
      <c r="P361" s="299">
        <v>46204.0</v>
      </c>
      <c r="Q361" s="213">
        <v>1.0</v>
      </c>
      <c r="R361" s="213">
        <v>7.0</v>
      </c>
      <c r="S361" s="296">
        <v>2026.0</v>
      </c>
      <c r="T361" s="235" t="s">
        <v>28</v>
      </c>
      <c r="U361" s="235">
        <v>29.23</v>
      </c>
      <c r="V361" s="299">
        <v>46204.0</v>
      </c>
      <c r="W361" s="296">
        <v>1.0</v>
      </c>
      <c r="X361" s="296">
        <v>7.0</v>
      </c>
      <c r="Y361" s="296">
        <v>2026.0</v>
      </c>
      <c r="Z361" s="235" t="s">
        <v>28</v>
      </c>
    </row>
    <row r="362">
      <c r="A362" s="293" t="s">
        <v>1202</v>
      </c>
      <c r="B362" s="294">
        <v>5.320913041E9</v>
      </c>
      <c r="C362" s="299">
        <v>46200.0</v>
      </c>
      <c r="D362" s="296">
        <v>27.0</v>
      </c>
      <c r="E362" s="296">
        <v>6.0</v>
      </c>
      <c r="F362" s="296">
        <v>2026.0</v>
      </c>
      <c r="G362" s="299">
        <v>46202.0</v>
      </c>
      <c r="H362" s="296">
        <v>29.0</v>
      </c>
      <c r="I362" s="269">
        <v>6.0</v>
      </c>
      <c r="J362" s="296">
        <v>2026.0</v>
      </c>
      <c r="K362" s="235" t="s">
        <v>28</v>
      </c>
      <c r="L362" s="235" t="s">
        <v>518</v>
      </c>
      <c r="M362" s="235">
        <v>1.0</v>
      </c>
      <c r="N362" s="235">
        <v>2.0</v>
      </c>
      <c r="O362" s="235">
        <v>4.0</v>
      </c>
      <c r="P362" s="299">
        <v>46204.0</v>
      </c>
      <c r="Q362" s="213">
        <v>1.0</v>
      </c>
      <c r="R362" s="213">
        <v>7.0</v>
      </c>
      <c r="S362" s="296">
        <v>2026.0</v>
      </c>
      <c r="T362" s="235" t="s">
        <v>28</v>
      </c>
      <c r="U362" s="235">
        <v>75.18</v>
      </c>
      <c r="V362" s="299">
        <v>46204.0</v>
      </c>
      <c r="W362" s="296">
        <v>1.0</v>
      </c>
      <c r="X362" s="296">
        <v>7.0</v>
      </c>
      <c r="Y362" s="296">
        <v>2026.0</v>
      </c>
      <c r="Z362" s="235" t="s">
        <v>28</v>
      </c>
    </row>
    <row r="363">
      <c r="A363" s="293" t="s">
        <v>1203</v>
      </c>
      <c r="B363" s="294">
        <v>5.344703326E9</v>
      </c>
      <c r="C363" s="299">
        <v>46175.0</v>
      </c>
      <c r="D363" s="296">
        <v>2.0</v>
      </c>
      <c r="E363" s="296">
        <v>6.0</v>
      </c>
      <c r="F363" s="296">
        <v>2026.0</v>
      </c>
      <c r="G363" s="299">
        <v>46178.0</v>
      </c>
      <c r="H363" s="296">
        <v>5.0</v>
      </c>
      <c r="I363" s="269">
        <v>6.0</v>
      </c>
      <c r="J363" s="296">
        <v>2026.0</v>
      </c>
      <c r="K363" s="235" t="s">
        <v>28</v>
      </c>
      <c r="L363" s="235" t="s">
        <v>518</v>
      </c>
      <c r="M363" s="235">
        <v>1.0</v>
      </c>
      <c r="N363" s="235">
        <v>3.0</v>
      </c>
      <c r="O363" s="235">
        <v>6.0</v>
      </c>
      <c r="P363" s="299">
        <v>46204.0</v>
      </c>
      <c r="Q363" s="213">
        <v>1.0</v>
      </c>
      <c r="R363" s="213">
        <v>7.0</v>
      </c>
      <c r="S363" s="296">
        <v>2026.0</v>
      </c>
      <c r="T363" s="235" t="s">
        <v>28</v>
      </c>
      <c r="U363" s="235">
        <v>87.7</v>
      </c>
      <c r="V363" s="299">
        <v>46204.0</v>
      </c>
      <c r="W363" s="296">
        <v>1.0</v>
      </c>
      <c r="X363" s="296">
        <v>7.0</v>
      </c>
      <c r="Y363" s="296">
        <v>2026.0</v>
      </c>
      <c r="Z363" s="235" t="s">
        <v>28</v>
      </c>
    </row>
    <row r="364">
      <c r="A364" s="293" t="s">
        <v>1205</v>
      </c>
      <c r="B364" s="293">
        <v>6.452751416E9</v>
      </c>
      <c r="C364" s="299">
        <v>46174.0</v>
      </c>
      <c r="D364" s="296">
        <v>1.0</v>
      </c>
      <c r="E364" s="296">
        <v>6.0</v>
      </c>
      <c r="F364" s="296">
        <v>2026.0</v>
      </c>
      <c r="G364" s="299">
        <v>46179.0</v>
      </c>
      <c r="H364" s="269">
        <v>6.0</v>
      </c>
      <c r="I364" s="296">
        <v>6.0</v>
      </c>
      <c r="J364" s="269">
        <v>2026.0</v>
      </c>
      <c r="K364" s="235" t="s">
        <v>28</v>
      </c>
      <c r="L364" s="235" t="s">
        <v>518</v>
      </c>
      <c r="M364" s="235">
        <v>1.0</v>
      </c>
      <c r="N364" s="164">
        <v>5.0</v>
      </c>
      <c r="O364" s="235">
        <v>10.0</v>
      </c>
      <c r="P364" s="299">
        <v>46204.0</v>
      </c>
      <c r="Q364" s="213">
        <v>1.0</v>
      </c>
      <c r="R364" s="213">
        <v>7.0</v>
      </c>
      <c r="S364" s="296">
        <v>2026.0</v>
      </c>
      <c r="T364" s="235" t="s">
        <v>28</v>
      </c>
      <c r="U364" s="235">
        <v>187.96</v>
      </c>
      <c r="V364" s="299">
        <v>46204.0</v>
      </c>
      <c r="W364" s="296">
        <v>1.0</v>
      </c>
      <c r="X364" s="296">
        <v>7.0</v>
      </c>
      <c r="Y364" s="296">
        <v>2026.0</v>
      </c>
      <c r="Z364" s="235" t="s">
        <v>28</v>
      </c>
    </row>
    <row r="365">
      <c r="A365" s="293" t="s">
        <v>1207</v>
      </c>
      <c r="B365" s="293">
        <v>5.866259518E9</v>
      </c>
      <c r="C365" s="299">
        <v>46189.0</v>
      </c>
      <c r="D365" s="296">
        <v>16.0</v>
      </c>
      <c r="E365" s="296">
        <v>6.0</v>
      </c>
      <c r="F365" s="296">
        <v>2026.0</v>
      </c>
      <c r="G365" s="299">
        <v>46190.0</v>
      </c>
      <c r="H365" s="269">
        <v>17.0</v>
      </c>
      <c r="I365" s="296">
        <v>6.0</v>
      </c>
      <c r="J365" s="269">
        <v>2026.0</v>
      </c>
      <c r="K365" s="235" t="s">
        <v>28</v>
      </c>
      <c r="L365" s="235" t="s">
        <v>518</v>
      </c>
      <c r="M365" s="235">
        <v>1.0</v>
      </c>
      <c r="N365" s="164">
        <v>1.0</v>
      </c>
      <c r="O365" s="235">
        <v>2.0</v>
      </c>
      <c r="P365" s="299">
        <v>46204.0</v>
      </c>
      <c r="Q365" s="213">
        <v>1.0</v>
      </c>
      <c r="R365" s="213">
        <v>7.0</v>
      </c>
      <c r="S365" s="296">
        <v>2026.0</v>
      </c>
      <c r="T365" s="235" t="s">
        <v>28</v>
      </c>
      <c r="U365" s="235">
        <v>37.59</v>
      </c>
      <c r="V365" s="299">
        <v>46204.0</v>
      </c>
      <c r="W365" s="296">
        <v>1.0</v>
      </c>
      <c r="X365" s="296">
        <v>7.0</v>
      </c>
      <c r="Y365" s="296">
        <v>2026.0</v>
      </c>
      <c r="Z365" s="235" t="s">
        <v>28</v>
      </c>
    </row>
    <row r="366">
      <c r="A366" s="293" t="s">
        <v>1209</v>
      </c>
      <c r="B366" s="293">
        <v>6.523634169E9</v>
      </c>
      <c r="C366" s="299">
        <v>46181.0</v>
      </c>
      <c r="D366" s="296">
        <v>8.0</v>
      </c>
      <c r="E366" s="296">
        <v>6.0</v>
      </c>
      <c r="F366" s="296">
        <v>2026.0</v>
      </c>
      <c r="G366" s="299">
        <v>46182.0</v>
      </c>
      <c r="H366" s="269">
        <v>9.0</v>
      </c>
      <c r="I366" s="296">
        <v>6.0</v>
      </c>
      <c r="J366" s="269">
        <v>2026.0</v>
      </c>
      <c r="K366" s="235" t="s">
        <v>28</v>
      </c>
      <c r="L366" s="235" t="s">
        <v>518</v>
      </c>
      <c r="M366" s="235">
        <v>1.0</v>
      </c>
      <c r="N366" s="164">
        <v>1.0</v>
      </c>
      <c r="O366" s="235">
        <v>2.0</v>
      </c>
      <c r="P366" s="299">
        <v>46204.0</v>
      </c>
      <c r="Q366" s="213">
        <v>1.0</v>
      </c>
      <c r="R366" s="213">
        <v>7.0</v>
      </c>
      <c r="S366" s="296">
        <v>2026.0</v>
      </c>
      <c r="T366" s="235" t="s">
        <v>28</v>
      </c>
      <c r="U366" s="235">
        <v>37.59</v>
      </c>
      <c r="V366" s="299">
        <v>46204.0</v>
      </c>
      <c r="W366" s="296">
        <v>1.0</v>
      </c>
      <c r="X366" s="296">
        <v>7.0</v>
      </c>
      <c r="Y366" s="296">
        <v>2026.0</v>
      </c>
      <c r="Z366" s="235" t="s">
        <v>28</v>
      </c>
    </row>
    <row r="367">
      <c r="A367" s="293" t="s">
        <v>1211</v>
      </c>
      <c r="B367" s="294">
        <v>6.749161314E9</v>
      </c>
      <c r="C367" s="299">
        <v>46196.0</v>
      </c>
      <c r="D367" s="296">
        <v>23.0</v>
      </c>
      <c r="E367" s="296">
        <v>6.0</v>
      </c>
      <c r="F367" s="296">
        <v>2026.0</v>
      </c>
      <c r="G367" s="299">
        <v>46198.0</v>
      </c>
      <c r="H367" s="296">
        <v>25.0</v>
      </c>
      <c r="I367" s="269">
        <v>6.0</v>
      </c>
      <c r="J367" s="296">
        <v>2026.0</v>
      </c>
      <c r="K367" s="235" t="s">
        <v>28</v>
      </c>
      <c r="L367" s="235" t="s">
        <v>518</v>
      </c>
      <c r="M367" s="235">
        <v>1.0</v>
      </c>
      <c r="N367" s="235">
        <v>2.0</v>
      </c>
      <c r="O367" s="235">
        <v>4.0</v>
      </c>
      <c r="P367" s="299">
        <v>46204.0</v>
      </c>
      <c r="Q367" s="213">
        <v>1.0</v>
      </c>
      <c r="R367" s="213">
        <v>7.0</v>
      </c>
      <c r="S367" s="296">
        <v>2026.0</v>
      </c>
      <c r="T367" s="235" t="s">
        <v>28</v>
      </c>
      <c r="U367" s="235">
        <v>58.46</v>
      </c>
      <c r="V367" s="299">
        <v>46204.0</v>
      </c>
      <c r="W367" s="296">
        <v>1.0</v>
      </c>
      <c r="X367" s="296">
        <v>7.0</v>
      </c>
      <c r="Y367" s="296">
        <v>2026.0</v>
      </c>
      <c r="Z367" s="235" t="s">
        <v>28</v>
      </c>
    </row>
    <row r="368">
      <c r="A368" s="293" t="s">
        <v>1213</v>
      </c>
      <c r="B368" s="293">
        <v>5.359691801E9</v>
      </c>
      <c r="C368" s="299">
        <v>46179.0</v>
      </c>
      <c r="D368" s="296">
        <v>6.0</v>
      </c>
      <c r="E368" s="296">
        <v>6.0</v>
      </c>
      <c r="F368" s="296">
        <v>2026.0</v>
      </c>
      <c r="G368" s="299">
        <v>46181.0</v>
      </c>
      <c r="H368" s="269">
        <v>8.0</v>
      </c>
      <c r="I368" s="296">
        <v>6.0</v>
      </c>
      <c r="J368" s="269">
        <v>2026.0</v>
      </c>
      <c r="K368" s="235" t="s">
        <v>28</v>
      </c>
      <c r="L368" s="235" t="s">
        <v>518</v>
      </c>
      <c r="M368" s="235">
        <v>1.0</v>
      </c>
      <c r="N368" s="164">
        <v>2.0</v>
      </c>
      <c r="O368" s="235">
        <v>4.0</v>
      </c>
      <c r="P368" s="299">
        <v>46204.0</v>
      </c>
      <c r="Q368" s="213">
        <v>1.0</v>
      </c>
      <c r="R368" s="213">
        <v>7.0</v>
      </c>
      <c r="S368" s="296">
        <v>2026.0</v>
      </c>
      <c r="T368" s="235" t="s">
        <v>28</v>
      </c>
      <c r="U368" s="235">
        <v>75.18</v>
      </c>
      <c r="V368" s="299">
        <v>46204.0</v>
      </c>
      <c r="W368" s="296">
        <v>1.0</v>
      </c>
      <c r="X368" s="296">
        <v>7.0</v>
      </c>
      <c r="Y368" s="296">
        <v>2026.0</v>
      </c>
      <c r="Z368" s="235" t="s">
        <v>28</v>
      </c>
    </row>
    <row r="369">
      <c r="A369" s="293" t="s">
        <v>1215</v>
      </c>
      <c r="B369" s="294">
        <v>6.795913826E9</v>
      </c>
      <c r="C369" s="299">
        <v>46189.0</v>
      </c>
      <c r="D369" s="296">
        <v>16.0</v>
      </c>
      <c r="E369" s="296">
        <v>6.0</v>
      </c>
      <c r="F369" s="296">
        <v>2026.0</v>
      </c>
      <c r="G369" s="299">
        <v>46192.0</v>
      </c>
      <c r="H369" s="296">
        <v>19.0</v>
      </c>
      <c r="I369" s="269">
        <v>6.0</v>
      </c>
      <c r="J369" s="296">
        <v>2026.0</v>
      </c>
      <c r="K369" s="235" t="s">
        <v>28</v>
      </c>
      <c r="L369" s="235" t="s">
        <v>1053</v>
      </c>
      <c r="M369" s="235">
        <v>1.0</v>
      </c>
      <c r="N369" s="235">
        <v>3.0</v>
      </c>
      <c r="O369" s="235">
        <v>0.0</v>
      </c>
      <c r="P369" s="299">
        <v>46204.0</v>
      </c>
      <c r="Q369" s="213">
        <v>1.0</v>
      </c>
      <c r="R369" s="213">
        <v>7.0</v>
      </c>
      <c r="S369" s="296">
        <v>2026.0</v>
      </c>
      <c r="T369" s="235" t="s">
        <v>28</v>
      </c>
      <c r="U369" s="235">
        <v>37.62</v>
      </c>
      <c r="V369" s="299">
        <v>46204.0</v>
      </c>
      <c r="W369" s="296">
        <v>1.0</v>
      </c>
      <c r="X369" s="296">
        <v>7.0</v>
      </c>
      <c r="Y369" s="296">
        <v>2026.0</v>
      </c>
      <c r="Z369" s="235" t="s">
        <v>28</v>
      </c>
    </row>
    <row r="370">
      <c r="A370" s="293" t="s">
        <v>1216</v>
      </c>
      <c r="B370" s="293">
        <v>5.361507687E9</v>
      </c>
      <c r="C370" s="299">
        <v>46180.0</v>
      </c>
      <c r="D370" s="296">
        <v>7.0</v>
      </c>
      <c r="E370" s="296">
        <v>6.0</v>
      </c>
      <c r="F370" s="296">
        <v>2026.0</v>
      </c>
      <c r="G370" s="299">
        <v>46184.0</v>
      </c>
      <c r="H370" s="269">
        <v>11.0</v>
      </c>
      <c r="I370" s="296">
        <v>6.0</v>
      </c>
      <c r="J370" s="269">
        <v>2026.0</v>
      </c>
      <c r="K370" s="235" t="s">
        <v>28</v>
      </c>
      <c r="L370" s="235" t="s">
        <v>518</v>
      </c>
      <c r="M370" s="235">
        <v>1.0</v>
      </c>
      <c r="N370" s="164">
        <v>4.0</v>
      </c>
      <c r="O370" s="235">
        <v>8.0</v>
      </c>
      <c r="P370" s="299">
        <v>46204.0</v>
      </c>
      <c r="Q370" s="213">
        <v>1.0</v>
      </c>
      <c r="R370" s="213">
        <v>7.0</v>
      </c>
      <c r="S370" s="296">
        <v>2026.0</v>
      </c>
      <c r="T370" s="235" t="s">
        <v>28</v>
      </c>
      <c r="U370" s="235">
        <v>167.09</v>
      </c>
      <c r="V370" s="299">
        <v>46204.0</v>
      </c>
      <c r="W370" s="296">
        <v>1.0</v>
      </c>
      <c r="X370" s="296">
        <v>7.0</v>
      </c>
      <c r="Y370" s="296">
        <v>2026.0</v>
      </c>
      <c r="Z370" s="235" t="s">
        <v>28</v>
      </c>
    </row>
    <row r="371">
      <c r="A371" s="293" t="s">
        <v>1218</v>
      </c>
      <c r="B371" s="293">
        <v>5.711860982E9</v>
      </c>
      <c r="C371" s="299">
        <v>46175.0</v>
      </c>
      <c r="D371" s="296">
        <v>2.0</v>
      </c>
      <c r="E371" s="296">
        <v>6.0</v>
      </c>
      <c r="F371" s="296">
        <v>2026.0</v>
      </c>
      <c r="G371" s="299">
        <v>46178.0</v>
      </c>
      <c r="H371" s="269">
        <v>5.0</v>
      </c>
      <c r="I371" s="296">
        <v>6.0</v>
      </c>
      <c r="J371" s="269">
        <v>2026.0</v>
      </c>
      <c r="K371" s="235" t="s">
        <v>28</v>
      </c>
      <c r="L371" s="235" t="s">
        <v>518</v>
      </c>
      <c r="M371" s="235">
        <v>1.0</v>
      </c>
      <c r="N371" s="164">
        <v>3.0</v>
      </c>
      <c r="O371" s="235">
        <v>6.0</v>
      </c>
      <c r="P371" s="299">
        <v>46204.0</v>
      </c>
      <c r="Q371" s="213">
        <v>1.0</v>
      </c>
      <c r="R371" s="213">
        <v>7.0</v>
      </c>
      <c r="S371" s="296">
        <v>2026.0</v>
      </c>
      <c r="T371" s="235" t="s">
        <v>28</v>
      </c>
      <c r="U371" s="235">
        <v>87.7</v>
      </c>
      <c r="V371" s="299">
        <v>46204.0</v>
      </c>
      <c r="W371" s="296">
        <v>1.0</v>
      </c>
      <c r="X371" s="296">
        <v>7.0</v>
      </c>
      <c r="Y371" s="296">
        <v>2026.0</v>
      </c>
      <c r="Z371" s="235" t="s">
        <v>28</v>
      </c>
    </row>
    <row r="372">
      <c r="A372" s="293" t="s">
        <v>1220</v>
      </c>
      <c r="B372" s="294">
        <v>5.368695626E9</v>
      </c>
      <c r="C372" s="299">
        <v>46194.0</v>
      </c>
      <c r="D372" s="296">
        <v>21.0</v>
      </c>
      <c r="E372" s="296">
        <v>6.0</v>
      </c>
      <c r="F372" s="296">
        <v>2026.0</v>
      </c>
      <c r="G372" s="299">
        <v>46195.0</v>
      </c>
      <c r="H372" s="296">
        <v>22.0</v>
      </c>
      <c r="I372" s="269">
        <v>6.0</v>
      </c>
      <c r="J372" s="296">
        <v>2026.0</v>
      </c>
      <c r="K372" s="235" t="s">
        <v>28</v>
      </c>
      <c r="L372" s="235" t="s">
        <v>518</v>
      </c>
      <c r="M372" s="235">
        <v>1.0</v>
      </c>
      <c r="N372" s="235">
        <v>1.0</v>
      </c>
      <c r="O372" s="235">
        <v>2.0</v>
      </c>
      <c r="P372" s="299">
        <v>46204.0</v>
      </c>
      <c r="Q372" s="213">
        <v>1.0</v>
      </c>
      <c r="R372" s="213">
        <v>7.0</v>
      </c>
      <c r="S372" s="296">
        <v>2026.0</v>
      </c>
      <c r="T372" s="235" t="s">
        <v>28</v>
      </c>
      <c r="U372" s="235">
        <v>29.23</v>
      </c>
      <c r="V372" s="299">
        <v>46204.0</v>
      </c>
      <c r="W372" s="296">
        <v>1.0</v>
      </c>
      <c r="X372" s="296">
        <v>7.0</v>
      </c>
      <c r="Y372" s="296">
        <v>2026.0</v>
      </c>
      <c r="Z372" s="235" t="s">
        <v>28</v>
      </c>
    </row>
    <row r="373">
      <c r="A373" s="293" t="s">
        <v>1222</v>
      </c>
      <c r="B373" s="293">
        <v>6.122977976E9</v>
      </c>
      <c r="C373" s="299">
        <v>46184.0</v>
      </c>
      <c r="D373" s="296">
        <v>11.0</v>
      </c>
      <c r="E373" s="296">
        <v>6.0</v>
      </c>
      <c r="F373" s="296">
        <v>2026.0</v>
      </c>
      <c r="G373" s="299">
        <v>46185.0</v>
      </c>
      <c r="H373" s="269">
        <v>12.0</v>
      </c>
      <c r="I373" s="296">
        <v>6.0</v>
      </c>
      <c r="J373" s="269">
        <v>2026.0</v>
      </c>
      <c r="K373" s="235" t="s">
        <v>28</v>
      </c>
      <c r="L373" s="235" t="s">
        <v>518</v>
      </c>
      <c r="M373" s="235">
        <v>1.0</v>
      </c>
      <c r="N373" s="164">
        <v>1.0</v>
      </c>
      <c r="O373" s="235">
        <v>2.0</v>
      </c>
      <c r="P373" s="299">
        <v>46204.0</v>
      </c>
      <c r="Q373" s="213">
        <v>1.0</v>
      </c>
      <c r="R373" s="213">
        <v>7.0</v>
      </c>
      <c r="S373" s="296">
        <v>2026.0</v>
      </c>
      <c r="T373" s="235" t="s">
        <v>28</v>
      </c>
      <c r="U373" s="235">
        <v>37.59</v>
      </c>
      <c r="V373" s="299">
        <v>46204.0</v>
      </c>
      <c r="W373" s="296">
        <v>1.0</v>
      </c>
      <c r="X373" s="296">
        <v>7.0</v>
      </c>
      <c r="Y373" s="296">
        <v>2026.0</v>
      </c>
      <c r="Z373" s="235" t="s">
        <v>28</v>
      </c>
    </row>
    <row r="374">
      <c r="A374" s="293" t="s">
        <v>1223</v>
      </c>
      <c r="B374" s="293">
        <v>5.295895167E9</v>
      </c>
      <c r="C374" s="299">
        <v>46181.0</v>
      </c>
      <c r="D374" s="296">
        <v>8.0</v>
      </c>
      <c r="E374" s="296">
        <v>6.0</v>
      </c>
      <c r="F374" s="296">
        <v>2026.0</v>
      </c>
      <c r="G374" s="299">
        <v>46182.0</v>
      </c>
      <c r="H374" s="269">
        <v>9.0</v>
      </c>
      <c r="I374" s="296">
        <v>6.0</v>
      </c>
      <c r="J374" s="269">
        <v>2026.0</v>
      </c>
      <c r="K374" s="235" t="s">
        <v>28</v>
      </c>
      <c r="L374" s="235" t="s">
        <v>518</v>
      </c>
      <c r="M374" s="235">
        <v>1.0</v>
      </c>
      <c r="N374" s="164">
        <v>1.0</v>
      </c>
      <c r="O374" s="235">
        <v>2.0</v>
      </c>
      <c r="P374" s="299">
        <v>46204.0</v>
      </c>
      <c r="Q374" s="213">
        <v>1.0</v>
      </c>
      <c r="R374" s="213">
        <v>7.0</v>
      </c>
      <c r="S374" s="296">
        <v>2026.0</v>
      </c>
      <c r="T374" s="235" t="s">
        <v>28</v>
      </c>
      <c r="U374" s="235">
        <v>35.08</v>
      </c>
      <c r="V374" s="299">
        <v>46204.0</v>
      </c>
      <c r="W374" s="296">
        <v>1.0</v>
      </c>
      <c r="X374" s="296">
        <v>7.0</v>
      </c>
      <c r="Y374" s="296">
        <v>2026.0</v>
      </c>
      <c r="Z374" s="235" t="s">
        <v>28</v>
      </c>
    </row>
    <row r="375">
      <c r="A375" s="293" t="s">
        <v>1225</v>
      </c>
      <c r="B375" s="293">
        <v>5.496088262E9</v>
      </c>
      <c r="C375" s="299">
        <v>46184.0</v>
      </c>
      <c r="D375" s="296">
        <v>11.0</v>
      </c>
      <c r="E375" s="296">
        <v>6.0</v>
      </c>
      <c r="F375" s="296">
        <v>2026.0</v>
      </c>
      <c r="G375" s="299">
        <v>46189.0</v>
      </c>
      <c r="H375" s="269">
        <v>16.0</v>
      </c>
      <c r="I375" s="296">
        <v>6.0</v>
      </c>
      <c r="J375" s="269">
        <v>2026.0</v>
      </c>
      <c r="K375" s="235" t="s">
        <v>28</v>
      </c>
      <c r="L375" s="235" t="s">
        <v>518</v>
      </c>
      <c r="M375" s="235">
        <v>1.0</v>
      </c>
      <c r="N375" s="164">
        <v>5.0</v>
      </c>
      <c r="O375" s="235">
        <v>10.0</v>
      </c>
      <c r="P375" s="299">
        <v>46204.0</v>
      </c>
      <c r="Q375" s="213">
        <v>1.0</v>
      </c>
      <c r="R375" s="213">
        <v>7.0</v>
      </c>
      <c r="S375" s="296">
        <v>2026.0</v>
      </c>
      <c r="T375" s="235" t="s">
        <v>28</v>
      </c>
      <c r="U375" s="235">
        <v>196.32</v>
      </c>
      <c r="V375" s="299">
        <v>46204.0</v>
      </c>
      <c r="W375" s="296">
        <v>1.0</v>
      </c>
      <c r="X375" s="296">
        <v>7.0</v>
      </c>
      <c r="Y375" s="296">
        <v>2026.0</v>
      </c>
      <c r="Z375" s="235" t="s">
        <v>28</v>
      </c>
    </row>
    <row r="376">
      <c r="A376" s="293" t="s">
        <v>1227</v>
      </c>
      <c r="B376" s="294">
        <v>5.84399933E9</v>
      </c>
      <c r="C376" s="299">
        <v>46174.0</v>
      </c>
      <c r="D376" s="296">
        <v>1.0</v>
      </c>
      <c r="E376" s="296">
        <v>6.0</v>
      </c>
      <c r="F376" s="296">
        <v>2026.0</v>
      </c>
      <c r="G376" s="299">
        <v>46175.0</v>
      </c>
      <c r="H376" s="296">
        <v>2.0</v>
      </c>
      <c r="I376" s="269">
        <v>6.0</v>
      </c>
      <c r="J376" s="296">
        <v>2026.0</v>
      </c>
      <c r="K376" s="235" t="s">
        <v>28</v>
      </c>
      <c r="L376" s="235" t="s">
        <v>518</v>
      </c>
      <c r="M376" s="235">
        <v>1.0</v>
      </c>
      <c r="N376" s="235">
        <v>1.0</v>
      </c>
      <c r="O376" s="235">
        <v>2.0</v>
      </c>
      <c r="P376" s="299">
        <v>46204.0</v>
      </c>
      <c r="Q376" s="213">
        <v>1.0</v>
      </c>
      <c r="R376" s="213">
        <v>7.0</v>
      </c>
      <c r="S376" s="296">
        <v>2026.0</v>
      </c>
      <c r="T376" s="235" t="s">
        <v>28</v>
      </c>
      <c r="U376" s="235">
        <v>29.23</v>
      </c>
      <c r="V376" s="299">
        <v>46204.0</v>
      </c>
      <c r="W376" s="296">
        <v>1.0</v>
      </c>
      <c r="X376" s="296">
        <v>7.0</v>
      </c>
      <c r="Y376" s="296">
        <v>2026.0</v>
      </c>
      <c r="Z376" s="235" t="s">
        <v>28</v>
      </c>
    </row>
    <row r="377">
      <c r="A377" s="293" t="s">
        <v>1228</v>
      </c>
      <c r="B377" s="294">
        <v>6.991294496E9</v>
      </c>
      <c r="C377" s="299">
        <v>46196.0</v>
      </c>
      <c r="D377" s="296">
        <v>23.0</v>
      </c>
      <c r="E377" s="296">
        <v>6.0</v>
      </c>
      <c r="F377" s="296">
        <v>2026.0</v>
      </c>
      <c r="G377" s="299">
        <v>46198.0</v>
      </c>
      <c r="H377" s="296">
        <v>25.0</v>
      </c>
      <c r="I377" s="269">
        <v>6.0</v>
      </c>
      <c r="J377" s="296">
        <v>2026.0</v>
      </c>
      <c r="K377" s="235" t="s">
        <v>28</v>
      </c>
      <c r="L377" s="235" t="s">
        <v>518</v>
      </c>
      <c r="M377" s="235">
        <v>1.0</v>
      </c>
      <c r="N377" s="235">
        <v>2.0</v>
      </c>
      <c r="O377" s="235">
        <v>4.0</v>
      </c>
      <c r="P377" s="299">
        <v>46204.0</v>
      </c>
      <c r="Q377" s="213">
        <v>1.0</v>
      </c>
      <c r="R377" s="213">
        <v>7.0</v>
      </c>
      <c r="S377" s="296">
        <v>2026.0</v>
      </c>
      <c r="T377" s="235" t="s">
        <v>28</v>
      </c>
      <c r="U377" s="235">
        <v>75.18</v>
      </c>
      <c r="V377" s="299">
        <v>46204.0</v>
      </c>
      <c r="W377" s="296">
        <v>1.0</v>
      </c>
      <c r="X377" s="296">
        <v>7.0</v>
      </c>
      <c r="Y377" s="296">
        <v>2026.0</v>
      </c>
      <c r="Z377" s="235" t="s">
        <v>28</v>
      </c>
    </row>
    <row r="378">
      <c r="A378" s="293" t="s">
        <v>1230</v>
      </c>
      <c r="B378" s="294">
        <v>5.6693112E9</v>
      </c>
      <c r="C378" s="299">
        <v>46197.0</v>
      </c>
      <c r="D378" s="296">
        <v>24.0</v>
      </c>
      <c r="E378" s="296">
        <v>6.0</v>
      </c>
      <c r="F378" s="296">
        <v>2026.0</v>
      </c>
      <c r="G378" s="299">
        <v>46198.0</v>
      </c>
      <c r="H378" s="296">
        <v>25.0</v>
      </c>
      <c r="I378" s="269">
        <v>6.0</v>
      </c>
      <c r="J378" s="296">
        <v>2026.0</v>
      </c>
      <c r="K378" s="235" t="s">
        <v>28</v>
      </c>
      <c r="L378" s="235" t="s">
        <v>518</v>
      </c>
      <c r="M378" s="235">
        <v>1.0</v>
      </c>
      <c r="N378" s="235">
        <v>1.0</v>
      </c>
      <c r="O378" s="235">
        <v>2.0</v>
      </c>
      <c r="P378" s="299">
        <v>46204.0</v>
      </c>
      <c r="Q378" s="213">
        <v>1.0</v>
      </c>
      <c r="R378" s="213">
        <v>7.0</v>
      </c>
      <c r="S378" s="296">
        <v>2026.0</v>
      </c>
      <c r="T378" s="235" t="s">
        <v>28</v>
      </c>
      <c r="U378" s="235">
        <v>29.23</v>
      </c>
      <c r="V378" s="299">
        <v>46204.0</v>
      </c>
      <c r="W378" s="296">
        <v>1.0</v>
      </c>
      <c r="X378" s="296">
        <v>7.0</v>
      </c>
      <c r="Y378" s="296">
        <v>2026.0</v>
      </c>
      <c r="Z378" s="235" t="s">
        <v>28</v>
      </c>
    </row>
    <row r="379">
      <c r="A379" s="293" t="s">
        <v>1232</v>
      </c>
      <c r="B379" s="294">
        <v>5.31910419E9</v>
      </c>
      <c r="C379" s="299">
        <v>46176.0</v>
      </c>
      <c r="D379" s="296">
        <v>3.0</v>
      </c>
      <c r="E379" s="296">
        <v>6.0</v>
      </c>
      <c r="F379" s="296">
        <v>2026.0</v>
      </c>
      <c r="G379" s="299">
        <v>46177.0</v>
      </c>
      <c r="H379" s="296">
        <v>4.0</v>
      </c>
      <c r="I379" s="269">
        <v>6.0</v>
      </c>
      <c r="J379" s="296">
        <v>2026.0</v>
      </c>
      <c r="K379" s="235" t="s">
        <v>28</v>
      </c>
      <c r="L379" s="235" t="s">
        <v>518</v>
      </c>
      <c r="M379" s="235">
        <v>1.0</v>
      </c>
      <c r="N379" s="235">
        <v>1.0</v>
      </c>
      <c r="O379" s="235">
        <v>2.0</v>
      </c>
      <c r="P379" s="299">
        <v>46204.0</v>
      </c>
      <c r="Q379" s="213">
        <v>1.0</v>
      </c>
      <c r="R379" s="213">
        <v>7.0</v>
      </c>
      <c r="S379" s="296">
        <v>2026.0</v>
      </c>
      <c r="T379" s="235" t="s">
        <v>28</v>
      </c>
      <c r="U379" s="235">
        <v>26.72</v>
      </c>
      <c r="V379" s="299">
        <v>46204.0</v>
      </c>
      <c r="W379" s="296">
        <v>1.0</v>
      </c>
      <c r="X379" s="296">
        <v>7.0</v>
      </c>
      <c r="Y379" s="296">
        <v>2026.0</v>
      </c>
      <c r="Z379" s="235" t="s">
        <v>28</v>
      </c>
    </row>
    <row r="380">
      <c r="A380" s="293" t="s">
        <v>1234</v>
      </c>
      <c r="B380" s="294">
        <v>5.912840762E9</v>
      </c>
      <c r="C380" s="299">
        <v>46175.0</v>
      </c>
      <c r="D380" s="296">
        <v>2.0</v>
      </c>
      <c r="E380" s="296">
        <v>6.0</v>
      </c>
      <c r="F380" s="296">
        <v>2026.0</v>
      </c>
      <c r="G380" s="299">
        <v>46176.0</v>
      </c>
      <c r="H380" s="296">
        <v>3.0</v>
      </c>
      <c r="I380" s="269">
        <v>6.0</v>
      </c>
      <c r="J380" s="296">
        <v>2026.0</v>
      </c>
      <c r="K380" s="235" t="s">
        <v>28</v>
      </c>
      <c r="L380" s="235" t="s">
        <v>518</v>
      </c>
      <c r="M380" s="235">
        <v>1.0</v>
      </c>
      <c r="N380" s="235">
        <v>1.0</v>
      </c>
      <c r="O380" s="235">
        <v>2.0</v>
      </c>
      <c r="P380" s="299">
        <v>46204.0</v>
      </c>
      <c r="Q380" s="213">
        <v>1.0</v>
      </c>
      <c r="R380" s="213">
        <v>7.0</v>
      </c>
      <c r="S380" s="296">
        <v>2026.0</v>
      </c>
      <c r="T380" s="235" t="s">
        <v>28</v>
      </c>
      <c r="U380" s="235">
        <v>26.72</v>
      </c>
      <c r="V380" s="299">
        <v>46204.0</v>
      </c>
      <c r="W380" s="296">
        <v>1.0</v>
      </c>
      <c r="X380" s="296">
        <v>7.0</v>
      </c>
      <c r="Y380" s="296">
        <v>2026.0</v>
      </c>
      <c r="Z380" s="235" t="s">
        <v>28</v>
      </c>
    </row>
    <row r="381">
      <c r="A381" s="293" t="s">
        <v>1235</v>
      </c>
      <c r="B381" s="293">
        <v>6.66465316E9</v>
      </c>
      <c r="C381" s="299">
        <v>46177.0</v>
      </c>
      <c r="D381" s="296">
        <v>4.0</v>
      </c>
      <c r="E381" s="296">
        <v>6.0</v>
      </c>
      <c r="F381" s="296">
        <v>2026.0</v>
      </c>
      <c r="G381" s="299">
        <v>46178.0</v>
      </c>
      <c r="H381" s="269">
        <v>5.0</v>
      </c>
      <c r="I381" s="296">
        <v>6.0</v>
      </c>
      <c r="J381" s="269">
        <v>2026.0</v>
      </c>
      <c r="K381" s="235" t="s">
        <v>28</v>
      </c>
      <c r="L381" s="235" t="s">
        <v>518</v>
      </c>
      <c r="M381" s="235">
        <v>1.0</v>
      </c>
      <c r="N381" s="164">
        <v>1.0</v>
      </c>
      <c r="O381" s="235">
        <v>2.0</v>
      </c>
      <c r="P381" s="299">
        <v>46204.0</v>
      </c>
      <c r="Q381" s="213">
        <v>1.0</v>
      </c>
      <c r="R381" s="213">
        <v>7.0</v>
      </c>
      <c r="S381" s="296">
        <v>2026.0</v>
      </c>
      <c r="T381" s="235" t="s">
        <v>28</v>
      </c>
      <c r="U381" s="235">
        <v>26.72</v>
      </c>
      <c r="V381" s="299">
        <v>46204.0</v>
      </c>
      <c r="W381" s="296">
        <v>1.0</v>
      </c>
      <c r="X381" s="296">
        <v>7.0</v>
      </c>
      <c r="Y381" s="296">
        <v>2026.0</v>
      </c>
      <c r="Z381" s="235" t="s">
        <v>28</v>
      </c>
    </row>
    <row r="382">
      <c r="A382" s="293" t="s">
        <v>1238</v>
      </c>
      <c r="B382" s="294">
        <v>6.024852881E9</v>
      </c>
      <c r="C382" s="299">
        <v>46198.0</v>
      </c>
      <c r="D382" s="296">
        <v>25.0</v>
      </c>
      <c r="E382" s="296">
        <v>6.0</v>
      </c>
      <c r="F382" s="296">
        <v>2026.0</v>
      </c>
      <c r="G382" s="299">
        <v>46200.0</v>
      </c>
      <c r="H382" s="296">
        <v>27.0</v>
      </c>
      <c r="I382" s="269">
        <v>6.0</v>
      </c>
      <c r="J382" s="296">
        <v>2026.0</v>
      </c>
      <c r="K382" s="235" t="s">
        <v>28</v>
      </c>
      <c r="L382" s="235" t="s">
        <v>518</v>
      </c>
      <c r="M382" s="235">
        <v>1.0</v>
      </c>
      <c r="N382" s="235">
        <v>2.0</v>
      </c>
      <c r="O382" s="235">
        <v>4.0</v>
      </c>
      <c r="P382" s="299">
        <v>46204.0</v>
      </c>
      <c r="Q382" s="213">
        <v>1.0</v>
      </c>
      <c r="R382" s="213">
        <v>7.0</v>
      </c>
      <c r="S382" s="296">
        <v>2026.0</v>
      </c>
      <c r="T382" s="235" t="s">
        <v>28</v>
      </c>
      <c r="U382" s="235">
        <v>58.46</v>
      </c>
      <c r="V382" s="299">
        <v>46204.0</v>
      </c>
      <c r="W382" s="296">
        <v>1.0</v>
      </c>
      <c r="X382" s="296">
        <v>7.0</v>
      </c>
      <c r="Y382" s="296">
        <v>2026.0</v>
      </c>
      <c r="Z382" s="235" t="s">
        <v>28</v>
      </c>
    </row>
    <row r="383">
      <c r="A383" s="328" t="s">
        <v>1240</v>
      </c>
      <c r="B383" s="328">
        <v>5.841829641E9</v>
      </c>
      <c r="C383" s="329">
        <v>46203.0</v>
      </c>
      <c r="D383" s="330">
        <v>30.0</v>
      </c>
      <c r="E383" s="330">
        <v>6.0</v>
      </c>
      <c r="F383" s="330">
        <v>2026.0</v>
      </c>
      <c r="G383" s="329">
        <v>46207.0</v>
      </c>
      <c r="H383" s="330">
        <v>4.0</v>
      </c>
      <c r="I383" s="330">
        <v>7.0</v>
      </c>
      <c r="J383" s="330">
        <v>2026.0</v>
      </c>
      <c r="K383" s="328" t="s">
        <v>28</v>
      </c>
      <c r="L383" s="328" t="s">
        <v>1241</v>
      </c>
      <c r="M383" s="328">
        <v>1.0</v>
      </c>
      <c r="N383" s="328">
        <v>4.0</v>
      </c>
      <c r="O383" s="328">
        <v>8.0</v>
      </c>
      <c r="P383" s="329">
        <v>46235.0</v>
      </c>
      <c r="Q383" s="331">
        <v>1.0</v>
      </c>
      <c r="R383" s="331">
        <v>8.0</v>
      </c>
      <c r="S383" s="330">
        <v>2026.0</v>
      </c>
      <c r="T383" s="328" t="s">
        <v>28</v>
      </c>
      <c r="U383" s="328">
        <v>116.93</v>
      </c>
      <c r="V383" s="329">
        <v>46235.0</v>
      </c>
      <c r="W383" s="330">
        <v>1.0</v>
      </c>
      <c r="X383" s="330">
        <v>8.0</v>
      </c>
      <c r="Y383" s="330">
        <v>2026.0</v>
      </c>
      <c r="Z383" s="328" t="s">
        <v>28</v>
      </c>
    </row>
    <row r="384">
      <c r="A384" s="328" t="s">
        <v>1242</v>
      </c>
      <c r="B384" s="328">
        <v>6.309166947E9</v>
      </c>
      <c r="C384" s="329">
        <v>46202.0</v>
      </c>
      <c r="D384" s="330">
        <v>29.0</v>
      </c>
      <c r="E384" s="330">
        <v>6.0</v>
      </c>
      <c r="F384" s="330">
        <v>2026.0</v>
      </c>
      <c r="G384" s="329">
        <v>46206.0</v>
      </c>
      <c r="H384" s="330">
        <v>3.0</v>
      </c>
      <c r="I384" s="330">
        <v>7.0</v>
      </c>
      <c r="J384" s="330">
        <v>2026.0</v>
      </c>
      <c r="K384" s="328" t="s">
        <v>28</v>
      </c>
      <c r="L384" s="328" t="s">
        <v>1241</v>
      </c>
      <c r="M384" s="328">
        <v>1.0</v>
      </c>
      <c r="N384" s="328">
        <v>4.0</v>
      </c>
      <c r="O384" s="328">
        <v>8.0</v>
      </c>
      <c r="P384" s="329">
        <v>46235.0</v>
      </c>
      <c r="Q384" s="331">
        <v>1.0</v>
      </c>
      <c r="R384" s="331">
        <v>8.0</v>
      </c>
      <c r="S384" s="330">
        <v>2026.0</v>
      </c>
      <c r="T384" s="328" t="s">
        <v>28</v>
      </c>
      <c r="U384" s="328">
        <v>116.93</v>
      </c>
      <c r="V384" s="329">
        <v>46235.0</v>
      </c>
      <c r="W384" s="330">
        <v>1.0</v>
      </c>
      <c r="X384" s="330">
        <v>8.0</v>
      </c>
      <c r="Y384" s="330">
        <v>2026.0</v>
      </c>
      <c r="Z384" s="328" t="s">
        <v>28</v>
      </c>
    </row>
    <row r="385">
      <c r="A385" s="328" t="s">
        <v>1244</v>
      </c>
      <c r="B385" s="328">
        <v>6.227810998E9</v>
      </c>
      <c r="C385" s="329">
        <v>46202.0</v>
      </c>
      <c r="D385" s="330">
        <v>29.0</v>
      </c>
      <c r="E385" s="330">
        <v>6.0</v>
      </c>
      <c r="F385" s="330">
        <v>2026.0</v>
      </c>
      <c r="G385" s="329">
        <v>46206.0</v>
      </c>
      <c r="H385" s="330">
        <v>3.0</v>
      </c>
      <c r="I385" s="330">
        <v>7.0</v>
      </c>
      <c r="J385" s="330">
        <v>2026.0</v>
      </c>
      <c r="K385" s="328" t="s">
        <v>28</v>
      </c>
      <c r="L385" s="328" t="s">
        <v>1241</v>
      </c>
      <c r="M385" s="328">
        <v>1.0</v>
      </c>
      <c r="N385" s="328">
        <v>2.0</v>
      </c>
      <c r="O385" s="328">
        <v>4.0</v>
      </c>
      <c r="P385" s="329">
        <v>46235.0</v>
      </c>
      <c r="Q385" s="331">
        <v>1.0</v>
      </c>
      <c r="R385" s="331">
        <v>8.0</v>
      </c>
      <c r="S385" s="330">
        <v>2026.0</v>
      </c>
      <c r="T385" s="328" t="s">
        <v>28</v>
      </c>
      <c r="U385" s="328">
        <v>120.93</v>
      </c>
      <c r="V385" s="329">
        <v>46235.0</v>
      </c>
      <c r="W385" s="330">
        <v>1.0</v>
      </c>
      <c r="X385" s="330">
        <v>8.0</v>
      </c>
      <c r="Y385" s="330">
        <v>2026.0</v>
      </c>
      <c r="Z385" s="328" t="s">
        <v>28</v>
      </c>
    </row>
    <row r="386">
      <c r="A386" s="328" t="s">
        <v>1247</v>
      </c>
      <c r="B386" s="328">
        <v>5.960861189E9</v>
      </c>
      <c r="C386" s="329">
        <v>46202.0</v>
      </c>
      <c r="D386" s="330">
        <v>29.0</v>
      </c>
      <c r="E386" s="330">
        <v>6.0</v>
      </c>
      <c r="F386" s="330">
        <v>2026.0</v>
      </c>
      <c r="G386" s="329">
        <v>46206.0</v>
      </c>
      <c r="H386" s="330">
        <v>3.0</v>
      </c>
      <c r="I386" s="330">
        <v>7.0</v>
      </c>
      <c r="J386" s="330">
        <v>2026.0</v>
      </c>
      <c r="K386" s="328" t="s">
        <v>28</v>
      </c>
      <c r="L386" s="328" t="s">
        <v>1241</v>
      </c>
      <c r="M386" s="328">
        <v>1.0</v>
      </c>
      <c r="N386" s="328">
        <v>4.0</v>
      </c>
      <c r="O386" s="328">
        <v>8.0</v>
      </c>
      <c r="P386" s="329">
        <v>46235.0</v>
      </c>
      <c r="Q386" s="331">
        <v>1.0</v>
      </c>
      <c r="R386" s="331">
        <v>8.0</v>
      </c>
      <c r="S386" s="330">
        <v>2026.0</v>
      </c>
      <c r="T386" s="328" t="s">
        <v>28</v>
      </c>
      <c r="U386" s="328">
        <v>133.65</v>
      </c>
      <c r="V386" s="329">
        <v>46235.0</v>
      </c>
      <c r="W386" s="330">
        <v>1.0</v>
      </c>
      <c r="X386" s="330">
        <v>8.0</v>
      </c>
      <c r="Y386" s="330">
        <v>2026.0</v>
      </c>
      <c r="Z386" s="328" t="s">
        <v>28</v>
      </c>
    </row>
    <row r="387">
      <c r="A387" s="328" t="s">
        <v>1248</v>
      </c>
      <c r="B387" s="328">
        <v>6.919043422E9</v>
      </c>
      <c r="C387" s="329">
        <v>46203.0</v>
      </c>
      <c r="D387" s="330">
        <v>30.0</v>
      </c>
      <c r="E387" s="330">
        <v>6.0</v>
      </c>
      <c r="F387" s="330">
        <v>2026.0</v>
      </c>
      <c r="G387" s="329">
        <v>46204.0</v>
      </c>
      <c r="H387" s="330">
        <v>1.0</v>
      </c>
      <c r="I387" s="330">
        <v>7.0</v>
      </c>
      <c r="J387" s="330">
        <v>2026.0</v>
      </c>
      <c r="K387" s="328" t="s">
        <v>28</v>
      </c>
      <c r="L387" s="328" t="s">
        <v>1241</v>
      </c>
      <c r="M387" s="328">
        <v>1.0</v>
      </c>
      <c r="N387" s="328">
        <v>1.0</v>
      </c>
      <c r="O387" s="328">
        <v>2.0</v>
      </c>
      <c r="P387" s="329">
        <v>46235.0</v>
      </c>
      <c r="Q387" s="331">
        <v>1.0</v>
      </c>
      <c r="R387" s="331">
        <v>8.0</v>
      </c>
      <c r="S387" s="330">
        <v>2026.0</v>
      </c>
      <c r="T387" s="328" t="s">
        <v>28</v>
      </c>
      <c r="U387" s="328">
        <v>35.08</v>
      </c>
      <c r="V387" s="329">
        <v>46235.0</v>
      </c>
      <c r="W387" s="330">
        <v>1.0</v>
      </c>
      <c r="X387" s="330">
        <v>8.0</v>
      </c>
      <c r="Y387" s="330">
        <v>2026.0</v>
      </c>
      <c r="Z387" s="328" t="s">
        <v>28</v>
      </c>
    </row>
    <row r="388">
      <c r="A388" s="328" t="s">
        <v>1083</v>
      </c>
      <c r="B388" s="328">
        <v>5.808322398E9</v>
      </c>
      <c r="C388" s="329">
        <v>46202.0</v>
      </c>
      <c r="D388" s="330">
        <v>29.0</v>
      </c>
      <c r="E388" s="330">
        <v>6.0</v>
      </c>
      <c r="F388" s="330">
        <v>2026.0</v>
      </c>
      <c r="G388" s="329">
        <v>46204.0</v>
      </c>
      <c r="H388" s="330">
        <v>1.0</v>
      </c>
      <c r="I388" s="330">
        <v>7.0</v>
      </c>
      <c r="J388" s="330">
        <v>2026.0</v>
      </c>
      <c r="K388" s="328" t="s">
        <v>28</v>
      </c>
      <c r="L388" s="328" t="s">
        <v>1241</v>
      </c>
      <c r="M388" s="328">
        <v>1.0</v>
      </c>
      <c r="N388" s="328">
        <v>2.0</v>
      </c>
      <c r="O388" s="328">
        <v>4.0</v>
      </c>
      <c r="P388" s="329">
        <v>46235.0</v>
      </c>
      <c r="Q388" s="331">
        <v>1.0</v>
      </c>
      <c r="R388" s="331">
        <v>8.0</v>
      </c>
      <c r="S388" s="330">
        <v>2026.0</v>
      </c>
      <c r="T388" s="328" t="s">
        <v>28</v>
      </c>
      <c r="U388" s="328">
        <v>58.46</v>
      </c>
      <c r="V388" s="329">
        <v>46235.0</v>
      </c>
      <c r="W388" s="330">
        <v>1.0</v>
      </c>
      <c r="X388" s="330">
        <v>8.0</v>
      </c>
      <c r="Y388" s="330">
        <v>2026.0</v>
      </c>
      <c r="Z388" s="328" t="s">
        <v>28</v>
      </c>
    </row>
    <row r="389">
      <c r="A389" s="328" t="s">
        <v>1251</v>
      </c>
      <c r="B389" s="328">
        <v>5.28820002E9</v>
      </c>
      <c r="C389" s="329">
        <v>46202.0</v>
      </c>
      <c r="D389" s="330">
        <v>29.0</v>
      </c>
      <c r="E389" s="330">
        <v>6.0</v>
      </c>
      <c r="F389" s="330">
        <v>2026.0</v>
      </c>
      <c r="G389" s="329">
        <v>46204.0</v>
      </c>
      <c r="H389" s="330">
        <v>1.0</v>
      </c>
      <c r="I389" s="330">
        <v>7.0</v>
      </c>
      <c r="J389" s="330">
        <v>2026.0</v>
      </c>
      <c r="K389" s="328" t="s">
        <v>28</v>
      </c>
      <c r="L389" s="328" t="s">
        <v>1241</v>
      </c>
      <c r="M389" s="328">
        <v>1.0</v>
      </c>
      <c r="N389" s="328">
        <v>2.0</v>
      </c>
      <c r="O389" s="328">
        <v>4.0</v>
      </c>
      <c r="P389" s="329">
        <v>46235.0</v>
      </c>
      <c r="Q389" s="331">
        <v>1.0</v>
      </c>
      <c r="R389" s="331">
        <v>8.0</v>
      </c>
      <c r="S389" s="330">
        <v>2026.0</v>
      </c>
      <c r="T389" s="328" t="s">
        <v>28</v>
      </c>
      <c r="U389" s="328">
        <v>58.46</v>
      </c>
      <c r="V389" s="329">
        <v>46235.0</v>
      </c>
      <c r="W389" s="330">
        <v>1.0</v>
      </c>
      <c r="X389" s="330">
        <v>8.0</v>
      </c>
      <c r="Y389" s="330">
        <v>2026.0</v>
      </c>
      <c r="Z389" s="328" t="s">
        <v>28</v>
      </c>
    </row>
    <row r="390">
      <c r="A390" s="328" t="s">
        <v>1253</v>
      </c>
      <c r="B390" s="328">
        <v>5.203037075E9</v>
      </c>
      <c r="C390" s="329">
        <v>46201.0</v>
      </c>
      <c r="D390" s="330">
        <v>28.0</v>
      </c>
      <c r="E390" s="330">
        <v>6.0</v>
      </c>
      <c r="F390" s="330">
        <v>2026.0</v>
      </c>
      <c r="G390" s="329">
        <v>46204.0</v>
      </c>
      <c r="H390" s="330">
        <v>1.0</v>
      </c>
      <c r="I390" s="330">
        <v>7.0</v>
      </c>
      <c r="J390" s="330">
        <v>2026.0</v>
      </c>
      <c r="K390" s="328" t="s">
        <v>28</v>
      </c>
      <c r="L390" s="328" t="s">
        <v>1241</v>
      </c>
      <c r="M390" s="328">
        <v>1.0</v>
      </c>
      <c r="N390" s="328">
        <v>3.0</v>
      </c>
      <c r="O390" s="328">
        <v>6.0</v>
      </c>
      <c r="P390" s="329">
        <v>46235.0</v>
      </c>
      <c r="Q390" s="331">
        <v>1.0</v>
      </c>
      <c r="R390" s="331">
        <v>8.0</v>
      </c>
      <c r="S390" s="330">
        <v>2026.0</v>
      </c>
      <c r="T390" s="328" t="s">
        <v>28</v>
      </c>
      <c r="U390" s="328">
        <v>99.4</v>
      </c>
      <c r="V390" s="329">
        <v>46235.0</v>
      </c>
      <c r="W390" s="330">
        <v>1.0</v>
      </c>
      <c r="X390" s="330">
        <v>8.0</v>
      </c>
      <c r="Y390" s="330">
        <v>2026.0</v>
      </c>
      <c r="Z390" s="328" t="s">
        <v>28</v>
      </c>
    </row>
    <row r="391">
      <c r="A391" s="328" t="s">
        <v>1175</v>
      </c>
      <c r="B391" s="328">
        <v>5.158119362E9</v>
      </c>
      <c r="C391" s="329">
        <v>46184.0</v>
      </c>
      <c r="D391" s="330">
        <v>11.0</v>
      </c>
      <c r="E391" s="330">
        <v>6.0</v>
      </c>
      <c r="F391" s="330">
        <v>2026.0</v>
      </c>
      <c r="G391" s="329">
        <v>46188.0</v>
      </c>
      <c r="H391" s="330">
        <v>15.0</v>
      </c>
      <c r="I391" s="330">
        <v>6.0</v>
      </c>
      <c r="J391" s="330">
        <v>2026.0</v>
      </c>
      <c r="K391" s="328" t="s">
        <v>28</v>
      </c>
      <c r="L391" s="385"/>
      <c r="M391" s="328">
        <v>0.0</v>
      </c>
      <c r="N391" s="328">
        <v>0.0</v>
      </c>
      <c r="O391" s="328">
        <v>0.0</v>
      </c>
      <c r="P391" s="329">
        <v>46235.0</v>
      </c>
      <c r="Q391" s="331">
        <v>1.0</v>
      </c>
      <c r="R391" s="331">
        <v>8.0</v>
      </c>
      <c r="S391" s="330">
        <v>2026.0</v>
      </c>
      <c r="T391" s="328" t="s">
        <v>28</v>
      </c>
      <c r="U391" s="328">
        <v>-14.22</v>
      </c>
      <c r="V391" s="329">
        <v>46235.0</v>
      </c>
      <c r="W391" s="330">
        <v>1.0</v>
      </c>
      <c r="X391" s="330">
        <v>8.0</v>
      </c>
      <c r="Y391" s="330">
        <v>2026.0</v>
      </c>
      <c r="Z391" s="328" t="s">
        <v>28</v>
      </c>
    </row>
    <row r="392">
      <c r="A392" s="328" t="s">
        <v>1256</v>
      </c>
      <c r="B392" s="328">
        <v>6.716481168E9</v>
      </c>
      <c r="C392" s="329">
        <v>46231.0</v>
      </c>
      <c r="D392" s="330">
        <v>28.0</v>
      </c>
      <c r="E392" s="330">
        <v>7.0</v>
      </c>
      <c r="F392" s="330">
        <v>2026.0</v>
      </c>
      <c r="G392" s="329">
        <v>46234.0</v>
      </c>
      <c r="H392" s="330">
        <v>31.0</v>
      </c>
      <c r="I392" s="330">
        <v>7.0</v>
      </c>
      <c r="J392" s="330">
        <v>2026.0</v>
      </c>
      <c r="K392" s="328" t="s">
        <v>28</v>
      </c>
      <c r="L392" s="328" t="s">
        <v>1241</v>
      </c>
      <c r="M392" s="328">
        <v>1.0</v>
      </c>
      <c r="N392" s="328">
        <v>2.0</v>
      </c>
      <c r="O392" s="328">
        <v>4.0</v>
      </c>
      <c r="P392" s="329">
        <v>46235.0</v>
      </c>
      <c r="Q392" s="331">
        <v>1.0</v>
      </c>
      <c r="R392" s="331">
        <v>8.0</v>
      </c>
      <c r="S392" s="330">
        <v>2026.0</v>
      </c>
      <c r="T392" s="328" t="s">
        <v>28</v>
      </c>
      <c r="U392" s="328">
        <v>89.7</v>
      </c>
      <c r="V392" s="329">
        <v>46235.0</v>
      </c>
      <c r="W392" s="331">
        <v>1.0</v>
      </c>
      <c r="X392" s="331">
        <v>8.0</v>
      </c>
      <c r="Y392" s="330">
        <v>2026.0</v>
      </c>
      <c r="Z392" s="328" t="s">
        <v>28</v>
      </c>
    </row>
    <row r="393">
      <c r="A393" s="328" t="s">
        <v>1259</v>
      </c>
      <c r="B393" s="328">
        <v>5.386094883E9</v>
      </c>
      <c r="C393" s="329">
        <v>46233.0</v>
      </c>
      <c r="D393" s="330">
        <v>30.0</v>
      </c>
      <c r="E393" s="330">
        <v>7.0</v>
      </c>
      <c r="F393" s="330">
        <v>2026.0</v>
      </c>
      <c r="G393" s="329">
        <v>46234.0</v>
      </c>
      <c r="H393" s="330">
        <v>31.0</v>
      </c>
      <c r="I393" s="330">
        <v>7.0</v>
      </c>
      <c r="J393" s="330">
        <v>2026.0</v>
      </c>
      <c r="K393" s="328" t="s">
        <v>28</v>
      </c>
      <c r="L393" s="328" t="s">
        <v>1241</v>
      </c>
      <c r="M393" s="328">
        <v>1.0</v>
      </c>
      <c r="N393" s="328">
        <v>1.0</v>
      </c>
      <c r="O393" s="328">
        <v>2.0</v>
      </c>
      <c r="P393" s="329">
        <v>46235.0</v>
      </c>
      <c r="Q393" s="331">
        <v>1.0</v>
      </c>
      <c r="R393" s="331">
        <v>8.0</v>
      </c>
      <c r="S393" s="330">
        <v>2026.0</v>
      </c>
      <c r="T393" s="328" t="s">
        <v>28</v>
      </c>
      <c r="U393" s="328">
        <v>29.23</v>
      </c>
      <c r="V393" s="329">
        <v>46235.0</v>
      </c>
      <c r="W393" s="331">
        <v>1.0</v>
      </c>
      <c r="X393" s="331">
        <v>8.0</v>
      </c>
      <c r="Y393" s="330">
        <v>2026.0</v>
      </c>
      <c r="Z393" s="328" t="s">
        <v>28</v>
      </c>
    </row>
    <row r="394">
      <c r="A394" s="328" t="s">
        <v>1260</v>
      </c>
      <c r="B394" s="328">
        <v>6.999484135E9</v>
      </c>
      <c r="C394" s="329">
        <v>46232.0</v>
      </c>
      <c r="D394" s="330">
        <v>29.0</v>
      </c>
      <c r="E394" s="330">
        <v>7.0</v>
      </c>
      <c r="F394" s="330">
        <v>2026.0</v>
      </c>
      <c r="G394" s="329">
        <v>46233.0</v>
      </c>
      <c r="H394" s="330">
        <v>30.0</v>
      </c>
      <c r="I394" s="330">
        <v>7.0</v>
      </c>
      <c r="J394" s="330">
        <v>2026.0</v>
      </c>
      <c r="K394" s="328" t="s">
        <v>28</v>
      </c>
      <c r="L394" s="328" t="s">
        <v>1241</v>
      </c>
      <c r="M394" s="328">
        <v>1.0</v>
      </c>
      <c r="N394" s="328">
        <v>1.0</v>
      </c>
      <c r="O394" s="328">
        <v>2.0</v>
      </c>
      <c r="P394" s="329">
        <v>46235.0</v>
      </c>
      <c r="Q394" s="331">
        <v>1.0</v>
      </c>
      <c r="R394" s="331">
        <v>8.0</v>
      </c>
      <c r="S394" s="330">
        <v>2026.0</v>
      </c>
      <c r="T394" s="328" t="s">
        <v>28</v>
      </c>
      <c r="U394" s="328">
        <v>37.59</v>
      </c>
      <c r="V394" s="329">
        <v>46235.0</v>
      </c>
      <c r="W394" s="330">
        <v>1.0</v>
      </c>
      <c r="X394" s="330">
        <v>8.0</v>
      </c>
      <c r="Y394" s="330">
        <v>2026.0</v>
      </c>
      <c r="Z394" s="328" t="s">
        <v>28</v>
      </c>
    </row>
    <row r="395">
      <c r="A395" s="328" t="s">
        <v>1261</v>
      </c>
      <c r="B395" s="328">
        <v>6.452214075E9</v>
      </c>
      <c r="C395" s="329">
        <v>46231.0</v>
      </c>
      <c r="D395" s="330">
        <v>28.0</v>
      </c>
      <c r="E395" s="330">
        <v>7.0</v>
      </c>
      <c r="F395" s="330">
        <v>2026.0</v>
      </c>
      <c r="G395" s="329">
        <v>46233.0</v>
      </c>
      <c r="H395" s="330">
        <v>30.0</v>
      </c>
      <c r="I395" s="330">
        <v>7.0</v>
      </c>
      <c r="J395" s="330">
        <v>2026.0</v>
      </c>
      <c r="K395" s="328" t="s">
        <v>28</v>
      </c>
      <c r="L395" s="328" t="s">
        <v>1241</v>
      </c>
      <c r="M395" s="328">
        <v>1.0</v>
      </c>
      <c r="N395" s="328">
        <v>2.0</v>
      </c>
      <c r="O395" s="328">
        <v>4.0</v>
      </c>
      <c r="P395" s="329">
        <v>46235.0</v>
      </c>
      <c r="Q395" s="331">
        <v>1.0</v>
      </c>
      <c r="R395" s="331">
        <v>8.0</v>
      </c>
      <c r="S395" s="330">
        <v>2026.0</v>
      </c>
      <c r="T395" s="328" t="s">
        <v>28</v>
      </c>
      <c r="U395" s="328">
        <v>58.46</v>
      </c>
      <c r="V395" s="329">
        <v>46235.0</v>
      </c>
      <c r="W395" s="330">
        <v>1.0</v>
      </c>
      <c r="X395" s="330">
        <v>8.0</v>
      </c>
      <c r="Y395" s="330">
        <v>2026.0</v>
      </c>
      <c r="Z395" s="328" t="s">
        <v>28</v>
      </c>
    </row>
    <row r="396">
      <c r="A396" s="328" t="s">
        <v>1262</v>
      </c>
      <c r="B396" s="328">
        <v>6.351572881E9</v>
      </c>
      <c r="C396" s="329">
        <v>46226.0</v>
      </c>
      <c r="D396" s="330">
        <v>23.0</v>
      </c>
      <c r="E396" s="330">
        <v>7.0</v>
      </c>
      <c r="F396" s="330">
        <v>2026.0</v>
      </c>
      <c r="G396" s="329">
        <v>46233.0</v>
      </c>
      <c r="H396" s="330">
        <v>30.0</v>
      </c>
      <c r="I396" s="330">
        <v>7.0</v>
      </c>
      <c r="J396" s="330">
        <v>2026.0</v>
      </c>
      <c r="K396" s="328" t="s">
        <v>28</v>
      </c>
      <c r="L396" s="328" t="s">
        <v>1241</v>
      </c>
      <c r="M396" s="328">
        <v>1.0</v>
      </c>
      <c r="N396" s="328">
        <v>7.0</v>
      </c>
      <c r="O396" s="328">
        <v>14.0</v>
      </c>
      <c r="P396" s="329">
        <v>46235.0</v>
      </c>
      <c r="Q396" s="331">
        <v>1.0</v>
      </c>
      <c r="R396" s="331">
        <v>8.0</v>
      </c>
      <c r="S396" s="330">
        <v>2026.0</v>
      </c>
      <c r="T396" s="328" t="s">
        <v>28</v>
      </c>
      <c r="U396" s="328">
        <v>204.62</v>
      </c>
      <c r="V396" s="329">
        <v>46235.0</v>
      </c>
      <c r="W396" s="330">
        <v>1.0</v>
      </c>
      <c r="X396" s="330">
        <v>8.0</v>
      </c>
      <c r="Y396" s="330">
        <v>2026.0</v>
      </c>
      <c r="Z396" s="328" t="s">
        <v>28</v>
      </c>
    </row>
    <row r="397">
      <c r="A397" s="328" t="s">
        <v>1263</v>
      </c>
      <c r="B397" s="328">
        <v>5.843034818E9</v>
      </c>
      <c r="C397" s="329">
        <v>46230.0</v>
      </c>
      <c r="D397" s="330">
        <v>27.0</v>
      </c>
      <c r="E397" s="330">
        <v>7.0</v>
      </c>
      <c r="F397" s="330">
        <v>2026.0</v>
      </c>
      <c r="G397" s="329">
        <v>46233.0</v>
      </c>
      <c r="H397" s="330">
        <v>30.0</v>
      </c>
      <c r="I397" s="330">
        <v>7.0</v>
      </c>
      <c r="J397" s="330">
        <v>2026.0</v>
      </c>
      <c r="K397" s="328" t="s">
        <v>28</v>
      </c>
      <c r="L397" s="328" t="s">
        <v>1241</v>
      </c>
      <c r="M397" s="328">
        <v>1.0</v>
      </c>
      <c r="N397" s="328">
        <v>3.0</v>
      </c>
      <c r="O397" s="328">
        <v>6.0</v>
      </c>
      <c r="P397" s="329">
        <v>46235.0</v>
      </c>
      <c r="Q397" s="331">
        <v>1.0</v>
      </c>
      <c r="R397" s="331">
        <v>8.0</v>
      </c>
      <c r="S397" s="330">
        <v>2026.0</v>
      </c>
      <c r="T397" s="328" t="s">
        <v>28</v>
      </c>
      <c r="U397" s="328">
        <v>112.78</v>
      </c>
      <c r="V397" s="329">
        <v>46235.0</v>
      </c>
      <c r="W397" s="330">
        <v>1.0</v>
      </c>
      <c r="X397" s="330">
        <v>8.0</v>
      </c>
      <c r="Y397" s="330">
        <v>2026.0</v>
      </c>
      <c r="Z397" s="328" t="s">
        <v>28</v>
      </c>
    </row>
    <row r="398">
      <c r="A398" s="328" t="s">
        <v>1264</v>
      </c>
      <c r="B398" s="328">
        <v>5.760326213E9</v>
      </c>
      <c r="C398" s="329">
        <v>46231.0</v>
      </c>
      <c r="D398" s="330">
        <v>28.0</v>
      </c>
      <c r="E398" s="330">
        <v>7.0</v>
      </c>
      <c r="F398" s="330">
        <v>2026.0</v>
      </c>
      <c r="G398" s="329">
        <v>46233.0</v>
      </c>
      <c r="H398" s="330">
        <v>30.0</v>
      </c>
      <c r="I398" s="330">
        <v>7.0</v>
      </c>
      <c r="J398" s="330">
        <v>2026.0</v>
      </c>
      <c r="K398" s="328" t="s">
        <v>28</v>
      </c>
      <c r="L398" s="328" t="s">
        <v>1241</v>
      </c>
      <c r="M398" s="328">
        <v>1.0</v>
      </c>
      <c r="N398" s="328">
        <v>2.0</v>
      </c>
      <c r="O398" s="328">
        <v>4.0</v>
      </c>
      <c r="P398" s="329">
        <v>46235.0</v>
      </c>
      <c r="Q398" s="331">
        <v>1.0</v>
      </c>
      <c r="R398" s="331">
        <v>8.0</v>
      </c>
      <c r="S398" s="330">
        <v>2026.0</v>
      </c>
      <c r="T398" s="328" t="s">
        <v>28</v>
      </c>
      <c r="U398" s="328">
        <v>58.46</v>
      </c>
      <c r="V398" s="329">
        <v>46235.0</v>
      </c>
      <c r="W398" s="330">
        <v>1.0</v>
      </c>
      <c r="X398" s="330">
        <v>8.0</v>
      </c>
      <c r="Y398" s="330">
        <v>2026.0</v>
      </c>
      <c r="Z398" s="328" t="s">
        <v>28</v>
      </c>
    </row>
    <row r="399">
      <c r="A399" s="328" t="s">
        <v>1266</v>
      </c>
      <c r="B399" s="328">
        <v>5.331544597E9</v>
      </c>
      <c r="C399" s="329">
        <v>46232.0</v>
      </c>
      <c r="D399" s="330">
        <v>29.0</v>
      </c>
      <c r="E399" s="330">
        <v>7.0</v>
      </c>
      <c r="F399" s="330">
        <v>2026.0</v>
      </c>
      <c r="G399" s="329">
        <v>46233.0</v>
      </c>
      <c r="H399" s="330">
        <v>30.0</v>
      </c>
      <c r="I399" s="330">
        <v>7.0</v>
      </c>
      <c r="J399" s="330">
        <v>2026.0</v>
      </c>
      <c r="K399" s="328" t="s">
        <v>28</v>
      </c>
      <c r="L399" s="328" t="s">
        <v>1241</v>
      </c>
      <c r="M399" s="328">
        <v>1.0</v>
      </c>
      <c r="N399" s="328">
        <v>1.0</v>
      </c>
      <c r="O399" s="328">
        <v>2.0</v>
      </c>
      <c r="P399" s="329">
        <v>46235.0</v>
      </c>
      <c r="Q399" s="331">
        <v>1.0</v>
      </c>
      <c r="R399" s="331">
        <v>8.0</v>
      </c>
      <c r="S399" s="330">
        <v>2026.0</v>
      </c>
      <c r="T399" s="328" t="s">
        <v>28</v>
      </c>
      <c r="U399" s="328">
        <v>37.59</v>
      </c>
      <c r="V399" s="329">
        <v>46235.0</v>
      </c>
      <c r="W399" s="330">
        <v>1.0</v>
      </c>
      <c r="X399" s="330">
        <v>8.0</v>
      </c>
      <c r="Y399" s="330">
        <v>2026.0</v>
      </c>
      <c r="Z399" s="328" t="s">
        <v>28</v>
      </c>
    </row>
    <row r="400">
      <c r="A400" s="328" t="s">
        <v>1267</v>
      </c>
      <c r="B400" s="328">
        <v>6.542003452E9</v>
      </c>
      <c r="C400" s="329">
        <v>46231.0</v>
      </c>
      <c r="D400" s="330">
        <v>28.0</v>
      </c>
      <c r="E400" s="330">
        <v>7.0</v>
      </c>
      <c r="F400" s="330">
        <v>2026.0</v>
      </c>
      <c r="G400" s="329">
        <v>46232.0</v>
      </c>
      <c r="H400" s="330">
        <v>29.0</v>
      </c>
      <c r="I400" s="330">
        <v>7.0</v>
      </c>
      <c r="J400" s="330">
        <v>2026.0</v>
      </c>
      <c r="K400" s="328" t="s">
        <v>28</v>
      </c>
      <c r="L400" s="328" t="s">
        <v>1241</v>
      </c>
      <c r="M400" s="328">
        <v>1.0</v>
      </c>
      <c r="N400" s="328">
        <v>1.0</v>
      </c>
      <c r="O400" s="328">
        <v>2.0</v>
      </c>
      <c r="P400" s="329">
        <v>46235.0</v>
      </c>
      <c r="Q400" s="331">
        <v>1.0</v>
      </c>
      <c r="R400" s="331">
        <v>8.0</v>
      </c>
      <c r="S400" s="330">
        <v>2026.0</v>
      </c>
      <c r="T400" s="328" t="s">
        <v>28</v>
      </c>
      <c r="U400" s="328">
        <v>29.23</v>
      </c>
      <c r="V400" s="329">
        <v>46235.0</v>
      </c>
      <c r="W400" s="330">
        <v>1.0</v>
      </c>
      <c r="X400" s="330">
        <v>8.0</v>
      </c>
      <c r="Y400" s="330">
        <v>2026.0</v>
      </c>
      <c r="Z400" s="328" t="s">
        <v>28</v>
      </c>
    </row>
    <row r="401">
      <c r="A401" s="328" t="s">
        <v>1268</v>
      </c>
      <c r="B401" s="328">
        <v>6.040967437E9</v>
      </c>
      <c r="C401" s="329">
        <v>46231.0</v>
      </c>
      <c r="D401" s="330">
        <v>28.0</v>
      </c>
      <c r="E401" s="330">
        <v>7.0</v>
      </c>
      <c r="F401" s="330">
        <v>2026.0</v>
      </c>
      <c r="G401" s="329">
        <v>46232.0</v>
      </c>
      <c r="H401" s="330">
        <v>29.0</v>
      </c>
      <c r="I401" s="330">
        <v>7.0</v>
      </c>
      <c r="J401" s="330">
        <v>2026.0</v>
      </c>
      <c r="K401" s="328" t="s">
        <v>28</v>
      </c>
      <c r="L401" s="328" t="s">
        <v>1241</v>
      </c>
      <c r="M401" s="328">
        <v>1.0</v>
      </c>
      <c r="N401" s="328">
        <v>1.0</v>
      </c>
      <c r="O401" s="328">
        <v>2.0</v>
      </c>
      <c r="P401" s="329">
        <v>46235.0</v>
      </c>
      <c r="Q401" s="331">
        <v>1.0</v>
      </c>
      <c r="R401" s="331">
        <v>8.0</v>
      </c>
      <c r="S401" s="330">
        <v>2026.0</v>
      </c>
      <c r="T401" s="328" t="s">
        <v>28</v>
      </c>
      <c r="U401" s="328">
        <v>29.23</v>
      </c>
      <c r="V401" s="329">
        <v>46235.0</v>
      </c>
      <c r="W401" s="330">
        <v>1.0</v>
      </c>
      <c r="X401" s="330">
        <v>8.0</v>
      </c>
      <c r="Y401" s="330">
        <v>2026.0</v>
      </c>
      <c r="Z401" s="328" t="s">
        <v>28</v>
      </c>
    </row>
    <row r="402">
      <c r="A402" s="328" t="s">
        <v>1269</v>
      </c>
      <c r="B402" s="328">
        <v>5.60564682E9</v>
      </c>
      <c r="C402" s="329">
        <v>46231.0</v>
      </c>
      <c r="D402" s="330">
        <v>28.0</v>
      </c>
      <c r="E402" s="330">
        <v>7.0</v>
      </c>
      <c r="F402" s="330">
        <v>2026.0</v>
      </c>
      <c r="G402" s="329">
        <v>46232.0</v>
      </c>
      <c r="H402" s="330">
        <v>29.0</v>
      </c>
      <c r="I402" s="330">
        <v>7.0</v>
      </c>
      <c r="J402" s="330">
        <v>2026.0</v>
      </c>
      <c r="K402" s="328" t="s">
        <v>28</v>
      </c>
      <c r="L402" s="328" t="s">
        <v>1241</v>
      </c>
      <c r="M402" s="328">
        <v>1.0</v>
      </c>
      <c r="N402" s="328">
        <v>1.0</v>
      </c>
      <c r="O402" s="328">
        <v>2.0</v>
      </c>
      <c r="P402" s="329">
        <v>46235.0</v>
      </c>
      <c r="Q402" s="331">
        <v>1.0</v>
      </c>
      <c r="R402" s="331">
        <v>8.0</v>
      </c>
      <c r="S402" s="330">
        <v>2026.0</v>
      </c>
      <c r="T402" s="328" t="s">
        <v>28</v>
      </c>
      <c r="U402" s="328">
        <v>37.59</v>
      </c>
      <c r="V402" s="329">
        <v>46235.0</v>
      </c>
      <c r="W402" s="330">
        <v>1.0</v>
      </c>
      <c r="X402" s="330">
        <v>8.0</v>
      </c>
      <c r="Y402" s="330">
        <v>2026.0</v>
      </c>
      <c r="Z402" s="328" t="s">
        <v>28</v>
      </c>
    </row>
    <row r="403">
      <c r="A403" s="328" t="s">
        <v>1266</v>
      </c>
      <c r="B403" s="328">
        <v>5.077677211E9</v>
      </c>
      <c r="C403" s="329">
        <v>46231.0</v>
      </c>
      <c r="D403" s="330">
        <v>28.0</v>
      </c>
      <c r="E403" s="330">
        <v>7.0</v>
      </c>
      <c r="F403" s="330">
        <v>2026.0</v>
      </c>
      <c r="G403" s="329">
        <v>46232.0</v>
      </c>
      <c r="H403" s="330">
        <v>29.0</v>
      </c>
      <c r="I403" s="330">
        <v>7.0</v>
      </c>
      <c r="J403" s="330">
        <v>2026.0</v>
      </c>
      <c r="K403" s="328" t="s">
        <v>28</v>
      </c>
      <c r="L403" s="328" t="s">
        <v>1241</v>
      </c>
      <c r="M403" s="328">
        <v>1.0</v>
      </c>
      <c r="N403" s="328">
        <v>1.0</v>
      </c>
      <c r="O403" s="328">
        <v>2.0</v>
      </c>
      <c r="P403" s="329">
        <v>46235.0</v>
      </c>
      <c r="Q403" s="331">
        <v>1.0</v>
      </c>
      <c r="R403" s="331">
        <v>8.0</v>
      </c>
      <c r="S403" s="330">
        <v>2026.0</v>
      </c>
      <c r="T403" s="328" t="s">
        <v>28</v>
      </c>
      <c r="U403" s="328">
        <v>29.23</v>
      </c>
      <c r="V403" s="329">
        <v>46235.0</v>
      </c>
      <c r="W403" s="330">
        <v>1.0</v>
      </c>
      <c r="X403" s="330">
        <v>8.0</v>
      </c>
      <c r="Y403" s="330">
        <v>2026.0</v>
      </c>
      <c r="Z403" s="328" t="s">
        <v>28</v>
      </c>
    </row>
    <row r="404">
      <c r="A404" s="328" t="s">
        <v>1271</v>
      </c>
      <c r="B404" s="328">
        <v>6.664869832E9</v>
      </c>
      <c r="C404" s="329">
        <v>46227.0</v>
      </c>
      <c r="D404" s="330">
        <v>24.0</v>
      </c>
      <c r="E404" s="330">
        <v>7.0</v>
      </c>
      <c r="F404" s="330">
        <v>2026.0</v>
      </c>
      <c r="G404" s="329">
        <v>46231.0</v>
      </c>
      <c r="H404" s="330">
        <v>28.0</v>
      </c>
      <c r="I404" s="330">
        <v>7.0</v>
      </c>
      <c r="J404" s="330">
        <v>2026.0</v>
      </c>
      <c r="K404" s="328" t="s">
        <v>28</v>
      </c>
      <c r="L404" s="328" t="s">
        <v>1241</v>
      </c>
      <c r="M404" s="328">
        <v>1.0</v>
      </c>
      <c r="N404" s="328">
        <v>4.0</v>
      </c>
      <c r="O404" s="328">
        <v>8.0</v>
      </c>
      <c r="P404" s="329">
        <v>46235.0</v>
      </c>
      <c r="Q404" s="331">
        <v>1.0</v>
      </c>
      <c r="R404" s="331">
        <v>8.0</v>
      </c>
      <c r="S404" s="330">
        <v>2026.0</v>
      </c>
      <c r="T404" s="328" t="s">
        <v>28</v>
      </c>
      <c r="U404" s="328">
        <v>132.81</v>
      </c>
      <c r="V404" s="329">
        <v>46235.0</v>
      </c>
      <c r="W404" s="330">
        <v>1.0</v>
      </c>
      <c r="X404" s="330">
        <v>8.0</v>
      </c>
      <c r="Y404" s="330">
        <v>2026.0</v>
      </c>
      <c r="Z404" s="328" t="s">
        <v>28</v>
      </c>
    </row>
    <row r="405">
      <c r="A405" s="328" t="s">
        <v>1273</v>
      </c>
      <c r="B405" s="328">
        <v>6.05217823E9</v>
      </c>
      <c r="C405" s="329">
        <v>46230.0</v>
      </c>
      <c r="D405" s="330">
        <v>27.0</v>
      </c>
      <c r="E405" s="330">
        <v>7.0</v>
      </c>
      <c r="F405" s="330">
        <v>2026.0</v>
      </c>
      <c r="G405" s="329">
        <v>46231.0</v>
      </c>
      <c r="H405" s="330">
        <v>28.0</v>
      </c>
      <c r="I405" s="330">
        <v>7.0</v>
      </c>
      <c r="J405" s="330">
        <v>2026.0</v>
      </c>
      <c r="K405" s="328" t="s">
        <v>28</v>
      </c>
      <c r="L405" s="328" t="s">
        <v>1241</v>
      </c>
      <c r="M405" s="328">
        <v>1.0</v>
      </c>
      <c r="N405" s="328">
        <v>1.0</v>
      </c>
      <c r="O405" s="328">
        <v>2.0</v>
      </c>
      <c r="P405" s="329">
        <v>46235.0</v>
      </c>
      <c r="Q405" s="331">
        <v>1.0</v>
      </c>
      <c r="R405" s="331">
        <v>8.0</v>
      </c>
      <c r="S405" s="330">
        <v>2026.0</v>
      </c>
      <c r="T405" s="328" t="s">
        <v>28</v>
      </c>
      <c r="U405" s="328">
        <v>45.95</v>
      </c>
      <c r="V405" s="329">
        <v>46235.0</v>
      </c>
      <c r="W405" s="330">
        <v>1.0</v>
      </c>
      <c r="X405" s="330">
        <v>8.0</v>
      </c>
      <c r="Y405" s="330">
        <v>2026.0</v>
      </c>
      <c r="Z405" s="328" t="s">
        <v>28</v>
      </c>
    </row>
    <row r="406">
      <c r="A406" s="328" t="s">
        <v>1275</v>
      </c>
      <c r="B406" s="328">
        <v>5.413103537E9</v>
      </c>
      <c r="C406" s="329">
        <v>46227.0</v>
      </c>
      <c r="D406" s="330">
        <v>24.0</v>
      </c>
      <c r="E406" s="330">
        <v>7.0</v>
      </c>
      <c r="F406" s="330">
        <v>2026.0</v>
      </c>
      <c r="G406" s="329">
        <v>46231.0</v>
      </c>
      <c r="H406" s="330">
        <v>28.0</v>
      </c>
      <c r="I406" s="330">
        <v>7.0</v>
      </c>
      <c r="J406" s="330">
        <v>2026.0</v>
      </c>
      <c r="K406" s="328" t="s">
        <v>28</v>
      </c>
      <c r="L406" s="328" t="s">
        <v>1241</v>
      </c>
      <c r="M406" s="328">
        <v>1.0</v>
      </c>
      <c r="N406" s="328">
        <v>4.0</v>
      </c>
      <c r="O406" s="328">
        <v>8.0</v>
      </c>
      <c r="P406" s="329">
        <v>46235.0</v>
      </c>
      <c r="Q406" s="331">
        <v>1.0</v>
      </c>
      <c r="R406" s="331">
        <v>8.0</v>
      </c>
      <c r="S406" s="330">
        <v>2026.0</v>
      </c>
      <c r="T406" s="328" t="s">
        <v>28</v>
      </c>
      <c r="U406" s="328">
        <v>139.5</v>
      </c>
      <c r="V406" s="329">
        <v>46235.0</v>
      </c>
      <c r="W406" s="330">
        <v>1.0</v>
      </c>
      <c r="X406" s="330">
        <v>8.0</v>
      </c>
      <c r="Y406" s="330">
        <v>2026.0</v>
      </c>
      <c r="Z406" s="328" t="s">
        <v>28</v>
      </c>
    </row>
    <row r="407">
      <c r="A407" s="328" t="s">
        <v>1276</v>
      </c>
      <c r="B407" s="328">
        <v>5.081604046E9</v>
      </c>
      <c r="C407" s="329">
        <v>46229.0</v>
      </c>
      <c r="D407" s="330">
        <v>26.0</v>
      </c>
      <c r="E407" s="330">
        <v>7.0</v>
      </c>
      <c r="F407" s="330">
        <v>2026.0</v>
      </c>
      <c r="G407" s="329">
        <v>46231.0</v>
      </c>
      <c r="H407" s="330">
        <v>28.0</v>
      </c>
      <c r="I407" s="330">
        <v>7.0</v>
      </c>
      <c r="J407" s="330">
        <v>2026.0</v>
      </c>
      <c r="K407" s="328" t="s">
        <v>28</v>
      </c>
      <c r="L407" s="328" t="s">
        <v>1241</v>
      </c>
      <c r="M407" s="328">
        <v>2.0</v>
      </c>
      <c r="N407" s="328">
        <v>2.0</v>
      </c>
      <c r="O407" s="328">
        <v>8.0</v>
      </c>
      <c r="P407" s="329">
        <v>46235.0</v>
      </c>
      <c r="Q407" s="331">
        <v>1.0</v>
      </c>
      <c r="R407" s="331">
        <v>8.0</v>
      </c>
      <c r="S407" s="330">
        <v>2026.0</v>
      </c>
      <c r="T407" s="328" t="s">
        <v>28</v>
      </c>
      <c r="U407" s="328">
        <v>116.92</v>
      </c>
      <c r="V407" s="329">
        <v>46235.0</v>
      </c>
      <c r="W407" s="330">
        <v>1.0</v>
      </c>
      <c r="X407" s="330">
        <v>8.0</v>
      </c>
      <c r="Y407" s="330">
        <v>2026.0</v>
      </c>
      <c r="Z407" s="328" t="s">
        <v>28</v>
      </c>
    </row>
    <row r="408">
      <c r="A408" s="328" t="s">
        <v>1277</v>
      </c>
      <c r="B408" s="328">
        <v>6.953749871E9</v>
      </c>
      <c r="C408" s="329">
        <v>46228.0</v>
      </c>
      <c r="D408" s="330">
        <v>25.0</v>
      </c>
      <c r="E408" s="330">
        <v>7.0</v>
      </c>
      <c r="F408" s="330">
        <v>2026.0</v>
      </c>
      <c r="G408" s="329">
        <v>46230.0</v>
      </c>
      <c r="H408" s="330">
        <v>27.0</v>
      </c>
      <c r="I408" s="330">
        <v>7.0</v>
      </c>
      <c r="J408" s="330">
        <v>2026.0</v>
      </c>
      <c r="K408" s="328" t="s">
        <v>28</v>
      </c>
      <c r="L408" s="328" t="s">
        <v>1241</v>
      </c>
      <c r="M408" s="328">
        <v>2.0</v>
      </c>
      <c r="N408" s="328">
        <v>2.0</v>
      </c>
      <c r="O408" s="328">
        <v>8.0</v>
      </c>
      <c r="P408" s="329">
        <v>46235.0</v>
      </c>
      <c r="Q408" s="331">
        <v>1.0</v>
      </c>
      <c r="R408" s="331">
        <v>8.0</v>
      </c>
      <c r="S408" s="330">
        <v>2026.0</v>
      </c>
      <c r="T408" s="328" t="s">
        <v>28</v>
      </c>
      <c r="U408" s="328">
        <v>183.8</v>
      </c>
      <c r="V408" s="329">
        <v>46235.0</v>
      </c>
      <c r="W408" s="330">
        <v>1.0</v>
      </c>
      <c r="X408" s="330">
        <v>8.0</v>
      </c>
      <c r="Y408" s="330">
        <v>2026.0</v>
      </c>
      <c r="Z408" s="328" t="s">
        <v>28</v>
      </c>
    </row>
    <row r="409">
      <c r="A409" s="328" t="s">
        <v>1279</v>
      </c>
      <c r="B409" s="328">
        <v>6.33941418E9</v>
      </c>
      <c r="C409" s="329">
        <v>46229.0</v>
      </c>
      <c r="D409" s="330">
        <v>26.0</v>
      </c>
      <c r="E409" s="330">
        <v>7.0</v>
      </c>
      <c r="F409" s="330">
        <v>2026.0</v>
      </c>
      <c r="G409" s="329">
        <v>46230.0</v>
      </c>
      <c r="H409" s="330">
        <v>27.0</v>
      </c>
      <c r="I409" s="330">
        <v>7.0</v>
      </c>
      <c r="J409" s="330">
        <v>2026.0</v>
      </c>
      <c r="K409" s="328" t="s">
        <v>28</v>
      </c>
      <c r="L409" s="328" t="s">
        <v>1241</v>
      </c>
      <c r="M409" s="328">
        <v>1.0</v>
      </c>
      <c r="N409" s="328">
        <v>1.0</v>
      </c>
      <c r="O409" s="328">
        <v>2.0</v>
      </c>
      <c r="P409" s="329">
        <v>46235.0</v>
      </c>
      <c r="Q409" s="331">
        <v>1.0</v>
      </c>
      <c r="R409" s="331">
        <v>8.0</v>
      </c>
      <c r="S409" s="330">
        <v>2026.0</v>
      </c>
      <c r="T409" s="328" t="s">
        <v>28</v>
      </c>
      <c r="U409" s="328">
        <v>36.76</v>
      </c>
      <c r="V409" s="329">
        <v>46235.0</v>
      </c>
      <c r="W409" s="330">
        <v>1.0</v>
      </c>
      <c r="X409" s="330">
        <v>8.0</v>
      </c>
      <c r="Y409" s="330">
        <v>2026.0</v>
      </c>
      <c r="Z409" s="328" t="s">
        <v>28</v>
      </c>
    </row>
    <row r="410">
      <c r="A410" s="328" t="s">
        <v>1281</v>
      </c>
      <c r="B410" s="328">
        <v>5.481661716E9</v>
      </c>
      <c r="C410" s="329">
        <v>46227.0</v>
      </c>
      <c r="D410" s="330">
        <v>24.0</v>
      </c>
      <c r="E410" s="330">
        <v>7.0</v>
      </c>
      <c r="F410" s="330">
        <v>2026.0</v>
      </c>
      <c r="G410" s="329">
        <v>46230.0</v>
      </c>
      <c r="H410" s="330">
        <v>27.0</v>
      </c>
      <c r="I410" s="330">
        <v>7.0</v>
      </c>
      <c r="J410" s="330">
        <v>2026.0</v>
      </c>
      <c r="K410" s="328" t="s">
        <v>28</v>
      </c>
      <c r="L410" s="328" t="s">
        <v>1241</v>
      </c>
      <c r="M410" s="328">
        <v>1.0</v>
      </c>
      <c r="N410" s="328">
        <v>3.0</v>
      </c>
      <c r="O410" s="328">
        <v>6.0</v>
      </c>
      <c r="P410" s="329">
        <v>46235.0</v>
      </c>
      <c r="Q410" s="331">
        <v>1.0</v>
      </c>
      <c r="R410" s="331">
        <v>8.0</v>
      </c>
      <c r="S410" s="330">
        <v>2026.0</v>
      </c>
      <c r="T410" s="328" t="s">
        <v>28</v>
      </c>
      <c r="U410" s="328">
        <v>102.74</v>
      </c>
      <c r="V410" s="329">
        <v>46235.0</v>
      </c>
      <c r="W410" s="330">
        <v>1.0</v>
      </c>
      <c r="X410" s="330">
        <v>8.0</v>
      </c>
      <c r="Y410" s="330">
        <v>2026.0</v>
      </c>
      <c r="Z410" s="328" t="s">
        <v>28</v>
      </c>
    </row>
    <row r="411">
      <c r="A411" s="328" t="s">
        <v>1283</v>
      </c>
      <c r="B411" s="328">
        <v>5.397651587E9</v>
      </c>
      <c r="C411" s="329">
        <v>46226.0</v>
      </c>
      <c r="D411" s="330">
        <v>23.0</v>
      </c>
      <c r="E411" s="330">
        <v>7.0</v>
      </c>
      <c r="F411" s="330">
        <v>2026.0</v>
      </c>
      <c r="G411" s="329">
        <v>46230.0</v>
      </c>
      <c r="H411" s="330">
        <v>27.0</v>
      </c>
      <c r="I411" s="330">
        <v>7.0</v>
      </c>
      <c r="J411" s="330">
        <v>2026.0</v>
      </c>
      <c r="K411" s="328" t="s">
        <v>28</v>
      </c>
      <c r="L411" s="328" t="s">
        <v>1241</v>
      </c>
      <c r="M411" s="328">
        <v>1.0</v>
      </c>
      <c r="N411" s="328">
        <v>4.0</v>
      </c>
      <c r="O411" s="328">
        <v>8.0</v>
      </c>
      <c r="P411" s="329">
        <v>46235.0</v>
      </c>
      <c r="Q411" s="331">
        <v>1.0</v>
      </c>
      <c r="R411" s="331">
        <v>8.0</v>
      </c>
      <c r="S411" s="330">
        <v>2026.0</v>
      </c>
      <c r="T411" s="328" t="s">
        <v>28</v>
      </c>
      <c r="U411" s="328">
        <v>141.17</v>
      </c>
      <c r="V411" s="329">
        <v>46235.0</v>
      </c>
      <c r="W411" s="330">
        <v>1.0</v>
      </c>
      <c r="X411" s="330">
        <v>8.0</v>
      </c>
      <c r="Y411" s="330">
        <v>2026.0</v>
      </c>
      <c r="Z411" s="328" t="s">
        <v>28</v>
      </c>
    </row>
    <row r="412">
      <c r="A412" s="328" t="s">
        <v>1284</v>
      </c>
      <c r="B412" s="328">
        <v>6.709752168E9</v>
      </c>
      <c r="C412" s="329">
        <v>46228.0</v>
      </c>
      <c r="D412" s="330">
        <v>25.0</v>
      </c>
      <c r="E412" s="330">
        <v>7.0</v>
      </c>
      <c r="F412" s="330">
        <v>2026.0</v>
      </c>
      <c r="G412" s="329">
        <v>46229.0</v>
      </c>
      <c r="H412" s="330">
        <v>26.0</v>
      </c>
      <c r="I412" s="330">
        <v>7.0</v>
      </c>
      <c r="J412" s="330">
        <v>2026.0</v>
      </c>
      <c r="K412" s="328" t="s">
        <v>28</v>
      </c>
      <c r="L412" s="328" t="s">
        <v>1241</v>
      </c>
      <c r="M412" s="328">
        <v>1.0</v>
      </c>
      <c r="N412" s="328">
        <v>1.0</v>
      </c>
      <c r="O412" s="328">
        <v>2.0</v>
      </c>
      <c r="P412" s="329">
        <v>46235.0</v>
      </c>
      <c r="Q412" s="331">
        <v>1.0</v>
      </c>
      <c r="R412" s="331">
        <v>8.0</v>
      </c>
      <c r="S412" s="330">
        <v>2026.0</v>
      </c>
      <c r="T412" s="328" t="s">
        <v>28</v>
      </c>
      <c r="U412" s="328">
        <v>45.95</v>
      </c>
      <c r="V412" s="329">
        <v>46235.0</v>
      </c>
      <c r="W412" s="330">
        <v>1.0</v>
      </c>
      <c r="X412" s="330">
        <v>8.0</v>
      </c>
      <c r="Y412" s="330">
        <v>2026.0</v>
      </c>
      <c r="Z412" s="328" t="s">
        <v>28</v>
      </c>
    </row>
    <row r="413">
      <c r="A413" s="328" t="s">
        <v>1286</v>
      </c>
      <c r="B413" s="328">
        <v>6.357404551E9</v>
      </c>
      <c r="C413" s="329">
        <v>46228.0</v>
      </c>
      <c r="D413" s="330">
        <v>25.0</v>
      </c>
      <c r="E413" s="330">
        <v>7.0</v>
      </c>
      <c r="F413" s="330">
        <v>2026.0</v>
      </c>
      <c r="G413" s="329">
        <v>46229.0</v>
      </c>
      <c r="H413" s="330">
        <v>26.0</v>
      </c>
      <c r="I413" s="330">
        <v>7.0</v>
      </c>
      <c r="J413" s="330">
        <v>2026.0</v>
      </c>
      <c r="K413" s="328" t="s">
        <v>28</v>
      </c>
      <c r="L413" s="328" t="s">
        <v>1241</v>
      </c>
      <c r="M413" s="328">
        <v>2.0</v>
      </c>
      <c r="N413" s="328">
        <v>1.0</v>
      </c>
      <c r="O413" s="328">
        <v>4.0</v>
      </c>
      <c r="P413" s="329">
        <v>46235.0</v>
      </c>
      <c r="Q413" s="331">
        <v>1.0</v>
      </c>
      <c r="R413" s="331">
        <v>8.0</v>
      </c>
      <c r="S413" s="330">
        <v>2026.0</v>
      </c>
      <c r="T413" s="328" t="s">
        <v>28</v>
      </c>
      <c r="U413" s="328">
        <v>58.46</v>
      </c>
      <c r="V413" s="329">
        <v>46235.0</v>
      </c>
      <c r="W413" s="330">
        <v>1.0</v>
      </c>
      <c r="X413" s="330">
        <v>8.0</v>
      </c>
      <c r="Y413" s="330">
        <v>2026.0</v>
      </c>
      <c r="Z413" s="328" t="s">
        <v>28</v>
      </c>
    </row>
    <row r="414">
      <c r="A414" s="328" t="s">
        <v>1287</v>
      </c>
      <c r="B414" s="328">
        <v>5.479906632E9</v>
      </c>
      <c r="C414" s="329">
        <v>46226.0</v>
      </c>
      <c r="D414" s="330">
        <v>23.0</v>
      </c>
      <c r="E414" s="330">
        <v>7.0</v>
      </c>
      <c r="F414" s="330">
        <v>2026.0</v>
      </c>
      <c r="G414" s="329">
        <v>46229.0</v>
      </c>
      <c r="H414" s="330">
        <v>26.0</v>
      </c>
      <c r="I414" s="330">
        <v>7.0</v>
      </c>
      <c r="J414" s="330">
        <v>2026.0</v>
      </c>
      <c r="K414" s="328" t="s">
        <v>28</v>
      </c>
      <c r="L414" s="328" t="s">
        <v>1241</v>
      </c>
      <c r="M414" s="328">
        <v>1.0</v>
      </c>
      <c r="N414" s="328">
        <v>3.0</v>
      </c>
      <c r="O414" s="328">
        <v>6.0</v>
      </c>
      <c r="P414" s="329">
        <v>46235.0</v>
      </c>
      <c r="Q414" s="331">
        <v>1.0</v>
      </c>
      <c r="R414" s="331">
        <v>8.0</v>
      </c>
      <c r="S414" s="330">
        <v>2026.0</v>
      </c>
      <c r="T414" s="328" t="s">
        <v>28</v>
      </c>
      <c r="U414" s="328">
        <v>87.7</v>
      </c>
      <c r="V414" s="329">
        <v>46235.0</v>
      </c>
      <c r="W414" s="330">
        <v>1.0</v>
      </c>
      <c r="X414" s="330">
        <v>8.0</v>
      </c>
      <c r="Y414" s="330">
        <v>2026.0</v>
      </c>
      <c r="Z414" s="328" t="s">
        <v>28</v>
      </c>
    </row>
    <row r="415">
      <c r="A415" s="328" t="s">
        <v>1288</v>
      </c>
      <c r="B415" s="328">
        <v>5.729395447E9</v>
      </c>
      <c r="C415" s="329">
        <v>46225.0</v>
      </c>
      <c r="D415" s="330">
        <v>22.0</v>
      </c>
      <c r="E415" s="330">
        <v>7.0</v>
      </c>
      <c r="F415" s="330">
        <v>2026.0</v>
      </c>
      <c r="G415" s="329">
        <v>46228.0</v>
      </c>
      <c r="H415" s="330">
        <v>25.0</v>
      </c>
      <c r="I415" s="330">
        <v>7.0</v>
      </c>
      <c r="J415" s="330">
        <v>2026.0</v>
      </c>
      <c r="K415" s="328" t="s">
        <v>28</v>
      </c>
      <c r="L415" s="328" t="s">
        <v>1241</v>
      </c>
      <c r="M415" s="328">
        <v>1.0</v>
      </c>
      <c r="N415" s="328">
        <v>3.0</v>
      </c>
      <c r="O415" s="328">
        <v>6.0</v>
      </c>
      <c r="P415" s="329">
        <v>46235.0</v>
      </c>
      <c r="Q415" s="331">
        <v>1.0</v>
      </c>
      <c r="R415" s="331">
        <v>8.0</v>
      </c>
      <c r="S415" s="330">
        <v>2026.0</v>
      </c>
      <c r="T415" s="328" t="s">
        <v>28</v>
      </c>
      <c r="U415" s="328">
        <v>103.58</v>
      </c>
      <c r="V415" s="329">
        <v>46235.0</v>
      </c>
      <c r="W415" s="330">
        <v>1.0</v>
      </c>
      <c r="X415" s="330">
        <v>8.0</v>
      </c>
      <c r="Y415" s="330">
        <v>2026.0</v>
      </c>
      <c r="Z415" s="328" t="s">
        <v>28</v>
      </c>
    </row>
    <row r="416">
      <c r="A416" s="328" t="s">
        <v>1289</v>
      </c>
      <c r="B416" s="328">
        <v>6.502721199E9</v>
      </c>
      <c r="C416" s="329">
        <v>46226.0</v>
      </c>
      <c r="D416" s="330">
        <v>23.0</v>
      </c>
      <c r="E416" s="330">
        <v>7.0</v>
      </c>
      <c r="F416" s="330">
        <v>2026.0</v>
      </c>
      <c r="G416" s="329">
        <v>46227.0</v>
      </c>
      <c r="H416" s="330">
        <v>24.0</v>
      </c>
      <c r="I416" s="330">
        <v>7.0</v>
      </c>
      <c r="J416" s="330">
        <v>2026.0</v>
      </c>
      <c r="K416" s="328" t="s">
        <v>28</v>
      </c>
      <c r="L416" s="328" t="s">
        <v>1241</v>
      </c>
      <c r="M416" s="328">
        <v>1.0</v>
      </c>
      <c r="N416" s="328">
        <v>1.0</v>
      </c>
      <c r="O416" s="328">
        <v>2.0</v>
      </c>
      <c r="P416" s="329">
        <v>46235.0</v>
      </c>
      <c r="Q416" s="331">
        <v>1.0</v>
      </c>
      <c r="R416" s="331">
        <v>8.0</v>
      </c>
      <c r="S416" s="330">
        <v>2026.0</v>
      </c>
      <c r="T416" s="328" t="s">
        <v>28</v>
      </c>
      <c r="U416" s="328">
        <v>37.59</v>
      </c>
      <c r="V416" s="329">
        <v>46235.0</v>
      </c>
      <c r="W416" s="330">
        <v>1.0</v>
      </c>
      <c r="X416" s="330">
        <v>8.0</v>
      </c>
      <c r="Y416" s="330">
        <v>2026.0</v>
      </c>
      <c r="Z416" s="328" t="s">
        <v>28</v>
      </c>
    </row>
    <row r="417">
      <c r="A417" s="328" t="s">
        <v>1291</v>
      </c>
      <c r="B417" s="328">
        <v>5.175403527E9</v>
      </c>
      <c r="C417" s="329">
        <v>46226.0</v>
      </c>
      <c r="D417" s="330">
        <v>23.0</v>
      </c>
      <c r="E417" s="330">
        <v>7.0</v>
      </c>
      <c r="F417" s="330">
        <v>2026.0</v>
      </c>
      <c r="G417" s="329">
        <v>46227.0</v>
      </c>
      <c r="H417" s="330">
        <v>24.0</v>
      </c>
      <c r="I417" s="330">
        <v>7.0</v>
      </c>
      <c r="J417" s="330">
        <v>2026.0</v>
      </c>
      <c r="K417" s="328" t="s">
        <v>28</v>
      </c>
      <c r="L417" s="328" t="s">
        <v>1241</v>
      </c>
      <c r="M417" s="328">
        <v>1.0</v>
      </c>
      <c r="N417" s="328">
        <v>1.0</v>
      </c>
      <c r="O417" s="328">
        <v>2.0</v>
      </c>
      <c r="P417" s="329">
        <v>46235.0</v>
      </c>
      <c r="Q417" s="331">
        <v>1.0</v>
      </c>
      <c r="R417" s="331">
        <v>8.0</v>
      </c>
      <c r="S417" s="330">
        <v>2026.0</v>
      </c>
      <c r="T417" s="328" t="s">
        <v>28</v>
      </c>
      <c r="U417" s="328">
        <v>45.95</v>
      </c>
      <c r="V417" s="329">
        <v>46235.0</v>
      </c>
      <c r="W417" s="330">
        <v>1.0</v>
      </c>
      <c r="X417" s="330">
        <v>8.0</v>
      </c>
      <c r="Y417" s="330">
        <v>2026.0</v>
      </c>
      <c r="Z417" s="328" t="s">
        <v>28</v>
      </c>
    </row>
    <row r="418">
      <c r="A418" s="328" t="s">
        <v>1293</v>
      </c>
      <c r="B418" s="328">
        <v>5.561133159E9</v>
      </c>
      <c r="C418" s="329">
        <v>46223.0</v>
      </c>
      <c r="D418" s="330">
        <v>20.0</v>
      </c>
      <c r="E418" s="330">
        <v>7.0</v>
      </c>
      <c r="F418" s="330">
        <v>2026.0</v>
      </c>
      <c r="G418" s="329">
        <v>46226.0</v>
      </c>
      <c r="H418" s="330">
        <v>23.0</v>
      </c>
      <c r="I418" s="330">
        <v>7.0</v>
      </c>
      <c r="J418" s="330">
        <v>2026.0</v>
      </c>
      <c r="K418" s="328" t="s">
        <v>28</v>
      </c>
      <c r="L418" s="328" t="s">
        <v>1241</v>
      </c>
      <c r="M418" s="328">
        <v>1.0</v>
      </c>
      <c r="N418" s="328">
        <v>3.0</v>
      </c>
      <c r="O418" s="328">
        <v>6.0</v>
      </c>
      <c r="P418" s="329">
        <v>46235.0</v>
      </c>
      <c r="Q418" s="331">
        <v>1.0</v>
      </c>
      <c r="R418" s="331">
        <v>8.0</v>
      </c>
      <c r="S418" s="330">
        <v>2026.0</v>
      </c>
      <c r="T418" s="328" t="s">
        <v>28</v>
      </c>
      <c r="U418" s="328">
        <v>112.78</v>
      </c>
      <c r="V418" s="329">
        <v>46235.0</v>
      </c>
      <c r="W418" s="330">
        <v>1.0</v>
      </c>
      <c r="X418" s="330">
        <v>8.0</v>
      </c>
      <c r="Y418" s="330">
        <v>2026.0</v>
      </c>
      <c r="Z418" s="328" t="s">
        <v>28</v>
      </c>
    </row>
    <row r="419">
      <c r="A419" s="328" t="s">
        <v>1295</v>
      </c>
      <c r="B419" s="328">
        <v>5.386047052E9</v>
      </c>
      <c r="C419" s="329">
        <v>46224.0</v>
      </c>
      <c r="D419" s="330">
        <v>21.0</v>
      </c>
      <c r="E419" s="330">
        <v>7.0</v>
      </c>
      <c r="F419" s="330">
        <v>2026.0</v>
      </c>
      <c r="G419" s="329">
        <v>46226.0</v>
      </c>
      <c r="H419" s="330">
        <v>23.0</v>
      </c>
      <c r="I419" s="330">
        <v>7.0</v>
      </c>
      <c r="J419" s="330">
        <v>2026.0</v>
      </c>
      <c r="K419" s="328" t="s">
        <v>28</v>
      </c>
      <c r="L419" s="328" t="s">
        <v>1241</v>
      </c>
      <c r="M419" s="328">
        <v>1.0</v>
      </c>
      <c r="N419" s="328">
        <v>2.0</v>
      </c>
      <c r="O419" s="328">
        <v>4.0</v>
      </c>
      <c r="P419" s="329">
        <v>46235.0</v>
      </c>
      <c r="Q419" s="331">
        <v>1.0</v>
      </c>
      <c r="R419" s="331">
        <v>8.0</v>
      </c>
      <c r="S419" s="330">
        <v>2026.0</v>
      </c>
      <c r="T419" s="328" t="s">
        <v>28</v>
      </c>
      <c r="U419" s="328">
        <v>55.96</v>
      </c>
      <c r="V419" s="329">
        <v>46235.0</v>
      </c>
      <c r="W419" s="330">
        <v>1.0</v>
      </c>
      <c r="X419" s="330">
        <v>8.0</v>
      </c>
      <c r="Y419" s="330">
        <v>2026.0</v>
      </c>
      <c r="Z419" s="328" t="s">
        <v>28</v>
      </c>
    </row>
    <row r="420">
      <c r="A420" s="328" t="s">
        <v>1297</v>
      </c>
      <c r="B420" s="328">
        <v>5.270094679E9</v>
      </c>
      <c r="C420" s="329">
        <v>46224.0</v>
      </c>
      <c r="D420" s="330">
        <v>21.0</v>
      </c>
      <c r="E420" s="330">
        <v>7.0</v>
      </c>
      <c r="F420" s="330">
        <v>2026.0</v>
      </c>
      <c r="G420" s="329">
        <v>46226.0</v>
      </c>
      <c r="H420" s="330">
        <v>23.0</v>
      </c>
      <c r="I420" s="330">
        <v>7.0</v>
      </c>
      <c r="J420" s="330">
        <v>2026.0</v>
      </c>
      <c r="K420" s="328" t="s">
        <v>28</v>
      </c>
      <c r="L420" s="328" t="s">
        <v>1241</v>
      </c>
      <c r="M420" s="328">
        <v>1.0</v>
      </c>
      <c r="N420" s="328">
        <v>2.0</v>
      </c>
      <c r="O420" s="328">
        <v>4.0</v>
      </c>
      <c r="P420" s="329">
        <v>46235.0</v>
      </c>
      <c r="Q420" s="331">
        <v>1.0</v>
      </c>
      <c r="R420" s="331">
        <v>8.0</v>
      </c>
      <c r="S420" s="330">
        <v>2026.0</v>
      </c>
      <c r="T420" s="328" t="s">
        <v>28</v>
      </c>
      <c r="U420" s="328">
        <v>55.96</v>
      </c>
      <c r="V420" s="329">
        <v>46235.0</v>
      </c>
      <c r="W420" s="330">
        <v>1.0</v>
      </c>
      <c r="X420" s="330">
        <v>8.0</v>
      </c>
      <c r="Y420" s="330">
        <v>2026.0</v>
      </c>
      <c r="Z420" s="328" t="s">
        <v>28</v>
      </c>
    </row>
    <row r="421">
      <c r="A421" s="328" t="s">
        <v>1298</v>
      </c>
      <c r="B421" s="328">
        <v>6.806663372E9</v>
      </c>
      <c r="C421" s="329">
        <v>46224.0</v>
      </c>
      <c r="D421" s="330">
        <v>21.0</v>
      </c>
      <c r="E421" s="330">
        <v>7.0</v>
      </c>
      <c r="F421" s="330">
        <v>2026.0</v>
      </c>
      <c r="G421" s="329">
        <v>46225.0</v>
      </c>
      <c r="H421" s="330">
        <v>22.0</v>
      </c>
      <c r="I421" s="330">
        <v>7.0</v>
      </c>
      <c r="J421" s="330">
        <v>2026.0</v>
      </c>
      <c r="K421" s="328" t="s">
        <v>28</v>
      </c>
      <c r="L421" s="328" t="s">
        <v>1241</v>
      </c>
      <c r="M421" s="328">
        <v>1.0</v>
      </c>
      <c r="N421" s="328">
        <v>1.0</v>
      </c>
      <c r="O421" s="328">
        <v>2.0</v>
      </c>
      <c r="P421" s="329">
        <v>46235.0</v>
      </c>
      <c r="Q421" s="331">
        <v>1.0</v>
      </c>
      <c r="R421" s="331">
        <v>8.0</v>
      </c>
      <c r="S421" s="330">
        <v>2026.0</v>
      </c>
      <c r="T421" s="328" t="s">
        <v>28</v>
      </c>
      <c r="U421" s="328">
        <v>29.23</v>
      </c>
      <c r="V421" s="329">
        <v>46235.0</v>
      </c>
      <c r="W421" s="330">
        <v>1.0</v>
      </c>
      <c r="X421" s="330">
        <v>8.0</v>
      </c>
      <c r="Y421" s="330">
        <v>2026.0</v>
      </c>
      <c r="Z421" s="328" t="s">
        <v>28</v>
      </c>
    </row>
    <row r="422">
      <c r="A422" s="328" t="s">
        <v>1299</v>
      </c>
      <c r="B422" s="328">
        <v>6.804381381E9</v>
      </c>
      <c r="C422" s="329">
        <v>46224.0</v>
      </c>
      <c r="D422" s="330">
        <v>21.0</v>
      </c>
      <c r="E422" s="330">
        <v>7.0</v>
      </c>
      <c r="F422" s="330">
        <v>2026.0</v>
      </c>
      <c r="G422" s="329">
        <v>46225.0</v>
      </c>
      <c r="H422" s="330">
        <v>22.0</v>
      </c>
      <c r="I422" s="330">
        <v>7.0</v>
      </c>
      <c r="J422" s="330">
        <v>2026.0</v>
      </c>
      <c r="K422" s="328" t="s">
        <v>28</v>
      </c>
      <c r="L422" s="328" t="s">
        <v>1241</v>
      </c>
      <c r="M422" s="328">
        <v>1.0</v>
      </c>
      <c r="N422" s="328">
        <v>1.0</v>
      </c>
      <c r="O422" s="328">
        <v>2.0</v>
      </c>
      <c r="P422" s="329">
        <v>46235.0</v>
      </c>
      <c r="Q422" s="331">
        <v>1.0</v>
      </c>
      <c r="R422" s="331">
        <v>8.0</v>
      </c>
      <c r="S422" s="330">
        <v>2026.0</v>
      </c>
      <c r="T422" s="328" t="s">
        <v>28</v>
      </c>
      <c r="U422" s="328">
        <v>29.23</v>
      </c>
      <c r="V422" s="329">
        <v>46235.0</v>
      </c>
      <c r="W422" s="330">
        <v>1.0</v>
      </c>
      <c r="X422" s="330">
        <v>8.0</v>
      </c>
      <c r="Y422" s="330">
        <v>2026.0</v>
      </c>
      <c r="Z422" s="328" t="s">
        <v>28</v>
      </c>
    </row>
    <row r="423">
      <c r="A423" s="328" t="s">
        <v>1300</v>
      </c>
      <c r="B423" s="328">
        <v>6.524774784E9</v>
      </c>
      <c r="C423" s="329">
        <v>46222.0</v>
      </c>
      <c r="D423" s="330">
        <v>19.0</v>
      </c>
      <c r="E423" s="330">
        <v>7.0</v>
      </c>
      <c r="F423" s="330">
        <v>2026.0</v>
      </c>
      <c r="G423" s="329">
        <v>46224.0</v>
      </c>
      <c r="H423" s="330">
        <v>21.0</v>
      </c>
      <c r="I423" s="330">
        <v>7.0</v>
      </c>
      <c r="J423" s="330">
        <v>2026.0</v>
      </c>
      <c r="K423" s="328" t="s">
        <v>28</v>
      </c>
      <c r="L423" s="328" t="s">
        <v>1241</v>
      </c>
      <c r="M423" s="328">
        <v>1.0</v>
      </c>
      <c r="N423" s="328">
        <v>2.0</v>
      </c>
      <c r="O423" s="328">
        <v>4.0</v>
      </c>
      <c r="P423" s="329">
        <v>46235.0</v>
      </c>
      <c r="Q423" s="331">
        <v>1.0</v>
      </c>
      <c r="R423" s="331">
        <v>8.0</v>
      </c>
      <c r="S423" s="330">
        <v>2026.0</v>
      </c>
      <c r="T423" s="328" t="s">
        <v>28</v>
      </c>
      <c r="U423" s="328">
        <v>66.82</v>
      </c>
      <c r="V423" s="329">
        <v>46235.0</v>
      </c>
      <c r="W423" s="330">
        <v>1.0</v>
      </c>
      <c r="X423" s="330">
        <v>8.0</v>
      </c>
      <c r="Y423" s="330">
        <v>2026.0</v>
      </c>
      <c r="Z423" s="328" t="s">
        <v>28</v>
      </c>
    </row>
    <row r="424">
      <c r="A424" s="328" t="s">
        <v>1301</v>
      </c>
      <c r="B424" s="328">
        <v>5.760385273E9</v>
      </c>
      <c r="C424" s="329">
        <v>46222.0</v>
      </c>
      <c r="D424" s="330">
        <v>19.0</v>
      </c>
      <c r="E424" s="330">
        <v>7.0</v>
      </c>
      <c r="F424" s="330">
        <v>2026.0</v>
      </c>
      <c r="G424" s="329">
        <v>46224.0</v>
      </c>
      <c r="H424" s="330">
        <v>21.0</v>
      </c>
      <c r="I424" s="330">
        <v>7.0</v>
      </c>
      <c r="J424" s="330">
        <v>2026.0</v>
      </c>
      <c r="K424" s="328" t="s">
        <v>28</v>
      </c>
      <c r="L424" s="328" t="s">
        <v>1241</v>
      </c>
      <c r="M424" s="328">
        <v>1.0</v>
      </c>
      <c r="N424" s="328">
        <v>2.0</v>
      </c>
      <c r="O424" s="328">
        <v>4.0</v>
      </c>
      <c r="P424" s="329">
        <v>46235.0</v>
      </c>
      <c r="Q424" s="331">
        <v>1.0</v>
      </c>
      <c r="R424" s="331">
        <v>8.0</v>
      </c>
      <c r="S424" s="330">
        <v>2026.0</v>
      </c>
      <c r="T424" s="328" t="s">
        <v>28</v>
      </c>
      <c r="U424" s="328">
        <v>53.45</v>
      </c>
      <c r="V424" s="329">
        <v>46235.0</v>
      </c>
      <c r="W424" s="330">
        <v>1.0</v>
      </c>
      <c r="X424" s="330">
        <v>8.0</v>
      </c>
      <c r="Y424" s="330">
        <v>2026.0</v>
      </c>
      <c r="Z424" s="328" t="s">
        <v>28</v>
      </c>
    </row>
    <row r="425">
      <c r="A425" s="328" t="s">
        <v>1302</v>
      </c>
      <c r="B425" s="328">
        <v>5.40577618E9</v>
      </c>
      <c r="C425" s="329">
        <v>46223.0</v>
      </c>
      <c r="D425" s="330">
        <v>20.0</v>
      </c>
      <c r="E425" s="330">
        <v>7.0</v>
      </c>
      <c r="F425" s="330">
        <v>2026.0</v>
      </c>
      <c r="G425" s="329">
        <v>46224.0</v>
      </c>
      <c r="H425" s="330">
        <v>21.0</v>
      </c>
      <c r="I425" s="330">
        <v>7.0</v>
      </c>
      <c r="J425" s="330">
        <v>2026.0</v>
      </c>
      <c r="K425" s="328" t="s">
        <v>28</v>
      </c>
      <c r="L425" s="328" t="s">
        <v>1241</v>
      </c>
      <c r="M425" s="328">
        <v>1.0</v>
      </c>
      <c r="N425" s="328">
        <v>1.0</v>
      </c>
      <c r="O425" s="328">
        <v>2.0</v>
      </c>
      <c r="P425" s="329">
        <v>46235.0</v>
      </c>
      <c r="Q425" s="331">
        <v>1.0</v>
      </c>
      <c r="R425" s="331">
        <v>8.0</v>
      </c>
      <c r="S425" s="330">
        <v>2026.0</v>
      </c>
      <c r="T425" s="328" t="s">
        <v>28</v>
      </c>
      <c r="U425" s="328">
        <v>29.23</v>
      </c>
      <c r="V425" s="329">
        <v>46235.0</v>
      </c>
      <c r="W425" s="330">
        <v>1.0</v>
      </c>
      <c r="X425" s="330">
        <v>8.0</v>
      </c>
      <c r="Y425" s="330">
        <v>2026.0</v>
      </c>
      <c r="Z425" s="328" t="s">
        <v>28</v>
      </c>
    </row>
    <row r="426">
      <c r="A426" s="328" t="s">
        <v>1303</v>
      </c>
      <c r="B426" s="328">
        <v>5.380316604E9</v>
      </c>
      <c r="C426" s="329">
        <v>46223.0</v>
      </c>
      <c r="D426" s="330">
        <v>20.0</v>
      </c>
      <c r="E426" s="330">
        <v>7.0</v>
      </c>
      <c r="F426" s="330">
        <v>2026.0</v>
      </c>
      <c r="G426" s="329">
        <v>46224.0</v>
      </c>
      <c r="H426" s="330">
        <v>21.0</v>
      </c>
      <c r="I426" s="330">
        <v>7.0</v>
      </c>
      <c r="J426" s="330">
        <v>2026.0</v>
      </c>
      <c r="K426" s="328" t="s">
        <v>28</v>
      </c>
      <c r="L426" s="328" t="s">
        <v>1241</v>
      </c>
      <c r="M426" s="328">
        <v>1.0</v>
      </c>
      <c r="N426" s="328">
        <v>1.0</v>
      </c>
      <c r="O426" s="328">
        <v>2.0</v>
      </c>
      <c r="P426" s="329">
        <v>46235.0</v>
      </c>
      <c r="Q426" s="331">
        <v>1.0</v>
      </c>
      <c r="R426" s="331">
        <v>8.0</v>
      </c>
      <c r="S426" s="330">
        <v>2026.0</v>
      </c>
      <c r="T426" s="328" t="s">
        <v>28</v>
      </c>
      <c r="U426" s="328">
        <v>29.23</v>
      </c>
      <c r="V426" s="329">
        <v>46235.0</v>
      </c>
      <c r="W426" s="330">
        <v>1.0</v>
      </c>
      <c r="X426" s="330">
        <v>8.0</v>
      </c>
      <c r="Y426" s="330">
        <v>2026.0</v>
      </c>
      <c r="Z426" s="328" t="s">
        <v>28</v>
      </c>
    </row>
    <row r="427">
      <c r="A427" s="328" t="s">
        <v>1304</v>
      </c>
      <c r="B427" s="328">
        <v>5.270038976E9</v>
      </c>
      <c r="C427" s="329">
        <v>46223.0</v>
      </c>
      <c r="D427" s="330">
        <v>20.0</v>
      </c>
      <c r="E427" s="330">
        <v>7.0</v>
      </c>
      <c r="F427" s="330">
        <v>2026.0</v>
      </c>
      <c r="G427" s="329">
        <v>46224.0</v>
      </c>
      <c r="H427" s="330">
        <v>21.0</v>
      </c>
      <c r="I427" s="330">
        <v>7.0</v>
      </c>
      <c r="J427" s="330">
        <v>2026.0</v>
      </c>
      <c r="K427" s="328" t="s">
        <v>28</v>
      </c>
      <c r="L427" s="328" t="s">
        <v>1241</v>
      </c>
      <c r="M427" s="328">
        <v>1.0</v>
      </c>
      <c r="N427" s="328">
        <v>1.0</v>
      </c>
      <c r="O427" s="328">
        <v>2.0</v>
      </c>
      <c r="P427" s="329">
        <v>46235.0</v>
      </c>
      <c r="Q427" s="331">
        <v>1.0</v>
      </c>
      <c r="R427" s="331">
        <v>8.0</v>
      </c>
      <c r="S427" s="330">
        <v>2026.0</v>
      </c>
      <c r="T427" s="328" t="s">
        <v>28</v>
      </c>
      <c r="U427" s="328">
        <v>26.72</v>
      </c>
      <c r="V427" s="329">
        <v>46235.0</v>
      </c>
      <c r="W427" s="330">
        <v>1.0</v>
      </c>
      <c r="X427" s="330">
        <v>8.0</v>
      </c>
      <c r="Y427" s="330">
        <v>2026.0</v>
      </c>
      <c r="Z427" s="328" t="s">
        <v>28</v>
      </c>
    </row>
    <row r="428">
      <c r="A428" s="328" t="s">
        <v>1305</v>
      </c>
      <c r="B428" s="328">
        <v>6.959068645E9</v>
      </c>
      <c r="C428" s="329">
        <v>46221.0</v>
      </c>
      <c r="D428" s="330">
        <v>18.0</v>
      </c>
      <c r="E428" s="330">
        <v>7.0</v>
      </c>
      <c r="F428" s="330">
        <v>2026.0</v>
      </c>
      <c r="G428" s="329">
        <v>46223.0</v>
      </c>
      <c r="H428" s="330">
        <v>20.0</v>
      </c>
      <c r="I428" s="330">
        <v>7.0</v>
      </c>
      <c r="J428" s="330">
        <v>2026.0</v>
      </c>
      <c r="K428" s="328" t="s">
        <v>28</v>
      </c>
      <c r="L428" s="328" t="s">
        <v>1241</v>
      </c>
      <c r="M428" s="328">
        <v>1.0</v>
      </c>
      <c r="N428" s="328">
        <v>2.0</v>
      </c>
      <c r="O428" s="328">
        <v>4.0</v>
      </c>
      <c r="P428" s="329">
        <v>46235.0</v>
      </c>
      <c r="Q428" s="331">
        <v>1.0</v>
      </c>
      <c r="R428" s="331">
        <v>8.0</v>
      </c>
      <c r="S428" s="330">
        <v>2026.0</v>
      </c>
      <c r="T428" s="328" t="s">
        <v>28</v>
      </c>
      <c r="U428" s="328">
        <v>61.81</v>
      </c>
      <c r="V428" s="329">
        <v>46235.0</v>
      </c>
      <c r="W428" s="330">
        <v>1.0</v>
      </c>
      <c r="X428" s="330">
        <v>8.0</v>
      </c>
      <c r="Y428" s="330">
        <v>2026.0</v>
      </c>
      <c r="Z428" s="328" t="s">
        <v>28</v>
      </c>
    </row>
    <row r="429">
      <c r="A429" s="328" t="s">
        <v>1306</v>
      </c>
      <c r="B429" s="328">
        <v>6.065746919E9</v>
      </c>
      <c r="C429" s="329">
        <v>46222.0</v>
      </c>
      <c r="D429" s="330">
        <v>19.0</v>
      </c>
      <c r="E429" s="330">
        <v>7.0</v>
      </c>
      <c r="F429" s="330">
        <v>2026.0</v>
      </c>
      <c r="G429" s="329">
        <v>46223.0</v>
      </c>
      <c r="H429" s="330">
        <v>20.0</v>
      </c>
      <c r="I429" s="330">
        <v>7.0</v>
      </c>
      <c r="J429" s="330">
        <v>2026.0</v>
      </c>
      <c r="K429" s="328" t="s">
        <v>28</v>
      </c>
      <c r="L429" s="328" t="s">
        <v>1241</v>
      </c>
      <c r="M429" s="328">
        <v>1.0</v>
      </c>
      <c r="N429" s="328">
        <v>1.0</v>
      </c>
      <c r="O429" s="328">
        <v>2.0</v>
      </c>
      <c r="P429" s="329">
        <v>46235.0</v>
      </c>
      <c r="Q429" s="331">
        <v>1.0</v>
      </c>
      <c r="R429" s="331">
        <v>8.0</v>
      </c>
      <c r="S429" s="330">
        <v>2026.0</v>
      </c>
      <c r="T429" s="328" t="s">
        <v>28</v>
      </c>
      <c r="U429" s="328">
        <v>29.23</v>
      </c>
      <c r="V429" s="329">
        <v>46235.0</v>
      </c>
      <c r="W429" s="330">
        <v>1.0</v>
      </c>
      <c r="X429" s="330">
        <v>8.0</v>
      </c>
      <c r="Y429" s="330">
        <v>2026.0</v>
      </c>
      <c r="Z429" s="328" t="s">
        <v>28</v>
      </c>
    </row>
    <row r="430">
      <c r="A430" s="328" t="s">
        <v>1308</v>
      </c>
      <c r="B430" s="328">
        <v>5.974542123E9</v>
      </c>
      <c r="C430" s="329">
        <v>46218.0</v>
      </c>
      <c r="D430" s="330">
        <v>15.0</v>
      </c>
      <c r="E430" s="330">
        <v>7.0</v>
      </c>
      <c r="F430" s="330">
        <v>2026.0</v>
      </c>
      <c r="G430" s="329">
        <v>46223.0</v>
      </c>
      <c r="H430" s="330">
        <v>20.0</v>
      </c>
      <c r="I430" s="330">
        <v>7.0</v>
      </c>
      <c r="J430" s="330">
        <v>2026.0</v>
      </c>
      <c r="K430" s="328" t="s">
        <v>28</v>
      </c>
      <c r="L430" s="328" t="s">
        <v>1241</v>
      </c>
      <c r="M430" s="328">
        <v>1.0</v>
      </c>
      <c r="N430" s="328">
        <v>5.0</v>
      </c>
      <c r="O430" s="328">
        <v>10.0</v>
      </c>
      <c r="P430" s="329">
        <v>46235.0</v>
      </c>
      <c r="Q430" s="331">
        <v>1.0</v>
      </c>
      <c r="R430" s="331">
        <v>8.0</v>
      </c>
      <c r="S430" s="330">
        <v>2026.0</v>
      </c>
      <c r="T430" s="328" t="s">
        <v>28</v>
      </c>
      <c r="U430" s="328">
        <v>229.76</v>
      </c>
      <c r="V430" s="329">
        <v>46235.0</v>
      </c>
      <c r="W430" s="330">
        <v>1.0</v>
      </c>
      <c r="X430" s="330">
        <v>8.0</v>
      </c>
      <c r="Y430" s="330">
        <v>2026.0</v>
      </c>
      <c r="Z430" s="328" t="s">
        <v>28</v>
      </c>
    </row>
    <row r="431">
      <c r="A431" s="328" t="s">
        <v>1310</v>
      </c>
      <c r="B431" s="328">
        <v>5.902969462E9</v>
      </c>
      <c r="C431" s="329">
        <v>46222.0</v>
      </c>
      <c r="D431" s="330">
        <v>19.0</v>
      </c>
      <c r="E431" s="330">
        <v>7.0</v>
      </c>
      <c r="F431" s="330">
        <v>2026.0</v>
      </c>
      <c r="G431" s="329">
        <v>46223.0</v>
      </c>
      <c r="H431" s="330">
        <v>20.0</v>
      </c>
      <c r="I431" s="330">
        <v>7.0</v>
      </c>
      <c r="J431" s="330">
        <v>2026.0</v>
      </c>
      <c r="K431" s="328" t="s">
        <v>28</v>
      </c>
      <c r="L431" s="328" t="s">
        <v>1241</v>
      </c>
      <c r="M431" s="328">
        <v>1.0</v>
      </c>
      <c r="N431" s="328">
        <v>1.0</v>
      </c>
      <c r="O431" s="328">
        <v>2.0</v>
      </c>
      <c r="P431" s="329">
        <v>46235.0</v>
      </c>
      <c r="Q431" s="331">
        <v>1.0</v>
      </c>
      <c r="R431" s="331">
        <v>8.0</v>
      </c>
      <c r="S431" s="330">
        <v>2026.0</v>
      </c>
      <c r="T431" s="328" t="s">
        <v>28</v>
      </c>
      <c r="U431" s="328">
        <v>26.72</v>
      </c>
      <c r="V431" s="329">
        <v>46235.0</v>
      </c>
      <c r="W431" s="330">
        <v>1.0</v>
      </c>
      <c r="X431" s="330">
        <v>8.0</v>
      </c>
      <c r="Y431" s="330">
        <v>2026.0</v>
      </c>
      <c r="Z431" s="328" t="s">
        <v>28</v>
      </c>
    </row>
    <row r="432">
      <c r="A432" s="328" t="s">
        <v>1311</v>
      </c>
      <c r="B432" s="328">
        <v>5.354073829E9</v>
      </c>
      <c r="C432" s="329">
        <v>46221.0</v>
      </c>
      <c r="D432" s="330">
        <v>18.0</v>
      </c>
      <c r="E432" s="330">
        <v>7.0</v>
      </c>
      <c r="F432" s="330">
        <v>2026.0</v>
      </c>
      <c r="G432" s="329">
        <v>46223.0</v>
      </c>
      <c r="H432" s="330">
        <v>20.0</v>
      </c>
      <c r="I432" s="330">
        <v>7.0</v>
      </c>
      <c r="J432" s="330">
        <v>2026.0</v>
      </c>
      <c r="K432" s="328" t="s">
        <v>28</v>
      </c>
      <c r="L432" s="328" t="s">
        <v>1241</v>
      </c>
      <c r="M432" s="328">
        <v>1.0</v>
      </c>
      <c r="N432" s="328">
        <v>2.0</v>
      </c>
      <c r="O432" s="328">
        <v>4.0</v>
      </c>
      <c r="P432" s="329">
        <v>46235.0</v>
      </c>
      <c r="Q432" s="331">
        <v>1.0</v>
      </c>
      <c r="R432" s="331">
        <v>8.0</v>
      </c>
      <c r="S432" s="330">
        <v>2026.0</v>
      </c>
      <c r="T432" s="328" t="s">
        <v>28</v>
      </c>
      <c r="U432" s="328">
        <v>75.18</v>
      </c>
      <c r="V432" s="329">
        <v>46235.0</v>
      </c>
      <c r="W432" s="330">
        <v>1.0</v>
      </c>
      <c r="X432" s="330">
        <v>8.0</v>
      </c>
      <c r="Y432" s="330">
        <v>2026.0</v>
      </c>
      <c r="Z432" s="328" t="s">
        <v>28</v>
      </c>
    </row>
    <row r="433">
      <c r="A433" s="328" t="s">
        <v>1313</v>
      </c>
      <c r="B433" s="328">
        <v>6.824493889E9</v>
      </c>
      <c r="C433" s="329">
        <v>46220.0</v>
      </c>
      <c r="D433" s="330">
        <v>17.0</v>
      </c>
      <c r="E433" s="330">
        <v>7.0</v>
      </c>
      <c r="F433" s="330">
        <v>2026.0</v>
      </c>
      <c r="G433" s="329">
        <v>46222.0</v>
      </c>
      <c r="H433" s="330">
        <v>19.0</v>
      </c>
      <c r="I433" s="330">
        <v>7.0</v>
      </c>
      <c r="J433" s="330">
        <v>2026.0</v>
      </c>
      <c r="K433" s="328" t="s">
        <v>28</v>
      </c>
      <c r="L433" s="328" t="s">
        <v>1241</v>
      </c>
      <c r="M433" s="328">
        <v>2.0</v>
      </c>
      <c r="N433" s="328">
        <v>2.0</v>
      </c>
      <c r="O433" s="328">
        <v>8.0</v>
      </c>
      <c r="P433" s="329">
        <v>46235.0</v>
      </c>
      <c r="Q433" s="331">
        <v>1.0</v>
      </c>
      <c r="R433" s="331">
        <v>8.0</v>
      </c>
      <c r="S433" s="330">
        <v>2026.0</v>
      </c>
      <c r="T433" s="328" t="s">
        <v>28</v>
      </c>
      <c r="U433" s="328">
        <v>145.36</v>
      </c>
      <c r="V433" s="329">
        <v>46235.0</v>
      </c>
      <c r="W433" s="330">
        <v>1.0</v>
      </c>
      <c r="X433" s="330">
        <v>8.0</v>
      </c>
      <c r="Y433" s="330">
        <v>2026.0</v>
      </c>
      <c r="Z433" s="328" t="s">
        <v>28</v>
      </c>
    </row>
    <row r="434">
      <c r="A434" s="328" t="s">
        <v>1314</v>
      </c>
      <c r="B434" s="328">
        <v>6.733844892E9</v>
      </c>
      <c r="C434" s="329">
        <v>46220.0</v>
      </c>
      <c r="D434" s="330">
        <v>17.0</v>
      </c>
      <c r="E434" s="330">
        <v>7.0</v>
      </c>
      <c r="F434" s="330">
        <v>2026.0</v>
      </c>
      <c r="G434" s="329">
        <v>46222.0</v>
      </c>
      <c r="H434" s="330">
        <v>19.0</v>
      </c>
      <c r="I434" s="330">
        <v>7.0</v>
      </c>
      <c r="J434" s="330">
        <v>2026.0</v>
      </c>
      <c r="K434" s="328" t="s">
        <v>28</v>
      </c>
      <c r="L434" s="328" t="s">
        <v>1241</v>
      </c>
      <c r="M434" s="328">
        <v>1.0</v>
      </c>
      <c r="N434" s="328">
        <v>2.0</v>
      </c>
      <c r="O434" s="328">
        <v>4.0</v>
      </c>
      <c r="P434" s="329">
        <v>46235.0</v>
      </c>
      <c r="Q434" s="331">
        <v>1.0</v>
      </c>
      <c r="R434" s="331">
        <v>8.0</v>
      </c>
      <c r="S434" s="330">
        <v>2026.0</v>
      </c>
      <c r="T434" s="328" t="s">
        <v>28</v>
      </c>
      <c r="U434" s="328">
        <v>53.45</v>
      </c>
      <c r="V434" s="329">
        <v>46235.0</v>
      </c>
      <c r="W434" s="330">
        <v>1.0</v>
      </c>
      <c r="X434" s="330">
        <v>8.0</v>
      </c>
      <c r="Y434" s="330">
        <v>2026.0</v>
      </c>
      <c r="Z434" s="328" t="s">
        <v>28</v>
      </c>
    </row>
    <row r="435">
      <c r="A435" s="328" t="s">
        <v>1316</v>
      </c>
      <c r="B435" s="328">
        <v>6.124045761E9</v>
      </c>
      <c r="C435" s="329">
        <v>46221.0</v>
      </c>
      <c r="D435" s="330">
        <v>18.0</v>
      </c>
      <c r="E435" s="330">
        <v>7.0</v>
      </c>
      <c r="F435" s="330">
        <v>2026.0</v>
      </c>
      <c r="G435" s="329">
        <v>46222.0</v>
      </c>
      <c r="H435" s="330">
        <v>19.0</v>
      </c>
      <c r="I435" s="330">
        <v>7.0</v>
      </c>
      <c r="J435" s="330">
        <v>2026.0</v>
      </c>
      <c r="K435" s="328" t="s">
        <v>28</v>
      </c>
      <c r="L435" s="328" t="s">
        <v>1241</v>
      </c>
      <c r="M435" s="328">
        <v>2.0</v>
      </c>
      <c r="N435" s="328">
        <v>1.0</v>
      </c>
      <c r="O435" s="328">
        <v>4.0</v>
      </c>
      <c r="P435" s="329">
        <v>46235.0</v>
      </c>
      <c r="Q435" s="331">
        <v>1.0</v>
      </c>
      <c r="R435" s="331">
        <v>8.0</v>
      </c>
      <c r="S435" s="330">
        <v>2026.0</v>
      </c>
      <c r="T435" s="328" t="s">
        <v>28</v>
      </c>
      <c r="U435" s="328">
        <v>58.46</v>
      </c>
      <c r="V435" s="329">
        <v>46235.0</v>
      </c>
      <c r="W435" s="330">
        <v>1.0</v>
      </c>
      <c r="X435" s="330">
        <v>8.0</v>
      </c>
      <c r="Y435" s="330">
        <v>2026.0</v>
      </c>
      <c r="Z435" s="328" t="s">
        <v>28</v>
      </c>
    </row>
    <row r="436">
      <c r="A436" s="328" t="s">
        <v>1318</v>
      </c>
      <c r="B436" s="328">
        <v>6.077591648E9</v>
      </c>
      <c r="C436" s="329">
        <v>46219.0</v>
      </c>
      <c r="D436" s="330">
        <v>16.0</v>
      </c>
      <c r="E436" s="330">
        <v>7.0</v>
      </c>
      <c r="F436" s="330">
        <v>2026.0</v>
      </c>
      <c r="G436" s="329">
        <v>46222.0</v>
      </c>
      <c r="H436" s="330">
        <v>19.0</v>
      </c>
      <c r="I436" s="330">
        <v>7.0</v>
      </c>
      <c r="J436" s="330">
        <v>2026.0</v>
      </c>
      <c r="K436" s="328" t="s">
        <v>28</v>
      </c>
      <c r="L436" s="328" t="s">
        <v>1241</v>
      </c>
      <c r="M436" s="328">
        <v>1.0</v>
      </c>
      <c r="N436" s="328">
        <v>3.0</v>
      </c>
      <c r="O436" s="328">
        <v>6.0</v>
      </c>
      <c r="P436" s="329">
        <v>46235.0</v>
      </c>
      <c r="Q436" s="331">
        <v>1.0</v>
      </c>
      <c r="R436" s="331">
        <v>8.0</v>
      </c>
      <c r="S436" s="330">
        <v>2026.0</v>
      </c>
      <c r="T436" s="328" t="s">
        <v>28</v>
      </c>
      <c r="U436" s="328">
        <v>101.91</v>
      </c>
      <c r="V436" s="329">
        <v>46235.0</v>
      </c>
      <c r="W436" s="330">
        <v>1.0</v>
      </c>
      <c r="X436" s="330">
        <v>8.0</v>
      </c>
      <c r="Y436" s="330">
        <v>2026.0</v>
      </c>
      <c r="Z436" s="328" t="s">
        <v>28</v>
      </c>
    </row>
    <row r="437">
      <c r="A437" s="328" t="s">
        <v>1320</v>
      </c>
      <c r="B437" s="328">
        <v>6.650918013E9</v>
      </c>
      <c r="C437" s="329">
        <v>46218.0</v>
      </c>
      <c r="D437" s="330">
        <v>15.0</v>
      </c>
      <c r="E437" s="330">
        <v>7.0</v>
      </c>
      <c r="F437" s="330">
        <v>2026.0</v>
      </c>
      <c r="G437" s="329">
        <v>46221.0</v>
      </c>
      <c r="H437" s="330">
        <v>18.0</v>
      </c>
      <c r="I437" s="330">
        <v>7.0</v>
      </c>
      <c r="J437" s="330">
        <v>2026.0</v>
      </c>
      <c r="K437" s="328" t="s">
        <v>28</v>
      </c>
      <c r="L437" s="328" t="s">
        <v>1241</v>
      </c>
      <c r="M437" s="328">
        <v>1.0</v>
      </c>
      <c r="N437" s="328">
        <v>3.0</v>
      </c>
      <c r="O437" s="328">
        <v>6.0</v>
      </c>
      <c r="P437" s="329">
        <v>46235.0</v>
      </c>
      <c r="Q437" s="331">
        <v>1.0</v>
      </c>
      <c r="R437" s="331">
        <v>8.0</v>
      </c>
      <c r="S437" s="330">
        <v>2026.0</v>
      </c>
      <c r="T437" s="328" t="s">
        <v>28</v>
      </c>
      <c r="U437" s="328">
        <v>137.86</v>
      </c>
      <c r="V437" s="329">
        <v>46235.0</v>
      </c>
      <c r="W437" s="330">
        <v>1.0</v>
      </c>
      <c r="X437" s="330">
        <v>8.0</v>
      </c>
      <c r="Y437" s="330">
        <v>2026.0</v>
      </c>
      <c r="Z437" s="328" t="s">
        <v>28</v>
      </c>
    </row>
    <row r="438">
      <c r="A438" s="328" t="s">
        <v>1322</v>
      </c>
      <c r="B438" s="328">
        <v>6.182962382E9</v>
      </c>
      <c r="C438" s="329">
        <v>46216.0</v>
      </c>
      <c r="D438" s="330">
        <v>13.0</v>
      </c>
      <c r="E438" s="330">
        <v>7.0</v>
      </c>
      <c r="F438" s="330">
        <v>2026.0</v>
      </c>
      <c r="G438" s="329">
        <v>46221.0</v>
      </c>
      <c r="H438" s="330">
        <v>18.0</v>
      </c>
      <c r="I438" s="330">
        <v>7.0</v>
      </c>
      <c r="J438" s="330">
        <v>2026.0</v>
      </c>
      <c r="K438" s="328" t="s">
        <v>28</v>
      </c>
      <c r="L438" s="328" t="s">
        <v>1241</v>
      </c>
      <c r="M438" s="328">
        <v>1.0</v>
      </c>
      <c r="N438" s="328">
        <v>5.0</v>
      </c>
      <c r="O438" s="328">
        <v>10.0</v>
      </c>
      <c r="P438" s="329">
        <v>46235.0</v>
      </c>
      <c r="Q438" s="331">
        <v>1.0</v>
      </c>
      <c r="R438" s="331">
        <v>8.0</v>
      </c>
      <c r="S438" s="330">
        <v>2026.0</v>
      </c>
      <c r="T438" s="328" t="s">
        <v>28</v>
      </c>
      <c r="U438" s="328">
        <v>213.04</v>
      </c>
      <c r="V438" s="329">
        <v>46235.0</v>
      </c>
      <c r="W438" s="330">
        <v>1.0</v>
      </c>
      <c r="X438" s="330">
        <v>8.0</v>
      </c>
      <c r="Y438" s="330">
        <v>2026.0</v>
      </c>
      <c r="Z438" s="328" t="s">
        <v>28</v>
      </c>
    </row>
    <row r="439">
      <c r="A439" s="328" t="s">
        <v>1324</v>
      </c>
      <c r="B439" s="328">
        <v>6.168971524E9</v>
      </c>
      <c r="C439" s="329">
        <v>46220.0</v>
      </c>
      <c r="D439" s="330">
        <v>17.0</v>
      </c>
      <c r="E439" s="330">
        <v>7.0</v>
      </c>
      <c r="F439" s="330">
        <v>2026.0</v>
      </c>
      <c r="G439" s="329">
        <v>46221.0</v>
      </c>
      <c r="H439" s="330">
        <v>18.0</v>
      </c>
      <c r="I439" s="330">
        <v>7.0</v>
      </c>
      <c r="J439" s="330">
        <v>2026.0</v>
      </c>
      <c r="K439" s="328" t="s">
        <v>28</v>
      </c>
      <c r="L439" s="328" t="s">
        <v>1241</v>
      </c>
      <c r="M439" s="328">
        <v>1.0</v>
      </c>
      <c r="N439" s="328">
        <v>1.0</v>
      </c>
      <c r="O439" s="328">
        <v>2.0</v>
      </c>
      <c r="P439" s="329">
        <v>46235.0</v>
      </c>
      <c r="Q439" s="331">
        <v>1.0</v>
      </c>
      <c r="R439" s="331">
        <v>8.0</v>
      </c>
      <c r="S439" s="330">
        <v>2026.0</v>
      </c>
      <c r="T439" s="328" t="s">
        <v>28</v>
      </c>
      <c r="U439" s="328">
        <v>45.95</v>
      </c>
      <c r="V439" s="329">
        <v>46235.0</v>
      </c>
      <c r="W439" s="330">
        <v>1.0</v>
      </c>
      <c r="X439" s="330">
        <v>8.0</v>
      </c>
      <c r="Y439" s="330">
        <v>2026.0</v>
      </c>
      <c r="Z439" s="328" t="s">
        <v>28</v>
      </c>
    </row>
    <row r="440">
      <c r="A440" s="328" t="s">
        <v>1325</v>
      </c>
      <c r="B440" s="328">
        <v>5.737645056E9</v>
      </c>
      <c r="C440" s="329">
        <v>46220.0</v>
      </c>
      <c r="D440" s="330">
        <v>17.0</v>
      </c>
      <c r="E440" s="330">
        <v>7.0</v>
      </c>
      <c r="F440" s="330">
        <v>2026.0</v>
      </c>
      <c r="G440" s="329">
        <v>46221.0</v>
      </c>
      <c r="H440" s="330">
        <v>18.0</v>
      </c>
      <c r="I440" s="330">
        <v>7.0</v>
      </c>
      <c r="J440" s="330">
        <v>2026.0</v>
      </c>
      <c r="K440" s="328" t="s">
        <v>28</v>
      </c>
      <c r="L440" s="328" t="s">
        <v>1241</v>
      </c>
      <c r="M440" s="328">
        <v>1.0</v>
      </c>
      <c r="N440" s="328">
        <v>1.0</v>
      </c>
      <c r="O440" s="328">
        <v>2.0</v>
      </c>
      <c r="P440" s="329">
        <v>46235.0</v>
      </c>
      <c r="Q440" s="331">
        <v>1.0</v>
      </c>
      <c r="R440" s="331">
        <v>8.0</v>
      </c>
      <c r="S440" s="330">
        <v>2026.0</v>
      </c>
      <c r="T440" s="328" t="s">
        <v>28</v>
      </c>
      <c r="U440" s="328">
        <v>26.72</v>
      </c>
      <c r="V440" s="329">
        <v>46235.0</v>
      </c>
      <c r="W440" s="330">
        <v>1.0</v>
      </c>
      <c r="X440" s="330">
        <v>8.0</v>
      </c>
      <c r="Y440" s="330">
        <v>2026.0</v>
      </c>
      <c r="Z440" s="328" t="s">
        <v>28</v>
      </c>
    </row>
    <row r="441">
      <c r="A441" s="328" t="s">
        <v>1327</v>
      </c>
      <c r="B441" s="328">
        <v>5.651851252E9</v>
      </c>
      <c r="C441" s="329">
        <v>46216.0</v>
      </c>
      <c r="D441" s="330">
        <v>13.0</v>
      </c>
      <c r="E441" s="330">
        <v>7.0</v>
      </c>
      <c r="F441" s="330">
        <v>2026.0</v>
      </c>
      <c r="G441" s="329">
        <v>46221.0</v>
      </c>
      <c r="H441" s="330">
        <v>18.0</v>
      </c>
      <c r="I441" s="330">
        <v>7.0</v>
      </c>
      <c r="J441" s="330">
        <v>2026.0</v>
      </c>
      <c r="K441" s="328" t="s">
        <v>28</v>
      </c>
      <c r="L441" s="328" t="s">
        <v>1241</v>
      </c>
      <c r="M441" s="328">
        <v>1.0</v>
      </c>
      <c r="N441" s="328">
        <v>5.0</v>
      </c>
      <c r="O441" s="328">
        <v>10.0</v>
      </c>
      <c r="P441" s="329">
        <v>46235.0</v>
      </c>
      <c r="Q441" s="331">
        <v>1.0</v>
      </c>
      <c r="R441" s="331">
        <v>8.0</v>
      </c>
      <c r="S441" s="330">
        <v>2026.0</v>
      </c>
      <c r="T441" s="328" t="s">
        <v>28</v>
      </c>
      <c r="U441" s="328">
        <v>313.36</v>
      </c>
      <c r="V441" s="329">
        <v>46235.0</v>
      </c>
      <c r="W441" s="330">
        <v>1.0</v>
      </c>
      <c r="X441" s="330">
        <v>8.0</v>
      </c>
      <c r="Y441" s="330">
        <v>2026.0</v>
      </c>
      <c r="Z441" s="328" t="s">
        <v>28</v>
      </c>
    </row>
    <row r="442">
      <c r="A442" s="328" t="s">
        <v>1329</v>
      </c>
      <c r="B442" s="328">
        <v>5.474879485E9</v>
      </c>
      <c r="C442" s="329">
        <v>46220.0</v>
      </c>
      <c r="D442" s="330">
        <v>17.0</v>
      </c>
      <c r="E442" s="330">
        <v>7.0</v>
      </c>
      <c r="F442" s="330">
        <v>2026.0</v>
      </c>
      <c r="G442" s="329">
        <v>46221.0</v>
      </c>
      <c r="H442" s="330">
        <v>18.0</v>
      </c>
      <c r="I442" s="330">
        <v>7.0</v>
      </c>
      <c r="J442" s="330">
        <v>2026.0</v>
      </c>
      <c r="K442" s="328" t="s">
        <v>28</v>
      </c>
      <c r="L442" s="328" t="s">
        <v>1241</v>
      </c>
      <c r="M442" s="328">
        <v>1.0</v>
      </c>
      <c r="N442" s="328">
        <v>1.0</v>
      </c>
      <c r="O442" s="328">
        <v>2.0</v>
      </c>
      <c r="P442" s="329">
        <v>46235.0</v>
      </c>
      <c r="Q442" s="331">
        <v>1.0</v>
      </c>
      <c r="R442" s="331">
        <v>8.0</v>
      </c>
      <c r="S442" s="330">
        <v>2026.0</v>
      </c>
      <c r="T442" s="328" t="s">
        <v>28</v>
      </c>
      <c r="U442" s="328">
        <v>35.08</v>
      </c>
      <c r="V442" s="329">
        <v>46235.0</v>
      </c>
      <c r="W442" s="330">
        <v>1.0</v>
      </c>
      <c r="X442" s="330">
        <v>8.0</v>
      </c>
      <c r="Y442" s="330">
        <v>2026.0</v>
      </c>
      <c r="Z442" s="328" t="s">
        <v>28</v>
      </c>
    </row>
    <row r="443">
      <c r="A443" s="328" t="s">
        <v>1330</v>
      </c>
      <c r="B443" s="328">
        <v>6.672605979E9</v>
      </c>
      <c r="C443" s="329">
        <v>46217.0</v>
      </c>
      <c r="D443" s="330">
        <v>14.0</v>
      </c>
      <c r="E443" s="330">
        <v>7.0</v>
      </c>
      <c r="F443" s="330">
        <v>2026.0</v>
      </c>
      <c r="G443" s="329">
        <v>46220.0</v>
      </c>
      <c r="H443" s="330">
        <v>17.0</v>
      </c>
      <c r="I443" s="330">
        <v>7.0</v>
      </c>
      <c r="J443" s="330">
        <v>2026.0</v>
      </c>
      <c r="K443" s="328" t="s">
        <v>28</v>
      </c>
      <c r="L443" s="328" t="s">
        <v>1241</v>
      </c>
      <c r="M443" s="328">
        <v>1.0</v>
      </c>
      <c r="N443" s="328">
        <v>3.0</v>
      </c>
      <c r="O443" s="328">
        <v>6.0</v>
      </c>
      <c r="P443" s="329">
        <v>46235.0</v>
      </c>
      <c r="Q443" s="331">
        <v>1.0</v>
      </c>
      <c r="R443" s="331">
        <v>8.0</v>
      </c>
      <c r="S443" s="330">
        <v>2026.0</v>
      </c>
      <c r="T443" s="328" t="s">
        <v>28</v>
      </c>
      <c r="U443" s="328">
        <v>137.86</v>
      </c>
      <c r="V443" s="329">
        <v>46235.0</v>
      </c>
      <c r="W443" s="330">
        <v>1.0</v>
      </c>
      <c r="X443" s="330">
        <v>8.0</v>
      </c>
      <c r="Y443" s="330">
        <v>2026.0</v>
      </c>
      <c r="Z443" s="328" t="s">
        <v>28</v>
      </c>
    </row>
    <row r="444">
      <c r="A444" s="328" t="s">
        <v>1331</v>
      </c>
      <c r="B444" s="328">
        <v>6.134386994E9</v>
      </c>
      <c r="C444" s="329">
        <v>46215.0</v>
      </c>
      <c r="D444" s="330">
        <v>12.0</v>
      </c>
      <c r="E444" s="330">
        <v>7.0</v>
      </c>
      <c r="F444" s="330">
        <v>2026.0</v>
      </c>
      <c r="G444" s="329">
        <v>46220.0</v>
      </c>
      <c r="H444" s="330">
        <v>17.0</v>
      </c>
      <c r="I444" s="330">
        <v>7.0</v>
      </c>
      <c r="J444" s="330">
        <v>2026.0</v>
      </c>
      <c r="K444" s="328" t="s">
        <v>28</v>
      </c>
      <c r="L444" s="328" t="s">
        <v>1241</v>
      </c>
      <c r="M444" s="328">
        <v>1.0</v>
      </c>
      <c r="N444" s="328">
        <v>5.0</v>
      </c>
      <c r="O444" s="328">
        <v>10.0</v>
      </c>
      <c r="P444" s="329">
        <v>46235.0</v>
      </c>
      <c r="Q444" s="331">
        <v>1.0</v>
      </c>
      <c r="R444" s="331">
        <v>8.0</v>
      </c>
      <c r="S444" s="330">
        <v>2026.0</v>
      </c>
      <c r="T444" s="328" t="s">
        <v>28</v>
      </c>
      <c r="U444" s="328">
        <v>313.36</v>
      </c>
      <c r="V444" s="329">
        <v>46235.0</v>
      </c>
      <c r="W444" s="330">
        <v>1.0</v>
      </c>
      <c r="X444" s="330">
        <v>8.0</v>
      </c>
      <c r="Y444" s="330">
        <v>2026.0</v>
      </c>
      <c r="Z444" s="328" t="s">
        <v>28</v>
      </c>
    </row>
    <row r="445">
      <c r="A445" s="328" t="s">
        <v>1332</v>
      </c>
      <c r="B445" s="328">
        <v>5.669172763E9</v>
      </c>
      <c r="C445" s="329">
        <v>46218.0</v>
      </c>
      <c r="D445" s="330">
        <v>15.0</v>
      </c>
      <c r="E445" s="330">
        <v>7.0</v>
      </c>
      <c r="F445" s="330">
        <v>2026.0</v>
      </c>
      <c r="G445" s="329">
        <v>46220.0</v>
      </c>
      <c r="H445" s="330">
        <v>17.0</v>
      </c>
      <c r="I445" s="330">
        <v>7.0</v>
      </c>
      <c r="J445" s="330">
        <v>2026.0</v>
      </c>
      <c r="K445" s="328" t="s">
        <v>28</v>
      </c>
      <c r="L445" s="328" t="s">
        <v>1241</v>
      </c>
      <c r="M445" s="328">
        <v>3.0</v>
      </c>
      <c r="N445" s="328">
        <v>2.0</v>
      </c>
      <c r="O445" s="328">
        <v>12.0</v>
      </c>
      <c r="P445" s="329">
        <v>46235.0</v>
      </c>
      <c r="Q445" s="331">
        <v>1.0</v>
      </c>
      <c r="R445" s="331">
        <v>8.0</v>
      </c>
      <c r="S445" s="330">
        <v>2026.0</v>
      </c>
      <c r="T445" s="328" t="s">
        <v>28</v>
      </c>
      <c r="U445" s="328">
        <v>275.7</v>
      </c>
      <c r="V445" s="329">
        <v>46235.0</v>
      </c>
      <c r="W445" s="330">
        <v>1.0</v>
      </c>
      <c r="X445" s="330">
        <v>8.0</v>
      </c>
      <c r="Y445" s="330">
        <v>2026.0</v>
      </c>
      <c r="Z445" s="328" t="s">
        <v>28</v>
      </c>
    </row>
    <row r="446">
      <c r="A446" s="328" t="s">
        <v>1334</v>
      </c>
      <c r="B446" s="328">
        <v>6.270874793E9</v>
      </c>
      <c r="C446" s="329">
        <v>46217.0</v>
      </c>
      <c r="D446" s="330">
        <v>14.0</v>
      </c>
      <c r="E446" s="330">
        <v>7.0</v>
      </c>
      <c r="F446" s="330">
        <v>2026.0</v>
      </c>
      <c r="G446" s="329">
        <v>46219.0</v>
      </c>
      <c r="H446" s="330">
        <v>16.0</v>
      </c>
      <c r="I446" s="330">
        <v>7.0</v>
      </c>
      <c r="J446" s="330">
        <v>2026.0</v>
      </c>
      <c r="K446" s="328" t="s">
        <v>28</v>
      </c>
      <c r="L446" s="328" t="s">
        <v>1241</v>
      </c>
      <c r="M446" s="328">
        <v>1.0</v>
      </c>
      <c r="N446" s="328">
        <v>2.0</v>
      </c>
      <c r="O446" s="328">
        <v>4.0</v>
      </c>
      <c r="P446" s="329">
        <v>46235.0</v>
      </c>
      <c r="Q446" s="331">
        <v>1.0</v>
      </c>
      <c r="R446" s="331">
        <v>8.0</v>
      </c>
      <c r="S446" s="330">
        <v>2026.0</v>
      </c>
      <c r="T446" s="328" t="s">
        <v>28</v>
      </c>
      <c r="U446" s="328">
        <v>66.82</v>
      </c>
      <c r="V446" s="329">
        <v>46235.0</v>
      </c>
      <c r="W446" s="330">
        <v>1.0</v>
      </c>
      <c r="X446" s="330">
        <v>8.0</v>
      </c>
      <c r="Y446" s="330">
        <v>2026.0</v>
      </c>
      <c r="Z446" s="328" t="s">
        <v>28</v>
      </c>
    </row>
    <row r="447">
      <c r="A447" s="328" t="s">
        <v>1335</v>
      </c>
      <c r="B447" s="328">
        <v>5.901778279E9</v>
      </c>
      <c r="C447" s="329">
        <v>46214.0</v>
      </c>
      <c r="D447" s="330">
        <v>11.0</v>
      </c>
      <c r="E447" s="330">
        <v>7.0</v>
      </c>
      <c r="F447" s="330">
        <v>2026.0</v>
      </c>
      <c r="G447" s="329">
        <v>46219.0</v>
      </c>
      <c r="H447" s="330">
        <v>16.0</v>
      </c>
      <c r="I447" s="330">
        <v>7.0</v>
      </c>
      <c r="J447" s="330">
        <v>2026.0</v>
      </c>
      <c r="K447" s="328" t="s">
        <v>28</v>
      </c>
      <c r="L447" s="328" t="s">
        <v>1241</v>
      </c>
      <c r="M447" s="328">
        <v>1.0</v>
      </c>
      <c r="N447" s="328">
        <v>5.0</v>
      </c>
      <c r="O447" s="328">
        <v>10.0</v>
      </c>
      <c r="P447" s="329">
        <v>46235.0</v>
      </c>
      <c r="Q447" s="331">
        <v>1.0</v>
      </c>
      <c r="R447" s="331">
        <v>8.0</v>
      </c>
      <c r="S447" s="330">
        <v>2026.0</v>
      </c>
      <c r="T447" s="328" t="s">
        <v>28</v>
      </c>
      <c r="U447" s="328">
        <v>162.88</v>
      </c>
      <c r="V447" s="329">
        <v>46235.0</v>
      </c>
      <c r="W447" s="330">
        <v>1.0</v>
      </c>
      <c r="X447" s="330">
        <v>8.0</v>
      </c>
      <c r="Y447" s="330">
        <v>2026.0</v>
      </c>
      <c r="Z447" s="328" t="s">
        <v>28</v>
      </c>
    </row>
    <row r="448">
      <c r="A448" s="328" t="s">
        <v>1336</v>
      </c>
      <c r="B448" s="328">
        <v>5.572887552E9</v>
      </c>
      <c r="C448" s="329">
        <v>46215.0</v>
      </c>
      <c r="D448" s="330">
        <v>12.0</v>
      </c>
      <c r="E448" s="330">
        <v>7.0</v>
      </c>
      <c r="F448" s="330">
        <v>2026.0</v>
      </c>
      <c r="G448" s="329">
        <v>46219.0</v>
      </c>
      <c r="H448" s="330">
        <v>16.0</v>
      </c>
      <c r="I448" s="330">
        <v>7.0</v>
      </c>
      <c r="J448" s="330">
        <v>2026.0</v>
      </c>
      <c r="K448" s="328" t="s">
        <v>28</v>
      </c>
      <c r="L448" s="328" t="s">
        <v>1241</v>
      </c>
      <c r="M448" s="328">
        <v>1.0</v>
      </c>
      <c r="N448" s="328">
        <v>4.0</v>
      </c>
      <c r="O448" s="328">
        <v>8.0</v>
      </c>
      <c r="P448" s="329">
        <v>46235.0</v>
      </c>
      <c r="Q448" s="331">
        <v>1.0</v>
      </c>
      <c r="R448" s="331">
        <v>8.0</v>
      </c>
      <c r="S448" s="330">
        <v>2026.0</v>
      </c>
      <c r="T448" s="328" t="s">
        <v>28</v>
      </c>
      <c r="U448" s="328">
        <v>142.01</v>
      </c>
      <c r="V448" s="329">
        <v>46235.0</v>
      </c>
      <c r="W448" s="330">
        <v>1.0</v>
      </c>
      <c r="X448" s="330">
        <v>8.0</v>
      </c>
      <c r="Y448" s="330">
        <v>2026.0</v>
      </c>
      <c r="Z448" s="328" t="s">
        <v>28</v>
      </c>
    </row>
    <row r="449">
      <c r="A449" s="328" t="s">
        <v>1337</v>
      </c>
      <c r="B449" s="328">
        <v>6.905531463E9</v>
      </c>
      <c r="C449" s="329">
        <v>46217.0</v>
      </c>
      <c r="D449" s="330">
        <v>14.0</v>
      </c>
      <c r="E449" s="330">
        <v>7.0</v>
      </c>
      <c r="F449" s="330">
        <v>2026.0</v>
      </c>
      <c r="G449" s="329">
        <v>46218.0</v>
      </c>
      <c r="H449" s="330">
        <v>15.0</v>
      </c>
      <c r="I449" s="330">
        <v>7.0</v>
      </c>
      <c r="J449" s="330">
        <v>2026.0</v>
      </c>
      <c r="K449" s="328" t="s">
        <v>28</v>
      </c>
      <c r="L449" s="328" t="s">
        <v>1241</v>
      </c>
      <c r="M449" s="328">
        <v>1.0</v>
      </c>
      <c r="N449" s="328">
        <v>1.0</v>
      </c>
      <c r="O449" s="328">
        <v>2.0</v>
      </c>
      <c r="P449" s="329">
        <v>46235.0</v>
      </c>
      <c r="Q449" s="331">
        <v>1.0</v>
      </c>
      <c r="R449" s="331">
        <v>8.0</v>
      </c>
      <c r="S449" s="330">
        <v>2026.0</v>
      </c>
      <c r="T449" s="328" t="s">
        <v>28</v>
      </c>
      <c r="U449" s="328">
        <v>37.59</v>
      </c>
      <c r="V449" s="329">
        <v>46235.0</v>
      </c>
      <c r="W449" s="330">
        <v>1.0</v>
      </c>
      <c r="X449" s="330">
        <v>8.0</v>
      </c>
      <c r="Y449" s="330">
        <v>2026.0</v>
      </c>
      <c r="Z449" s="328" t="s">
        <v>28</v>
      </c>
    </row>
    <row r="450">
      <c r="A450" s="328" t="s">
        <v>1338</v>
      </c>
      <c r="B450" s="328">
        <v>6.728334343E9</v>
      </c>
      <c r="C450" s="329">
        <v>46215.0</v>
      </c>
      <c r="D450" s="330">
        <v>12.0</v>
      </c>
      <c r="E450" s="330">
        <v>7.0</v>
      </c>
      <c r="F450" s="330">
        <v>2026.0</v>
      </c>
      <c r="G450" s="329">
        <v>46218.0</v>
      </c>
      <c r="H450" s="330">
        <v>15.0</v>
      </c>
      <c r="I450" s="330">
        <v>7.0</v>
      </c>
      <c r="J450" s="330">
        <v>2026.0</v>
      </c>
      <c r="K450" s="328" t="s">
        <v>28</v>
      </c>
      <c r="L450" s="328" t="s">
        <v>1241</v>
      </c>
      <c r="M450" s="328">
        <v>1.0</v>
      </c>
      <c r="N450" s="328">
        <v>3.0</v>
      </c>
      <c r="O450" s="328">
        <v>6.0</v>
      </c>
      <c r="P450" s="329">
        <v>46235.0</v>
      </c>
      <c r="Q450" s="331">
        <v>1.0</v>
      </c>
      <c r="R450" s="331">
        <v>8.0</v>
      </c>
      <c r="S450" s="330">
        <v>2026.0</v>
      </c>
      <c r="T450" s="328" t="s">
        <v>28</v>
      </c>
      <c r="U450" s="328">
        <v>110.27</v>
      </c>
      <c r="V450" s="329">
        <v>46235.0</v>
      </c>
      <c r="W450" s="330">
        <v>1.0</v>
      </c>
      <c r="X450" s="330">
        <v>8.0</v>
      </c>
      <c r="Y450" s="330">
        <v>2026.0</v>
      </c>
      <c r="Z450" s="328" t="s">
        <v>28</v>
      </c>
    </row>
    <row r="451">
      <c r="A451" s="328" t="s">
        <v>1339</v>
      </c>
      <c r="B451" s="328">
        <v>5.927708622E9</v>
      </c>
      <c r="C451" s="329">
        <v>46217.0</v>
      </c>
      <c r="D451" s="330">
        <v>14.0</v>
      </c>
      <c r="E451" s="330">
        <v>7.0</v>
      </c>
      <c r="F451" s="330">
        <v>2026.0</v>
      </c>
      <c r="G451" s="329">
        <v>46218.0</v>
      </c>
      <c r="H451" s="330">
        <v>15.0</v>
      </c>
      <c r="I451" s="330">
        <v>7.0</v>
      </c>
      <c r="J451" s="330">
        <v>2026.0</v>
      </c>
      <c r="K451" s="328" t="s">
        <v>28</v>
      </c>
      <c r="L451" s="328" t="s">
        <v>1241</v>
      </c>
      <c r="M451" s="328">
        <v>1.0</v>
      </c>
      <c r="N451" s="328">
        <v>1.0</v>
      </c>
      <c r="O451" s="328">
        <v>2.0</v>
      </c>
      <c r="P451" s="329">
        <v>46235.0</v>
      </c>
      <c r="Q451" s="331">
        <v>1.0</v>
      </c>
      <c r="R451" s="331">
        <v>8.0</v>
      </c>
      <c r="S451" s="330">
        <v>2026.0</v>
      </c>
      <c r="T451" s="328" t="s">
        <v>28</v>
      </c>
      <c r="U451" s="328">
        <v>29.23</v>
      </c>
      <c r="V451" s="329">
        <v>46235.0</v>
      </c>
      <c r="W451" s="330">
        <v>1.0</v>
      </c>
      <c r="X451" s="330">
        <v>8.0</v>
      </c>
      <c r="Y451" s="330">
        <v>2026.0</v>
      </c>
      <c r="Z451" s="328" t="s">
        <v>28</v>
      </c>
    </row>
    <row r="452">
      <c r="A452" s="328" t="s">
        <v>1340</v>
      </c>
      <c r="B452" s="328">
        <v>5.397279014E9</v>
      </c>
      <c r="C452" s="329">
        <v>46217.0</v>
      </c>
      <c r="D452" s="330">
        <v>14.0</v>
      </c>
      <c r="E452" s="330">
        <v>7.0</v>
      </c>
      <c r="F452" s="330">
        <v>2026.0</v>
      </c>
      <c r="G452" s="329">
        <v>46218.0</v>
      </c>
      <c r="H452" s="330">
        <v>15.0</v>
      </c>
      <c r="I452" s="330">
        <v>7.0</v>
      </c>
      <c r="J452" s="330">
        <v>2026.0</v>
      </c>
      <c r="K452" s="328" t="s">
        <v>28</v>
      </c>
      <c r="L452" s="328" t="s">
        <v>1241</v>
      </c>
      <c r="M452" s="328">
        <v>1.0</v>
      </c>
      <c r="N452" s="328">
        <v>1.0</v>
      </c>
      <c r="O452" s="328">
        <v>2.0</v>
      </c>
      <c r="P452" s="329">
        <v>46235.0</v>
      </c>
      <c r="Q452" s="331">
        <v>1.0</v>
      </c>
      <c r="R452" s="331">
        <v>8.0</v>
      </c>
      <c r="S452" s="330">
        <v>2026.0</v>
      </c>
      <c r="T452" s="328" t="s">
        <v>28</v>
      </c>
      <c r="U452" s="328">
        <v>29.23</v>
      </c>
      <c r="V452" s="329">
        <v>46235.0</v>
      </c>
      <c r="W452" s="330">
        <v>1.0</v>
      </c>
      <c r="X452" s="330">
        <v>8.0</v>
      </c>
      <c r="Y452" s="330">
        <v>2026.0</v>
      </c>
      <c r="Z452" s="328" t="s">
        <v>28</v>
      </c>
    </row>
    <row r="453">
      <c r="A453" s="328" t="s">
        <v>1341</v>
      </c>
      <c r="B453" s="328">
        <v>6.888277486E9</v>
      </c>
      <c r="C453" s="329">
        <v>46213.0</v>
      </c>
      <c r="D453" s="330">
        <v>10.0</v>
      </c>
      <c r="E453" s="330">
        <v>7.0</v>
      </c>
      <c r="F453" s="330">
        <v>2026.0</v>
      </c>
      <c r="G453" s="329">
        <v>46217.0</v>
      </c>
      <c r="H453" s="330">
        <v>14.0</v>
      </c>
      <c r="I453" s="330">
        <v>7.0</v>
      </c>
      <c r="J453" s="330">
        <v>2026.0</v>
      </c>
      <c r="K453" s="328" t="s">
        <v>28</v>
      </c>
      <c r="L453" s="328" t="s">
        <v>1241</v>
      </c>
      <c r="M453" s="328">
        <v>2.0</v>
      </c>
      <c r="N453" s="328">
        <v>4.0</v>
      </c>
      <c r="O453" s="328">
        <v>14.0</v>
      </c>
      <c r="P453" s="329">
        <v>46235.0</v>
      </c>
      <c r="Q453" s="331">
        <v>1.0</v>
      </c>
      <c r="R453" s="331">
        <v>8.0</v>
      </c>
      <c r="S453" s="330">
        <v>2026.0</v>
      </c>
      <c r="T453" s="328" t="s">
        <v>28</v>
      </c>
      <c r="U453" s="328">
        <v>235.86</v>
      </c>
      <c r="V453" s="329">
        <v>46235.0</v>
      </c>
      <c r="W453" s="330">
        <v>1.0</v>
      </c>
      <c r="X453" s="330">
        <v>8.0</v>
      </c>
      <c r="Y453" s="330">
        <v>2026.0</v>
      </c>
      <c r="Z453" s="328" t="s">
        <v>28</v>
      </c>
    </row>
    <row r="454">
      <c r="A454" s="328" t="s">
        <v>1342</v>
      </c>
      <c r="B454" s="328">
        <v>6.5003208E9</v>
      </c>
      <c r="C454" s="329">
        <v>46216.0</v>
      </c>
      <c r="D454" s="330">
        <v>13.0</v>
      </c>
      <c r="E454" s="330">
        <v>7.0</v>
      </c>
      <c r="F454" s="330">
        <v>2026.0</v>
      </c>
      <c r="G454" s="329">
        <v>46217.0</v>
      </c>
      <c r="H454" s="330">
        <v>14.0</v>
      </c>
      <c r="I454" s="330">
        <v>7.0</v>
      </c>
      <c r="J454" s="330">
        <v>2026.0</v>
      </c>
      <c r="K454" s="328" t="s">
        <v>28</v>
      </c>
      <c r="L454" s="328" t="s">
        <v>1241</v>
      </c>
      <c r="M454" s="328">
        <v>1.0</v>
      </c>
      <c r="N454" s="328">
        <v>1.0</v>
      </c>
      <c r="O454" s="328">
        <v>2.0</v>
      </c>
      <c r="P454" s="329">
        <v>46235.0</v>
      </c>
      <c r="Q454" s="331">
        <v>1.0</v>
      </c>
      <c r="R454" s="331">
        <v>8.0</v>
      </c>
      <c r="S454" s="330">
        <v>2026.0</v>
      </c>
      <c r="T454" s="328" t="s">
        <v>28</v>
      </c>
      <c r="U454" s="328">
        <v>29.23</v>
      </c>
      <c r="V454" s="329">
        <v>46235.0</v>
      </c>
      <c r="W454" s="330">
        <v>1.0</v>
      </c>
      <c r="X454" s="330">
        <v>8.0</v>
      </c>
      <c r="Y454" s="330">
        <v>2026.0</v>
      </c>
      <c r="Z454" s="328" t="s">
        <v>28</v>
      </c>
    </row>
    <row r="455">
      <c r="A455" s="328" t="s">
        <v>1343</v>
      </c>
      <c r="B455" s="328">
        <v>6.168648732E9</v>
      </c>
      <c r="C455" s="329">
        <v>46216.0</v>
      </c>
      <c r="D455" s="330">
        <v>13.0</v>
      </c>
      <c r="E455" s="330">
        <v>7.0</v>
      </c>
      <c r="F455" s="330">
        <v>2026.0</v>
      </c>
      <c r="G455" s="329">
        <v>46217.0</v>
      </c>
      <c r="H455" s="330">
        <v>14.0</v>
      </c>
      <c r="I455" s="330">
        <v>7.0</v>
      </c>
      <c r="J455" s="330">
        <v>2026.0</v>
      </c>
      <c r="K455" s="328" t="s">
        <v>28</v>
      </c>
      <c r="L455" s="328" t="s">
        <v>1241</v>
      </c>
      <c r="M455" s="328">
        <v>1.0</v>
      </c>
      <c r="N455" s="328">
        <v>1.0</v>
      </c>
      <c r="O455" s="328">
        <v>2.0</v>
      </c>
      <c r="P455" s="329">
        <v>46235.0</v>
      </c>
      <c r="Q455" s="331">
        <v>1.0</v>
      </c>
      <c r="R455" s="331">
        <v>8.0</v>
      </c>
      <c r="S455" s="330">
        <v>2026.0</v>
      </c>
      <c r="T455" s="328" t="s">
        <v>28</v>
      </c>
      <c r="U455" s="328">
        <v>29.23</v>
      </c>
      <c r="V455" s="329">
        <v>46235.0</v>
      </c>
      <c r="W455" s="330">
        <v>1.0</v>
      </c>
      <c r="X455" s="330">
        <v>8.0</v>
      </c>
      <c r="Y455" s="330">
        <v>2026.0</v>
      </c>
      <c r="Z455" s="328" t="s">
        <v>28</v>
      </c>
    </row>
    <row r="456">
      <c r="A456" s="328" t="s">
        <v>1344</v>
      </c>
      <c r="B456" s="328">
        <v>5.272938179E9</v>
      </c>
      <c r="C456" s="329">
        <v>46214.0</v>
      </c>
      <c r="D456" s="330">
        <v>11.0</v>
      </c>
      <c r="E456" s="330">
        <v>7.0</v>
      </c>
      <c r="F456" s="330">
        <v>2026.0</v>
      </c>
      <c r="G456" s="329">
        <v>46216.0</v>
      </c>
      <c r="H456" s="330">
        <v>13.0</v>
      </c>
      <c r="I456" s="330">
        <v>7.0</v>
      </c>
      <c r="J456" s="330">
        <v>2026.0</v>
      </c>
      <c r="K456" s="328" t="s">
        <v>28</v>
      </c>
      <c r="L456" s="328" t="s">
        <v>1241</v>
      </c>
      <c r="M456" s="328">
        <v>3.0</v>
      </c>
      <c r="N456" s="328">
        <v>2.0</v>
      </c>
      <c r="O456" s="328">
        <v>12.0</v>
      </c>
      <c r="P456" s="329">
        <v>46235.0</v>
      </c>
      <c r="Q456" s="331">
        <v>1.0</v>
      </c>
      <c r="R456" s="331">
        <v>8.0</v>
      </c>
      <c r="S456" s="330">
        <v>2026.0</v>
      </c>
      <c r="T456" s="328" t="s">
        <v>28</v>
      </c>
      <c r="U456" s="328">
        <v>175.38</v>
      </c>
      <c r="V456" s="329">
        <v>46235.0</v>
      </c>
      <c r="W456" s="330">
        <v>1.0</v>
      </c>
      <c r="X456" s="330">
        <v>8.0</v>
      </c>
      <c r="Y456" s="330">
        <v>2026.0</v>
      </c>
      <c r="Z456" s="328" t="s">
        <v>28</v>
      </c>
    </row>
    <row r="457">
      <c r="A457" s="328" t="s">
        <v>1345</v>
      </c>
      <c r="B457" s="328">
        <v>5.242720349E9</v>
      </c>
      <c r="C457" s="329">
        <v>46214.0</v>
      </c>
      <c r="D457" s="330">
        <v>11.0</v>
      </c>
      <c r="E457" s="330">
        <v>7.0</v>
      </c>
      <c r="F457" s="330">
        <v>2026.0</v>
      </c>
      <c r="G457" s="329">
        <v>46216.0</v>
      </c>
      <c r="H457" s="330">
        <v>13.0</v>
      </c>
      <c r="I457" s="330">
        <v>7.0</v>
      </c>
      <c r="J457" s="330">
        <v>2026.0</v>
      </c>
      <c r="K457" s="328" t="s">
        <v>28</v>
      </c>
      <c r="L457" s="328" t="s">
        <v>1241</v>
      </c>
      <c r="M457" s="328">
        <v>1.0</v>
      </c>
      <c r="N457" s="328">
        <v>2.0</v>
      </c>
      <c r="O457" s="328">
        <v>4.0</v>
      </c>
      <c r="P457" s="329">
        <v>46235.0</v>
      </c>
      <c r="Q457" s="331">
        <v>1.0</v>
      </c>
      <c r="R457" s="331">
        <v>8.0</v>
      </c>
      <c r="S457" s="330">
        <v>2026.0</v>
      </c>
      <c r="T457" s="328" t="s">
        <v>28</v>
      </c>
      <c r="U457" s="328">
        <v>58.46</v>
      </c>
      <c r="V457" s="329">
        <v>46235.0</v>
      </c>
      <c r="W457" s="330">
        <v>1.0</v>
      </c>
      <c r="X457" s="330">
        <v>8.0</v>
      </c>
      <c r="Y457" s="330">
        <v>2026.0</v>
      </c>
      <c r="Z457" s="328" t="s">
        <v>28</v>
      </c>
    </row>
    <row r="458">
      <c r="A458" s="328" t="s">
        <v>1346</v>
      </c>
      <c r="B458" s="328">
        <v>5.237659622E9</v>
      </c>
      <c r="C458" s="329">
        <v>46214.0</v>
      </c>
      <c r="D458" s="330">
        <v>11.0</v>
      </c>
      <c r="E458" s="330">
        <v>7.0</v>
      </c>
      <c r="F458" s="330">
        <v>2026.0</v>
      </c>
      <c r="G458" s="329">
        <v>46216.0</v>
      </c>
      <c r="H458" s="330">
        <v>13.0</v>
      </c>
      <c r="I458" s="330">
        <v>7.0</v>
      </c>
      <c r="J458" s="330">
        <v>2026.0</v>
      </c>
      <c r="K458" s="328" t="s">
        <v>28</v>
      </c>
      <c r="L458" s="328" t="s">
        <v>1241</v>
      </c>
      <c r="M458" s="328">
        <v>1.0</v>
      </c>
      <c r="N458" s="328">
        <v>2.0</v>
      </c>
      <c r="O458" s="328">
        <v>4.0</v>
      </c>
      <c r="P458" s="329">
        <v>46235.0</v>
      </c>
      <c r="Q458" s="331">
        <v>1.0</v>
      </c>
      <c r="R458" s="331">
        <v>8.0</v>
      </c>
      <c r="S458" s="330">
        <v>2026.0</v>
      </c>
      <c r="T458" s="328" t="s">
        <v>28</v>
      </c>
      <c r="U458" s="328">
        <v>91.9</v>
      </c>
      <c r="V458" s="329">
        <v>46235.0</v>
      </c>
      <c r="W458" s="330">
        <v>1.0</v>
      </c>
      <c r="X458" s="330">
        <v>8.0</v>
      </c>
      <c r="Y458" s="330">
        <v>2026.0</v>
      </c>
      <c r="Z458" s="328" t="s">
        <v>28</v>
      </c>
    </row>
    <row r="459">
      <c r="A459" s="328" t="s">
        <v>1347</v>
      </c>
      <c r="B459" s="328">
        <v>6.699590602E9</v>
      </c>
      <c r="C459" s="329">
        <v>46214.0</v>
      </c>
      <c r="D459" s="330">
        <v>11.0</v>
      </c>
      <c r="E459" s="330">
        <v>7.0</v>
      </c>
      <c r="F459" s="330">
        <v>2026.0</v>
      </c>
      <c r="G459" s="329">
        <v>46215.0</v>
      </c>
      <c r="H459" s="330">
        <v>12.0</v>
      </c>
      <c r="I459" s="330">
        <v>7.0</v>
      </c>
      <c r="J459" s="330">
        <v>2026.0</v>
      </c>
      <c r="K459" s="328" t="s">
        <v>28</v>
      </c>
      <c r="L459" s="328" t="s">
        <v>1241</v>
      </c>
      <c r="M459" s="328">
        <v>1.0</v>
      </c>
      <c r="N459" s="328">
        <v>1.0</v>
      </c>
      <c r="O459" s="328">
        <v>2.0</v>
      </c>
      <c r="P459" s="329">
        <v>46235.0</v>
      </c>
      <c r="Q459" s="331">
        <v>1.0</v>
      </c>
      <c r="R459" s="331">
        <v>8.0</v>
      </c>
      <c r="S459" s="330">
        <v>2026.0</v>
      </c>
      <c r="T459" s="328" t="s">
        <v>28</v>
      </c>
      <c r="U459" s="328">
        <v>35.08</v>
      </c>
      <c r="V459" s="329">
        <v>46235.0</v>
      </c>
      <c r="W459" s="330">
        <v>1.0</v>
      </c>
      <c r="X459" s="330">
        <v>8.0</v>
      </c>
      <c r="Y459" s="330">
        <v>2026.0</v>
      </c>
      <c r="Z459" s="328" t="s">
        <v>28</v>
      </c>
    </row>
    <row r="460">
      <c r="A460" s="328" t="s">
        <v>1348</v>
      </c>
      <c r="B460" s="328">
        <v>6.292722007E9</v>
      </c>
      <c r="C460" s="329">
        <v>46214.0</v>
      </c>
      <c r="D460" s="330">
        <v>11.0</v>
      </c>
      <c r="E460" s="330">
        <v>7.0</v>
      </c>
      <c r="F460" s="330">
        <v>2026.0</v>
      </c>
      <c r="G460" s="329">
        <v>46215.0</v>
      </c>
      <c r="H460" s="330">
        <v>12.0</v>
      </c>
      <c r="I460" s="330">
        <v>7.0</v>
      </c>
      <c r="J460" s="330">
        <v>2026.0</v>
      </c>
      <c r="K460" s="328" t="s">
        <v>28</v>
      </c>
      <c r="L460" s="328" t="s">
        <v>1241</v>
      </c>
      <c r="M460" s="328">
        <v>2.0</v>
      </c>
      <c r="N460" s="328">
        <v>1.0</v>
      </c>
      <c r="O460" s="328">
        <v>4.0</v>
      </c>
      <c r="P460" s="329">
        <v>46235.0</v>
      </c>
      <c r="Q460" s="331">
        <v>1.0</v>
      </c>
      <c r="R460" s="331">
        <v>8.0</v>
      </c>
      <c r="S460" s="330">
        <v>2026.0</v>
      </c>
      <c r="T460" s="328" t="s">
        <v>28</v>
      </c>
      <c r="U460" s="328">
        <v>58.46</v>
      </c>
      <c r="V460" s="329">
        <v>46235.0</v>
      </c>
      <c r="W460" s="330">
        <v>1.0</v>
      </c>
      <c r="X460" s="330">
        <v>8.0</v>
      </c>
      <c r="Y460" s="330">
        <v>2026.0</v>
      </c>
      <c r="Z460" s="328" t="s">
        <v>28</v>
      </c>
    </row>
    <row r="461">
      <c r="A461" s="328" t="s">
        <v>1349</v>
      </c>
      <c r="B461" s="328">
        <v>6.227875378E9</v>
      </c>
      <c r="C461" s="329">
        <v>46214.0</v>
      </c>
      <c r="D461" s="330">
        <v>11.0</v>
      </c>
      <c r="E461" s="330">
        <v>7.0</v>
      </c>
      <c r="F461" s="330">
        <v>2026.0</v>
      </c>
      <c r="G461" s="329">
        <v>46215.0</v>
      </c>
      <c r="H461" s="330">
        <v>12.0</v>
      </c>
      <c r="I461" s="330">
        <v>7.0</v>
      </c>
      <c r="J461" s="330">
        <v>2026.0</v>
      </c>
      <c r="K461" s="328" t="s">
        <v>28</v>
      </c>
      <c r="L461" s="328" t="s">
        <v>1241</v>
      </c>
      <c r="M461" s="328">
        <v>1.0</v>
      </c>
      <c r="N461" s="328">
        <v>1.0</v>
      </c>
      <c r="O461" s="328">
        <v>2.0</v>
      </c>
      <c r="P461" s="329">
        <v>46235.0</v>
      </c>
      <c r="Q461" s="331">
        <v>1.0</v>
      </c>
      <c r="R461" s="331">
        <v>8.0</v>
      </c>
      <c r="S461" s="330">
        <v>2026.0</v>
      </c>
      <c r="T461" s="328" t="s">
        <v>28</v>
      </c>
      <c r="U461" s="328">
        <v>29.23</v>
      </c>
      <c r="V461" s="329">
        <v>46235.0</v>
      </c>
      <c r="W461" s="330">
        <v>1.0</v>
      </c>
      <c r="X461" s="330">
        <v>8.0</v>
      </c>
      <c r="Y461" s="330">
        <v>2026.0</v>
      </c>
      <c r="Z461" s="328" t="s">
        <v>28</v>
      </c>
    </row>
    <row r="462">
      <c r="A462" s="328" t="s">
        <v>1350</v>
      </c>
      <c r="B462" s="328">
        <v>5.750144589E9</v>
      </c>
      <c r="C462" s="329">
        <v>46214.0</v>
      </c>
      <c r="D462" s="330">
        <v>11.0</v>
      </c>
      <c r="E462" s="330">
        <v>7.0</v>
      </c>
      <c r="F462" s="330">
        <v>2026.0</v>
      </c>
      <c r="G462" s="329">
        <v>46215.0</v>
      </c>
      <c r="H462" s="330">
        <v>12.0</v>
      </c>
      <c r="I462" s="330">
        <v>7.0</v>
      </c>
      <c r="J462" s="330">
        <v>2026.0</v>
      </c>
      <c r="K462" s="328" t="s">
        <v>28</v>
      </c>
      <c r="L462" s="328" t="s">
        <v>1241</v>
      </c>
      <c r="M462" s="328">
        <v>1.0</v>
      </c>
      <c r="N462" s="328">
        <v>1.0</v>
      </c>
      <c r="O462" s="328">
        <v>2.0</v>
      </c>
      <c r="P462" s="329">
        <v>46235.0</v>
      </c>
      <c r="Q462" s="331">
        <v>1.0</v>
      </c>
      <c r="R462" s="331">
        <v>8.0</v>
      </c>
      <c r="S462" s="330">
        <v>2026.0</v>
      </c>
      <c r="T462" s="328" t="s">
        <v>28</v>
      </c>
      <c r="U462" s="328">
        <v>29.23</v>
      </c>
      <c r="V462" s="329">
        <v>46235.0</v>
      </c>
      <c r="W462" s="330">
        <v>1.0</v>
      </c>
      <c r="X462" s="330">
        <v>8.0</v>
      </c>
      <c r="Y462" s="330">
        <v>2026.0</v>
      </c>
      <c r="Z462" s="328" t="s">
        <v>28</v>
      </c>
    </row>
    <row r="463">
      <c r="A463" s="328" t="s">
        <v>1351</v>
      </c>
      <c r="B463" s="328">
        <v>5.730250108E9</v>
      </c>
      <c r="C463" s="329">
        <v>46214.0</v>
      </c>
      <c r="D463" s="330">
        <v>11.0</v>
      </c>
      <c r="E463" s="330">
        <v>7.0</v>
      </c>
      <c r="F463" s="330">
        <v>2026.0</v>
      </c>
      <c r="G463" s="329">
        <v>46215.0</v>
      </c>
      <c r="H463" s="330">
        <v>12.0</v>
      </c>
      <c r="I463" s="330">
        <v>7.0</v>
      </c>
      <c r="J463" s="330">
        <v>2026.0</v>
      </c>
      <c r="K463" s="328" t="s">
        <v>28</v>
      </c>
      <c r="L463" s="328" t="s">
        <v>1241</v>
      </c>
      <c r="M463" s="328">
        <v>1.0</v>
      </c>
      <c r="N463" s="328">
        <v>1.0</v>
      </c>
      <c r="O463" s="328">
        <v>2.0</v>
      </c>
      <c r="P463" s="329">
        <v>46235.0</v>
      </c>
      <c r="Q463" s="331">
        <v>1.0</v>
      </c>
      <c r="R463" s="331">
        <v>8.0</v>
      </c>
      <c r="S463" s="330">
        <v>2026.0</v>
      </c>
      <c r="T463" s="328" t="s">
        <v>28</v>
      </c>
      <c r="U463" s="328">
        <v>29.23</v>
      </c>
      <c r="V463" s="329">
        <v>46235.0</v>
      </c>
      <c r="W463" s="330">
        <v>1.0</v>
      </c>
      <c r="X463" s="330">
        <v>8.0</v>
      </c>
      <c r="Y463" s="330">
        <v>2026.0</v>
      </c>
      <c r="Z463" s="328" t="s">
        <v>28</v>
      </c>
    </row>
    <row r="464">
      <c r="A464" s="328" t="s">
        <v>1352</v>
      </c>
      <c r="B464" s="328">
        <v>5.499454135E9</v>
      </c>
      <c r="C464" s="329">
        <v>46214.0</v>
      </c>
      <c r="D464" s="330">
        <v>11.0</v>
      </c>
      <c r="E464" s="330">
        <v>7.0</v>
      </c>
      <c r="F464" s="330">
        <v>2026.0</v>
      </c>
      <c r="G464" s="329">
        <v>46215.0</v>
      </c>
      <c r="H464" s="330">
        <v>12.0</v>
      </c>
      <c r="I464" s="330">
        <v>7.0</v>
      </c>
      <c r="J464" s="330">
        <v>2026.0</v>
      </c>
      <c r="K464" s="328" t="s">
        <v>28</v>
      </c>
      <c r="L464" s="328" t="s">
        <v>1241</v>
      </c>
      <c r="M464" s="328">
        <v>1.0</v>
      </c>
      <c r="N464" s="328">
        <v>1.0</v>
      </c>
      <c r="O464" s="328">
        <v>2.0</v>
      </c>
      <c r="P464" s="329">
        <v>46235.0</v>
      </c>
      <c r="Q464" s="331">
        <v>1.0</v>
      </c>
      <c r="R464" s="331">
        <v>8.0</v>
      </c>
      <c r="S464" s="330">
        <v>2026.0</v>
      </c>
      <c r="T464" s="328" t="s">
        <v>28</v>
      </c>
      <c r="U464" s="328">
        <v>29.23</v>
      </c>
      <c r="V464" s="329">
        <v>46235.0</v>
      </c>
      <c r="W464" s="330">
        <v>1.0</v>
      </c>
      <c r="X464" s="330">
        <v>8.0</v>
      </c>
      <c r="Y464" s="330">
        <v>2026.0</v>
      </c>
      <c r="Z464" s="328" t="s">
        <v>28</v>
      </c>
    </row>
    <row r="465">
      <c r="A465" s="328" t="s">
        <v>1353</v>
      </c>
      <c r="B465" s="328">
        <v>5.485940423E9</v>
      </c>
      <c r="C465" s="329">
        <v>46214.0</v>
      </c>
      <c r="D465" s="330">
        <v>11.0</v>
      </c>
      <c r="E465" s="330">
        <v>7.0</v>
      </c>
      <c r="F465" s="330">
        <v>2026.0</v>
      </c>
      <c r="G465" s="329">
        <v>46215.0</v>
      </c>
      <c r="H465" s="330">
        <v>12.0</v>
      </c>
      <c r="I465" s="330">
        <v>7.0</v>
      </c>
      <c r="J465" s="330">
        <v>2026.0</v>
      </c>
      <c r="K465" s="328" t="s">
        <v>28</v>
      </c>
      <c r="L465" s="328" t="s">
        <v>1241</v>
      </c>
      <c r="M465" s="328">
        <v>1.0</v>
      </c>
      <c r="N465" s="328">
        <v>1.0</v>
      </c>
      <c r="O465" s="328">
        <v>2.0</v>
      </c>
      <c r="P465" s="329">
        <v>46235.0</v>
      </c>
      <c r="Q465" s="331">
        <v>1.0</v>
      </c>
      <c r="R465" s="331">
        <v>8.0</v>
      </c>
      <c r="S465" s="330">
        <v>2026.0</v>
      </c>
      <c r="T465" s="328" t="s">
        <v>28</v>
      </c>
      <c r="U465" s="328">
        <v>62.67</v>
      </c>
      <c r="V465" s="329">
        <v>46235.0</v>
      </c>
      <c r="W465" s="330">
        <v>1.0</v>
      </c>
      <c r="X465" s="330">
        <v>8.0</v>
      </c>
      <c r="Y465" s="330">
        <v>2026.0</v>
      </c>
      <c r="Z465" s="328" t="s">
        <v>28</v>
      </c>
    </row>
    <row r="466">
      <c r="A466" s="328" t="s">
        <v>1355</v>
      </c>
      <c r="B466" s="328">
        <v>5.164346123E9</v>
      </c>
      <c r="C466" s="329">
        <v>46213.0</v>
      </c>
      <c r="D466" s="330">
        <v>10.0</v>
      </c>
      <c r="E466" s="330">
        <v>7.0</v>
      </c>
      <c r="F466" s="330">
        <v>2026.0</v>
      </c>
      <c r="G466" s="329">
        <v>46215.0</v>
      </c>
      <c r="H466" s="330">
        <v>12.0</v>
      </c>
      <c r="I466" s="330">
        <v>7.0</v>
      </c>
      <c r="J466" s="330">
        <v>2026.0</v>
      </c>
      <c r="K466" s="328" t="s">
        <v>28</v>
      </c>
      <c r="L466" s="328" t="s">
        <v>1241</v>
      </c>
      <c r="M466" s="328">
        <v>1.0</v>
      </c>
      <c r="N466" s="328">
        <v>2.0</v>
      </c>
      <c r="O466" s="328">
        <v>4.0</v>
      </c>
      <c r="P466" s="329">
        <v>46235.0</v>
      </c>
      <c r="Q466" s="331">
        <v>1.0</v>
      </c>
      <c r="R466" s="331">
        <v>8.0</v>
      </c>
      <c r="S466" s="330">
        <v>2026.0</v>
      </c>
      <c r="T466" s="328" t="s">
        <v>28</v>
      </c>
      <c r="U466" s="328">
        <v>64.32</v>
      </c>
      <c r="V466" s="329">
        <v>46235.0</v>
      </c>
      <c r="W466" s="330">
        <v>1.0</v>
      </c>
      <c r="X466" s="330">
        <v>8.0</v>
      </c>
      <c r="Y466" s="330">
        <v>2026.0</v>
      </c>
      <c r="Z466" s="328" t="s">
        <v>28</v>
      </c>
    </row>
    <row r="467">
      <c r="A467" s="328" t="s">
        <v>1357</v>
      </c>
      <c r="B467" s="328">
        <v>6.297195694E9</v>
      </c>
      <c r="C467" s="329">
        <v>46213.0</v>
      </c>
      <c r="D467" s="330">
        <v>10.0</v>
      </c>
      <c r="E467" s="330">
        <v>7.0</v>
      </c>
      <c r="F467" s="330">
        <v>2026.0</v>
      </c>
      <c r="G467" s="329">
        <v>46214.0</v>
      </c>
      <c r="H467" s="330">
        <v>11.0</v>
      </c>
      <c r="I467" s="330">
        <v>7.0</v>
      </c>
      <c r="J467" s="330">
        <v>2026.0</v>
      </c>
      <c r="K467" s="328" t="s">
        <v>28</v>
      </c>
      <c r="L467" s="328" t="s">
        <v>1241</v>
      </c>
      <c r="M467" s="328">
        <v>1.0</v>
      </c>
      <c r="N467" s="328">
        <v>1.0</v>
      </c>
      <c r="O467" s="328">
        <v>2.0</v>
      </c>
      <c r="P467" s="329">
        <v>46235.0</v>
      </c>
      <c r="Q467" s="331">
        <v>1.0</v>
      </c>
      <c r="R467" s="331">
        <v>8.0</v>
      </c>
      <c r="S467" s="330">
        <v>2026.0</v>
      </c>
      <c r="T467" s="328" t="s">
        <v>28</v>
      </c>
      <c r="U467" s="328">
        <v>29.23</v>
      </c>
      <c r="V467" s="329">
        <v>46235.0</v>
      </c>
      <c r="W467" s="330">
        <v>1.0</v>
      </c>
      <c r="X467" s="330">
        <v>8.0</v>
      </c>
      <c r="Y467" s="330">
        <v>2026.0</v>
      </c>
      <c r="Z467" s="328" t="s">
        <v>28</v>
      </c>
    </row>
    <row r="468">
      <c r="A468" s="328" t="s">
        <v>1359</v>
      </c>
      <c r="B468" s="328">
        <v>6.178395905E9</v>
      </c>
      <c r="C468" s="329">
        <v>46213.0</v>
      </c>
      <c r="D468" s="330">
        <v>10.0</v>
      </c>
      <c r="E468" s="330">
        <v>7.0</v>
      </c>
      <c r="F468" s="330">
        <v>2026.0</v>
      </c>
      <c r="G468" s="329">
        <v>46214.0</v>
      </c>
      <c r="H468" s="330">
        <v>11.0</v>
      </c>
      <c r="I468" s="330">
        <v>7.0</v>
      </c>
      <c r="J468" s="330">
        <v>2026.0</v>
      </c>
      <c r="K468" s="328" t="s">
        <v>28</v>
      </c>
      <c r="L468" s="328" t="s">
        <v>1241</v>
      </c>
      <c r="M468" s="328">
        <v>1.0</v>
      </c>
      <c r="N468" s="328">
        <v>1.0</v>
      </c>
      <c r="O468" s="328">
        <v>2.0</v>
      </c>
      <c r="P468" s="329">
        <v>46235.0</v>
      </c>
      <c r="Q468" s="331">
        <v>1.0</v>
      </c>
      <c r="R468" s="331">
        <v>8.0</v>
      </c>
      <c r="S468" s="330">
        <v>2026.0</v>
      </c>
      <c r="T468" s="328" t="s">
        <v>28</v>
      </c>
      <c r="U468" s="328">
        <v>29.23</v>
      </c>
      <c r="V468" s="329">
        <v>46235.0</v>
      </c>
      <c r="W468" s="330">
        <v>1.0</v>
      </c>
      <c r="X468" s="330">
        <v>8.0</v>
      </c>
      <c r="Y468" s="330">
        <v>2026.0</v>
      </c>
      <c r="Z468" s="328" t="s">
        <v>28</v>
      </c>
    </row>
    <row r="469">
      <c r="A469" s="328" t="s">
        <v>1361</v>
      </c>
      <c r="B469" s="328">
        <v>5.973107087E9</v>
      </c>
      <c r="C469" s="329">
        <v>46211.0</v>
      </c>
      <c r="D469" s="330">
        <v>8.0</v>
      </c>
      <c r="E469" s="330">
        <v>7.0</v>
      </c>
      <c r="F469" s="330">
        <v>2026.0</v>
      </c>
      <c r="G469" s="329">
        <v>46214.0</v>
      </c>
      <c r="H469" s="330">
        <v>11.0</v>
      </c>
      <c r="I469" s="330">
        <v>7.0</v>
      </c>
      <c r="J469" s="330">
        <v>2026.0</v>
      </c>
      <c r="K469" s="328" t="s">
        <v>28</v>
      </c>
      <c r="L469" s="328" t="s">
        <v>1241</v>
      </c>
      <c r="M469" s="328">
        <v>1.0</v>
      </c>
      <c r="N469" s="328">
        <v>3.0</v>
      </c>
      <c r="O469" s="328">
        <v>6.0</v>
      </c>
      <c r="P469" s="329">
        <v>46235.0</v>
      </c>
      <c r="Q469" s="331">
        <v>1.0</v>
      </c>
      <c r="R469" s="331">
        <v>8.0</v>
      </c>
      <c r="S469" s="330">
        <v>2026.0</v>
      </c>
      <c r="T469" s="328" t="s">
        <v>28</v>
      </c>
      <c r="U469" s="328">
        <v>137.86</v>
      </c>
      <c r="V469" s="329">
        <v>46235.0</v>
      </c>
      <c r="W469" s="330">
        <v>1.0</v>
      </c>
      <c r="X469" s="330">
        <v>8.0</v>
      </c>
      <c r="Y469" s="330">
        <v>2026.0</v>
      </c>
      <c r="Z469" s="328" t="s">
        <v>28</v>
      </c>
    </row>
    <row r="470">
      <c r="A470" s="328" t="s">
        <v>1362</v>
      </c>
      <c r="B470" s="328">
        <v>5.855761147E9</v>
      </c>
      <c r="C470" s="329">
        <v>46213.0</v>
      </c>
      <c r="D470" s="330">
        <v>10.0</v>
      </c>
      <c r="E470" s="330">
        <v>7.0</v>
      </c>
      <c r="F470" s="330">
        <v>2026.0</v>
      </c>
      <c r="G470" s="329">
        <v>46214.0</v>
      </c>
      <c r="H470" s="330">
        <v>11.0</v>
      </c>
      <c r="I470" s="330">
        <v>7.0</v>
      </c>
      <c r="J470" s="330">
        <v>2026.0</v>
      </c>
      <c r="K470" s="328" t="s">
        <v>28</v>
      </c>
      <c r="L470" s="328" t="s">
        <v>1241</v>
      </c>
      <c r="M470" s="328">
        <v>1.0</v>
      </c>
      <c r="N470" s="328">
        <v>1.0</v>
      </c>
      <c r="O470" s="328">
        <v>2.0</v>
      </c>
      <c r="P470" s="329">
        <v>46235.0</v>
      </c>
      <c r="Q470" s="331">
        <v>1.0</v>
      </c>
      <c r="R470" s="331">
        <v>8.0</v>
      </c>
      <c r="S470" s="330">
        <v>2026.0</v>
      </c>
      <c r="T470" s="328" t="s">
        <v>28</v>
      </c>
      <c r="U470" s="328">
        <v>29.23</v>
      </c>
      <c r="V470" s="329">
        <v>46235.0</v>
      </c>
      <c r="W470" s="330">
        <v>1.0</v>
      </c>
      <c r="X470" s="330">
        <v>8.0</v>
      </c>
      <c r="Y470" s="330">
        <v>2026.0</v>
      </c>
      <c r="Z470" s="328" t="s">
        <v>28</v>
      </c>
    </row>
    <row r="471">
      <c r="A471" s="328" t="s">
        <v>1364</v>
      </c>
      <c r="B471" s="328">
        <v>5.653375198E9</v>
      </c>
      <c r="C471" s="329">
        <v>46210.0</v>
      </c>
      <c r="D471" s="330">
        <v>7.0</v>
      </c>
      <c r="E471" s="330">
        <v>7.0</v>
      </c>
      <c r="F471" s="330">
        <v>2026.0</v>
      </c>
      <c r="G471" s="329">
        <v>46214.0</v>
      </c>
      <c r="H471" s="330">
        <v>11.0</v>
      </c>
      <c r="I471" s="330">
        <v>7.0</v>
      </c>
      <c r="J471" s="330">
        <v>2026.0</v>
      </c>
      <c r="K471" s="328" t="s">
        <v>28</v>
      </c>
      <c r="L471" s="328" t="s">
        <v>1241</v>
      </c>
      <c r="M471" s="328">
        <v>1.0</v>
      </c>
      <c r="N471" s="328">
        <v>4.0</v>
      </c>
      <c r="O471" s="328">
        <v>8.0</v>
      </c>
      <c r="P471" s="329">
        <v>46235.0</v>
      </c>
      <c r="Q471" s="331">
        <v>1.0</v>
      </c>
      <c r="R471" s="331">
        <v>8.0</v>
      </c>
      <c r="S471" s="330">
        <v>2026.0</v>
      </c>
      <c r="T471" s="328" t="s">
        <v>28</v>
      </c>
      <c r="U471" s="328">
        <v>125.29</v>
      </c>
      <c r="V471" s="329">
        <v>46235.0</v>
      </c>
      <c r="W471" s="330">
        <v>1.0</v>
      </c>
      <c r="X471" s="330">
        <v>8.0</v>
      </c>
      <c r="Y471" s="330">
        <v>2026.0</v>
      </c>
      <c r="Z471" s="328" t="s">
        <v>28</v>
      </c>
    </row>
    <row r="472">
      <c r="A472" s="328" t="s">
        <v>1366</v>
      </c>
      <c r="B472" s="328">
        <v>6.975983684E9</v>
      </c>
      <c r="C472" s="329">
        <v>46212.0</v>
      </c>
      <c r="D472" s="330">
        <v>9.0</v>
      </c>
      <c r="E472" s="330">
        <v>7.0</v>
      </c>
      <c r="F472" s="330">
        <v>2026.0</v>
      </c>
      <c r="G472" s="329">
        <v>46213.0</v>
      </c>
      <c r="H472" s="330">
        <v>10.0</v>
      </c>
      <c r="I472" s="330">
        <v>7.0</v>
      </c>
      <c r="J472" s="330">
        <v>2026.0</v>
      </c>
      <c r="K472" s="328" t="s">
        <v>28</v>
      </c>
      <c r="L472" s="328" t="s">
        <v>1241</v>
      </c>
      <c r="M472" s="328">
        <v>1.0</v>
      </c>
      <c r="N472" s="328">
        <v>1.0</v>
      </c>
      <c r="O472" s="328">
        <v>2.0</v>
      </c>
      <c r="P472" s="329">
        <v>46235.0</v>
      </c>
      <c r="Q472" s="331">
        <v>1.0</v>
      </c>
      <c r="R472" s="331">
        <v>8.0</v>
      </c>
      <c r="S472" s="330">
        <v>2026.0</v>
      </c>
      <c r="T472" s="328" t="s">
        <v>28</v>
      </c>
      <c r="U472" s="328">
        <v>26.72</v>
      </c>
      <c r="V472" s="329">
        <v>46235.0</v>
      </c>
      <c r="W472" s="330">
        <v>1.0</v>
      </c>
      <c r="X472" s="330">
        <v>8.0</v>
      </c>
      <c r="Y472" s="330">
        <v>2026.0</v>
      </c>
      <c r="Z472" s="328" t="s">
        <v>28</v>
      </c>
    </row>
    <row r="473">
      <c r="A473" s="328" t="s">
        <v>1367</v>
      </c>
      <c r="B473" s="328">
        <v>5.367847074E9</v>
      </c>
      <c r="C473" s="329">
        <v>46210.0</v>
      </c>
      <c r="D473" s="330">
        <v>7.0</v>
      </c>
      <c r="E473" s="330">
        <v>7.0</v>
      </c>
      <c r="F473" s="330">
        <v>2026.0</v>
      </c>
      <c r="G473" s="329">
        <v>46213.0</v>
      </c>
      <c r="H473" s="330">
        <v>10.0</v>
      </c>
      <c r="I473" s="330">
        <v>7.0</v>
      </c>
      <c r="J473" s="330">
        <v>2026.0</v>
      </c>
      <c r="K473" s="328" t="s">
        <v>28</v>
      </c>
      <c r="L473" s="328" t="s">
        <v>1241</v>
      </c>
      <c r="M473" s="328">
        <v>1.0</v>
      </c>
      <c r="N473" s="328">
        <v>3.0</v>
      </c>
      <c r="O473" s="328">
        <v>6.0</v>
      </c>
      <c r="P473" s="329">
        <v>46235.0</v>
      </c>
      <c r="Q473" s="331">
        <v>1.0</v>
      </c>
      <c r="R473" s="331">
        <v>8.0</v>
      </c>
      <c r="S473" s="330">
        <v>2026.0</v>
      </c>
      <c r="T473" s="328" t="s">
        <v>28</v>
      </c>
      <c r="U473" s="328">
        <v>188.02</v>
      </c>
      <c r="V473" s="329">
        <v>46235.0</v>
      </c>
      <c r="W473" s="330">
        <v>1.0</v>
      </c>
      <c r="X473" s="330">
        <v>8.0</v>
      </c>
      <c r="Y473" s="330">
        <v>2026.0</v>
      </c>
      <c r="Z473" s="328" t="s">
        <v>28</v>
      </c>
    </row>
    <row r="474">
      <c r="A474" s="328" t="s">
        <v>1368</v>
      </c>
      <c r="B474" s="328">
        <v>5.331376375E9</v>
      </c>
      <c r="C474" s="329">
        <v>46212.0</v>
      </c>
      <c r="D474" s="330">
        <v>9.0</v>
      </c>
      <c r="E474" s="330">
        <v>7.0</v>
      </c>
      <c r="F474" s="330">
        <v>2026.0</v>
      </c>
      <c r="G474" s="329">
        <v>46213.0</v>
      </c>
      <c r="H474" s="330">
        <v>10.0</v>
      </c>
      <c r="I474" s="330">
        <v>7.0</v>
      </c>
      <c r="J474" s="330">
        <v>2026.0</v>
      </c>
      <c r="K474" s="328" t="s">
        <v>28</v>
      </c>
      <c r="L474" s="328" t="s">
        <v>1241</v>
      </c>
      <c r="M474" s="328">
        <v>6.0</v>
      </c>
      <c r="N474" s="328">
        <v>1.0</v>
      </c>
      <c r="O474" s="328">
        <v>12.0</v>
      </c>
      <c r="P474" s="329">
        <v>46235.0</v>
      </c>
      <c r="Q474" s="331">
        <v>1.0</v>
      </c>
      <c r="R474" s="331">
        <v>8.0</v>
      </c>
      <c r="S474" s="330">
        <v>2026.0</v>
      </c>
      <c r="T474" s="328" t="s">
        <v>28</v>
      </c>
      <c r="U474" s="328">
        <v>160.32</v>
      </c>
      <c r="V474" s="329">
        <v>46235.0</v>
      </c>
      <c r="W474" s="330">
        <v>1.0</v>
      </c>
      <c r="X474" s="330">
        <v>8.0</v>
      </c>
      <c r="Y474" s="330">
        <v>2026.0</v>
      </c>
      <c r="Z474" s="328" t="s">
        <v>28</v>
      </c>
    </row>
    <row r="475">
      <c r="A475" s="328" t="s">
        <v>1370</v>
      </c>
      <c r="B475" s="328">
        <v>5.036390489E9</v>
      </c>
      <c r="C475" s="329">
        <v>46212.0</v>
      </c>
      <c r="D475" s="330">
        <v>9.0</v>
      </c>
      <c r="E475" s="330">
        <v>7.0</v>
      </c>
      <c r="F475" s="330">
        <v>2026.0</v>
      </c>
      <c r="G475" s="329">
        <v>46213.0</v>
      </c>
      <c r="H475" s="330">
        <v>10.0</v>
      </c>
      <c r="I475" s="330">
        <v>7.0</v>
      </c>
      <c r="J475" s="330">
        <v>2026.0</v>
      </c>
      <c r="K475" s="328" t="s">
        <v>28</v>
      </c>
      <c r="L475" s="328" t="s">
        <v>1241</v>
      </c>
      <c r="M475" s="328">
        <v>1.0</v>
      </c>
      <c r="N475" s="328">
        <v>1.0</v>
      </c>
      <c r="O475" s="328">
        <v>2.0</v>
      </c>
      <c r="P475" s="329">
        <v>46235.0</v>
      </c>
      <c r="Q475" s="331">
        <v>1.0</v>
      </c>
      <c r="R475" s="331">
        <v>8.0</v>
      </c>
      <c r="S475" s="330">
        <v>2026.0</v>
      </c>
      <c r="T475" s="328" t="s">
        <v>28</v>
      </c>
      <c r="U475" s="328">
        <v>26.72</v>
      </c>
      <c r="V475" s="329">
        <v>46235.0</v>
      </c>
      <c r="W475" s="330">
        <v>1.0</v>
      </c>
      <c r="X475" s="330">
        <v>8.0</v>
      </c>
      <c r="Y475" s="330">
        <v>2026.0</v>
      </c>
      <c r="Z475" s="328" t="s">
        <v>28</v>
      </c>
    </row>
    <row r="476">
      <c r="A476" s="328" t="s">
        <v>1371</v>
      </c>
      <c r="B476" s="328">
        <v>6.580338164E9</v>
      </c>
      <c r="C476" s="329">
        <v>46211.0</v>
      </c>
      <c r="D476" s="330">
        <v>8.0</v>
      </c>
      <c r="E476" s="330">
        <v>7.0</v>
      </c>
      <c r="F476" s="330">
        <v>2026.0</v>
      </c>
      <c r="G476" s="329">
        <v>46212.0</v>
      </c>
      <c r="H476" s="330">
        <v>9.0</v>
      </c>
      <c r="I476" s="330">
        <v>7.0</v>
      </c>
      <c r="J476" s="330">
        <v>2026.0</v>
      </c>
      <c r="K476" s="328" t="s">
        <v>28</v>
      </c>
      <c r="L476" s="328" t="s">
        <v>1241</v>
      </c>
      <c r="M476" s="328">
        <v>1.0</v>
      </c>
      <c r="N476" s="328">
        <v>1.0</v>
      </c>
      <c r="O476" s="328">
        <v>2.0</v>
      </c>
      <c r="P476" s="329">
        <v>46235.0</v>
      </c>
      <c r="Q476" s="331">
        <v>1.0</v>
      </c>
      <c r="R476" s="331">
        <v>8.0</v>
      </c>
      <c r="S476" s="330">
        <v>2026.0</v>
      </c>
      <c r="T476" s="328" t="s">
        <v>28</v>
      </c>
      <c r="U476" s="328">
        <v>29.23</v>
      </c>
      <c r="V476" s="329">
        <v>46235.0</v>
      </c>
      <c r="W476" s="330">
        <v>1.0</v>
      </c>
      <c r="X476" s="330">
        <v>8.0</v>
      </c>
      <c r="Y476" s="330">
        <v>2026.0</v>
      </c>
      <c r="Z476" s="328" t="s">
        <v>28</v>
      </c>
    </row>
    <row r="477">
      <c r="A477" s="328" t="s">
        <v>1372</v>
      </c>
      <c r="B477" s="328">
        <v>6.355787645E9</v>
      </c>
      <c r="C477" s="329">
        <v>46211.0</v>
      </c>
      <c r="D477" s="330">
        <v>8.0</v>
      </c>
      <c r="E477" s="330">
        <v>7.0</v>
      </c>
      <c r="F477" s="330">
        <v>2026.0</v>
      </c>
      <c r="G477" s="329">
        <v>46212.0</v>
      </c>
      <c r="H477" s="330">
        <v>9.0</v>
      </c>
      <c r="I477" s="330">
        <v>7.0</v>
      </c>
      <c r="J477" s="330">
        <v>2026.0</v>
      </c>
      <c r="K477" s="328" t="s">
        <v>28</v>
      </c>
      <c r="L477" s="328" t="s">
        <v>1241</v>
      </c>
      <c r="M477" s="328">
        <v>1.0</v>
      </c>
      <c r="N477" s="328">
        <v>1.0</v>
      </c>
      <c r="O477" s="328">
        <v>2.0</v>
      </c>
      <c r="P477" s="329">
        <v>46235.0</v>
      </c>
      <c r="Q477" s="331">
        <v>1.0</v>
      </c>
      <c r="R477" s="331">
        <v>8.0</v>
      </c>
      <c r="S477" s="330">
        <v>2026.0</v>
      </c>
      <c r="T477" s="328" t="s">
        <v>28</v>
      </c>
      <c r="U477" s="328">
        <v>29.23</v>
      </c>
      <c r="V477" s="329">
        <v>46235.0</v>
      </c>
      <c r="W477" s="330">
        <v>1.0</v>
      </c>
      <c r="X477" s="330">
        <v>8.0</v>
      </c>
      <c r="Y477" s="330">
        <v>2026.0</v>
      </c>
      <c r="Z477" s="328" t="s">
        <v>28</v>
      </c>
    </row>
    <row r="478">
      <c r="A478" s="328" t="s">
        <v>1373</v>
      </c>
      <c r="B478" s="328">
        <v>5.812975644E9</v>
      </c>
      <c r="C478" s="329">
        <v>46211.0</v>
      </c>
      <c r="D478" s="330">
        <v>8.0</v>
      </c>
      <c r="E478" s="330">
        <v>7.0</v>
      </c>
      <c r="F478" s="330">
        <v>2026.0</v>
      </c>
      <c r="G478" s="329">
        <v>46212.0</v>
      </c>
      <c r="H478" s="330">
        <v>9.0</v>
      </c>
      <c r="I478" s="330">
        <v>7.0</v>
      </c>
      <c r="J478" s="330">
        <v>2026.0</v>
      </c>
      <c r="K478" s="328" t="s">
        <v>28</v>
      </c>
      <c r="L478" s="328" t="s">
        <v>1241</v>
      </c>
      <c r="M478" s="328">
        <v>1.0</v>
      </c>
      <c r="N478" s="328">
        <v>1.0</v>
      </c>
      <c r="O478" s="328">
        <v>2.0</v>
      </c>
      <c r="P478" s="329">
        <v>46235.0</v>
      </c>
      <c r="Q478" s="331">
        <v>1.0</v>
      </c>
      <c r="R478" s="331">
        <v>8.0</v>
      </c>
      <c r="S478" s="330">
        <v>2026.0</v>
      </c>
      <c r="T478" s="328" t="s">
        <v>28</v>
      </c>
      <c r="U478" s="328">
        <v>45.95</v>
      </c>
      <c r="V478" s="329">
        <v>46235.0</v>
      </c>
      <c r="W478" s="330">
        <v>1.0</v>
      </c>
      <c r="X478" s="330">
        <v>8.0</v>
      </c>
      <c r="Y478" s="330">
        <v>2026.0</v>
      </c>
      <c r="Z478" s="328" t="s">
        <v>28</v>
      </c>
    </row>
    <row r="479">
      <c r="A479" s="328" t="s">
        <v>1374</v>
      </c>
      <c r="B479" s="328">
        <v>6.068869007E9</v>
      </c>
      <c r="C479" s="329">
        <v>46209.0</v>
      </c>
      <c r="D479" s="330">
        <v>6.0</v>
      </c>
      <c r="E479" s="330">
        <v>7.0</v>
      </c>
      <c r="F479" s="330">
        <v>2026.0</v>
      </c>
      <c r="G479" s="329">
        <v>46211.0</v>
      </c>
      <c r="H479" s="330">
        <v>8.0</v>
      </c>
      <c r="I479" s="330">
        <v>7.0</v>
      </c>
      <c r="J479" s="330">
        <v>2026.0</v>
      </c>
      <c r="K479" s="328" t="s">
        <v>28</v>
      </c>
      <c r="L479" s="328" t="s">
        <v>1241</v>
      </c>
      <c r="M479" s="328">
        <v>1.0</v>
      </c>
      <c r="N479" s="328">
        <v>2.0</v>
      </c>
      <c r="O479" s="328">
        <v>4.0</v>
      </c>
      <c r="P479" s="329">
        <v>46235.0</v>
      </c>
      <c r="Q479" s="331">
        <v>1.0</v>
      </c>
      <c r="R479" s="331">
        <v>8.0</v>
      </c>
      <c r="S479" s="330">
        <v>2026.0</v>
      </c>
      <c r="T479" s="328" t="s">
        <v>28</v>
      </c>
      <c r="U479" s="328">
        <v>58.46</v>
      </c>
      <c r="V479" s="329">
        <v>46235.0</v>
      </c>
      <c r="W479" s="330">
        <v>1.0</v>
      </c>
      <c r="X479" s="330">
        <v>8.0</v>
      </c>
      <c r="Y479" s="330">
        <v>2026.0</v>
      </c>
      <c r="Z479" s="328" t="s">
        <v>28</v>
      </c>
    </row>
    <row r="480">
      <c r="A480" s="328" t="s">
        <v>1375</v>
      </c>
      <c r="B480" s="328">
        <v>5.960735014E9</v>
      </c>
      <c r="C480" s="329">
        <v>46208.0</v>
      </c>
      <c r="D480" s="330">
        <v>5.0</v>
      </c>
      <c r="E480" s="330">
        <v>7.0</v>
      </c>
      <c r="F480" s="330">
        <v>2026.0</v>
      </c>
      <c r="G480" s="329">
        <v>46211.0</v>
      </c>
      <c r="H480" s="330">
        <v>8.0</v>
      </c>
      <c r="I480" s="330">
        <v>7.0</v>
      </c>
      <c r="J480" s="330">
        <v>2026.0</v>
      </c>
      <c r="K480" s="328" t="s">
        <v>28</v>
      </c>
      <c r="L480" s="328" t="s">
        <v>1241</v>
      </c>
      <c r="M480" s="328">
        <v>1.0</v>
      </c>
      <c r="N480" s="328">
        <v>3.0</v>
      </c>
      <c r="O480" s="328">
        <v>6.0</v>
      </c>
      <c r="P480" s="329">
        <v>46235.0</v>
      </c>
      <c r="Q480" s="331">
        <v>1.0</v>
      </c>
      <c r="R480" s="331">
        <v>8.0</v>
      </c>
      <c r="S480" s="330">
        <v>2026.0</v>
      </c>
      <c r="T480" s="328" t="s">
        <v>28</v>
      </c>
      <c r="U480" s="328">
        <v>87.7</v>
      </c>
      <c r="V480" s="329">
        <v>46235.0</v>
      </c>
      <c r="W480" s="330">
        <v>1.0</v>
      </c>
      <c r="X480" s="330">
        <v>8.0</v>
      </c>
      <c r="Y480" s="330">
        <v>2026.0</v>
      </c>
      <c r="Z480" s="328" t="s">
        <v>28</v>
      </c>
    </row>
    <row r="481">
      <c r="A481" s="328" t="s">
        <v>1376</v>
      </c>
      <c r="B481" s="328">
        <v>5.653732932E9</v>
      </c>
      <c r="C481" s="329">
        <v>46209.0</v>
      </c>
      <c r="D481" s="330">
        <v>6.0</v>
      </c>
      <c r="E481" s="330">
        <v>7.0</v>
      </c>
      <c r="F481" s="330">
        <v>2026.0</v>
      </c>
      <c r="G481" s="329">
        <v>46211.0</v>
      </c>
      <c r="H481" s="330">
        <v>8.0</v>
      </c>
      <c r="I481" s="330">
        <v>7.0</v>
      </c>
      <c r="J481" s="330">
        <v>2026.0</v>
      </c>
      <c r="K481" s="328" t="s">
        <v>28</v>
      </c>
      <c r="L481" s="328" t="s">
        <v>1241</v>
      </c>
      <c r="M481" s="328">
        <v>1.0</v>
      </c>
      <c r="N481" s="328">
        <v>2.0</v>
      </c>
      <c r="O481" s="328">
        <v>4.0</v>
      </c>
      <c r="P481" s="329">
        <v>46235.0</v>
      </c>
      <c r="Q481" s="331">
        <v>1.0</v>
      </c>
      <c r="R481" s="331">
        <v>8.0</v>
      </c>
      <c r="S481" s="330">
        <v>2026.0</v>
      </c>
      <c r="T481" s="328" t="s">
        <v>28</v>
      </c>
      <c r="U481" s="328">
        <v>58.46</v>
      </c>
      <c r="V481" s="329">
        <v>46235.0</v>
      </c>
      <c r="W481" s="330">
        <v>1.0</v>
      </c>
      <c r="X481" s="330">
        <v>8.0</v>
      </c>
      <c r="Y481" s="330">
        <v>2026.0</v>
      </c>
      <c r="Z481" s="328" t="s">
        <v>28</v>
      </c>
    </row>
    <row r="482">
      <c r="A482" s="328" t="s">
        <v>1377</v>
      </c>
      <c r="B482" s="328">
        <v>6.420127237E9</v>
      </c>
      <c r="C482" s="329">
        <v>46207.0</v>
      </c>
      <c r="D482" s="330">
        <v>4.0</v>
      </c>
      <c r="E482" s="330">
        <v>7.0</v>
      </c>
      <c r="F482" s="330">
        <v>2026.0</v>
      </c>
      <c r="G482" s="329">
        <v>46210.0</v>
      </c>
      <c r="H482" s="330">
        <v>7.0</v>
      </c>
      <c r="I482" s="330">
        <v>7.0</v>
      </c>
      <c r="J482" s="330">
        <v>2026.0</v>
      </c>
      <c r="K482" s="328" t="s">
        <v>28</v>
      </c>
      <c r="L482" s="328" t="s">
        <v>1241</v>
      </c>
      <c r="M482" s="328">
        <v>1.0</v>
      </c>
      <c r="N482" s="328">
        <v>2.0</v>
      </c>
      <c r="O482" s="328">
        <v>4.0</v>
      </c>
      <c r="P482" s="329">
        <v>46235.0</v>
      </c>
      <c r="Q482" s="331">
        <v>1.0</v>
      </c>
      <c r="R482" s="331">
        <v>8.0</v>
      </c>
      <c r="S482" s="330">
        <v>2026.0</v>
      </c>
      <c r="T482" s="328" t="s">
        <v>28</v>
      </c>
      <c r="U482" s="328">
        <v>58.46</v>
      </c>
      <c r="V482" s="329">
        <v>46235.0</v>
      </c>
      <c r="W482" s="330">
        <v>1.0</v>
      </c>
      <c r="X482" s="330">
        <v>8.0</v>
      </c>
      <c r="Y482" s="330">
        <v>2026.0</v>
      </c>
      <c r="Z482" s="328" t="s">
        <v>28</v>
      </c>
    </row>
    <row r="483">
      <c r="A483" s="328" t="s">
        <v>1378</v>
      </c>
      <c r="B483" s="328">
        <v>6.617138135E9</v>
      </c>
      <c r="C483" s="329">
        <v>46208.0</v>
      </c>
      <c r="D483" s="330">
        <v>5.0</v>
      </c>
      <c r="E483" s="330">
        <v>7.0</v>
      </c>
      <c r="F483" s="330">
        <v>2026.0</v>
      </c>
      <c r="G483" s="329">
        <v>46209.0</v>
      </c>
      <c r="H483" s="330">
        <v>6.0</v>
      </c>
      <c r="I483" s="330">
        <v>7.0</v>
      </c>
      <c r="J483" s="330">
        <v>2026.0</v>
      </c>
      <c r="K483" s="328" t="s">
        <v>28</v>
      </c>
      <c r="L483" s="328" t="s">
        <v>1241</v>
      </c>
      <c r="M483" s="328">
        <v>1.0</v>
      </c>
      <c r="N483" s="328">
        <v>1.0</v>
      </c>
      <c r="O483" s="328">
        <v>2.0</v>
      </c>
      <c r="P483" s="329">
        <v>46235.0</v>
      </c>
      <c r="Q483" s="331">
        <v>1.0</v>
      </c>
      <c r="R483" s="331">
        <v>8.0</v>
      </c>
      <c r="S483" s="330">
        <v>2026.0</v>
      </c>
      <c r="T483" s="328" t="s">
        <v>28</v>
      </c>
      <c r="U483" s="328">
        <v>29.23</v>
      </c>
      <c r="V483" s="329">
        <v>46235.0</v>
      </c>
      <c r="W483" s="330">
        <v>1.0</v>
      </c>
      <c r="X483" s="330">
        <v>8.0</v>
      </c>
      <c r="Y483" s="330">
        <v>2026.0</v>
      </c>
      <c r="Z483" s="328" t="s">
        <v>28</v>
      </c>
    </row>
    <row r="484">
      <c r="A484" s="328" t="s">
        <v>1379</v>
      </c>
      <c r="B484" s="328">
        <v>6.33341137E9</v>
      </c>
      <c r="C484" s="329">
        <v>46207.0</v>
      </c>
      <c r="D484" s="330">
        <v>4.0</v>
      </c>
      <c r="E484" s="330">
        <v>7.0</v>
      </c>
      <c r="F484" s="330">
        <v>2026.0</v>
      </c>
      <c r="G484" s="329">
        <v>46209.0</v>
      </c>
      <c r="H484" s="330">
        <v>6.0</v>
      </c>
      <c r="I484" s="330">
        <v>7.0</v>
      </c>
      <c r="J484" s="330">
        <v>2026.0</v>
      </c>
      <c r="K484" s="328" t="s">
        <v>28</v>
      </c>
      <c r="L484" s="328" t="s">
        <v>1241</v>
      </c>
      <c r="M484" s="328">
        <v>1.0</v>
      </c>
      <c r="N484" s="328">
        <v>2.0</v>
      </c>
      <c r="O484" s="328">
        <v>4.0</v>
      </c>
      <c r="P484" s="329">
        <v>46235.0</v>
      </c>
      <c r="Q484" s="331">
        <v>1.0</v>
      </c>
      <c r="R484" s="331">
        <v>8.0</v>
      </c>
      <c r="S484" s="330">
        <v>2026.0</v>
      </c>
      <c r="T484" s="328" t="s">
        <v>28</v>
      </c>
      <c r="U484" s="328">
        <v>58.46</v>
      </c>
      <c r="V484" s="329">
        <v>46235.0</v>
      </c>
      <c r="W484" s="330">
        <v>1.0</v>
      </c>
      <c r="X484" s="330">
        <v>8.0</v>
      </c>
      <c r="Y484" s="330">
        <v>2026.0</v>
      </c>
      <c r="Z484" s="328" t="s">
        <v>28</v>
      </c>
    </row>
    <row r="485">
      <c r="A485" s="328" t="s">
        <v>1380</v>
      </c>
      <c r="B485" s="328">
        <v>5.334090978E9</v>
      </c>
      <c r="C485" s="329">
        <v>46208.0</v>
      </c>
      <c r="D485" s="330">
        <v>5.0</v>
      </c>
      <c r="E485" s="330">
        <v>7.0</v>
      </c>
      <c r="F485" s="330">
        <v>2026.0</v>
      </c>
      <c r="G485" s="329">
        <v>46209.0</v>
      </c>
      <c r="H485" s="330">
        <v>6.0</v>
      </c>
      <c r="I485" s="330">
        <v>7.0</v>
      </c>
      <c r="J485" s="330">
        <v>2026.0</v>
      </c>
      <c r="K485" s="328" t="s">
        <v>28</v>
      </c>
      <c r="L485" s="328" t="s">
        <v>1241</v>
      </c>
      <c r="M485" s="328">
        <v>1.0</v>
      </c>
      <c r="N485" s="328">
        <v>1.0</v>
      </c>
      <c r="O485" s="328">
        <v>2.0</v>
      </c>
      <c r="P485" s="329">
        <v>46235.0</v>
      </c>
      <c r="Q485" s="331">
        <v>1.0</v>
      </c>
      <c r="R485" s="331">
        <v>8.0</v>
      </c>
      <c r="S485" s="330">
        <v>2026.0</v>
      </c>
      <c r="T485" s="328" t="s">
        <v>28</v>
      </c>
      <c r="U485" s="328">
        <v>29.23</v>
      </c>
      <c r="V485" s="329">
        <v>46235.0</v>
      </c>
      <c r="W485" s="330">
        <v>1.0</v>
      </c>
      <c r="X485" s="330">
        <v>8.0</v>
      </c>
      <c r="Y485" s="330">
        <v>2026.0</v>
      </c>
      <c r="Z485" s="328" t="s">
        <v>28</v>
      </c>
    </row>
    <row r="486">
      <c r="A486" s="328" t="s">
        <v>1381</v>
      </c>
      <c r="B486" s="328">
        <v>6.976998252E9</v>
      </c>
      <c r="C486" s="329">
        <v>46206.0</v>
      </c>
      <c r="D486" s="330">
        <v>3.0</v>
      </c>
      <c r="E486" s="330">
        <v>7.0</v>
      </c>
      <c r="F486" s="330">
        <v>2026.0</v>
      </c>
      <c r="G486" s="329">
        <v>46208.0</v>
      </c>
      <c r="H486" s="330">
        <v>5.0</v>
      </c>
      <c r="I486" s="330">
        <v>7.0</v>
      </c>
      <c r="J486" s="330">
        <v>2026.0</v>
      </c>
      <c r="K486" s="328" t="s">
        <v>28</v>
      </c>
      <c r="L486" s="328" t="s">
        <v>1241</v>
      </c>
      <c r="M486" s="328">
        <v>1.0</v>
      </c>
      <c r="N486" s="328">
        <v>2.0</v>
      </c>
      <c r="O486" s="328">
        <v>4.0</v>
      </c>
      <c r="P486" s="329">
        <v>46235.0</v>
      </c>
      <c r="Q486" s="331">
        <v>1.0</v>
      </c>
      <c r="R486" s="331">
        <v>8.0</v>
      </c>
      <c r="S486" s="330">
        <v>2026.0</v>
      </c>
      <c r="T486" s="328" t="s">
        <v>28</v>
      </c>
      <c r="U486" s="328">
        <v>58.46</v>
      </c>
      <c r="V486" s="329">
        <v>46235.0</v>
      </c>
      <c r="W486" s="330">
        <v>1.0</v>
      </c>
      <c r="X486" s="330">
        <v>8.0</v>
      </c>
      <c r="Y486" s="330">
        <v>2026.0</v>
      </c>
      <c r="Z486" s="328" t="s">
        <v>28</v>
      </c>
    </row>
    <row r="487">
      <c r="A487" s="328" t="s">
        <v>1382</v>
      </c>
      <c r="B487" s="328">
        <v>6.919031464E9</v>
      </c>
      <c r="C487" s="329">
        <v>46205.0</v>
      </c>
      <c r="D487" s="330">
        <v>2.0</v>
      </c>
      <c r="E487" s="330">
        <v>7.0</v>
      </c>
      <c r="F487" s="330">
        <v>2026.0</v>
      </c>
      <c r="G487" s="329">
        <v>46208.0</v>
      </c>
      <c r="H487" s="330">
        <v>5.0</v>
      </c>
      <c r="I487" s="330">
        <v>7.0</v>
      </c>
      <c r="J487" s="330">
        <v>2026.0</v>
      </c>
      <c r="K487" s="328" t="s">
        <v>28</v>
      </c>
      <c r="L487" s="328" t="s">
        <v>1241</v>
      </c>
      <c r="M487" s="328">
        <v>1.0</v>
      </c>
      <c r="N487" s="328">
        <v>3.0</v>
      </c>
      <c r="O487" s="328">
        <v>6.0</v>
      </c>
      <c r="P487" s="329">
        <v>46235.0</v>
      </c>
      <c r="Q487" s="331">
        <v>1.0</v>
      </c>
      <c r="R487" s="331">
        <v>8.0</v>
      </c>
      <c r="S487" s="330">
        <v>2026.0</v>
      </c>
      <c r="T487" s="328" t="s">
        <v>28</v>
      </c>
      <c r="U487" s="328">
        <v>87.7</v>
      </c>
      <c r="V487" s="329">
        <v>46235.0</v>
      </c>
      <c r="W487" s="330">
        <v>1.0</v>
      </c>
      <c r="X487" s="330">
        <v>8.0</v>
      </c>
      <c r="Y487" s="330">
        <v>2026.0</v>
      </c>
      <c r="Z487" s="328" t="s">
        <v>28</v>
      </c>
    </row>
    <row r="488">
      <c r="A488" s="328" t="s">
        <v>1383</v>
      </c>
      <c r="B488" s="328">
        <v>6.778444786E9</v>
      </c>
      <c r="C488" s="329">
        <v>46206.0</v>
      </c>
      <c r="D488" s="330">
        <v>3.0</v>
      </c>
      <c r="E488" s="330">
        <v>7.0</v>
      </c>
      <c r="F488" s="330">
        <v>2026.0</v>
      </c>
      <c r="G488" s="329">
        <v>46208.0</v>
      </c>
      <c r="H488" s="330">
        <v>5.0</v>
      </c>
      <c r="I488" s="330">
        <v>7.0</v>
      </c>
      <c r="J488" s="330">
        <v>2026.0</v>
      </c>
      <c r="K488" s="328" t="s">
        <v>28</v>
      </c>
      <c r="L488" s="328" t="s">
        <v>895</v>
      </c>
      <c r="M488" s="328">
        <v>1.0</v>
      </c>
      <c r="N488" s="328">
        <v>2.0</v>
      </c>
      <c r="O488" s="328">
        <v>4.0</v>
      </c>
      <c r="P488" s="329">
        <v>46235.0</v>
      </c>
      <c r="Q488" s="331">
        <v>1.0</v>
      </c>
      <c r="R488" s="331">
        <v>8.0</v>
      </c>
      <c r="S488" s="330">
        <v>2026.0</v>
      </c>
      <c r="T488" s="328" t="s">
        <v>28</v>
      </c>
      <c r="U488" s="328">
        <v>25.26</v>
      </c>
      <c r="V488" s="329">
        <v>46235.0</v>
      </c>
      <c r="W488" s="330">
        <v>1.0</v>
      </c>
      <c r="X488" s="330">
        <v>8.0</v>
      </c>
      <c r="Y488" s="330">
        <v>2026.0</v>
      </c>
      <c r="Z488" s="328" t="s">
        <v>28</v>
      </c>
    </row>
    <row r="489">
      <c r="A489" s="328" t="s">
        <v>1384</v>
      </c>
      <c r="B489" s="328">
        <v>6.534947865E9</v>
      </c>
      <c r="C489" s="329">
        <v>46207.0</v>
      </c>
      <c r="D489" s="330">
        <v>4.0</v>
      </c>
      <c r="E489" s="330">
        <v>7.0</v>
      </c>
      <c r="F489" s="330">
        <v>2026.0</v>
      </c>
      <c r="G489" s="329">
        <v>46208.0</v>
      </c>
      <c r="H489" s="330">
        <v>5.0</v>
      </c>
      <c r="I489" s="330">
        <v>7.0</v>
      </c>
      <c r="J489" s="330">
        <v>2026.0</v>
      </c>
      <c r="K489" s="328" t="s">
        <v>28</v>
      </c>
      <c r="L489" s="328" t="s">
        <v>1241</v>
      </c>
      <c r="M489" s="328">
        <v>2.0</v>
      </c>
      <c r="N489" s="328">
        <v>1.0</v>
      </c>
      <c r="O489" s="328">
        <v>4.0</v>
      </c>
      <c r="P489" s="329">
        <v>46235.0</v>
      </c>
      <c r="Q489" s="331">
        <v>1.0</v>
      </c>
      <c r="R489" s="331">
        <v>8.0</v>
      </c>
      <c r="S489" s="330">
        <v>2026.0</v>
      </c>
      <c r="T489" s="328" t="s">
        <v>28</v>
      </c>
      <c r="U489" s="328">
        <v>58.46</v>
      </c>
      <c r="V489" s="329">
        <v>46235.0</v>
      </c>
      <c r="W489" s="330">
        <v>1.0</v>
      </c>
      <c r="X489" s="330">
        <v>8.0</v>
      </c>
      <c r="Y489" s="330">
        <v>2026.0</v>
      </c>
      <c r="Z489" s="328" t="s">
        <v>28</v>
      </c>
    </row>
    <row r="490">
      <c r="A490" s="328" t="s">
        <v>1109</v>
      </c>
      <c r="B490" s="328">
        <v>5.597803883E9</v>
      </c>
      <c r="C490" s="329">
        <v>46207.0</v>
      </c>
      <c r="D490" s="330">
        <v>4.0</v>
      </c>
      <c r="E490" s="330">
        <v>7.0</v>
      </c>
      <c r="F490" s="330">
        <v>2026.0</v>
      </c>
      <c r="G490" s="329">
        <v>46208.0</v>
      </c>
      <c r="H490" s="330">
        <v>5.0</v>
      </c>
      <c r="I490" s="330">
        <v>7.0</v>
      </c>
      <c r="J490" s="330">
        <v>2026.0</v>
      </c>
      <c r="K490" s="328" t="s">
        <v>28</v>
      </c>
      <c r="L490" s="328" t="s">
        <v>1241</v>
      </c>
      <c r="M490" s="328">
        <v>1.0</v>
      </c>
      <c r="N490" s="328">
        <v>1.0</v>
      </c>
      <c r="O490" s="328">
        <v>2.0</v>
      </c>
      <c r="P490" s="329">
        <v>46235.0</v>
      </c>
      <c r="Q490" s="331">
        <v>1.0</v>
      </c>
      <c r="R490" s="331">
        <v>8.0</v>
      </c>
      <c r="S490" s="330">
        <v>2026.0</v>
      </c>
      <c r="T490" s="328" t="s">
        <v>28</v>
      </c>
      <c r="U490" s="328">
        <v>45.95</v>
      </c>
      <c r="V490" s="329">
        <v>46235.0</v>
      </c>
      <c r="W490" s="330">
        <v>1.0</v>
      </c>
      <c r="X490" s="330">
        <v>8.0</v>
      </c>
      <c r="Y490" s="330">
        <v>2026.0</v>
      </c>
      <c r="Z490" s="328" t="s">
        <v>28</v>
      </c>
    </row>
    <row r="491">
      <c r="A491" s="328" t="s">
        <v>1385</v>
      </c>
      <c r="B491" s="328">
        <v>5.835638886E9</v>
      </c>
      <c r="C491" s="329">
        <v>46206.0</v>
      </c>
      <c r="D491" s="330">
        <v>3.0</v>
      </c>
      <c r="E491" s="330">
        <v>7.0</v>
      </c>
      <c r="F491" s="330">
        <v>2026.0</v>
      </c>
      <c r="G491" s="329">
        <v>46207.0</v>
      </c>
      <c r="H491" s="330">
        <v>4.0</v>
      </c>
      <c r="I491" s="330">
        <v>7.0</v>
      </c>
      <c r="J491" s="330">
        <v>2026.0</v>
      </c>
      <c r="K491" s="328" t="s">
        <v>28</v>
      </c>
      <c r="L491" s="328" t="s">
        <v>1241</v>
      </c>
      <c r="M491" s="328">
        <v>1.0</v>
      </c>
      <c r="N491" s="328">
        <v>1.0</v>
      </c>
      <c r="O491" s="328">
        <v>2.0</v>
      </c>
      <c r="P491" s="329">
        <v>46235.0</v>
      </c>
      <c r="Q491" s="331">
        <v>1.0</v>
      </c>
      <c r="R491" s="331">
        <v>8.0</v>
      </c>
      <c r="S491" s="330">
        <v>2026.0</v>
      </c>
      <c r="T491" s="328" t="s">
        <v>28</v>
      </c>
      <c r="U491" s="328">
        <v>29.23</v>
      </c>
      <c r="V491" s="329">
        <v>46235.0</v>
      </c>
      <c r="W491" s="330">
        <v>1.0</v>
      </c>
      <c r="X491" s="330">
        <v>8.0</v>
      </c>
      <c r="Y491" s="330">
        <v>2026.0</v>
      </c>
      <c r="Z491" s="328" t="s">
        <v>28</v>
      </c>
    </row>
    <row r="492">
      <c r="A492" s="328" t="s">
        <v>1386</v>
      </c>
      <c r="B492" s="328">
        <v>5.360974007E9</v>
      </c>
      <c r="C492" s="329">
        <v>46206.0</v>
      </c>
      <c r="D492" s="330">
        <v>3.0</v>
      </c>
      <c r="E492" s="330">
        <v>7.0</v>
      </c>
      <c r="F492" s="330">
        <v>2026.0</v>
      </c>
      <c r="G492" s="329">
        <v>46207.0</v>
      </c>
      <c r="H492" s="330">
        <v>4.0</v>
      </c>
      <c r="I492" s="330">
        <v>7.0</v>
      </c>
      <c r="J492" s="330">
        <v>2026.0</v>
      </c>
      <c r="K492" s="328" t="s">
        <v>28</v>
      </c>
      <c r="L492" s="328" t="s">
        <v>1241</v>
      </c>
      <c r="M492" s="328">
        <v>1.0</v>
      </c>
      <c r="N492" s="328">
        <v>1.0</v>
      </c>
      <c r="O492" s="328">
        <v>2.0</v>
      </c>
      <c r="P492" s="329">
        <v>46235.0</v>
      </c>
      <c r="Q492" s="331">
        <v>1.0</v>
      </c>
      <c r="R492" s="331">
        <v>8.0</v>
      </c>
      <c r="S492" s="330">
        <v>2026.0</v>
      </c>
      <c r="T492" s="328" t="s">
        <v>28</v>
      </c>
      <c r="U492" s="328">
        <v>29.23</v>
      </c>
      <c r="V492" s="329">
        <v>46235.0</v>
      </c>
      <c r="W492" s="330">
        <v>1.0</v>
      </c>
      <c r="X492" s="330">
        <v>8.0</v>
      </c>
      <c r="Y492" s="330">
        <v>2026.0</v>
      </c>
      <c r="Z492" s="328" t="s">
        <v>28</v>
      </c>
    </row>
    <row r="493">
      <c r="A493" s="328" t="s">
        <v>1387</v>
      </c>
      <c r="B493" s="328">
        <v>6.787603038E9</v>
      </c>
      <c r="C493" s="329">
        <v>46205.0</v>
      </c>
      <c r="D493" s="330">
        <v>2.0</v>
      </c>
      <c r="E493" s="330">
        <v>7.0</v>
      </c>
      <c r="F493" s="330">
        <v>2026.0</v>
      </c>
      <c r="G493" s="329">
        <v>46206.0</v>
      </c>
      <c r="H493" s="330">
        <v>3.0</v>
      </c>
      <c r="I493" s="330">
        <v>7.0</v>
      </c>
      <c r="J493" s="330">
        <v>2026.0</v>
      </c>
      <c r="K493" s="328" t="s">
        <v>28</v>
      </c>
      <c r="L493" s="328" t="s">
        <v>1241</v>
      </c>
      <c r="M493" s="328">
        <v>1.0</v>
      </c>
      <c r="N493" s="328">
        <v>1.0</v>
      </c>
      <c r="O493" s="328">
        <v>2.0</v>
      </c>
      <c r="P493" s="329">
        <v>46235.0</v>
      </c>
      <c r="Q493" s="331">
        <v>1.0</v>
      </c>
      <c r="R493" s="331">
        <v>8.0</v>
      </c>
      <c r="S493" s="330">
        <v>2026.0</v>
      </c>
      <c r="T493" s="328" t="s">
        <v>28</v>
      </c>
      <c r="U493" s="328">
        <v>29.23</v>
      </c>
      <c r="V493" s="329">
        <v>46235.0</v>
      </c>
      <c r="W493" s="330">
        <v>1.0</v>
      </c>
      <c r="X493" s="330">
        <v>8.0</v>
      </c>
      <c r="Y493" s="330">
        <v>2026.0</v>
      </c>
      <c r="Z493" s="328" t="s">
        <v>28</v>
      </c>
    </row>
    <row r="494">
      <c r="A494" s="328" t="s">
        <v>1388</v>
      </c>
      <c r="B494" s="328">
        <v>6.068845168E9</v>
      </c>
      <c r="C494" s="329">
        <v>46204.0</v>
      </c>
      <c r="D494" s="330">
        <v>1.0</v>
      </c>
      <c r="E494" s="330">
        <v>7.0</v>
      </c>
      <c r="F494" s="330">
        <v>2026.0</v>
      </c>
      <c r="G494" s="329">
        <v>46205.0</v>
      </c>
      <c r="H494" s="330">
        <v>2.0</v>
      </c>
      <c r="I494" s="330">
        <v>7.0</v>
      </c>
      <c r="J494" s="330">
        <v>2026.0</v>
      </c>
      <c r="K494" s="328" t="s">
        <v>28</v>
      </c>
      <c r="L494" s="328" t="s">
        <v>1241</v>
      </c>
      <c r="M494" s="328">
        <v>1.0</v>
      </c>
      <c r="N494" s="328">
        <v>1.0</v>
      </c>
      <c r="O494" s="328">
        <v>2.0</v>
      </c>
      <c r="P494" s="329">
        <v>46235.0</v>
      </c>
      <c r="Q494" s="331">
        <v>1.0</v>
      </c>
      <c r="R494" s="331">
        <v>8.0</v>
      </c>
      <c r="S494" s="330">
        <v>2026.0</v>
      </c>
      <c r="T494" s="328" t="s">
        <v>28</v>
      </c>
      <c r="U494" s="328">
        <v>29.23</v>
      </c>
      <c r="V494" s="329">
        <v>46235.0</v>
      </c>
      <c r="W494" s="330">
        <v>1.0</v>
      </c>
      <c r="X494" s="330">
        <v>8.0</v>
      </c>
      <c r="Y494" s="330">
        <v>2026.0</v>
      </c>
      <c r="Z494" s="328" t="s">
        <v>28</v>
      </c>
    </row>
    <row r="495">
      <c r="A495" s="328" t="s">
        <v>1389</v>
      </c>
      <c r="B495" s="328">
        <v>6.044060446E9</v>
      </c>
      <c r="C495" s="329">
        <v>46204.0</v>
      </c>
      <c r="D495" s="330">
        <v>1.0</v>
      </c>
      <c r="E495" s="330">
        <v>7.0</v>
      </c>
      <c r="F495" s="330">
        <v>2026.0</v>
      </c>
      <c r="G495" s="329">
        <v>46205.0</v>
      </c>
      <c r="H495" s="330">
        <v>2.0</v>
      </c>
      <c r="I495" s="330">
        <v>7.0</v>
      </c>
      <c r="J495" s="330">
        <v>2026.0</v>
      </c>
      <c r="K495" s="328" t="s">
        <v>28</v>
      </c>
      <c r="L495" s="328" t="s">
        <v>1241</v>
      </c>
      <c r="M495" s="328">
        <v>1.0</v>
      </c>
      <c r="N495" s="328">
        <v>1.0</v>
      </c>
      <c r="O495" s="328">
        <v>2.0</v>
      </c>
      <c r="P495" s="329">
        <v>46235.0</v>
      </c>
      <c r="Q495" s="331">
        <v>1.0</v>
      </c>
      <c r="R495" s="331">
        <v>8.0</v>
      </c>
      <c r="S495" s="330">
        <v>2026.0</v>
      </c>
      <c r="T495" s="328" t="s">
        <v>28</v>
      </c>
      <c r="U495" s="328">
        <v>29.23</v>
      </c>
      <c r="V495" s="329">
        <v>46235.0</v>
      </c>
      <c r="W495" s="330">
        <v>1.0</v>
      </c>
      <c r="X495" s="330">
        <v>8.0</v>
      </c>
      <c r="Y495" s="330">
        <v>2026.0</v>
      </c>
      <c r="Z495" s="328" t="s">
        <v>28</v>
      </c>
    </row>
    <row r="496">
      <c r="A496" s="328" t="s">
        <v>1390</v>
      </c>
      <c r="B496" s="328">
        <v>5.63124241E9</v>
      </c>
      <c r="C496" s="329">
        <v>46204.0</v>
      </c>
      <c r="D496" s="330">
        <v>1.0</v>
      </c>
      <c r="E496" s="330">
        <v>7.0</v>
      </c>
      <c r="F496" s="330">
        <v>2026.0</v>
      </c>
      <c r="G496" s="329">
        <v>46205.0</v>
      </c>
      <c r="H496" s="330">
        <v>2.0</v>
      </c>
      <c r="I496" s="330">
        <v>7.0</v>
      </c>
      <c r="J496" s="330">
        <v>2026.0</v>
      </c>
      <c r="K496" s="328" t="s">
        <v>28</v>
      </c>
      <c r="L496" s="328" t="s">
        <v>1241</v>
      </c>
      <c r="M496" s="328">
        <v>1.0</v>
      </c>
      <c r="N496" s="328">
        <v>1.0</v>
      </c>
      <c r="O496" s="328">
        <v>2.0</v>
      </c>
      <c r="P496" s="329">
        <v>46235.0</v>
      </c>
      <c r="Q496" s="331">
        <v>1.0</v>
      </c>
      <c r="R496" s="331">
        <v>8.0</v>
      </c>
      <c r="S496" s="330">
        <v>2026.0</v>
      </c>
      <c r="T496" s="328" t="s">
        <v>28</v>
      </c>
      <c r="U496" s="328">
        <v>29.23</v>
      </c>
      <c r="V496" s="329">
        <v>46235.0</v>
      </c>
      <c r="W496" s="330">
        <v>1.0</v>
      </c>
      <c r="X496" s="330">
        <v>8.0</v>
      </c>
      <c r="Y496" s="330">
        <v>2026.0</v>
      </c>
      <c r="Z496" s="328" t="s">
        <v>28</v>
      </c>
    </row>
    <row r="497">
      <c r="A497" s="293" t="s">
        <v>1391</v>
      </c>
      <c r="B497" s="294"/>
      <c r="C497" s="299">
        <v>46191.0</v>
      </c>
      <c r="D497" s="296">
        <v>18.0</v>
      </c>
      <c r="E497" s="296">
        <v>6.0</v>
      </c>
      <c r="F497" s="296">
        <v>2026.0</v>
      </c>
      <c r="G497" s="299">
        <v>46194.0</v>
      </c>
      <c r="H497" s="296">
        <v>21.0</v>
      </c>
      <c r="I497" s="269">
        <v>6.0</v>
      </c>
      <c r="J497" s="296">
        <v>2026.0</v>
      </c>
      <c r="K497" s="164" t="s">
        <v>55</v>
      </c>
      <c r="L497" s="235" t="s">
        <v>1392</v>
      </c>
      <c r="M497" s="235">
        <v>1.0</v>
      </c>
      <c r="N497" s="235">
        <v>3.0</v>
      </c>
      <c r="O497" s="235">
        <v>6.0</v>
      </c>
      <c r="P497" s="299">
        <v>46193.0</v>
      </c>
      <c r="Q497" s="213">
        <v>20.0</v>
      </c>
      <c r="R497" s="213">
        <v>6.0</v>
      </c>
      <c r="S497" s="296">
        <v>2026.0</v>
      </c>
      <c r="T497" s="82" t="s">
        <v>319</v>
      </c>
      <c r="U497" s="235">
        <v>97.5</v>
      </c>
      <c r="V497" s="299">
        <v>46193.0</v>
      </c>
      <c r="W497" s="296">
        <v>20.0</v>
      </c>
      <c r="X497" s="296">
        <v>6.0</v>
      </c>
      <c r="Y497" s="296">
        <v>2026.0</v>
      </c>
      <c r="Z497" s="82" t="s">
        <v>319</v>
      </c>
    </row>
    <row r="498">
      <c r="A498" s="293" t="s">
        <v>1393</v>
      </c>
      <c r="B498" s="294"/>
      <c r="C498" s="299">
        <v>46201.0</v>
      </c>
      <c r="D498" s="296">
        <v>28.0</v>
      </c>
      <c r="E498" s="296">
        <v>6.0</v>
      </c>
      <c r="F498" s="296">
        <v>2026.0</v>
      </c>
      <c r="G498" s="299">
        <v>46205.0</v>
      </c>
      <c r="H498" s="296">
        <v>2.0</v>
      </c>
      <c r="I498" s="269">
        <v>7.0</v>
      </c>
      <c r="J498" s="296">
        <v>2026.0</v>
      </c>
      <c r="K498" s="164" t="s">
        <v>55</v>
      </c>
      <c r="L498" s="235" t="s">
        <v>1392</v>
      </c>
      <c r="M498" s="235">
        <v>1.0</v>
      </c>
      <c r="N498" s="235">
        <v>4.0</v>
      </c>
      <c r="O498" s="235">
        <v>8.0</v>
      </c>
      <c r="P498" s="299">
        <v>46201.0</v>
      </c>
      <c r="Q498" s="213">
        <v>28.0</v>
      </c>
      <c r="R498" s="213">
        <v>6.0</v>
      </c>
      <c r="S498" s="296">
        <v>2026.0</v>
      </c>
      <c r="T498" s="235" t="s">
        <v>352</v>
      </c>
      <c r="U498" s="235">
        <v>117.0</v>
      </c>
      <c r="V498" s="299">
        <v>46201.0</v>
      </c>
      <c r="W498" s="296">
        <v>28.0</v>
      </c>
      <c r="X498" s="296">
        <v>6.0</v>
      </c>
      <c r="Y498" s="296">
        <v>2026.0</v>
      </c>
      <c r="Z498" s="235" t="s">
        <v>352</v>
      </c>
    </row>
    <row r="499">
      <c r="A499" s="328" t="s">
        <v>1394</v>
      </c>
      <c r="B499" s="393"/>
      <c r="C499" s="329">
        <v>46219.0</v>
      </c>
      <c r="D499" s="330">
        <v>16.0</v>
      </c>
      <c r="E499" s="330">
        <v>7.0</v>
      </c>
      <c r="F499" s="330">
        <v>2026.0</v>
      </c>
      <c r="G499" s="329">
        <v>46220.0</v>
      </c>
      <c r="H499" s="330">
        <v>17.0</v>
      </c>
      <c r="I499" s="330">
        <v>7.0</v>
      </c>
      <c r="J499" s="330">
        <v>2026.0</v>
      </c>
      <c r="K499" s="328" t="s">
        <v>55</v>
      </c>
      <c r="L499" s="328" t="s">
        <v>1392</v>
      </c>
      <c r="M499" s="330">
        <v>3.0</v>
      </c>
      <c r="N499" s="330">
        <v>1.0</v>
      </c>
      <c r="O499" s="330">
        <v>6.0</v>
      </c>
      <c r="P499" s="329">
        <v>46217.0</v>
      </c>
      <c r="Q499" s="331">
        <v>14.0</v>
      </c>
      <c r="R499" s="331">
        <v>7.0</v>
      </c>
      <c r="S499" s="330">
        <v>2026.0</v>
      </c>
      <c r="T499" s="328" t="s">
        <v>10</v>
      </c>
      <c r="U499" s="385">
        <f>138-6</f>
        <v>132</v>
      </c>
      <c r="V499" s="329">
        <v>46217.0</v>
      </c>
      <c r="W499" s="330">
        <v>14.0</v>
      </c>
      <c r="X499" s="330">
        <v>7.0</v>
      </c>
      <c r="Y499" s="330">
        <v>2026.0</v>
      </c>
      <c r="Z499" s="328" t="s">
        <v>10</v>
      </c>
    </row>
    <row r="500">
      <c r="A500" s="328" t="s">
        <v>1395</v>
      </c>
      <c r="B500" s="393"/>
      <c r="C500" s="329">
        <v>46218.0</v>
      </c>
      <c r="D500" s="330">
        <v>15.0</v>
      </c>
      <c r="E500" s="330">
        <v>7.0</v>
      </c>
      <c r="F500" s="330">
        <v>2026.0</v>
      </c>
      <c r="G500" s="329">
        <v>46220.0</v>
      </c>
      <c r="H500" s="330">
        <v>17.0</v>
      </c>
      <c r="I500" s="330">
        <v>7.0</v>
      </c>
      <c r="J500" s="330">
        <v>2026.0</v>
      </c>
      <c r="K500" s="328" t="s">
        <v>55</v>
      </c>
      <c r="L500" s="328" t="s">
        <v>1392</v>
      </c>
      <c r="M500" s="330">
        <v>1.0</v>
      </c>
      <c r="N500" s="330">
        <v>2.0</v>
      </c>
      <c r="O500" s="330">
        <v>4.0</v>
      </c>
      <c r="P500" s="329">
        <v>46217.0</v>
      </c>
      <c r="Q500" s="331">
        <v>14.0</v>
      </c>
      <c r="R500" s="331">
        <v>7.0</v>
      </c>
      <c r="S500" s="330">
        <v>2026.0</v>
      </c>
      <c r="T500" s="328" t="s">
        <v>10</v>
      </c>
      <c r="U500" s="385">
        <f>92-O500</f>
        <v>88</v>
      </c>
      <c r="V500" s="329">
        <v>46217.0</v>
      </c>
      <c r="W500" s="330">
        <v>14.0</v>
      </c>
      <c r="X500" s="330">
        <v>7.0</v>
      </c>
      <c r="Y500" s="330">
        <v>2026.0</v>
      </c>
      <c r="Z500" s="328" t="s">
        <v>10</v>
      </c>
    </row>
    <row r="501">
      <c r="A501" s="293" t="s">
        <v>1396</v>
      </c>
      <c r="B501" s="293" t="s">
        <v>1397</v>
      </c>
      <c r="C501" s="295">
        <v>46170.0</v>
      </c>
      <c r="D501" s="296">
        <v>28.0</v>
      </c>
      <c r="E501" s="296">
        <v>5.0</v>
      </c>
      <c r="F501" s="296">
        <v>2026.0</v>
      </c>
      <c r="G501" s="295">
        <v>46171.0</v>
      </c>
      <c r="H501" s="269">
        <v>29.0</v>
      </c>
      <c r="I501" s="296">
        <v>5.0</v>
      </c>
      <c r="J501" s="269">
        <v>2026.0</v>
      </c>
      <c r="K501" s="235" t="s">
        <v>38</v>
      </c>
      <c r="L501" s="235" t="s">
        <v>518</v>
      </c>
      <c r="M501" s="296">
        <v>1.0</v>
      </c>
      <c r="N501" s="269">
        <v>1.0</v>
      </c>
      <c r="O501" s="296">
        <v>2.0</v>
      </c>
      <c r="P501" s="295">
        <v>46170.0</v>
      </c>
      <c r="Q501" s="213">
        <v>28.0</v>
      </c>
      <c r="R501" s="213">
        <v>5.0</v>
      </c>
      <c r="S501" s="296">
        <v>2026.0</v>
      </c>
      <c r="T501" s="82" t="s">
        <v>319</v>
      </c>
      <c r="U501" s="296">
        <v>38.25</v>
      </c>
      <c r="V501" s="295">
        <v>46170.0</v>
      </c>
      <c r="W501" s="296">
        <v>28.0</v>
      </c>
      <c r="X501" s="296">
        <v>5.0</v>
      </c>
      <c r="Y501" s="296">
        <v>2026.0</v>
      </c>
      <c r="Z501" s="82" t="s">
        <v>319</v>
      </c>
    </row>
    <row r="502">
      <c r="A502" s="293" t="s">
        <v>1398</v>
      </c>
      <c r="B502" s="294" t="s">
        <v>1399</v>
      </c>
      <c r="C502" s="295">
        <v>46156.0</v>
      </c>
      <c r="D502" s="296">
        <v>14.0</v>
      </c>
      <c r="E502" s="296">
        <v>5.0</v>
      </c>
      <c r="F502" s="296">
        <v>2026.0</v>
      </c>
      <c r="G502" s="295">
        <v>46159.0</v>
      </c>
      <c r="H502" s="296">
        <v>17.0</v>
      </c>
      <c r="I502" s="269">
        <v>5.0</v>
      </c>
      <c r="J502" s="296">
        <v>2026.0</v>
      </c>
      <c r="K502" s="164" t="s">
        <v>38</v>
      </c>
      <c r="L502" s="235" t="s">
        <v>518</v>
      </c>
      <c r="M502" s="296">
        <v>1.0</v>
      </c>
      <c r="N502" s="296">
        <v>3.0</v>
      </c>
      <c r="O502" s="296">
        <v>6.0</v>
      </c>
      <c r="P502" s="295">
        <v>46156.0</v>
      </c>
      <c r="Q502" s="213">
        <v>14.0</v>
      </c>
      <c r="R502" s="213">
        <v>5.0</v>
      </c>
      <c r="S502" s="296">
        <v>2026.0</v>
      </c>
      <c r="T502" s="235" t="s">
        <v>352</v>
      </c>
      <c r="U502" s="296">
        <v>106.25</v>
      </c>
      <c r="V502" s="295">
        <v>46156.0</v>
      </c>
      <c r="W502" s="296">
        <v>14.0</v>
      </c>
      <c r="X502" s="296">
        <v>5.0</v>
      </c>
      <c r="Y502" s="296">
        <v>2026.0</v>
      </c>
      <c r="Z502" s="235" t="s">
        <v>352</v>
      </c>
    </row>
    <row r="503">
      <c r="A503" s="293" t="s">
        <v>1400</v>
      </c>
      <c r="B503" s="294" t="s">
        <v>1401</v>
      </c>
      <c r="C503" s="295">
        <v>46146.0</v>
      </c>
      <c r="D503" s="296">
        <v>4.0</v>
      </c>
      <c r="E503" s="296">
        <v>5.0</v>
      </c>
      <c r="F503" s="296">
        <v>2026.0</v>
      </c>
      <c r="G503" s="295">
        <v>46150.0</v>
      </c>
      <c r="H503" s="296">
        <v>8.0</v>
      </c>
      <c r="I503" s="269">
        <v>5.0</v>
      </c>
      <c r="J503" s="296">
        <v>2026.0</v>
      </c>
      <c r="K503" s="164" t="s">
        <v>38</v>
      </c>
      <c r="L503" s="235" t="s">
        <v>518</v>
      </c>
      <c r="M503" s="296">
        <v>1.0</v>
      </c>
      <c r="N503" s="296">
        <v>4.0</v>
      </c>
      <c r="O503" s="235"/>
      <c r="P503" s="295">
        <v>46146.0</v>
      </c>
      <c r="Q503" s="213">
        <v>4.0</v>
      </c>
      <c r="R503" s="213">
        <v>5.0</v>
      </c>
      <c r="S503" s="296">
        <v>2026.0</v>
      </c>
      <c r="T503" s="235" t="s">
        <v>352</v>
      </c>
      <c r="U503" s="296">
        <v>161.0</v>
      </c>
      <c r="V503" s="295">
        <v>46146.0</v>
      </c>
      <c r="W503" s="296">
        <v>4.0</v>
      </c>
      <c r="X503" s="296">
        <v>5.0</v>
      </c>
      <c r="Y503" s="296">
        <v>2026.0</v>
      </c>
      <c r="Z503" s="235" t="s">
        <v>352</v>
      </c>
    </row>
    <row r="504">
      <c r="A504" s="293" t="s">
        <v>1402</v>
      </c>
      <c r="B504" s="293" t="s">
        <v>1403</v>
      </c>
      <c r="C504" s="295">
        <v>46160.0</v>
      </c>
      <c r="D504" s="296">
        <v>18.0</v>
      </c>
      <c r="E504" s="296">
        <v>5.0</v>
      </c>
      <c r="F504" s="296">
        <v>2026.0</v>
      </c>
      <c r="G504" s="295">
        <v>46161.0</v>
      </c>
      <c r="H504" s="269">
        <v>19.0</v>
      </c>
      <c r="I504" s="296">
        <v>5.0</v>
      </c>
      <c r="J504" s="269">
        <v>2026.0</v>
      </c>
      <c r="K504" s="235" t="s">
        <v>38</v>
      </c>
      <c r="L504" s="235" t="s">
        <v>518</v>
      </c>
      <c r="M504" s="296">
        <v>1.0</v>
      </c>
      <c r="N504" s="269">
        <v>1.0</v>
      </c>
      <c r="O504" s="296">
        <v>2.0</v>
      </c>
      <c r="P504" s="295">
        <v>46160.0</v>
      </c>
      <c r="Q504" s="213">
        <v>18.0</v>
      </c>
      <c r="R504" s="213">
        <v>5.0</v>
      </c>
      <c r="S504" s="296">
        <v>2026.0</v>
      </c>
      <c r="T504" s="82" t="s">
        <v>319</v>
      </c>
      <c r="U504" s="296">
        <v>34.0</v>
      </c>
      <c r="V504" s="295">
        <v>46160.0</v>
      </c>
      <c r="W504" s="296">
        <v>18.0</v>
      </c>
      <c r="X504" s="296">
        <v>5.0</v>
      </c>
      <c r="Y504" s="296">
        <v>2026.0</v>
      </c>
      <c r="Z504" s="82" t="s">
        <v>319</v>
      </c>
    </row>
    <row r="505">
      <c r="A505" s="235" t="s">
        <v>1404</v>
      </c>
      <c r="B505" s="293" t="s">
        <v>1405</v>
      </c>
      <c r="C505" s="295">
        <v>46155.0</v>
      </c>
      <c r="D505" s="296">
        <v>13.0</v>
      </c>
      <c r="E505" s="296">
        <v>5.0</v>
      </c>
      <c r="F505" s="296">
        <v>2026.0</v>
      </c>
      <c r="G505" s="295">
        <v>46157.0</v>
      </c>
      <c r="H505" s="269">
        <v>15.0</v>
      </c>
      <c r="I505" s="296">
        <v>5.0</v>
      </c>
      <c r="J505" s="269">
        <v>2026.0</v>
      </c>
      <c r="K505" s="235" t="s">
        <v>38</v>
      </c>
      <c r="L505" s="235" t="s">
        <v>518</v>
      </c>
      <c r="M505" s="296">
        <v>1.0</v>
      </c>
      <c r="N505" s="269">
        <v>2.0</v>
      </c>
      <c r="O505" s="296">
        <v>4.0</v>
      </c>
      <c r="P505" s="295">
        <v>46155.0</v>
      </c>
      <c r="Q505" s="213">
        <v>13.0</v>
      </c>
      <c r="R505" s="213">
        <v>5.0</v>
      </c>
      <c r="S505" s="296">
        <v>2026.0</v>
      </c>
      <c r="T505" s="82" t="s">
        <v>319</v>
      </c>
      <c r="U505" s="296">
        <v>76.5</v>
      </c>
      <c r="V505" s="295">
        <v>46155.0</v>
      </c>
      <c r="W505" s="296">
        <v>13.0</v>
      </c>
      <c r="X505" s="296">
        <v>5.0</v>
      </c>
      <c r="Y505" s="296">
        <v>2026.0</v>
      </c>
      <c r="Z505" s="82" t="s">
        <v>319</v>
      </c>
    </row>
    <row r="506">
      <c r="A506" s="293" t="s">
        <v>1406</v>
      </c>
      <c r="B506" s="294" t="s">
        <v>1407</v>
      </c>
      <c r="C506" s="295">
        <v>46159.0</v>
      </c>
      <c r="D506" s="296">
        <v>17.0</v>
      </c>
      <c r="E506" s="296">
        <v>5.0</v>
      </c>
      <c r="F506" s="296">
        <v>2026.0</v>
      </c>
      <c r="G506" s="295">
        <v>46163.0</v>
      </c>
      <c r="H506" s="296">
        <v>21.0</v>
      </c>
      <c r="I506" s="269">
        <v>5.0</v>
      </c>
      <c r="J506" s="296">
        <v>2026.0</v>
      </c>
      <c r="K506" s="164" t="s">
        <v>38</v>
      </c>
      <c r="L506" s="235" t="s">
        <v>518</v>
      </c>
      <c r="M506" s="296">
        <v>2.0</v>
      </c>
      <c r="N506" s="296">
        <v>4.0</v>
      </c>
      <c r="O506" s="296">
        <v>8.0</v>
      </c>
      <c r="P506" s="295">
        <v>46159.0</v>
      </c>
      <c r="Q506" s="213">
        <v>17.0</v>
      </c>
      <c r="R506" s="213">
        <v>5.0</v>
      </c>
      <c r="S506" s="296">
        <v>2026.0</v>
      </c>
      <c r="T506" s="82" t="s">
        <v>319</v>
      </c>
      <c r="U506" s="296">
        <v>153.0</v>
      </c>
      <c r="V506" s="295">
        <v>46159.0</v>
      </c>
      <c r="W506" s="296">
        <v>17.0</v>
      </c>
      <c r="X506" s="296">
        <v>5.0</v>
      </c>
      <c r="Y506" s="296">
        <v>2026.0</v>
      </c>
      <c r="Z506" s="82" t="s">
        <v>319</v>
      </c>
    </row>
    <row r="507">
      <c r="A507" s="293" t="s">
        <v>1408</v>
      </c>
      <c r="B507" s="293" t="s">
        <v>1409</v>
      </c>
      <c r="C507" s="295">
        <v>46144.0</v>
      </c>
      <c r="D507" s="296">
        <v>2.0</v>
      </c>
      <c r="E507" s="296">
        <v>5.0</v>
      </c>
      <c r="F507" s="296">
        <v>2026.0</v>
      </c>
      <c r="G507" s="295">
        <v>46145.0</v>
      </c>
      <c r="H507" s="269">
        <v>3.0</v>
      </c>
      <c r="I507" s="296">
        <v>5.0</v>
      </c>
      <c r="J507" s="269">
        <v>2026.0</v>
      </c>
      <c r="K507" s="235" t="s">
        <v>38</v>
      </c>
      <c r="L507" s="235" t="s">
        <v>518</v>
      </c>
      <c r="M507" s="296">
        <v>1.0</v>
      </c>
      <c r="N507" s="269">
        <v>1.0</v>
      </c>
      <c r="O507" s="235"/>
      <c r="P507" s="295">
        <v>46144.0</v>
      </c>
      <c r="Q507" s="213">
        <v>2.0</v>
      </c>
      <c r="R507" s="213">
        <v>5.0</v>
      </c>
      <c r="S507" s="296">
        <v>2026.0</v>
      </c>
      <c r="T507" s="82" t="s">
        <v>319</v>
      </c>
      <c r="U507" s="296">
        <v>40.25</v>
      </c>
      <c r="V507" s="295">
        <v>46144.0</v>
      </c>
      <c r="W507" s="296">
        <v>2.0</v>
      </c>
      <c r="X507" s="296">
        <v>5.0</v>
      </c>
      <c r="Y507" s="296">
        <v>2026.0</v>
      </c>
      <c r="Z507" s="82" t="s">
        <v>319</v>
      </c>
    </row>
    <row r="508">
      <c r="A508" s="293" t="s">
        <v>1410</v>
      </c>
      <c r="B508" s="293" t="s">
        <v>1411</v>
      </c>
      <c r="C508" s="295">
        <v>46158.0</v>
      </c>
      <c r="D508" s="296">
        <v>16.0</v>
      </c>
      <c r="E508" s="296">
        <v>5.0</v>
      </c>
      <c r="F508" s="296">
        <v>2026.0</v>
      </c>
      <c r="G508" s="295">
        <v>46160.0</v>
      </c>
      <c r="H508" s="269">
        <v>18.0</v>
      </c>
      <c r="I508" s="296">
        <v>5.0</v>
      </c>
      <c r="J508" s="269">
        <v>2026.0</v>
      </c>
      <c r="K508" s="235" t="s">
        <v>38</v>
      </c>
      <c r="L508" s="235" t="s">
        <v>518</v>
      </c>
      <c r="M508" s="296">
        <v>1.0</v>
      </c>
      <c r="N508" s="269">
        <v>2.0</v>
      </c>
      <c r="O508" s="296">
        <v>4.0</v>
      </c>
      <c r="P508" s="295">
        <v>46158.0</v>
      </c>
      <c r="Q508" s="213">
        <v>16.0</v>
      </c>
      <c r="R508" s="213">
        <v>5.0</v>
      </c>
      <c r="S508" s="296">
        <v>2026.0</v>
      </c>
      <c r="T508" s="82" t="s">
        <v>319</v>
      </c>
      <c r="U508" s="296">
        <v>68.0</v>
      </c>
      <c r="V508" s="295">
        <v>46158.0</v>
      </c>
      <c r="W508" s="296">
        <v>16.0</v>
      </c>
      <c r="X508" s="296">
        <v>5.0</v>
      </c>
      <c r="Y508" s="296">
        <v>2026.0</v>
      </c>
      <c r="Z508" s="82" t="s">
        <v>319</v>
      </c>
    </row>
    <row r="509">
      <c r="A509" s="293" t="s">
        <v>1412</v>
      </c>
      <c r="B509" s="294" t="s">
        <v>1413</v>
      </c>
      <c r="C509" s="295">
        <v>46148.0</v>
      </c>
      <c r="D509" s="296">
        <v>6.0</v>
      </c>
      <c r="E509" s="296">
        <v>5.0</v>
      </c>
      <c r="F509" s="296">
        <v>2026.0</v>
      </c>
      <c r="G509" s="295">
        <v>46150.0</v>
      </c>
      <c r="H509" s="296">
        <v>8.0</v>
      </c>
      <c r="I509" s="269">
        <v>5.0</v>
      </c>
      <c r="J509" s="296">
        <v>2026.0</v>
      </c>
      <c r="K509" s="235" t="s">
        <v>38</v>
      </c>
      <c r="L509" s="235" t="s">
        <v>518</v>
      </c>
      <c r="M509" s="296">
        <v>1.0</v>
      </c>
      <c r="N509" s="296">
        <v>2.0</v>
      </c>
      <c r="O509" s="235"/>
      <c r="P509" s="295">
        <v>46148.0</v>
      </c>
      <c r="Q509" s="213">
        <v>6.0</v>
      </c>
      <c r="R509" s="213">
        <v>5.0</v>
      </c>
      <c r="S509" s="296">
        <v>2026.0</v>
      </c>
      <c r="T509" s="82" t="s">
        <v>319</v>
      </c>
      <c r="U509" s="296">
        <v>161.0</v>
      </c>
      <c r="V509" s="295">
        <v>46148.0</v>
      </c>
      <c r="W509" s="296">
        <v>6.0</v>
      </c>
      <c r="X509" s="296">
        <v>5.0</v>
      </c>
      <c r="Y509" s="296">
        <v>2026.0</v>
      </c>
      <c r="Z509" s="82" t="s">
        <v>319</v>
      </c>
    </row>
    <row r="510">
      <c r="A510" s="293" t="s">
        <v>1414</v>
      </c>
      <c r="B510" s="293" t="s">
        <v>1415</v>
      </c>
      <c r="C510" s="295">
        <v>46158.0</v>
      </c>
      <c r="D510" s="296">
        <v>16.0</v>
      </c>
      <c r="E510" s="296">
        <v>5.0</v>
      </c>
      <c r="F510" s="296">
        <v>2026.0</v>
      </c>
      <c r="G510" s="295">
        <v>46159.0</v>
      </c>
      <c r="H510" s="269">
        <v>17.0</v>
      </c>
      <c r="I510" s="296">
        <v>5.0</v>
      </c>
      <c r="J510" s="269">
        <v>2026.0</v>
      </c>
      <c r="K510" s="235" t="s">
        <v>38</v>
      </c>
      <c r="L510" s="235" t="s">
        <v>518</v>
      </c>
      <c r="M510" s="296">
        <v>1.0</v>
      </c>
      <c r="N510" s="269">
        <v>1.0</v>
      </c>
      <c r="O510" s="296">
        <v>2.0</v>
      </c>
      <c r="P510" s="295">
        <v>46158.0</v>
      </c>
      <c r="Q510" s="213">
        <v>16.0</v>
      </c>
      <c r="R510" s="213">
        <v>5.0</v>
      </c>
      <c r="S510" s="296">
        <v>2026.0</v>
      </c>
      <c r="T510" s="82" t="s">
        <v>319</v>
      </c>
      <c r="U510" s="296">
        <v>38.25</v>
      </c>
      <c r="V510" s="295">
        <v>46158.0</v>
      </c>
      <c r="W510" s="296">
        <v>16.0</v>
      </c>
      <c r="X510" s="296">
        <v>5.0</v>
      </c>
      <c r="Y510" s="296">
        <v>2026.0</v>
      </c>
      <c r="Z510" s="82" t="s">
        <v>319</v>
      </c>
    </row>
    <row r="511">
      <c r="A511" s="293" t="s">
        <v>1416</v>
      </c>
      <c r="B511" s="293" t="s">
        <v>1417</v>
      </c>
      <c r="C511" s="295">
        <v>46162.0</v>
      </c>
      <c r="D511" s="296">
        <v>20.0</v>
      </c>
      <c r="E511" s="296">
        <v>5.0</v>
      </c>
      <c r="F511" s="296">
        <v>2026.0</v>
      </c>
      <c r="G511" s="295">
        <v>46163.0</v>
      </c>
      <c r="H511" s="269">
        <v>21.0</v>
      </c>
      <c r="I511" s="296">
        <v>5.0</v>
      </c>
      <c r="J511" s="269">
        <v>2026.0</v>
      </c>
      <c r="K511" s="235" t="s">
        <v>38</v>
      </c>
      <c r="L511" s="235" t="s">
        <v>518</v>
      </c>
      <c r="M511" s="296">
        <v>1.0</v>
      </c>
      <c r="N511" s="269">
        <v>1.0</v>
      </c>
      <c r="O511" s="296">
        <v>2.0</v>
      </c>
      <c r="P511" s="295">
        <v>46163.0</v>
      </c>
      <c r="Q511" s="213">
        <v>21.0</v>
      </c>
      <c r="R511" s="213">
        <v>5.0</v>
      </c>
      <c r="S511" s="296">
        <v>2026.0</v>
      </c>
      <c r="T511" s="82" t="s">
        <v>319</v>
      </c>
      <c r="U511" s="296">
        <v>38.25</v>
      </c>
      <c r="V511" s="295">
        <v>46163.0</v>
      </c>
      <c r="W511" s="296">
        <v>21.0</v>
      </c>
      <c r="X511" s="296">
        <v>5.0</v>
      </c>
      <c r="Y511" s="296">
        <v>2026.0</v>
      </c>
      <c r="Z511" s="82" t="s">
        <v>319</v>
      </c>
    </row>
    <row r="512">
      <c r="A512" s="293" t="s">
        <v>1418</v>
      </c>
      <c r="B512" s="294" t="s">
        <v>1419</v>
      </c>
      <c r="C512" s="295">
        <v>46157.0</v>
      </c>
      <c r="D512" s="296">
        <v>15.0</v>
      </c>
      <c r="E512" s="296">
        <v>5.0</v>
      </c>
      <c r="F512" s="296">
        <v>2026.0</v>
      </c>
      <c r="G512" s="295">
        <v>46162.0</v>
      </c>
      <c r="H512" s="296">
        <v>20.0</v>
      </c>
      <c r="I512" s="269">
        <v>5.0</v>
      </c>
      <c r="J512" s="296">
        <v>2026.0</v>
      </c>
      <c r="K512" s="235" t="s">
        <v>38</v>
      </c>
      <c r="L512" s="235" t="s">
        <v>518</v>
      </c>
      <c r="M512" s="296">
        <v>2.0</v>
      </c>
      <c r="N512" s="296">
        <v>5.0</v>
      </c>
      <c r="O512" s="296">
        <v>20.0</v>
      </c>
      <c r="P512" s="295">
        <v>46161.0</v>
      </c>
      <c r="Q512" s="213">
        <v>19.0</v>
      </c>
      <c r="R512" s="213">
        <v>5.0</v>
      </c>
      <c r="S512" s="296">
        <v>2026.0</v>
      </c>
      <c r="T512" s="235" t="s">
        <v>10</v>
      </c>
      <c r="U512" s="296">
        <v>382.5</v>
      </c>
      <c r="V512" s="295">
        <v>46161.0</v>
      </c>
      <c r="W512" s="296">
        <v>19.0</v>
      </c>
      <c r="X512" s="296">
        <v>5.0</v>
      </c>
      <c r="Y512" s="296">
        <v>2026.0</v>
      </c>
      <c r="Z512" s="235" t="s">
        <v>10</v>
      </c>
    </row>
    <row r="513">
      <c r="A513" s="293" t="s">
        <v>1420</v>
      </c>
      <c r="B513" s="294" t="s">
        <v>1421</v>
      </c>
      <c r="C513" s="295">
        <v>46165.0</v>
      </c>
      <c r="D513" s="296">
        <v>23.0</v>
      </c>
      <c r="E513" s="296">
        <v>5.0</v>
      </c>
      <c r="F513" s="296">
        <v>2026.0</v>
      </c>
      <c r="G513" s="295">
        <v>46168.0</v>
      </c>
      <c r="H513" s="296">
        <v>26.0</v>
      </c>
      <c r="I513" s="269">
        <v>5.0</v>
      </c>
      <c r="J513" s="296">
        <v>2026.0</v>
      </c>
      <c r="K513" s="164" t="s">
        <v>38</v>
      </c>
      <c r="L513" s="235" t="s">
        <v>518</v>
      </c>
      <c r="M513" s="296">
        <v>1.0</v>
      </c>
      <c r="N513" s="296">
        <v>3.0</v>
      </c>
      <c r="O513" s="296">
        <v>6.0</v>
      </c>
      <c r="P513" s="295">
        <v>46166.0</v>
      </c>
      <c r="Q513" s="213">
        <v>24.0</v>
      </c>
      <c r="R513" s="213">
        <v>5.0</v>
      </c>
      <c r="S513" s="296">
        <v>2026.0</v>
      </c>
      <c r="T513" s="235" t="s">
        <v>352</v>
      </c>
      <c r="U513" s="296">
        <v>89.25</v>
      </c>
      <c r="V513" s="295">
        <v>46166.0</v>
      </c>
      <c r="W513" s="296">
        <v>24.0</v>
      </c>
      <c r="X513" s="296">
        <v>5.0</v>
      </c>
      <c r="Y513" s="296">
        <v>2026.0</v>
      </c>
      <c r="Z513" s="235" t="s">
        <v>352</v>
      </c>
    </row>
    <row r="514">
      <c r="A514" s="293" t="s">
        <v>1422</v>
      </c>
      <c r="B514" s="293" t="s">
        <v>1423</v>
      </c>
      <c r="C514" s="295">
        <v>46166.0</v>
      </c>
      <c r="D514" s="296">
        <v>24.0</v>
      </c>
      <c r="E514" s="296">
        <v>5.0</v>
      </c>
      <c r="F514" s="296">
        <v>2026.0</v>
      </c>
      <c r="G514" s="295">
        <v>46167.0</v>
      </c>
      <c r="H514" s="269">
        <v>25.0</v>
      </c>
      <c r="I514" s="296">
        <v>5.0</v>
      </c>
      <c r="J514" s="269">
        <v>2026.0</v>
      </c>
      <c r="K514" s="235" t="s">
        <v>38</v>
      </c>
      <c r="L514" s="235" t="s">
        <v>518</v>
      </c>
      <c r="M514" s="296">
        <v>1.0</v>
      </c>
      <c r="N514" s="269">
        <v>1.0</v>
      </c>
      <c r="O514" s="296">
        <v>2.0</v>
      </c>
      <c r="P514" s="295">
        <v>46166.0</v>
      </c>
      <c r="Q514" s="213">
        <v>24.0</v>
      </c>
      <c r="R514" s="213">
        <v>5.0</v>
      </c>
      <c r="S514" s="296">
        <v>2026.0</v>
      </c>
      <c r="T514" s="82" t="s">
        <v>319</v>
      </c>
      <c r="U514" s="296">
        <v>29.75</v>
      </c>
      <c r="V514" s="295">
        <v>46166.0</v>
      </c>
      <c r="W514" s="296">
        <v>24.0</v>
      </c>
      <c r="X514" s="296">
        <v>5.0</v>
      </c>
      <c r="Y514" s="296">
        <v>2026.0</v>
      </c>
      <c r="Z514" s="82" t="s">
        <v>319</v>
      </c>
    </row>
    <row r="515">
      <c r="A515" s="293" t="s">
        <v>1424</v>
      </c>
      <c r="B515" s="293" t="s">
        <v>1425</v>
      </c>
      <c r="C515" s="295">
        <v>46152.0</v>
      </c>
      <c r="D515" s="296">
        <v>10.0</v>
      </c>
      <c r="E515" s="296">
        <v>5.0</v>
      </c>
      <c r="F515" s="296">
        <v>2026.0</v>
      </c>
      <c r="G515" s="295">
        <v>46153.0</v>
      </c>
      <c r="H515" s="269">
        <v>11.0</v>
      </c>
      <c r="I515" s="296">
        <v>5.0</v>
      </c>
      <c r="J515" s="269">
        <v>2026.0</v>
      </c>
      <c r="K515" s="235" t="s">
        <v>38</v>
      </c>
      <c r="L515" s="235" t="s">
        <v>518</v>
      </c>
      <c r="M515" s="296">
        <v>1.0</v>
      </c>
      <c r="N515" s="269">
        <v>1.0</v>
      </c>
      <c r="O515" s="235"/>
      <c r="P515" s="295">
        <v>46152.0</v>
      </c>
      <c r="Q515" s="213">
        <v>10.0</v>
      </c>
      <c r="R515" s="213">
        <v>5.0</v>
      </c>
      <c r="S515" s="296">
        <v>2026.0</v>
      </c>
      <c r="T515" s="235" t="s">
        <v>352</v>
      </c>
      <c r="U515" s="296">
        <v>40.25</v>
      </c>
      <c r="V515" s="295">
        <v>46152.0</v>
      </c>
      <c r="W515" s="296">
        <v>10.0</v>
      </c>
      <c r="X515" s="296">
        <v>5.0</v>
      </c>
      <c r="Y515" s="296">
        <v>2026.0</v>
      </c>
      <c r="Z515" s="235" t="s">
        <v>352</v>
      </c>
    </row>
    <row r="516">
      <c r="A516" s="293" t="s">
        <v>1426</v>
      </c>
      <c r="B516" s="293" t="s">
        <v>1427</v>
      </c>
      <c r="C516" s="295">
        <v>46164.0</v>
      </c>
      <c r="D516" s="296">
        <v>22.0</v>
      </c>
      <c r="E516" s="296">
        <v>5.0</v>
      </c>
      <c r="F516" s="296">
        <v>2026.0</v>
      </c>
      <c r="G516" s="295">
        <v>46165.0</v>
      </c>
      <c r="H516" s="269">
        <v>23.0</v>
      </c>
      <c r="I516" s="296">
        <v>5.0</v>
      </c>
      <c r="J516" s="269">
        <v>2026.0</v>
      </c>
      <c r="K516" s="235" t="s">
        <v>38</v>
      </c>
      <c r="L516" s="235" t="s">
        <v>518</v>
      </c>
      <c r="M516" s="296">
        <v>1.0</v>
      </c>
      <c r="N516" s="269">
        <v>1.0</v>
      </c>
      <c r="O516" s="296">
        <v>2.0</v>
      </c>
      <c r="P516" s="295">
        <v>46165.0</v>
      </c>
      <c r="Q516" s="213">
        <v>23.0</v>
      </c>
      <c r="R516" s="213">
        <v>5.0</v>
      </c>
      <c r="S516" s="296">
        <v>2026.0</v>
      </c>
      <c r="T516" s="82" t="s">
        <v>319</v>
      </c>
      <c r="U516" s="296">
        <v>38.25</v>
      </c>
      <c r="V516" s="295">
        <v>46165.0</v>
      </c>
      <c r="W516" s="296">
        <v>23.0</v>
      </c>
      <c r="X516" s="296">
        <v>5.0</v>
      </c>
      <c r="Y516" s="296">
        <v>2026.0</v>
      </c>
      <c r="Z516" s="82" t="s">
        <v>319</v>
      </c>
    </row>
    <row r="517">
      <c r="A517" s="293" t="s">
        <v>1428</v>
      </c>
      <c r="B517" s="293" t="s">
        <v>1429</v>
      </c>
      <c r="C517" s="295">
        <v>46162.0</v>
      </c>
      <c r="D517" s="296">
        <v>20.0</v>
      </c>
      <c r="E517" s="296">
        <v>5.0</v>
      </c>
      <c r="F517" s="296">
        <v>2026.0</v>
      </c>
      <c r="G517" s="295">
        <v>46163.0</v>
      </c>
      <c r="H517" s="269">
        <v>21.0</v>
      </c>
      <c r="I517" s="296">
        <v>5.0</v>
      </c>
      <c r="J517" s="269">
        <v>2026.0</v>
      </c>
      <c r="K517" s="235" t="s">
        <v>38</v>
      </c>
      <c r="L517" s="235" t="s">
        <v>518</v>
      </c>
      <c r="M517" s="296">
        <v>1.0</v>
      </c>
      <c r="N517" s="269">
        <v>1.0</v>
      </c>
      <c r="O517" s="296">
        <v>2.0</v>
      </c>
      <c r="P517" s="295">
        <v>46162.0</v>
      </c>
      <c r="Q517" s="213">
        <v>20.0</v>
      </c>
      <c r="R517" s="213">
        <v>5.0</v>
      </c>
      <c r="S517" s="296">
        <v>2026.0</v>
      </c>
      <c r="T517" s="82" t="s">
        <v>319</v>
      </c>
      <c r="U517" s="296">
        <v>38.25</v>
      </c>
      <c r="V517" s="295">
        <v>46162.0</v>
      </c>
      <c r="W517" s="296">
        <v>20.0</v>
      </c>
      <c r="X517" s="296">
        <v>5.0</v>
      </c>
      <c r="Y517" s="296">
        <v>2026.0</v>
      </c>
      <c r="Z517" s="82" t="s">
        <v>319</v>
      </c>
    </row>
    <row r="518">
      <c r="A518" s="293" t="s">
        <v>1430</v>
      </c>
      <c r="B518" s="294" t="s">
        <v>1431</v>
      </c>
      <c r="C518" s="295">
        <v>46168.0</v>
      </c>
      <c r="D518" s="296">
        <v>26.0</v>
      </c>
      <c r="E518" s="296">
        <v>5.0</v>
      </c>
      <c r="F518" s="296">
        <v>2026.0</v>
      </c>
      <c r="G518" s="295">
        <v>46175.0</v>
      </c>
      <c r="H518" s="296">
        <v>2.0</v>
      </c>
      <c r="I518" s="269">
        <v>6.0</v>
      </c>
      <c r="J518" s="296">
        <v>2026.0</v>
      </c>
      <c r="K518" s="235" t="s">
        <v>38</v>
      </c>
      <c r="L518" s="235" t="s">
        <v>518</v>
      </c>
      <c r="M518" s="296">
        <v>2.0</v>
      </c>
      <c r="N518" s="296">
        <v>7.0</v>
      </c>
      <c r="O518" s="296">
        <v>14.0</v>
      </c>
      <c r="P518" s="295">
        <v>46170.0</v>
      </c>
      <c r="Q518" s="213">
        <v>28.0</v>
      </c>
      <c r="R518" s="213">
        <v>5.0</v>
      </c>
      <c r="S518" s="296">
        <v>2026.0</v>
      </c>
      <c r="T518" s="82" t="s">
        <v>319</v>
      </c>
      <c r="U518" s="296">
        <v>267.75</v>
      </c>
      <c r="V518" s="295">
        <v>46170.0</v>
      </c>
      <c r="W518" s="296">
        <v>28.0</v>
      </c>
      <c r="X518" s="296">
        <v>5.0</v>
      </c>
      <c r="Y518" s="296">
        <v>2026.0</v>
      </c>
      <c r="Z518" s="82" t="s">
        <v>319</v>
      </c>
    </row>
    <row r="519">
      <c r="A519" s="293" t="s">
        <v>1434</v>
      </c>
      <c r="B519" s="293" t="s">
        <v>1435</v>
      </c>
      <c r="C519" s="295">
        <v>46145.0</v>
      </c>
      <c r="D519" s="296">
        <v>3.0</v>
      </c>
      <c r="E519" s="296">
        <v>5.0</v>
      </c>
      <c r="F519" s="296">
        <v>2026.0</v>
      </c>
      <c r="G519" s="295">
        <v>46146.0</v>
      </c>
      <c r="H519" s="269">
        <v>4.0</v>
      </c>
      <c r="I519" s="296">
        <v>5.0</v>
      </c>
      <c r="J519" s="269">
        <v>2026.0</v>
      </c>
      <c r="K519" s="235" t="s">
        <v>38</v>
      </c>
      <c r="L519" s="235" t="s">
        <v>518</v>
      </c>
      <c r="M519" s="296">
        <v>1.0</v>
      </c>
      <c r="N519" s="269">
        <v>1.0</v>
      </c>
      <c r="O519" s="235"/>
      <c r="P519" s="295">
        <v>46145.0</v>
      </c>
      <c r="Q519" s="213">
        <v>3.0</v>
      </c>
      <c r="R519" s="213">
        <v>5.0</v>
      </c>
      <c r="S519" s="296">
        <v>2026.0</v>
      </c>
      <c r="T519" s="82" t="s">
        <v>319</v>
      </c>
      <c r="U519" s="296">
        <v>40.25</v>
      </c>
      <c r="V519" s="295">
        <v>46145.0</v>
      </c>
      <c r="W519" s="296">
        <v>3.0</v>
      </c>
      <c r="X519" s="296">
        <v>5.0</v>
      </c>
      <c r="Y519" s="296">
        <v>2026.0</v>
      </c>
      <c r="Z519" s="82" t="s">
        <v>319</v>
      </c>
    </row>
    <row r="520">
      <c r="A520" s="293" t="s">
        <v>1436</v>
      </c>
      <c r="B520" s="294" t="s">
        <v>1437</v>
      </c>
      <c r="C520" s="295">
        <v>46147.0</v>
      </c>
      <c r="D520" s="296">
        <v>5.0</v>
      </c>
      <c r="E520" s="296">
        <v>5.0</v>
      </c>
      <c r="F520" s="296">
        <v>2026.0</v>
      </c>
      <c r="G520" s="295">
        <v>46149.0</v>
      </c>
      <c r="H520" s="296">
        <v>7.0</v>
      </c>
      <c r="I520" s="269">
        <v>5.0</v>
      </c>
      <c r="J520" s="296">
        <v>2026.0</v>
      </c>
      <c r="K520" s="164" t="s">
        <v>38</v>
      </c>
      <c r="L520" s="235" t="s">
        <v>518</v>
      </c>
      <c r="M520" s="296">
        <v>1.0</v>
      </c>
      <c r="N520" s="296">
        <v>2.0</v>
      </c>
      <c r="O520" s="245">
        <v>2.0</v>
      </c>
      <c r="P520" s="295">
        <v>46147.0</v>
      </c>
      <c r="Q520" s="213">
        <v>5.0</v>
      </c>
      <c r="R520" s="213">
        <v>5.0</v>
      </c>
      <c r="S520" s="296">
        <v>2026.0</v>
      </c>
      <c r="T520" s="235" t="s">
        <v>352</v>
      </c>
      <c r="U520" s="296">
        <v>76.5</v>
      </c>
      <c r="V520" s="295">
        <v>46147.0</v>
      </c>
      <c r="W520" s="296">
        <v>5.0</v>
      </c>
      <c r="X520" s="296">
        <v>5.0</v>
      </c>
      <c r="Y520" s="296">
        <v>2026.0</v>
      </c>
      <c r="Z520" s="235" t="s">
        <v>352</v>
      </c>
    </row>
    <row r="521">
      <c r="A521" s="293" t="s">
        <v>1438</v>
      </c>
      <c r="B521" s="293" t="s">
        <v>1439</v>
      </c>
      <c r="C521" s="295">
        <v>46171.0</v>
      </c>
      <c r="D521" s="296">
        <v>29.0</v>
      </c>
      <c r="E521" s="296">
        <v>5.0</v>
      </c>
      <c r="F521" s="296">
        <v>2026.0</v>
      </c>
      <c r="G521" s="295">
        <v>46172.0</v>
      </c>
      <c r="H521" s="269">
        <v>30.0</v>
      </c>
      <c r="I521" s="296">
        <v>5.0</v>
      </c>
      <c r="J521" s="269">
        <v>2026.0</v>
      </c>
      <c r="K521" s="235" t="s">
        <v>38</v>
      </c>
      <c r="L521" s="235" t="s">
        <v>518</v>
      </c>
      <c r="M521" s="296">
        <v>1.0</v>
      </c>
      <c r="N521" s="269">
        <v>1.0</v>
      </c>
      <c r="O521" s="296">
        <v>2.0</v>
      </c>
      <c r="P521" s="295">
        <v>46172.0</v>
      </c>
      <c r="Q521" s="213">
        <v>30.0</v>
      </c>
      <c r="R521" s="213">
        <v>5.0</v>
      </c>
      <c r="S521" s="296">
        <v>2026.0</v>
      </c>
      <c r="T521" s="82" t="s">
        <v>319</v>
      </c>
      <c r="U521" s="296">
        <v>38.25</v>
      </c>
      <c r="V521" s="295">
        <v>46172.0</v>
      </c>
      <c r="W521" s="296">
        <v>30.0</v>
      </c>
      <c r="X521" s="296">
        <v>5.0</v>
      </c>
      <c r="Y521" s="296">
        <v>2026.0</v>
      </c>
      <c r="Z521" s="82" t="s">
        <v>319</v>
      </c>
    </row>
    <row r="522">
      <c r="A522" s="293" t="s">
        <v>1440</v>
      </c>
      <c r="B522" s="293" t="s">
        <v>1441</v>
      </c>
      <c r="C522" s="295">
        <v>46154.0</v>
      </c>
      <c r="D522" s="296">
        <v>12.0</v>
      </c>
      <c r="E522" s="296">
        <v>5.0</v>
      </c>
      <c r="F522" s="296">
        <v>2026.0</v>
      </c>
      <c r="G522" s="295">
        <v>46155.0</v>
      </c>
      <c r="H522" s="269">
        <v>13.0</v>
      </c>
      <c r="I522" s="296">
        <v>5.0</v>
      </c>
      <c r="J522" s="269">
        <v>2026.0</v>
      </c>
      <c r="K522" s="235" t="s">
        <v>38</v>
      </c>
      <c r="L522" s="235" t="s">
        <v>518</v>
      </c>
      <c r="M522" s="296">
        <v>1.0</v>
      </c>
      <c r="N522" s="269">
        <v>1.0</v>
      </c>
      <c r="O522" s="235"/>
      <c r="P522" s="295">
        <v>46155.0</v>
      </c>
      <c r="Q522" s="213">
        <v>13.0</v>
      </c>
      <c r="R522" s="213">
        <v>5.0</v>
      </c>
      <c r="S522" s="296">
        <v>2026.0</v>
      </c>
      <c r="T522" s="235" t="s">
        <v>352</v>
      </c>
      <c r="U522" s="296">
        <v>40.25</v>
      </c>
      <c r="V522" s="295">
        <v>46155.0</v>
      </c>
      <c r="W522" s="296">
        <v>13.0</v>
      </c>
      <c r="X522" s="296">
        <v>5.0</v>
      </c>
      <c r="Y522" s="296">
        <v>2026.0</v>
      </c>
      <c r="Z522" s="235" t="s">
        <v>352</v>
      </c>
    </row>
    <row r="523">
      <c r="A523" s="293" t="s">
        <v>1442</v>
      </c>
      <c r="B523" s="294" t="s">
        <v>1443</v>
      </c>
      <c r="C523" s="295">
        <v>46144.0</v>
      </c>
      <c r="D523" s="296">
        <v>2.0</v>
      </c>
      <c r="E523" s="296">
        <v>5.0</v>
      </c>
      <c r="F523" s="296">
        <v>2026.0</v>
      </c>
      <c r="G523" s="295">
        <v>46147.0</v>
      </c>
      <c r="H523" s="296">
        <v>5.0</v>
      </c>
      <c r="I523" s="269">
        <v>5.0</v>
      </c>
      <c r="J523" s="296">
        <v>2026.0</v>
      </c>
      <c r="K523" s="164" t="s">
        <v>38</v>
      </c>
      <c r="L523" s="235" t="s">
        <v>518</v>
      </c>
      <c r="M523" s="296">
        <v>1.0</v>
      </c>
      <c r="N523" s="296">
        <v>3.0</v>
      </c>
      <c r="O523" s="235"/>
      <c r="P523" s="295">
        <v>46144.0</v>
      </c>
      <c r="Q523" s="213">
        <v>2.0</v>
      </c>
      <c r="R523" s="213">
        <v>5.0</v>
      </c>
      <c r="S523" s="296">
        <v>2026.0</v>
      </c>
      <c r="T523" s="82" t="s">
        <v>319</v>
      </c>
      <c r="U523" s="296">
        <v>120.75</v>
      </c>
      <c r="V523" s="295">
        <v>46144.0</v>
      </c>
      <c r="W523" s="296">
        <v>2.0</v>
      </c>
      <c r="X523" s="296">
        <v>5.0</v>
      </c>
      <c r="Y523" s="296">
        <v>2026.0</v>
      </c>
      <c r="Z523" s="82" t="s">
        <v>319</v>
      </c>
    </row>
    <row r="524">
      <c r="A524" s="293" t="s">
        <v>1444</v>
      </c>
      <c r="B524" s="293" t="s">
        <v>1445</v>
      </c>
      <c r="C524" s="295">
        <v>46149.0</v>
      </c>
      <c r="D524" s="296">
        <v>7.0</v>
      </c>
      <c r="E524" s="296">
        <v>5.0</v>
      </c>
      <c r="F524" s="296">
        <v>2026.0</v>
      </c>
      <c r="G524" s="295">
        <v>46150.0</v>
      </c>
      <c r="H524" s="269">
        <v>8.0</v>
      </c>
      <c r="I524" s="296">
        <v>5.0</v>
      </c>
      <c r="J524" s="269">
        <v>2026.0</v>
      </c>
      <c r="K524" s="235" t="s">
        <v>38</v>
      </c>
      <c r="L524" s="235" t="s">
        <v>518</v>
      </c>
      <c r="M524" s="296">
        <v>1.0</v>
      </c>
      <c r="N524" s="269">
        <v>1.0</v>
      </c>
      <c r="O524" s="235"/>
      <c r="P524" s="295">
        <v>46150.0</v>
      </c>
      <c r="Q524" s="213">
        <v>8.0</v>
      </c>
      <c r="R524" s="213">
        <v>5.0</v>
      </c>
      <c r="S524" s="296">
        <v>2026.0</v>
      </c>
      <c r="T524" s="82" t="s">
        <v>319</v>
      </c>
      <c r="U524" s="296">
        <v>40.25</v>
      </c>
      <c r="V524" s="295">
        <v>46150.0</v>
      </c>
      <c r="W524" s="296">
        <v>8.0</v>
      </c>
      <c r="X524" s="296">
        <v>5.0</v>
      </c>
      <c r="Y524" s="296">
        <v>2026.0</v>
      </c>
      <c r="Z524" s="82" t="s">
        <v>319</v>
      </c>
    </row>
    <row r="525">
      <c r="A525" s="293" t="s">
        <v>1446</v>
      </c>
      <c r="B525" s="294" t="s">
        <v>1447</v>
      </c>
      <c r="C525" s="295">
        <v>46153.0</v>
      </c>
      <c r="D525" s="296">
        <v>11.0</v>
      </c>
      <c r="E525" s="296">
        <v>5.0</v>
      </c>
      <c r="F525" s="296">
        <v>2026.0</v>
      </c>
      <c r="G525" s="295">
        <v>46155.0</v>
      </c>
      <c r="H525" s="296">
        <v>13.0</v>
      </c>
      <c r="I525" s="269">
        <v>5.0</v>
      </c>
      <c r="J525" s="296">
        <v>2026.0</v>
      </c>
      <c r="K525" s="164" t="s">
        <v>38</v>
      </c>
      <c r="L525" s="235" t="s">
        <v>518</v>
      </c>
      <c r="M525" s="296">
        <v>1.0</v>
      </c>
      <c r="N525" s="296">
        <v>2.0</v>
      </c>
      <c r="O525" s="235"/>
      <c r="P525" s="295">
        <v>46153.0</v>
      </c>
      <c r="Q525" s="213">
        <v>11.0</v>
      </c>
      <c r="R525" s="213">
        <v>5.0</v>
      </c>
      <c r="S525" s="296">
        <v>2026.0</v>
      </c>
      <c r="T525" s="82" t="s">
        <v>319</v>
      </c>
      <c r="U525" s="296">
        <v>80.5</v>
      </c>
      <c r="V525" s="295">
        <v>46153.0</v>
      </c>
      <c r="W525" s="296">
        <v>11.0</v>
      </c>
      <c r="X525" s="296">
        <v>5.0</v>
      </c>
      <c r="Y525" s="296">
        <v>2026.0</v>
      </c>
      <c r="Z525" s="82" t="s">
        <v>319</v>
      </c>
    </row>
    <row r="526">
      <c r="A526" s="293" t="s">
        <v>1448</v>
      </c>
      <c r="B526" s="293" t="s">
        <v>1449</v>
      </c>
      <c r="C526" s="295">
        <v>46153.0</v>
      </c>
      <c r="D526" s="296">
        <v>11.0</v>
      </c>
      <c r="E526" s="296">
        <v>5.0</v>
      </c>
      <c r="F526" s="296">
        <v>2026.0</v>
      </c>
      <c r="G526" s="295">
        <v>46155.0</v>
      </c>
      <c r="H526" s="269">
        <v>13.0</v>
      </c>
      <c r="I526" s="296">
        <v>5.0</v>
      </c>
      <c r="J526" s="269">
        <v>2026.0</v>
      </c>
      <c r="K526" s="235" t="s">
        <v>38</v>
      </c>
      <c r="L526" s="235" t="s">
        <v>518</v>
      </c>
      <c r="M526" s="296">
        <v>1.0</v>
      </c>
      <c r="N526" s="269">
        <v>2.0</v>
      </c>
      <c r="O526" s="235"/>
      <c r="P526" s="295">
        <v>46154.0</v>
      </c>
      <c r="Q526" s="213">
        <v>12.0</v>
      </c>
      <c r="R526" s="213">
        <v>5.0</v>
      </c>
      <c r="S526" s="296">
        <v>2026.0</v>
      </c>
      <c r="T526" s="82" t="s">
        <v>319</v>
      </c>
      <c r="U526" s="296">
        <v>72.0</v>
      </c>
      <c r="V526" s="295">
        <v>46154.0</v>
      </c>
      <c r="W526" s="296">
        <v>12.0</v>
      </c>
      <c r="X526" s="296">
        <v>5.0</v>
      </c>
      <c r="Y526" s="296">
        <v>2026.0</v>
      </c>
      <c r="Z526" s="82" t="s">
        <v>319</v>
      </c>
    </row>
    <row r="527">
      <c r="A527" s="293" t="s">
        <v>1450</v>
      </c>
      <c r="B527" s="294" t="s">
        <v>1451</v>
      </c>
      <c r="C527" s="295">
        <v>46150.0</v>
      </c>
      <c r="D527" s="296">
        <v>8.0</v>
      </c>
      <c r="E527" s="296">
        <v>5.0</v>
      </c>
      <c r="F527" s="296">
        <v>2026.0</v>
      </c>
      <c r="G527" s="295">
        <v>46153.0</v>
      </c>
      <c r="H527" s="296">
        <v>11.0</v>
      </c>
      <c r="I527" s="269">
        <v>5.0</v>
      </c>
      <c r="J527" s="296">
        <v>2026.0</v>
      </c>
      <c r="K527" s="164" t="s">
        <v>38</v>
      </c>
      <c r="L527" s="235" t="s">
        <v>518</v>
      </c>
      <c r="M527" s="296">
        <v>1.0</v>
      </c>
      <c r="N527" s="296">
        <v>3.0</v>
      </c>
      <c r="O527" s="235"/>
      <c r="P527" s="295">
        <v>46150.0</v>
      </c>
      <c r="Q527" s="213">
        <v>8.0</v>
      </c>
      <c r="R527" s="213">
        <v>5.0</v>
      </c>
      <c r="S527" s="296">
        <v>2026.0</v>
      </c>
      <c r="T527" s="235" t="s">
        <v>10</v>
      </c>
      <c r="U527" s="296">
        <v>120.75</v>
      </c>
      <c r="V527" s="295">
        <v>46150.0</v>
      </c>
      <c r="W527" s="296">
        <v>8.0</v>
      </c>
      <c r="X527" s="296">
        <v>5.0</v>
      </c>
      <c r="Y527" s="296">
        <v>2026.0</v>
      </c>
      <c r="Z527" s="235" t="s">
        <v>10</v>
      </c>
    </row>
    <row r="528">
      <c r="A528" s="293" t="s">
        <v>1452</v>
      </c>
      <c r="B528" s="293" t="s">
        <v>1453</v>
      </c>
      <c r="C528" s="295">
        <v>46154.0</v>
      </c>
      <c r="D528" s="296">
        <v>12.0</v>
      </c>
      <c r="E528" s="296">
        <v>5.0</v>
      </c>
      <c r="F528" s="296">
        <v>2026.0</v>
      </c>
      <c r="G528" s="295">
        <v>46155.0</v>
      </c>
      <c r="H528" s="269">
        <v>13.0</v>
      </c>
      <c r="I528" s="296">
        <v>5.0</v>
      </c>
      <c r="J528" s="269">
        <v>2026.0</v>
      </c>
      <c r="K528" s="235" t="s">
        <v>38</v>
      </c>
      <c r="L528" s="235" t="s">
        <v>518</v>
      </c>
      <c r="M528" s="296">
        <v>1.0</v>
      </c>
      <c r="N528" s="269">
        <v>1.0</v>
      </c>
      <c r="O528" s="235"/>
      <c r="P528" s="295">
        <v>46154.0</v>
      </c>
      <c r="Q528" s="213">
        <v>12.0</v>
      </c>
      <c r="R528" s="213">
        <v>5.0</v>
      </c>
      <c r="S528" s="296">
        <v>2026.0</v>
      </c>
      <c r="T528" s="235" t="s">
        <v>352</v>
      </c>
      <c r="U528" s="296">
        <v>40.25</v>
      </c>
      <c r="V528" s="295">
        <v>46154.0</v>
      </c>
      <c r="W528" s="296">
        <v>12.0</v>
      </c>
      <c r="X528" s="296">
        <v>5.0</v>
      </c>
      <c r="Y528" s="296">
        <v>2026.0</v>
      </c>
      <c r="Z528" s="235" t="s">
        <v>352</v>
      </c>
    </row>
    <row r="529">
      <c r="A529" s="293" t="s">
        <v>1454</v>
      </c>
      <c r="B529" s="293" t="s">
        <v>1455</v>
      </c>
      <c r="C529" s="299">
        <v>46183.0</v>
      </c>
      <c r="D529" s="296">
        <v>10.0</v>
      </c>
      <c r="E529" s="296">
        <v>6.0</v>
      </c>
      <c r="F529" s="296">
        <v>2026.0</v>
      </c>
      <c r="G529" s="299">
        <v>46186.0</v>
      </c>
      <c r="H529" s="269">
        <v>13.0</v>
      </c>
      <c r="I529" s="296">
        <v>6.0</v>
      </c>
      <c r="J529" s="269">
        <v>2026.0</v>
      </c>
      <c r="K529" s="235" t="s">
        <v>38</v>
      </c>
      <c r="L529" s="235" t="s">
        <v>518</v>
      </c>
      <c r="M529" s="235">
        <v>1.0</v>
      </c>
      <c r="N529" s="164">
        <v>3.0</v>
      </c>
      <c r="O529" s="235">
        <v>6.0</v>
      </c>
      <c r="P529" s="299">
        <v>46183.70793981481</v>
      </c>
      <c r="Q529" s="213">
        <v>10.0</v>
      </c>
      <c r="R529" s="213">
        <v>6.0</v>
      </c>
      <c r="S529" s="296">
        <v>2026.0</v>
      </c>
      <c r="T529" s="235" t="s">
        <v>352</v>
      </c>
      <c r="U529" s="235">
        <v>122.4</v>
      </c>
      <c r="V529" s="299">
        <v>46183.70769675926</v>
      </c>
      <c r="W529" s="296">
        <v>10.0</v>
      </c>
      <c r="X529" s="296">
        <v>6.0</v>
      </c>
      <c r="Y529" s="296">
        <v>2026.0</v>
      </c>
      <c r="Z529" s="235" t="s">
        <v>352</v>
      </c>
    </row>
    <row r="530">
      <c r="A530" s="293" t="s">
        <v>1456</v>
      </c>
      <c r="B530" s="293" t="s">
        <v>1457</v>
      </c>
      <c r="C530" s="299">
        <v>46189.0</v>
      </c>
      <c r="D530" s="296">
        <v>16.0</v>
      </c>
      <c r="E530" s="296">
        <v>6.0</v>
      </c>
      <c r="F530" s="296">
        <v>2026.0</v>
      </c>
      <c r="G530" s="299">
        <v>46191.0</v>
      </c>
      <c r="H530" s="269">
        <v>18.0</v>
      </c>
      <c r="I530" s="296">
        <v>6.0</v>
      </c>
      <c r="J530" s="269">
        <v>2026.0</v>
      </c>
      <c r="K530" s="235" t="s">
        <v>38</v>
      </c>
      <c r="L530" s="235" t="s">
        <v>518</v>
      </c>
      <c r="M530" s="235">
        <v>1.0</v>
      </c>
      <c r="N530" s="164">
        <v>2.0</v>
      </c>
      <c r="O530" s="235">
        <v>4.0</v>
      </c>
      <c r="P530" s="299">
        <v>46189.73806712963</v>
      </c>
      <c r="Q530" s="213">
        <v>16.0</v>
      </c>
      <c r="R530" s="213">
        <v>6.0</v>
      </c>
      <c r="S530" s="296">
        <v>2026.0</v>
      </c>
      <c r="T530" s="82" t="s">
        <v>319</v>
      </c>
      <c r="U530" s="235">
        <v>68.0</v>
      </c>
      <c r="V530" s="299">
        <v>46189.73761574074</v>
      </c>
      <c r="W530" s="296">
        <v>16.0</v>
      </c>
      <c r="X530" s="296">
        <v>6.0</v>
      </c>
      <c r="Y530" s="296">
        <v>2026.0</v>
      </c>
      <c r="Z530" s="82" t="s">
        <v>319</v>
      </c>
    </row>
    <row r="531">
      <c r="A531" s="293" t="s">
        <v>1458</v>
      </c>
      <c r="B531" s="293" t="s">
        <v>1459</v>
      </c>
      <c r="C531" s="299">
        <v>46190.0</v>
      </c>
      <c r="D531" s="296">
        <v>17.0</v>
      </c>
      <c r="E531" s="296">
        <v>6.0</v>
      </c>
      <c r="F531" s="296">
        <v>2026.0</v>
      </c>
      <c r="G531" s="299">
        <v>46191.0</v>
      </c>
      <c r="H531" s="269">
        <v>18.0</v>
      </c>
      <c r="I531" s="296">
        <v>6.0</v>
      </c>
      <c r="J531" s="269">
        <v>2026.0</v>
      </c>
      <c r="K531" s="235" t="s">
        <v>38</v>
      </c>
      <c r="L531" s="235" t="s">
        <v>518</v>
      </c>
      <c r="M531" s="235">
        <v>1.0</v>
      </c>
      <c r="N531" s="164">
        <v>1.0</v>
      </c>
      <c r="O531" s="235">
        <v>2.0</v>
      </c>
      <c r="P531" s="299">
        <v>46190.793587962966</v>
      </c>
      <c r="Q531" s="213">
        <v>17.0</v>
      </c>
      <c r="R531" s="213">
        <v>6.0</v>
      </c>
      <c r="S531" s="296">
        <v>2026.0</v>
      </c>
      <c r="T531" s="82" t="s">
        <v>319</v>
      </c>
      <c r="U531" s="235">
        <v>29.75</v>
      </c>
      <c r="V531" s="299">
        <v>46190.793587962966</v>
      </c>
      <c r="W531" s="296">
        <v>17.0</v>
      </c>
      <c r="X531" s="296">
        <v>6.0</v>
      </c>
      <c r="Y531" s="296">
        <v>2026.0</v>
      </c>
      <c r="Z531" s="82" t="s">
        <v>319</v>
      </c>
    </row>
    <row r="532">
      <c r="A532" s="293" t="s">
        <v>1460</v>
      </c>
      <c r="B532" s="293" t="s">
        <v>1461</v>
      </c>
      <c r="C532" s="299">
        <v>46199.0</v>
      </c>
      <c r="D532" s="296">
        <v>26.0</v>
      </c>
      <c r="E532" s="296">
        <v>6.0</v>
      </c>
      <c r="F532" s="296">
        <v>2026.0</v>
      </c>
      <c r="G532" s="299">
        <v>46202.0</v>
      </c>
      <c r="H532" s="269">
        <v>29.0</v>
      </c>
      <c r="I532" s="296">
        <v>6.0</v>
      </c>
      <c r="J532" s="269">
        <v>2026.0</v>
      </c>
      <c r="K532" s="235" t="s">
        <v>38</v>
      </c>
      <c r="L532" s="235" t="s">
        <v>518</v>
      </c>
      <c r="M532" s="235">
        <v>1.0</v>
      </c>
      <c r="N532" s="164">
        <v>3.0</v>
      </c>
      <c r="O532" s="235">
        <v>6.0</v>
      </c>
      <c r="P532" s="299">
        <v>46202.25824074074</v>
      </c>
      <c r="Q532" s="213">
        <v>29.0</v>
      </c>
      <c r="R532" s="213">
        <v>6.0</v>
      </c>
      <c r="S532" s="296">
        <v>2026.0</v>
      </c>
      <c r="T532" s="82" t="s">
        <v>319</v>
      </c>
      <c r="U532" s="235">
        <v>93.5</v>
      </c>
      <c r="V532" s="299">
        <v>46202.25824074074</v>
      </c>
      <c r="W532" s="296">
        <v>29.0</v>
      </c>
      <c r="X532" s="296">
        <v>6.0</v>
      </c>
      <c r="Y532" s="296">
        <v>2026.0</v>
      </c>
      <c r="Z532" s="82" t="s">
        <v>319</v>
      </c>
    </row>
    <row r="533">
      <c r="A533" s="293" t="s">
        <v>1463</v>
      </c>
      <c r="B533" s="293" t="s">
        <v>1464</v>
      </c>
      <c r="C533" s="299">
        <v>46194.0</v>
      </c>
      <c r="D533" s="296">
        <v>21.0</v>
      </c>
      <c r="E533" s="296">
        <v>6.0</v>
      </c>
      <c r="F533" s="296">
        <v>2026.0</v>
      </c>
      <c r="G533" s="299">
        <v>46195.0</v>
      </c>
      <c r="H533" s="269">
        <v>22.0</v>
      </c>
      <c r="I533" s="296">
        <v>6.0</v>
      </c>
      <c r="J533" s="269">
        <v>2026.0</v>
      </c>
      <c r="K533" s="235" t="s">
        <v>38</v>
      </c>
      <c r="L533" s="235" t="s">
        <v>518</v>
      </c>
      <c r="M533" s="235">
        <v>1.0</v>
      </c>
      <c r="N533" s="164">
        <v>1.0</v>
      </c>
      <c r="O533" s="235">
        <v>2.0</v>
      </c>
      <c r="P533" s="299">
        <v>46195.04357638889</v>
      </c>
      <c r="Q533" s="213">
        <v>22.0</v>
      </c>
      <c r="R533" s="213">
        <v>6.0</v>
      </c>
      <c r="S533" s="296">
        <v>2026.0</v>
      </c>
      <c r="T533" s="235" t="s">
        <v>10</v>
      </c>
      <c r="U533" s="235">
        <v>29.75</v>
      </c>
      <c r="V533" s="299">
        <v>46195.04357638889</v>
      </c>
      <c r="W533" s="296">
        <v>22.0</v>
      </c>
      <c r="X533" s="296">
        <v>6.0</v>
      </c>
      <c r="Y533" s="296">
        <v>2026.0</v>
      </c>
      <c r="Z533" s="235" t="s">
        <v>10</v>
      </c>
    </row>
    <row r="534">
      <c r="A534" s="293" t="s">
        <v>1465</v>
      </c>
      <c r="B534" s="293" t="s">
        <v>1466</v>
      </c>
      <c r="C534" s="299">
        <v>46180.0</v>
      </c>
      <c r="D534" s="296">
        <v>7.0</v>
      </c>
      <c r="E534" s="296">
        <v>6.0</v>
      </c>
      <c r="F534" s="296">
        <v>2026.0</v>
      </c>
      <c r="G534" s="299">
        <v>46183.0</v>
      </c>
      <c r="H534" s="269">
        <v>10.0</v>
      </c>
      <c r="I534" s="296">
        <v>6.0</v>
      </c>
      <c r="J534" s="269">
        <v>2026.0</v>
      </c>
      <c r="K534" s="235" t="s">
        <v>38</v>
      </c>
      <c r="L534" s="235" t="s">
        <v>518</v>
      </c>
      <c r="M534" s="235">
        <v>1.0</v>
      </c>
      <c r="N534" s="164">
        <v>3.0</v>
      </c>
      <c r="O534" s="235">
        <v>6.0</v>
      </c>
      <c r="P534" s="299">
        <v>46182.76443287037</v>
      </c>
      <c r="Q534" s="213">
        <v>9.0</v>
      </c>
      <c r="R534" s="213">
        <v>6.0</v>
      </c>
      <c r="S534" s="296">
        <v>2026.0</v>
      </c>
      <c r="T534" s="82" t="s">
        <v>319</v>
      </c>
      <c r="U534" s="235">
        <v>89.25</v>
      </c>
      <c r="V534" s="299">
        <v>46182.764074074075</v>
      </c>
      <c r="W534" s="296">
        <v>9.0</v>
      </c>
      <c r="X534" s="296">
        <v>6.0</v>
      </c>
      <c r="Y534" s="296">
        <v>2026.0</v>
      </c>
      <c r="Z534" s="82" t="s">
        <v>319</v>
      </c>
    </row>
    <row r="535">
      <c r="A535" s="293" t="s">
        <v>1468</v>
      </c>
      <c r="B535" s="293" t="s">
        <v>1469</v>
      </c>
      <c r="C535" s="299">
        <v>46194.0</v>
      </c>
      <c r="D535" s="296">
        <v>21.0</v>
      </c>
      <c r="E535" s="296">
        <v>6.0</v>
      </c>
      <c r="F535" s="296">
        <v>2026.0</v>
      </c>
      <c r="G535" s="299">
        <v>46202.0</v>
      </c>
      <c r="H535" s="269">
        <v>29.0</v>
      </c>
      <c r="I535" s="296">
        <v>6.0</v>
      </c>
      <c r="J535" s="269">
        <v>2026.0</v>
      </c>
      <c r="K535" s="235" t="s">
        <v>38</v>
      </c>
      <c r="L535" s="235" t="s">
        <v>518</v>
      </c>
      <c r="M535" s="235">
        <v>1.0</v>
      </c>
      <c r="N535" s="164">
        <v>8.0</v>
      </c>
      <c r="O535" s="235">
        <v>14.0</v>
      </c>
      <c r="P535" s="299">
        <v>46202.344976851855</v>
      </c>
      <c r="Q535" s="213">
        <v>29.0</v>
      </c>
      <c r="R535" s="213">
        <v>6.0</v>
      </c>
      <c r="S535" s="296">
        <v>2026.0</v>
      </c>
      <c r="T535" s="82" t="s">
        <v>319</v>
      </c>
      <c r="U535" s="235">
        <v>306.0</v>
      </c>
      <c r="V535" s="299">
        <v>46202.34479166667</v>
      </c>
      <c r="W535" s="296">
        <v>29.0</v>
      </c>
      <c r="X535" s="296">
        <v>6.0</v>
      </c>
      <c r="Y535" s="296">
        <v>2026.0</v>
      </c>
      <c r="Z535" s="82" t="s">
        <v>319</v>
      </c>
    </row>
    <row r="536">
      <c r="A536" s="293" t="s">
        <v>1079</v>
      </c>
      <c r="B536" s="293" t="s">
        <v>1470</v>
      </c>
      <c r="C536" s="299">
        <v>46189.0</v>
      </c>
      <c r="D536" s="296">
        <v>16.0</v>
      </c>
      <c r="E536" s="296">
        <v>6.0</v>
      </c>
      <c r="F536" s="296">
        <v>2026.0</v>
      </c>
      <c r="G536" s="299">
        <v>46190.0</v>
      </c>
      <c r="H536" s="269">
        <v>17.0</v>
      </c>
      <c r="I536" s="296">
        <v>6.0</v>
      </c>
      <c r="J536" s="269">
        <v>2026.0</v>
      </c>
      <c r="K536" s="235" t="s">
        <v>38</v>
      </c>
      <c r="L536" s="235" t="s">
        <v>518</v>
      </c>
      <c r="M536" s="235">
        <v>1.0</v>
      </c>
      <c r="N536" s="164">
        <v>1.0</v>
      </c>
      <c r="O536" s="235">
        <v>2.0</v>
      </c>
      <c r="P536" s="299">
        <v>46189.42145833333</v>
      </c>
      <c r="Q536" s="213">
        <v>16.0</v>
      </c>
      <c r="R536" s="213">
        <v>6.0</v>
      </c>
      <c r="S536" s="296">
        <v>2026.0</v>
      </c>
      <c r="T536" s="82" t="s">
        <v>319</v>
      </c>
      <c r="U536" s="235">
        <v>46.75</v>
      </c>
      <c r="V536" s="299">
        <v>46189.42145833333</v>
      </c>
      <c r="W536" s="296">
        <v>16.0</v>
      </c>
      <c r="X536" s="296">
        <v>6.0</v>
      </c>
      <c r="Y536" s="296">
        <v>2026.0</v>
      </c>
      <c r="Z536" s="82" t="s">
        <v>319</v>
      </c>
    </row>
    <row r="537">
      <c r="A537" s="293" t="s">
        <v>1471</v>
      </c>
      <c r="B537" s="293" t="s">
        <v>1472</v>
      </c>
      <c r="C537" s="299">
        <v>46195.0</v>
      </c>
      <c r="D537" s="296">
        <v>22.0</v>
      </c>
      <c r="E537" s="296">
        <v>6.0</v>
      </c>
      <c r="F537" s="296">
        <v>2026.0</v>
      </c>
      <c r="G537" s="299">
        <v>46196.0</v>
      </c>
      <c r="H537" s="269">
        <v>23.0</v>
      </c>
      <c r="I537" s="296">
        <v>6.0</v>
      </c>
      <c r="J537" s="269">
        <v>2026.0</v>
      </c>
      <c r="K537" s="235" t="s">
        <v>38</v>
      </c>
      <c r="L537" s="235" t="s">
        <v>518</v>
      </c>
      <c r="M537" s="235">
        <v>1.0</v>
      </c>
      <c r="N537" s="164">
        <v>1.0</v>
      </c>
      <c r="O537" s="235">
        <v>2.0</v>
      </c>
      <c r="P537" s="299">
        <v>46195.76194444444</v>
      </c>
      <c r="Q537" s="213">
        <v>22.0</v>
      </c>
      <c r="R537" s="213">
        <v>6.0</v>
      </c>
      <c r="S537" s="296">
        <v>2026.0</v>
      </c>
      <c r="T537" s="235" t="s">
        <v>352</v>
      </c>
      <c r="U537" s="235">
        <v>29.75</v>
      </c>
      <c r="V537" s="299">
        <v>46195.761458333334</v>
      </c>
      <c r="W537" s="296">
        <v>22.0</v>
      </c>
      <c r="X537" s="296">
        <v>6.0</v>
      </c>
      <c r="Y537" s="296">
        <v>2026.0</v>
      </c>
      <c r="Z537" s="235" t="s">
        <v>352</v>
      </c>
    </row>
    <row r="538">
      <c r="A538" s="293" t="s">
        <v>1473</v>
      </c>
      <c r="B538" s="293" t="s">
        <v>1474</v>
      </c>
      <c r="C538" s="299">
        <v>46196.0</v>
      </c>
      <c r="D538" s="296">
        <v>23.0</v>
      </c>
      <c r="E538" s="296">
        <v>6.0</v>
      </c>
      <c r="F538" s="296">
        <v>2026.0</v>
      </c>
      <c r="G538" s="299">
        <v>46197.0</v>
      </c>
      <c r="H538" s="269">
        <v>24.0</v>
      </c>
      <c r="I538" s="296">
        <v>6.0</v>
      </c>
      <c r="J538" s="269">
        <v>2026.0</v>
      </c>
      <c r="K538" s="235" t="s">
        <v>38</v>
      </c>
      <c r="L538" s="235" t="s">
        <v>518</v>
      </c>
      <c r="M538" s="235">
        <v>1.0</v>
      </c>
      <c r="N538" s="164">
        <v>1.0</v>
      </c>
      <c r="O538" s="235">
        <v>2.0</v>
      </c>
      <c r="P538" s="299">
        <v>46196.95972222222</v>
      </c>
      <c r="Q538" s="213">
        <v>23.0</v>
      </c>
      <c r="R538" s="213">
        <v>6.0</v>
      </c>
      <c r="S538" s="296">
        <v>2026.0</v>
      </c>
      <c r="T538" s="235" t="s">
        <v>10</v>
      </c>
      <c r="U538" s="235">
        <v>29.75</v>
      </c>
      <c r="V538" s="299">
        <v>46196.95972222222</v>
      </c>
      <c r="W538" s="296">
        <v>23.0</v>
      </c>
      <c r="X538" s="296">
        <v>6.0</v>
      </c>
      <c r="Y538" s="296">
        <v>2026.0</v>
      </c>
      <c r="Z538" s="235" t="s">
        <v>10</v>
      </c>
    </row>
    <row r="539">
      <c r="A539" s="293" t="s">
        <v>1475</v>
      </c>
      <c r="B539" s="293" t="s">
        <v>1476</v>
      </c>
      <c r="C539" s="299">
        <v>46196.0</v>
      </c>
      <c r="D539" s="296">
        <v>23.0</v>
      </c>
      <c r="E539" s="296">
        <v>6.0</v>
      </c>
      <c r="F539" s="296">
        <v>2026.0</v>
      </c>
      <c r="G539" s="299">
        <v>46197.0</v>
      </c>
      <c r="H539" s="269">
        <v>24.0</v>
      </c>
      <c r="I539" s="296">
        <v>6.0</v>
      </c>
      <c r="J539" s="269">
        <v>2026.0</v>
      </c>
      <c r="K539" s="235" t="s">
        <v>38</v>
      </c>
      <c r="L539" s="235" t="s">
        <v>518</v>
      </c>
      <c r="M539" s="235">
        <v>1.0</v>
      </c>
      <c r="N539" s="164">
        <v>1.0</v>
      </c>
      <c r="O539" s="235">
        <v>2.0</v>
      </c>
      <c r="P539" s="299">
        <v>46196.95423611111</v>
      </c>
      <c r="Q539" s="213">
        <v>23.0</v>
      </c>
      <c r="R539" s="213">
        <v>6.0</v>
      </c>
      <c r="S539" s="296">
        <v>2026.0</v>
      </c>
      <c r="T539" s="235" t="s">
        <v>10</v>
      </c>
      <c r="U539" s="235">
        <v>29.75</v>
      </c>
      <c r="V539" s="299">
        <v>46196.95423611111</v>
      </c>
      <c r="W539" s="296">
        <v>23.0</v>
      </c>
      <c r="X539" s="296">
        <v>6.0</v>
      </c>
      <c r="Y539" s="296">
        <v>2026.0</v>
      </c>
      <c r="Z539" s="235" t="s">
        <v>10</v>
      </c>
    </row>
    <row r="540">
      <c r="A540" s="293" t="s">
        <v>1478</v>
      </c>
      <c r="B540" s="293" t="s">
        <v>1479</v>
      </c>
      <c r="C540" s="299">
        <v>46176.0</v>
      </c>
      <c r="D540" s="296">
        <v>3.0</v>
      </c>
      <c r="E540" s="296">
        <v>6.0</v>
      </c>
      <c r="F540" s="296">
        <v>2026.0</v>
      </c>
      <c r="G540" s="299">
        <v>46177.0</v>
      </c>
      <c r="H540" s="269">
        <v>4.0</v>
      </c>
      <c r="I540" s="296">
        <v>6.0</v>
      </c>
      <c r="J540" s="269">
        <v>2026.0</v>
      </c>
      <c r="K540" s="235" t="s">
        <v>38</v>
      </c>
      <c r="L540" s="235" t="s">
        <v>518</v>
      </c>
      <c r="M540" s="235">
        <v>1.0</v>
      </c>
      <c r="N540" s="164">
        <v>1.0</v>
      </c>
      <c r="O540" s="235">
        <v>2.0</v>
      </c>
      <c r="P540" s="299">
        <v>46177.38453703704</v>
      </c>
      <c r="Q540" s="213">
        <v>4.0</v>
      </c>
      <c r="R540" s="213">
        <v>6.0</v>
      </c>
      <c r="S540" s="296">
        <v>2026.0</v>
      </c>
      <c r="T540" s="82" t="s">
        <v>319</v>
      </c>
      <c r="U540" s="235">
        <v>27.2</v>
      </c>
      <c r="V540" s="299">
        <v>46177.38428240741</v>
      </c>
      <c r="W540" s="296">
        <v>4.0</v>
      </c>
      <c r="X540" s="296">
        <v>6.0</v>
      </c>
      <c r="Y540" s="296">
        <v>2026.0</v>
      </c>
      <c r="Z540" s="82" t="s">
        <v>319</v>
      </c>
    </row>
    <row r="541">
      <c r="A541" s="293" t="s">
        <v>1480</v>
      </c>
      <c r="B541" s="293" t="s">
        <v>1481</v>
      </c>
      <c r="C541" s="299">
        <v>46181.0</v>
      </c>
      <c r="D541" s="296">
        <v>8.0</v>
      </c>
      <c r="E541" s="296">
        <v>6.0</v>
      </c>
      <c r="F541" s="296">
        <v>2026.0</v>
      </c>
      <c r="G541" s="299">
        <v>46184.0</v>
      </c>
      <c r="H541" s="269">
        <v>11.0</v>
      </c>
      <c r="I541" s="296">
        <v>6.0</v>
      </c>
      <c r="J541" s="269">
        <v>2026.0</v>
      </c>
      <c r="K541" s="235" t="s">
        <v>38</v>
      </c>
      <c r="L541" s="235" t="s">
        <v>518</v>
      </c>
      <c r="M541" s="235">
        <v>1.0</v>
      </c>
      <c r="N541" s="164">
        <v>3.0</v>
      </c>
      <c r="O541" s="235">
        <v>6.0</v>
      </c>
      <c r="P541" s="299">
        <v>46182.03121527778</v>
      </c>
      <c r="Q541" s="213">
        <v>9.0</v>
      </c>
      <c r="R541" s="213">
        <v>6.0</v>
      </c>
      <c r="S541" s="296">
        <v>2026.0</v>
      </c>
      <c r="T541" s="82" t="s">
        <v>319</v>
      </c>
      <c r="U541" s="235">
        <v>114.75</v>
      </c>
      <c r="V541" s="299">
        <v>46182.03121527778</v>
      </c>
      <c r="W541" s="296">
        <v>9.0</v>
      </c>
      <c r="X541" s="296">
        <v>6.0</v>
      </c>
      <c r="Y541" s="296">
        <v>2026.0</v>
      </c>
      <c r="Z541" s="82" t="s">
        <v>319</v>
      </c>
    </row>
    <row r="542">
      <c r="A542" s="293" t="s">
        <v>1482</v>
      </c>
      <c r="B542" s="293" t="s">
        <v>1483</v>
      </c>
      <c r="C542" s="299">
        <v>46187.0</v>
      </c>
      <c r="D542" s="296">
        <v>14.0</v>
      </c>
      <c r="E542" s="296">
        <v>6.0</v>
      </c>
      <c r="F542" s="296">
        <v>2026.0</v>
      </c>
      <c r="G542" s="299">
        <v>46190.0</v>
      </c>
      <c r="H542" s="269">
        <v>17.0</v>
      </c>
      <c r="I542" s="296">
        <v>6.0</v>
      </c>
      <c r="J542" s="269">
        <v>2026.0</v>
      </c>
      <c r="K542" s="235" t="s">
        <v>38</v>
      </c>
      <c r="L542" s="235" t="s">
        <v>518</v>
      </c>
      <c r="M542" s="235">
        <v>1.0</v>
      </c>
      <c r="N542" s="164">
        <v>3.0</v>
      </c>
      <c r="O542" s="235">
        <v>6.0</v>
      </c>
      <c r="P542" s="299">
        <v>46187.73136574074</v>
      </c>
      <c r="Q542" s="213">
        <v>14.0</v>
      </c>
      <c r="R542" s="213">
        <v>6.0</v>
      </c>
      <c r="S542" s="296">
        <v>2026.0</v>
      </c>
      <c r="T542" s="235" t="s">
        <v>352</v>
      </c>
      <c r="U542" s="235">
        <v>114.75</v>
      </c>
      <c r="V542" s="299">
        <v>46187.73074074074</v>
      </c>
      <c r="W542" s="296">
        <v>14.0</v>
      </c>
      <c r="X542" s="296">
        <v>6.0</v>
      </c>
      <c r="Y542" s="296">
        <v>2026.0</v>
      </c>
      <c r="Z542" s="235" t="s">
        <v>352</v>
      </c>
    </row>
    <row r="543">
      <c r="A543" s="293" t="s">
        <v>1484</v>
      </c>
      <c r="B543" s="293" t="s">
        <v>1485</v>
      </c>
      <c r="C543" s="299">
        <v>46199.0</v>
      </c>
      <c r="D543" s="296">
        <v>26.0</v>
      </c>
      <c r="E543" s="296">
        <v>6.0</v>
      </c>
      <c r="F543" s="296">
        <v>2026.0</v>
      </c>
      <c r="G543" s="299">
        <v>46200.0</v>
      </c>
      <c r="H543" s="269">
        <v>27.0</v>
      </c>
      <c r="I543" s="296">
        <v>6.0</v>
      </c>
      <c r="J543" s="269">
        <v>2026.0</v>
      </c>
      <c r="K543" s="235" t="s">
        <v>38</v>
      </c>
      <c r="L543" s="235" t="s">
        <v>518</v>
      </c>
      <c r="M543" s="235">
        <v>1.0</v>
      </c>
      <c r="N543" s="164">
        <v>1.0</v>
      </c>
      <c r="O543" s="235">
        <v>2.0</v>
      </c>
      <c r="P543" s="299">
        <v>46199.83803240741</v>
      </c>
      <c r="Q543" s="213">
        <v>26.0</v>
      </c>
      <c r="R543" s="213">
        <v>6.0</v>
      </c>
      <c r="S543" s="296">
        <v>2026.0</v>
      </c>
      <c r="T543" s="82" t="s">
        <v>319</v>
      </c>
      <c r="U543" s="235">
        <v>38.25</v>
      </c>
      <c r="V543" s="299">
        <v>46199.83765046296</v>
      </c>
      <c r="W543" s="296">
        <v>26.0</v>
      </c>
      <c r="X543" s="296">
        <v>6.0</v>
      </c>
      <c r="Y543" s="296">
        <v>2026.0</v>
      </c>
      <c r="Z543" s="82" t="s">
        <v>319</v>
      </c>
    </row>
    <row r="544">
      <c r="A544" s="293" t="s">
        <v>1486</v>
      </c>
      <c r="B544" s="293" t="s">
        <v>1487</v>
      </c>
      <c r="C544" s="299">
        <v>46175.0</v>
      </c>
      <c r="D544" s="296">
        <v>2.0</v>
      </c>
      <c r="E544" s="296">
        <v>6.0</v>
      </c>
      <c r="F544" s="296">
        <v>2026.0</v>
      </c>
      <c r="G544" s="299">
        <v>46176.0</v>
      </c>
      <c r="H544" s="269">
        <v>3.0</v>
      </c>
      <c r="I544" s="296">
        <v>6.0</v>
      </c>
      <c r="J544" s="269">
        <v>2026.0</v>
      </c>
      <c r="K544" s="235" t="s">
        <v>38</v>
      </c>
      <c r="L544" s="235" t="s">
        <v>518</v>
      </c>
      <c r="M544" s="235">
        <v>1.0</v>
      </c>
      <c r="N544" s="164">
        <v>1.0</v>
      </c>
      <c r="O544" s="235">
        <v>2.0</v>
      </c>
      <c r="P544" s="299">
        <v>46175.65961805556</v>
      </c>
      <c r="Q544" s="213">
        <v>2.0</v>
      </c>
      <c r="R544" s="213">
        <v>6.0</v>
      </c>
      <c r="S544" s="296">
        <v>2026.0</v>
      </c>
      <c r="T544" s="235" t="s">
        <v>352</v>
      </c>
      <c r="U544" s="235">
        <v>38.25</v>
      </c>
      <c r="V544" s="299">
        <v>46175.65929398148</v>
      </c>
      <c r="W544" s="296">
        <v>2.0</v>
      </c>
      <c r="X544" s="296">
        <v>6.0</v>
      </c>
      <c r="Y544" s="296">
        <v>2026.0</v>
      </c>
      <c r="Z544" s="235" t="s">
        <v>352</v>
      </c>
    </row>
    <row r="545">
      <c r="A545" s="293" t="s">
        <v>1488</v>
      </c>
      <c r="B545" s="293" t="s">
        <v>1489</v>
      </c>
      <c r="C545" s="299">
        <v>46194.0</v>
      </c>
      <c r="D545" s="296">
        <v>21.0</v>
      </c>
      <c r="E545" s="296">
        <v>6.0</v>
      </c>
      <c r="F545" s="296">
        <v>2026.0</v>
      </c>
      <c r="G545" s="299">
        <v>46195.0</v>
      </c>
      <c r="H545" s="269">
        <v>22.0</v>
      </c>
      <c r="I545" s="296">
        <v>6.0</v>
      </c>
      <c r="J545" s="269">
        <v>2026.0</v>
      </c>
      <c r="K545" s="235" t="s">
        <v>38</v>
      </c>
      <c r="L545" s="235" t="s">
        <v>518</v>
      </c>
      <c r="M545" s="235">
        <v>1.0</v>
      </c>
      <c r="N545" s="164">
        <v>1.0</v>
      </c>
      <c r="O545" s="235">
        <v>2.0</v>
      </c>
      <c r="P545" s="299">
        <v>46194.83574074074</v>
      </c>
      <c r="Q545" s="213">
        <v>21.0</v>
      </c>
      <c r="R545" s="213">
        <v>6.0</v>
      </c>
      <c r="S545" s="296">
        <v>2026.0</v>
      </c>
      <c r="T545" s="235" t="s">
        <v>10</v>
      </c>
      <c r="U545" s="235">
        <v>29.75</v>
      </c>
      <c r="V545" s="299">
        <v>46194.83505787037</v>
      </c>
      <c r="W545" s="296">
        <v>21.0</v>
      </c>
      <c r="X545" s="296">
        <v>6.0</v>
      </c>
      <c r="Y545" s="296">
        <v>2026.0</v>
      </c>
      <c r="Z545" s="235" t="s">
        <v>10</v>
      </c>
    </row>
    <row r="546">
      <c r="A546" s="293" t="s">
        <v>1490</v>
      </c>
      <c r="B546" s="293" t="s">
        <v>1491</v>
      </c>
      <c r="C546" s="299">
        <v>46202.0</v>
      </c>
      <c r="D546" s="296">
        <v>29.0</v>
      </c>
      <c r="E546" s="296">
        <v>6.0</v>
      </c>
      <c r="F546" s="296">
        <v>2026.0</v>
      </c>
      <c r="G546" s="299">
        <v>46204.0</v>
      </c>
      <c r="H546" s="269">
        <v>1.0</v>
      </c>
      <c r="I546" s="296">
        <v>7.0</v>
      </c>
      <c r="J546" s="269">
        <v>2026.0</v>
      </c>
      <c r="K546" s="235" t="s">
        <v>38</v>
      </c>
      <c r="L546" s="235" t="s">
        <v>518</v>
      </c>
      <c r="M546" s="235">
        <v>1.0</v>
      </c>
      <c r="N546" s="164">
        <v>2.0</v>
      </c>
      <c r="O546" s="235">
        <v>4.0</v>
      </c>
      <c r="P546" s="299">
        <v>46203.67767361111</v>
      </c>
      <c r="Q546" s="213">
        <v>30.0</v>
      </c>
      <c r="R546" s="213">
        <v>6.0</v>
      </c>
      <c r="S546" s="296">
        <v>2026.0</v>
      </c>
      <c r="T546" s="82" t="s">
        <v>319</v>
      </c>
      <c r="U546" s="235">
        <v>76.5</v>
      </c>
      <c r="V546" s="299">
        <v>46203.67525462963</v>
      </c>
      <c r="W546" s="296">
        <v>30.0</v>
      </c>
      <c r="X546" s="296">
        <v>6.0</v>
      </c>
      <c r="Y546" s="296">
        <v>2026.0</v>
      </c>
      <c r="Z546" s="82" t="s">
        <v>319</v>
      </c>
    </row>
    <row r="547">
      <c r="A547" s="293" t="s">
        <v>1493</v>
      </c>
      <c r="B547" s="293" t="s">
        <v>1494</v>
      </c>
      <c r="C547" s="299">
        <v>46200.0</v>
      </c>
      <c r="D547" s="296">
        <v>27.0</v>
      </c>
      <c r="E547" s="296">
        <v>6.0</v>
      </c>
      <c r="F547" s="296">
        <v>2026.0</v>
      </c>
      <c r="G547" s="299">
        <v>46202.0</v>
      </c>
      <c r="H547" s="269">
        <v>29.0</v>
      </c>
      <c r="I547" s="296">
        <v>6.0</v>
      </c>
      <c r="J547" s="269">
        <v>2026.0</v>
      </c>
      <c r="K547" s="235" t="s">
        <v>38</v>
      </c>
      <c r="L547" s="235" t="s">
        <v>518</v>
      </c>
      <c r="M547" s="235">
        <v>1.0</v>
      </c>
      <c r="N547" s="164">
        <v>2.0</v>
      </c>
      <c r="O547" s="235">
        <v>4.0</v>
      </c>
      <c r="P547" s="299">
        <v>46202.0306712963</v>
      </c>
      <c r="Q547" s="213">
        <v>29.0</v>
      </c>
      <c r="R547" s="213">
        <v>6.0</v>
      </c>
      <c r="S547" s="296">
        <v>2026.0</v>
      </c>
      <c r="T547" s="82" t="s">
        <v>319</v>
      </c>
      <c r="U547" s="235">
        <v>59.5</v>
      </c>
      <c r="V547" s="299">
        <v>46202.0306712963</v>
      </c>
      <c r="W547" s="296">
        <v>29.0</v>
      </c>
      <c r="X547" s="296">
        <v>6.0</v>
      </c>
      <c r="Y547" s="296">
        <v>2026.0</v>
      </c>
      <c r="Z547" s="82" t="s">
        <v>319</v>
      </c>
    </row>
    <row r="548">
      <c r="A548" s="293" t="s">
        <v>1495</v>
      </c>
      <c r="B548" s="293" t="s">
        <v>1496</v>
      </c>
      <c r="C548" s="299">
        <v>46187.0</v>
      </c>
      <c r="D548" s="296">
        <v>14.0</v>
      </c>
      <c r="E548" s="296">
        <v>6.0</v>
      </c>
      <c r="F548" s="296">
        <v>2026.0</v>
      </c>
      <c r="G548" s="299">
        <v>46193.0</v>
      </c>
      <c r="H548" s="269">
        <v>20.0</v>
      </c>
      <c r="I548" s="296">
        <v>6.0</v>
      </c>
      <c r="J548" s="269">
        <v>2026.0</v>
      </c>
      <c r="K548" s="235" t="s">
        <v>38</v>
      </c>
      <c r="L548" s="235" t="s">
        <v>518</v>
      </c>
      <c r="M548" s="235">
        <v>1.0</v>
      </c>
      <c r="N548" s="164">
        <v>6.0</v>
      </c>
      <c r="O548" s="235">
        <v>12.0</v>
      </c>
      <c r="P548" s="299">
        <v>46190.467824074076</v>
      </c>
      <c r="Q548" s="213">
        <v>17.0</v>
      </c>
      <c r="R548" s="213">
        <v>6.0</v>
      </c>
      <c r="S548" s="296">
        <v>2026.0</v>
      </c>
      <c r="T548" s="235" t="s">
        <v>10</v>
      </c>
      <c r="U548" s="235">
        <v>219.3</v>
      </c>
      <c r="V548" s="299">
        <v>46190.467824074076</v>
      </c>
      <c r="W548" s="296">
        <v>17.0</v>
      </c>
      <c r="X548" s="296">
        <v>6.0</v>
      </c>
      <c r="Y548" s="296">
        <v>2026.0</v>
      </c>
      <c r="Z548" s="235" t="s">
        <v>10</v>
      </c>
    </row>
    <row r="549">
      <c r="A549" s="293" t="s">
        <v>1498</v>
      </c>
      <c r="B549" s="293" t="s">
        <v>1499</v>
      </c>
      <c r="C549" s="299">
        <v>46186.0</v>
      </c>
      <c r="D549" s="296">
        <v>13.0</v>
      </c>
      <c r="E549" s="296">
        <v>6.0</v>
      </c>
      <c r="F549" s="296">
        <v>2026.0</v>
      </c>
      <c r="G549" s="299">
        <v>46187.0</v>
      </c>
      <c r="H549" s="269">
        <v>14.0</v>
      </c>
      <c r="I549" s="296">
        <v>6.0</v>
      </c>
      <c r="J549" s="269">
        <v>2026.0</v>
      </c>
      <c r="K549" s="235" t="s">
        <v>38</v>
      </c>
      <c r="L549" s="235" t="s">
        <v>518</v>
      </c>
      <c r="M549" s="235">
        <v>1.0</v>
      </c>
      <c r="N549" s="164">
        <v>1.0</v>
      </c>
      <c r="O549" s="235">
        <v>2.0</v>
      </c>
      <c r="P549" s="299">
        <v>46187.44180555556</v>
      </c>
      <c r="Q549" s="213">
        <v>14.0</v>
      </c>
      <c r="R549" s="213">
        <v>6.0</v>
      </c>
      <c r="S549" s="296">
        <v>2026.0</v>
      </c>
      <c r="T549" s="82" t="s">
        <v>319</v>
      </c>
      <c r="U549" s="235">
        <v>38.25</v>
      </c>
      <c r="V549" s="299">
        <v>46187.44180555556</v>
      </c>
      <c r="W549" s="296">
        <v>14.0</v>
      </c>
      <c r="X549" s="296">
        <v>6.0</v>
      </c>
      <c r="Y549" s="296">
        <v>2026.0</v>
      </c>
      <c r="Z549" s="82" t="s">
        <v>319</v>
      </c>
    </row>
    <row r="550">
      <c r="A550" s="293" t="s">
        <v>1500</v>
      </c>
      <c r="B550" s="293" t="s">
        <v>1501</v>
      </c>
      <c r="C550" s="299">
        <v>46174.0</v>
      </c>
      <c r="D550" s="296">
        <v>1.0</v>
      </c>
      <c r="E550" s="296">
        <v>6.0</v>
      </c>
      <c r="F550" s="296">
        <v>2026.0</v>
      </c>
      <c r="G550" s="299">
        <v>46178.0</v>
      </c>
      <c r="H550" s="269">
        <v>5.0</v>
      </c>
      <c r="I550" s="296">
        <v>6.0</v>
      </c>
      <c r="J550" s="269">
        <v>2026.0</v>
      </c>
      <c r="K550" s="235" t="s">
        <v>38</v>
      </c>
      <c r="L550" s="235" t="s">
        <v>518</v>
      </c>
      <c r="M550" s="235">
        <v>1.0</v>
      </c>
      <c r="N550" s="164">
        <v>4.0</v>
      </c>
      <c r="O550" s="235">
        <v>8.0</v>
      </c>
      <c r="P550" s="299">
        <v>46175.05133101852</v>
      </c>
      <c r="Q550" s="213">
        <v>2.0</v>
      </c>
      <c r="R550" s="213">
        <v>6.0</v>
      </c>
      <c r="S550" s="296">
        <v>2026.0</v>
      </c>
      <c r="T550" s="82" t="s">
        <v>319</v>
      </c>
      <c r="U550" s="235">
        <v>153.0</v>
      </c>
      <c r="V550" s="299">
        <v>46175.05094907407</v>
      </c>
      <c r="W550" s="296">
        <v>2.0</v>
      </c>
      <c r="X550" s="296">
        <v>6.0</v>
      </c>
      <c r="Y550" s="296">
        <v>2026.0</v>
      </c>
      <c r="Z550" s="82" t="s">
        <v>319</v>
      </c>
    </row>
    <row r="551">
      <c r="A551" s="293" t="s">
        <v>1502</v>
      </c>
      <c r="B551" s="293" t="s">
        <v>1503</v>
      </c>
      <c r="C551" s="299">
        <v>46187.0</v>
      </c>
      <c r="D551" s="296">
        <v>14.0</v>
      </c>
      <c r="E551" s="296">
        <v>6.0</v>
      </c>
      <c r="F551" s="296">
        <v>2026.0</v>
      </c>
      <c r="G551" s="299">
        <v>46188.0</v>
      </c>
      <c r="H551" s="269">
        <v>15.0</v>
      </c>
      <c r="I551" s="296">
        <v>6.0</v>
      </c>
      <c r="J551" s="269">
        <v>2026.0</v>
      </c>
      <c r="K551" s="235" t="s">
        <v>38</v>
      </c>
      <c r="L551" s="235" t="s">
        <v>518</v>
      </c>
      <c r="M551" s="235">
        <v>1.0</v>
      </c>
      <c r="N551" s="164">
        <v>1.0</v>
      </c>
      <c r="O551" s="235">
        <v>2.0</v>
      </c>
      <c r="P551" s="299">
        <v>46187.83615740741</v>
      </c>
      <c r="Q551" s="213">
        <v>14.0</v>
      </c>
      <c r="R551" s="213">
        <v>6.0</v>
      </c>
      <c r="S551" s="296">
        <v>2026.0</v>
      </c>
      <c r="T551" s="82" t="s">
        <v>319</v>
      </c>
      <c r="U551" s="235">
        <v>29.75</v>
      </c>
      <c r="V551" s="299">
        <v>46187.835185185184</v>
      </c>
      <c r="W551" s="296">
        <v>14.0</v>
      </c>
      <c r="X551" s="296">
        <v>6.0</v>
      </c>
      <c r="Y551" s="296">
        <v>2026.0</v>
      </c>
      <c r="Z551" s="82" t="s">
        <v>319</v>
      </c>
    </row>
    <row r="552">
      <c r="A552" s="293" t="s">
        <v>1504</v>
      </c>
      <c r="B552" s="293" t="s">
        <v>1505</v>
      </c>
      <c r="C552" s="299">
        <v>46196.0</v>
      </c>
      <c r="D552" s="296">
        <v>23.0</v>
      </c>
      <c r="E552" s="296">
        <v>6.0</v>
      </c>
      <c r="F552" s="296">
        <v>2026.0</v>
      </c>
      <c r="G552" s="299">
        <v>46197.0</v>
      </c>
      <c r="H552" s="269">
        <v>24.0</v>
      </c>
      <c r="I552" s="296">
        <v>6.0</v>
      </c>
      <c r="J552" s="269">
        <v>2026.0</v>
      </c>
      <c r="K552" s="235" t="s">
        <v>38</v>
      </c>
      <c r="L552" s="235" t="s">
        <v>518</v>
      </c>
      <c r="M552" s="235">
        <v>3.0</v>
      </c>
      <c r="N552" s="164">
        <v>1.0</v>
      </c>
      <c r="O552" s="235">
        <v>6.0</v>
      </c>
      <c r="P552" s="299">
        <v>46196.86020833333</v>
      </c>
      <c r="Q552" s="213">
        <v>23.0</v>
      </c>
      <c r="R552" s="213">
        <v>6.0</v>
      </c>
      <c r="S552" s="296">
        <v>2026.0</v>
      </c>
      <c r="T552" s="235" t="s">
        <v>10</v>
      </c>
      <c r="U552" s="235">
        <v>89.25</v>
      </c>
      <c r="V552" s="299">
        <v>46196.85986111111</v>
      </c>
      <c r="W552" s="296">
        <v>23.0</v>
      </c>
      <c r="X552" s="296">
        <v>6.0</v>
      </c>
      <c r="Y552" s="296">
        <v>2026.0</v>
      </c>
      <c r="Z552" s="235" t="s">
        <v>10</v>
      </c>
    </row>
    <row r="553">
      <c r="A553" s="293" t="s">
        <v>1507</v>
      </c>
      <c r="B553" s="293" t="s">
        <v>1508</v>
      </c>
      <c r="C553" s="299">
        <v>46201.0</v>
      </c>
      <c r="D553" s="296">
        <v>28.0</v>
      </c>
      <c r="E553" s="296">
        <v>6.0</v>
      </c>
      <c r="F553" s="296">
        <v>2026.0</v>
      </c>
      <c r="G553" s="299">
        <v>46202.0</v>
      </c>
      <c r="H553" s="269">
        <v>29.0</v>
      </c>
      <c r="I553" s="296">
        <v>6.0</v>
      </c>
      <c r="J553" s="269">
        <v>2026.0</v>
      </c>
      <c r="K553" s="235" t="s">
        <v>38</v>
      </c>
      <c r="L553" s="235" t="s">
        <v>518</v>
      </c>
      <c r="M553" s="235">
        <v>1.0</v>
      </c>
      <c r="N553" s="164">
        <v>1.0</v>
      </c>
      <c r="O553" s="235">
        <v>2.0</v>
      </c>
      <c r="P553" s="299">
        <v>46202.43203703704</v>
      </c>
      <c r="Q553" s="213">
        <v>29.0</v>
      </c>
      <c r="R553" s="213">
        <v>6.0</v>
      </c>
      <c r="S553" s="296">
        <v>2026.0</v>
      </c>
      <c r="T553" s="82" t="s">
        <v>319</v>
      </c>
      <c r="U553" s="235">
        <v>29.75</v>
      </c>
      <c r="V553" s="299">
        <v>46202.43203703704</v>
      </c>
      <c r="W553" s="296">
        <v>29.0</v>
      </c>
      <c r="X553" s="296">
        <v>6.0</v>
      </c>
      <c r="Y553" s="296">
        <v>2026.0</v>
      </c>
      <c r="Z553" s="82" t="s">
        <v>319</v>
      </c>
    </row>
    <row r="554">
      <c r="A554" s="293" t="s">
        <v>1509</v>
      </c>
      <c r="B554" s="293" t="s">
        <v>1510</v>
      </c>
      <c r="C554" s="299">
        <v>46186.0</v>
      </c>
      <c r="D554" s="296">
        <v>13.0</v>
      </c>
      <c r="E554" s="296">
        <v>6.0</v>
      </c>
      <c r="F554" s="296">
        <v>2026.0</v>
      </c>
      <c r="G554" s="299">
        <v>46187.0</v>
      </c>
      <c r="H554" s="269">
        <v>14.0</v>
      </c>
      <c r="I554" s="296">
        <v>6.0</v>
      </c>
      <c r="J554" s="269">
        <v>2026.0</v>
      </c>
      <c r="K554" s="235" t="s">
        <v>38</v>
      </c>
      <c r="L554" s="235" t="s">
        <v>518</v>
      </c>
      <c r="M554" s="235">
        <v>2.0</v>
      </c>
      <c r="N554" s="164">
        <v>1.0</v>
      </c>
      <c r="O554" s="235">
        <v>4.0</v>
      </c>
      <c r="P554" s="299">
        <v>46186.64474537037</v>
      </c>
      <c r="Q554" s="213">
        <v>13.0</v>
      </c>
      <c r="R554" s="213">
        <v>6.0</v>
      </c>
      <c r="S554" s="296">
        <v>2026.0</v>
      </c>
      <c r="T554" s="235" t="s">
        <v>352</v>
      </c>
      <c r="U554" s="235">
        <v>59.5</v>
      </c>
      <c r="V554" s="299">
        <v>46186.64361111111</v>
      </c>
      <c r="W554" s="296">
        <v>13.0</v>
      </c>
      <c r="X554" s="296">
        <v>6.0</v>
      </c>
      <c r="Y554" s="296">
        <v>2026.0</v>
      </c>
      <c r="Z554" s="235" t="s">
        <v>352</v>
      </c>
    </row>
    <row r="555">
      <c r="A555" s="293" t="s">
        <v>1511</v>
      </c>
      <c r="B555" s="293" t="s">
        <v>1513</v>
      </c>
      <c r="C555" s="299">
        <v>46190.0</v>
      </c>
      <c r="D555" s="296">
        <v>17.0</v>
      </c>
      <c r="E555" s="296">
        <v>6.0</v>
      </c>
      <c r="F555" s="296">
        <v>2026.0</v>
      </c>
      <c r="G555" s="299">
        <v>46191.0</v>
      </c>
      <c r="H555" s="269">
        <v>18.0</v>
      </c>
      <c r="I555" s="296">
        <v>6.0</v>
      </c>
      <c r="J555" s="269">
        <v>2026.0</v>
      </c>
      <c r="K555" s="235" t="s">
        <v>38</v>
      </c>
      <c r="L555" s="235" t="s">
        <v>518</v>
      </c>
      <c r="M555" s="235">
        <v>1.0</v>
      </c>
      <c r="N555" s="164">
        <v>1.0</v>
      </c>
      <c r="O555" s="235">
        <v>2.0</v>
      </c>
      <c r="P555" s="299">
        <v>46190.86451388889</v>
      </c>
      <c r="Q555" s="213">
        <v>17.0</v>
      </c>
      <c r="R555" s="213">
        <v>6.0</v>
      </c>
      <c r="S555" s="296">
        <v>2026.0</v>
      </c>
      <c r="T555" s="82" t="s">
        <v>319</v>
      </c>
      <c r="U555" s="235">
        <v>29.75</v>
      </c>
      <c r="V555" s="299">
        <v>46190.86451388889</v>
      </c>
      <c r="W555" s="296">
        <v>17.0</v>
      </c>
      <c r="X555" s="296">
        <v>6.0</v>
      </c>
      <c r="Y555" s="296">
        <v>2026.0</v>
      </c>
      <c r="Z555" s="82" t="s">
        <v>319</v>
      </c>
    </row>
    <row r="556">
      <c r="A556" s="293" t="s">
        <v>1515</v>
      </c>
      <c r="B556" s="293" t="s">
        <v>1516</v>
      </c>
      <c r="C556" s="299">
        <v>46203.0</v>
      </c>
      <c r="D556" s="296">
        <v>30.0</v>
      </c>
      <c r="E556" s="296">
        <v>6.0</v>
      </c>
      <c r="F556" s="296">
        <v>2026.0</v>
      </c>
      <c r="G556" s="299">
        <v>46206.0</v>
      </c>
      <c r="H556" s="269">
        <v>3.0</v>
      </c>
      <c r="I556" s="296">
        <v>7.0</v>
      </c>
      <c r="J556" s="269">
        <v>2026.0</v>
      </c>
      <c r="K556" s="235" t="s">
        <v>38</v>
      </c>
      <c r="L556" s="235" t="s">
        <v>518</v>
      </c>
      <c r="M556" s="235">
        <v>2.0</v>
      </c>
      <c r="N556" s="164">
        <v>3.0</v>
      </c>
      <c r="O556" s="235">
        <v>12.0</v>
      </c>
      <c r="P556" s="299">
        <v>46203.61188657407</v>
      </c>
      <c r="Q556" s="213">
        <v>30.0</v>
      </c>
      <c r="R556" s="213">
        <v>6.0</v>
      </c>
      <c r="S556" s="296">
        <v>2026.0</v>
      </c>
      <c r="T556" s="235" t="s">
        <v>352</v>
      </c>
      <c r="U556" s="235">
        <v>178.5</v>
      </c>
      <c r="V556" s="299">
        <v>46203.611342592594</v>
      </c>
      <c r="W556" s="296">
        <v>30.0</v>
      </c>
      <c r="X556" s="296">
        <v>6.0</v>
      </c>
      <c r="Y556" s="296">
        <v>2026.0</v>
      </c>
      <c r="Z556" s="235" t="s">
        <v>352</v>
      </c>
    </row>
    <row r="557">
      <c r="A557" s="293" t="s">
        <v>1518</v>
      </c>
      <c r="B557" s="293" t="s">
        <v>1519</v>
      </c>
      <c r="C557" s="299">
        <v>46182.0</v>
      </c>
      <c r="D557" s="296">
        <v>9.0</v>
      </c>
      <c r="E557" s="296">
        <v>6.0</v>
      </c>
      <c r="F557" s="296">
        <v>2026.0</v>
      </c>
      <c r="G557" s="299">
        <v>46183.0</v>
      </c>
      <c r="H557" s="269">
        <v>10.0</v>
      </c>
      <c r="I557" s="296">
        <v>6.0</v>
      </c>
      <c r="J557" s="269">
        <v>2026.0</v>
      </c>
      <c r="K557" s="235" t="s">
        <v>38</v>
      </c>
      <c r="L557" s="235" t="s">
        <v>518</v>
      </c>
      <c r="M557" s="235">
        <v>1.0</v>
      </c>
      <c r="N557" s="164">
        <v>1.0</v>
      </c>
      <c r="O557" s="235">
        <v>2.0</v>
      </c>
      <c r="P557" s="299">
        <v>46182.76273148148</v>
      </c>
      <c r="Q557" s="213">
        <v>9.0</v>
      </c>
      <c r="R557" s="213">
        <v>6.0</v>
      </c>
      <c r="S557" s="296">
        <v>2026.0</v>
      </c>
      <c r="T557" s="82" t="s">
        <v>319</v>
      </c>
      <c r="U557" s="235">
        <v>29.75</v>
      </c>
      <c r="V557" s="299">
        <v>46182.762407407405</v>
      </c>
      <c r="W557" s="296">
        <v>9.0</v>
      </c>
      <c r="X557" s="296">
        <v>6.0</v>
      </c>
      <c r="Y557" s="296">
        <v>2026.0</v>
      </c>
      <c r="Z557" s="82" t="s">
        <v>319</v>
      </c>
    </row>
    <row r="558">
      <c r="A558" s="293" t="s">
        <v>1520</v>
      </c>
      <c r="B558" s="293" t="s">
        <v>1521</v>
      </c>
      <c r="C558" s="299">
        <v>46197.0</v>
      </c>
      <c r="D558" s="296">
        <v>24.0</v>
      </c>
      <c r="E558" s="296">
        <v>6.0</v>
      </c>
      <c r="F558" s="296">
        <v>2026.0</v>
      </c>
      <c r="G558" s="299">
        <v>46200.0</v>
      </c>
      <c r="H558" s="269">
        <v>27.0</v>
      </c>
      <c r="I558" s="296">
        <v>6.0</v>
      </c>
      <c r="J558" s="269">
        <v>2026.0</v>
      </c>
      <c r="K558" s="235" t="s">
        <v>38</v>
      </c>
      <c r="L558" s="235" t="s">
        <v>518</v>
      </c>
      <c r="M558" s="235">
        <v>1.0</v>
      </c>
      <c r="N558" s="164">
        <v>3.0</v>
      </c>
      <c r="O558" s="235">
        <v>6.0</v>
      </c>
      <c r="P558" s="299">
        <v>46198.38822916667</v>
      </c>
      <c r="Q558" s="213">
        <v>25.0</v>
      </c>
      <c r="R558" s="213">
        <v>6.0</v>
      </c>
      <c r="S558" s="296">
        <v>2026.0</v>
      </c>
      <c r="T558" s="82" t="s">
        <v>319</v>
      </c>
      <c r="U558" s="235">
        <v>89.25</v>
      </c>
      <c r="V558" s="299">
        <v>46198.38822916667</v>
      </c>
      <c r="W558" s="296">
        <v>25.0</v>
      </c>
      <c r="X558" s="296">
        <v>6.0</v>
      </c>
      <c r="Y558" s="296">
        <v>2026.0</v>
      </c>
      <c r="Z558" s="82" t="s">
        <v>319</v>
      </c>
    </row>
    <row r="559">
      <c r="A559" s="293" t="s">
        <v>1523</v>
      </c>
      <c r="B559" s="293" t="s">
        <v>1524</v>
      </c>
      <c r="C559" s="299">
        <v>46189.0</v>
      </c>
      <c r="D559" s="296">
        <v>16.0</v>
      </c>
      <c r="E559" s="296">
        <v>6.0</v>
      </c>
      <c r="F559" s="296">
        <v>2026.0</v>
      </c>
      <c r="G559" s="299">
        <v>46191.0</v>
      </c>
      <c r="H559" s="269">
        <v>18.0</v>
      </c>
      <c r="I559" s="296">
        <v>6.0</v>
      </c>
      <c r="J559" s="269">
        <v>2026.0</v>
      </c>
      <c r="K559" s="235" t="s">
        <v>38</v>
      </c>
      <c r="L559" s="235" t="s">
        <v>518</v>
      </c>
      <c r="M559" s="235">
        <v>1.0</v>
      </c>
      <c r="N559" s="164">
        <v>2.0</v>
      </c>
      <c r="O559" s="235">
        <v>4.0</v>
      </c>
      <c r="P559" s="299">
        <v>46191.304131944446</v>
      </c>
      <c r="Q559" s="213">
        <v>18.0</v>
      </c>
      <c r="R559" s="213">
        <v>6.0</v>
      </c>
      <c r="S559" s="296">
        <v>2026.0</v>
      </c>
      <c r="T559" s="82" t="s">
        <v>319</v>
      </c>
      <c r="U559" s="235">
        <v>76.5</v>
      </c>
      <c r="V559" s="299">
        <v>46191.304131944446</v>
      </c>
      <c r="W559" s="296">
        <v>18.0</v>
      </c>
      <c r="X559" s="296">
        <v>6.0</v>
      </c>
      <c r="Y559" s="296">
        <v>2026.0</v>
      </c>
      <c r="Z559" s="82" t="s">
        <v>319</v>
      </c>
    </row>
    <row r="560">
      <c r="A560" s="293" t="s">
        <v>1526</v>
      </c>
      <c r="B560" s="293" t="s">
        <v>1527</v>
      </c>
      <c r="C560" s="299">
        <v>46179.0</v>
      </c>
      <c r="D560" s="296">
        <v>6.0</v>
      </c>
      <c r="E560" s="296">
        <v>6.0</v>
      </c>
      <c r="F560" s="296">
        <v>2026.0</v>
      </c>
      <c r="G560" s="299">
        <v>46180.0</v>
      </c>
      <c r="H560" s="269">
        <v>7.0</v>
      </c>
      <c r="I560" s="296">
        <v>6.0</v>
      </c>
      <c r="J560" s="269">
        <v>2026.0</v>
      </c>
      <c r="K560" s="235" t="s">
        <v>38</v>
      </c>
      <c r="L560" s="235" t="s">
        <v>518</v>
      </c>
      <c r="M560" s="235">
        <v>1.0</v>
      </c>
      <c r="N560" s="164">
        <v>1.0</v>
      </c>
      <c r="O560" s="235">
        <v>2.0</v>
      </c>
      <c r="P560" s="299">
        <v>46180.00837962963</v>
      </c>
      <c r="Q560" s="213">
        <v>7.0</v>
      </c>
      <c r="R560" s="213">
        <v>6.0</v>
      </c>
      <c r="S560" s="296">
        <v>2026.0</v>
      </c>
      <c r="T560" s="235" t="s">
        <v>352</v>
      </c>
      <c r="U560" s="235">
        <v>38.25</v>
      </c>
      <c r="V560" s="299">
        <v>46180.00813657408</v>
      </c>
      <c r="W560" s="296">
        <v>7.0</v>
      </c>
      <c r="X560" s="296">
        <v>6.0</v>
      </c>
      <c r="Y560" s="296">
        <v>2026.0</v>
      </c>
      <c r="Z560" s="235" t="s">
        <v>352</v>
      </c>
    </row>
    <row r="561">
      <c r="A561" s="293" t="s">
        <v>1528</v>
      </c>
      <c r="B561" s="293" t="s">
        <v>1529</v>
      </c>
      <c r="C561" s="299">
        <v>46177.0</v>
      </c>
      <c r="D561" s="296">
        <v>4.0</v>
      </c>
      <c r="E561" s="296">
        <v>6.0</v>
      </c>
      <c r="F561" s="296">
        <v>2026.0</v>
      </c>
      <c r="G561" s="299">
        <v>46181.0</v>
      </c>
      <c r="H561" s="269">
        <v>8.0</v>
      </c>
      <c r="I561" s="296">
        <v>6.0</v>
      </c>
      <c r="J561" s="269">
        <v>2026.0</v>
      </c>
      <c r="K561" s="235" t="s">
        <v>38</v>
      </c>
      <c r="L561" s="235" t="s">
        <v>518</v>
      </c>
      <c r="M561" s="235">
        <v>1.0</v>
      </c>
      <c r="N561" s="164">
        <v>4.0</v>
      </c>
      <c r="O561" s="235">
        <v>8.0</v>
      </c>
      <c r="P561" s="299">
        <v>46177.80216435185</v>
      </c>
      <c r="Q561" s="213">
        <v>4.0</v>
      </c>
      <c r="R561" s="213">
        <v>6.0</v>
      </c>
      <c r="S561" s="296">
        <v>2026.0</v>
      </c>
      <c r="T561" s="82" t="s">
        <v>319</v>
      </c>
      <c r="U561" s="235">
        <v>119.0</v>
      </c>
      <c r="V561" s="299">
        <v>46177.80194444444</v>
      </c>
      <c r="W561" s="296">
        <v>4.0</v>
      </c>
      <c r="X561" s="296">
        <v>6.0</v>
      </c>
      <c r="Y561" s="296">
        <v>2026.0</v>
      </c>
      <c r="Z561" s="82" t="s">
        <v>319</v>
      </c>
    </row>
    <row r="562">
      <c r="A562" s="293" t="s">
        <v>1530</v>
      </c>
      <c r="B562" s="293" t="s">
        <v>1531</v>
      </c>
      <c r="C562" s="299">
        <v>46186.0</v>
      </c>
      <c r="D562" s="296">
        <v>13.0</v>
      </c>
      <c r="E562" s="296">
        <v>6.0</v>
      </c>
      <c r="F562" s="296">
        <v>2026.0</v>
      </c>
      <c r="G562" s="299">
        <v>46188.0</v>
      </c>
      <c r="H562" s="269">
        <v>15.0</v>
      </c>
      <c r="I562" s="296">
        <v>6.0</v>
      </c>
      <c r="J562" s="269">
        <v>2026.0</v>
      </c>
      <c r="K562" s="235" t="s">
        <v>38</v>
      </c>
      <c r="L562" s="235" t="s">
        <v>518</v>
      </c>
      <c r="M562" s="235">
        <v>1.0</v>
      </c>
      <c r="N562" s="164">
        <v>2.0</v>
      </c>
      <c r="O562" s="235">
        <v>4.0</v>
      </c>
      <c r="P562" s="299">
        <v>46187.63269675926</v>
      </c>
      <c r="Q562" s="213">
        <v>14.0</v>
      </c>
      <c r="R562" s="213">
        <v>6.0</v>
      </c>
      <c r="S562" s="296">
        <v>2026.0</v>
      </c>
      <c r="T562" s="82" t="s">
        <v>319</v>
      </c>
      <c r="U562" s="235">
        <v>59.5</v>
      </c>
      <c r="V562" s="299">
        <v>46187.632256944446</v>
      </c>
      <c r="W562" s="296">
        <v>14.0</v>
      </c>
      <c r="X562" s="296">
        <v>6.0</v>
      </c>
      <c r="Y562" s="296">
        <v>2026.0</v>
      </c>
      <c r="Z562" s="82" t="s">
        <v>319</v>
      </c>
    </row>
    <row r="563">
      <c r="A563" s="293" t="s">
        <v>1532</v>
      </c>
      <c r="B563" s="293" t="s">
        <v>1533</v>
      </c>
      <c r="C563" s="299">
        <v>46186.0</v>
      </c>
      <c r="D563" s="296">
        <v>13.0</v>
      </c>
      <c r="E563" s="296">
        <v>6.0</v>
      </c>
      <c r="F563" s="296">
        <v>2026.0</v>
      </c>
      <c r="G563" s="299">
        <v>46188.0</v>
      </c>
      <c r="H563" s="269">
        <v>15.0</v>
      </c>
      <c r="I563" s="296">
        <v>6.0</v>
      </c>
      <c r="J563" s="269">
        <v>2026.0</v>
      </c>
      <c r="K563" s="235" t="s">
        <v>38</v>
      </c>
      <c r="L563" s="235" t="s">
        <v>518</v>
      </c>
      <c r="M563" s="235">
        <v>1.0</v>
      </c>
      <c r="N563" s="164">
        <v>2.0</v>
      </c>
      <c r="O563" s="235">
        <v>4.0</v>
      </c>
      <c r="P563" s="299">
        <v>46187.84711805556</v>
      </c>
      <c r="Q563" s="213">
        <v>14.0</v>
      </c>
      <c r="R563" s="213">
        <v>6.0</v>
      </c>
      <c r="S563" s="296">
        <v>2026.0</v>
      </c>
      <c r="T563" s="82" t="s">
        <v>319</v>
      </c>
      <c r="U563" s="235">
        <v>76.5</v>
      </c>
      <c r="V563" s="299">
        <v>46187.84652777778</v>
      </c>
      <c r="W563" s="296">
        <v>14.0</v>
      </c>
      <c r="X563" s="296">
        <v>6.0</v>
      </c>
      <c r="Y563" s="296">
        <v>2026.0</v>
      </c>
      <c r="Z563" s="82" t="s">
        <v>319</v>
      </c>
    </row>
    <row r="564">
      <c r="A564" s="293" t="s">
        <v>1534</v>
      </c>
      <c r="B564" s="293" t="s">
        <v>1535</v>
      </c>
      <c r="C564" s="299">
        <v>46194.0</v>
      </c>
      <c r="D564" s="296">
        <v>21.0</v>
      </c>
      <c r="E564" s="296">
        <v>6.0</v>
      </c>
      <c r="F564" s="296">
        <v>2026.0</v>
      </c>
      <c r="G564" s="299">
        <v>46195.0</v>
      </c>
      <c r="H564" s="269">
        <v>22.0</v>
      </c>
      <c r="I564" s="296">
        <v>6.0</v>
      </c>
      <c r="J564" s="269">
        <v>2026.0</v>
      </c>
      <c r="K564" s="235" t="s">
        <v>38</v>
      </c>
      <c r="L564" s="235" t="s">
        <v>518</v>
      </c>
      <c r="M564" s="235">
        <v>1.0</v>
      </c>
      <c r="N564" s="164">
        <v>1.0</v>
      </c>
      <c r="O564" s="235">
        <v>2.0</v>
      </c>
      <c r="P564" s="299">
        <v>46194.83409722222</v>
      </c>
      <c r="Q564" s="213">
        <v>21.0</v>
      </c>
      <c r="R564" s="213">
        <v>6.0</v>
      </c>
      <c r="S564" s="296">
        <v>2026.0</v>
      </c>
      <c r="T564" s="235" t="s">
        <v>10</v>
      </c>
      <c r="U564" s="235">
        <v>29.75</v>
      </c>
      <c r="V564" s="299">
        <v>46194.83358796296</v>
      </c>
      <c r="W564" s="296">
        <v>21.0</v>
      </c>
      <c r="X564" s="296">
        <v>6.0</v>
      </c>
      <c r="Y564" s="296">
        <v>2026.0</v>
      </c>
      <c r="Z564" s="235" t="s">
        <v>10</v>
      </c>
    </row>
    <row r="565">
      <c r="A565" s="293" t="s">
        <v>1537</v>
      </c>
      <c r="B565" s="293" t="s">
        <v>1538</v>
      </c>
      <c r="C565" s="299">
        <v>46176.0</v>
      </c>
      <c r="D565" s="296">
        <v>3.0</v>
      </c>
      <c r="E565" s="296">
        <v>6.0</v>
      </c>
      <c r="F565" s="296">
        <v>2026.0</v>
      </c>
      <c r="G565" s="299">
        <v>46177.0</v>
      </c>
      <c r="H565" s="269">
        <v>4.0</v>
      </c>
      <c r="I565" s="296">
        <v>6.0</v>
      </c>
      <c r="J565" s="269">
        <v>2026.0</v>
      </c>
      <c r="K565" s="235" t="s">
        <v>38</v>
      </c>
      <c r="L565" s="235" t="s">
        <v>518</v>
      </c>
      <c r="M565" s="235">
        <v>1.0</v>
      </c>
      <c r="N565" s="164">
        <v>1.0</v>
      </c>
      <c r="O565" s="235">
        <v>2.0</v>
      </c>
      <c r="P565" s="299">
        <v>46177.431655092594</v>
      </c>
      <c r="Q565" s="213">
        <v>4.0</v>
      </c>
      <c r="R565" s="213">
        <v>6.0</v>
      </c>
      <c r="S565" s="296">
        <v>2026.0</v>
      </c>
      <c r="T565" s="82" t="s">
        <v>319</v>
      </c>
      <c r="U565" s="235">
        <v>38.25</v>
      </c>
      <c r="V565" s="299">
        <v>46177.43142361111</v>
      </c>
      <c r="W565" s="296">
        <v>4.0</v>
      </c>
      <c r="X565" s="296">
        <v>6.0</v>
      </c>
      <c r="Y565" s="296">
        <v>2026.0</v>
      </c>
      <c r="Z565" s="82" t="s">
        <v>319</v>
      </c>
    </row>
    <row r="566">
      <c r="A566" s="293" t="s">
        <v>1539</v>
      </c>
      <c r="B566" s="293" t="s">
        <v>1540</v>
      </c>
      <c r="C566" s="299">
        <v>46196.0</v>
      </c>
      <c r="D566" s="296">
        <v>23.0</v>
      </c>
      <c r="E566" s="296">
        <v>6.0</v>
      </c>
      <c r="F566" s="296">
        <v>2026.0</v>
      </c>
      <c r="G566" s="299">
        <v>46198.0</v>
      </c>
      <c r="H566" s="269">
        <v>25.0</v>
      </c>
      <c r="I566" s="296">
        <v>6.0</v>
      </c>
      <c r="J566" s="269">
        <v>2026.0</v>
      </c>
      <c r="K566" s="235" t="s">
        <v>38</v>
      </c>
      <c r="L566" s="235" t="s">
        <v>518</v>
      </c>
      <c r="M566" s="235">
        <v>1.0</v>
      </c>
      <c r="N566" s="164">
        <v>2.0</v>
      </c>
      <c r="O566" s="235">
        <v>4.0</v>
      </c>
      <c r="P566" s="299">
        <v>46196.85792824074</v>
      </c>
      <c r="Q566" s="213">
        <v>23.0</v>
      </c>
      <c r="R566" s="213">
        <v>6.0</v>
      </c>
      <c r="S566" s="296">
        <v>2026.0</v>
      </c>
      <c r="T566" s="235" t="s">
        <v>10</v>
      </c>
      <c r="U566" s="235">
        <v>59.5</v>
      </c>
      <c r="V566" s="299">
        <v>46196.85766203704</v>
      </c>
      <c r="W566" s="296">
        <v>23.0</v>
      </c>
      <c r="X566" s="296">
        <v>6.0</v>
      </c>
      <c r="Y566" s="296">
        <v>2026.0</v>
      </c>
      <c r="Z566" s="235" t="s">
        <v>10</v>
      </c>
    </row>
    <row r="567">
      <c r="A567" s="293" t="s">
        <v>1541</v>
      </c>
      <c r="B567" s="293" t="s">
        <v>1542</v>
      </c>
      <c r="C567" s="299">
        <v>46195.0</v>
      </c>
      <c r="D567" s="296">
        <v>22.0</v>
      </c>
      <c r="E567" s="296">
        <v>6.0</v>
      </c>
      <c r="F567" s="296">
        <v>2026.0</v>
      </c>
      <c r="G567" s="299">
        <v>46196.0</v>
      </c>
      <c r="H567" s="269">
        <v>23.0</v>
      </c>
      <c r="I567" s="296">
        <v>6.0</v>
      </c>
      <c r="J567" s="269">
        <v>2026.0</v>
      </c>
      <c r="K567" s="235" t="s">
        <v>38</v>
      </c>
      <c r="L567" s="235" t="s">
        <v>518</v>
      </c>
      <c r="M567" s="235">
        <v>2.0</v>
      </c>
      <c r="N567" s="164">
        <v>1.0</v>
      </c>
      <c r="O567" s="235">
        <v>4.0</v>
      </c>
      <c r="P567" s="299">
        <v>46195.84247685185</v>
      </c>
      <c r="Q567" s="213">
        <v>22.0</v>
      </c>
      <c r="R567" s="213">
        <v>6.0</v>
      </c>
      <c r="S567" s="296">
        <v>2026.0</v>
      </c>
      <c r="T567" s="235" t="s">
        <v>352</v>
      </c>
      <c r="U567" s="235">
        <v>76.5</v>
      </c>
      <c r="V567" s="299">
        <v>46195.84193287037</v>
      </c>
      <c r="W567" s="296">
        <v>22.0</v>
      </c>
      <c r="X567" s="296">
        <v>6.0</v>
      </c>
      <c r="Y567" s="296">
        <v>2026.0</v>
      </c>
      <c r="Z567" s="235" t="s">
        <v>352</v>
      </c>
    </row>
    <row r="568">
      <c r="A568" s="293" t="s">
        <v>1543</v>
      </c>
      <c r="B568" s="293" t="s">
        <v>1544</v>
      </c>
      <c r="C568" s="299">
        <v>46175.0</v>
      </c>
      <c r="D568" s="296">
        <v>2.0</v>
      </c>
      <c r="E568" s="296">
        <v>6.0</v>
      </c>
      <c r="F568" s="296">
        <v>2026.0</v>
      </c>
      <c r="G568" s="299">
        <v>46176.0</v>
      </c>
      <c r="H568" s="269">
        <v>3.0</v>
      </c>
      <c r="I568" s="296">
        <v>6.0</v>
      </c>
      <c r="J568" s="269">
        <v>2026.0</v>
      </c>
      <c r="K568" s="235" t="s">
        <v>38</v>
      </c>
      <c r="L568" s="235" t="s">
        <v>518</v>
      </c>
      <c r="M568" s="235">
        <v>1.0</v>
      </c>
      <c r="N568" s="164">
        <v>1.0</v>
      </c>
      <c r="O568" s="235">
        <v>2.0</v>
      </c>
      <c r="P568" s="299">
        <v>46176.03635416667</v>
      </c>
      <c r="Q568" s="213">
        <v>3.0</v>
      </c>
      <c r="R568" s="213">
        <v>6.0</v>
      </c>
      <c r="S568" s="296">
        <v>2026.0</v>
      </c>
      <c r="T568" s="82" t="s">
        <v>319</v>
      </c>
      <c r="U568" s="235">
        <v>27.2</v>
      </c>
      <c r="V568" s="299">
        <v>46176.03600694444</v>
      </c>
      <c r="W568" s="296">
        <v>3.0</v>
      </c>
      <c r="X568" s="296">
        <v>6.0</v>
      </c>
      <c r="Y568" s="296">
        <v>2026.0</v>
      </c>
      <c r="Z568" s="82" t="s">
        <v>319</v>
      </c>
    </row>
    <row r="569">
      <c r="A569" s="293" t="s">
        <v>1545</v>
      </c>
      <c r="B569" s="293" t="s">
        <v>1546</v>
      </c>
      <c r="C569" s="299">
        <v>46197.0</v>
      </c>
      <c r="D569" s="296">
        <v>24.0</v>
      </c>
      <c r="E569" s="296">
        <v>6.0</v>
      </c>
      <c r="F569" s="296">
        <v>2026.0</v>
      </c>
      <c r="G569" s="299">
        <v>46200.0</v>
      </c>
      <c r="H569" s="269">
        <v>27.0</v>
      </c>
      <c r="I569" s="296">
        <v>6.0</v>
      </c>
      <c r="J569" s="269">
        <v>2026.0</v>
      </c>
      <c r="K569" s="235" t="s">
        <v>38</v>
      </c>
      <c r="L569" s="235" t="s">
        <v>518</v>
      </c>
      <c r="M569" s="235">
        <v>2.0</v>
      </c>
      <c r="N569" s="164">
        <v>3.0</v>
      </c>
      <c r="O569" s="235">
        <v>12.0</v>
      </c>
      <c r="P569" s="299">
        <v>46197.69304398148</v>
      </c>
      <c r="Q569" s="213">
        <v>24.0</v>
      </c>
      <c r="R569" s="213">
        <v>6.0</v>
      </c>
      <c r="S569" s="296">
        <v>2026.0</v>
      </c>
      <c r="T569" s="82" t="s">
        <v>319</v>
      </c>
      <c r="U569" s="235">
        <v>229.5</v>
      </c>
      <c r="V569" s="299">
        <v>46197.69304398148</v>
      </c>
      <c r="W569" s="296">
        <v>24.0</v>
      </c>
      <c r="X569" s="296">
        <v>6.0</v>
      </c>
      <c r="Y569" s="296">
        <v>2026.0</v>
      </c>
      <c r="Z569" s="82" t="s">
        <v>319</v>
      </c>
    </row>
    <row r="570">
      <c r="A570" s="293" t="s">
        <v>1548</v>
      </c>
      <c r="B570" s="293" t="s">
        <v>1549</v>
      </c>
      <c r="C570" s="299">
        <v>46185.0</v>
      </c>
      <c r="D570" s="296">
        <v>12.0</v>
      </c>
      <c r="E570" s="296">
        <v>6.0</v>
      </c>
      <c r="F570" s="296">
        <v>2026.0</v>
      </c>
      <c r="G570" s="299">
        <v>46186.0</v>
      </c>
      <c r="H570" s="269">
        <v>13.0</v>
      </c>
      <c r="I570" s="296">
        <v>6.0</v>
      </c>
      <c r="J570" s="269">
        <v>2026.0</v>
      </c>
      <c r="K570" s="235" t="s">
        <v>38</v>
      </c>
      <c r="L570" s="235" t="s">
        <v>518</v>
      </c>
      <c r="M570" s="235">
        <v>1.0</v>
      </c>
      <c r="N570" s="164">
        <v>1.0</v>
      </c>
      <c r="O570" s="235">
        <v>2.0</v>
      </c>
      <c r="P570" s="299">
        <v>46185.8553125</v>
      </c>
      <c r="Q570" s="213">
        <v>12.0</v>
      </c>
      <c r="R570" s="213">
        <v>6.0</v>
      </c>
      <c r="S570" s="296">
        <v>2026.0</v>
      </c>
      <c r="T570" s="235" t="s">
        <v>352</v>
      </c>
      <c r="U570" s="235">
        <v>55.25</v>
      </c>
      <c r="V570" s="299">
        <v>46185.85480324074</v>
      </c>
      <c r="W570" s="296">
        <v>12.0</v>
      </c>
      <c r="X570" s="296">
        <v>6.0</v>
      </c>
      <c r="Y570" s="296">
        <v>2026.0</v>
      </c>
      <c r="Z570" s="235" t="s">
        <v>352</v>
      </c>
    </row>
    <row r="571">
      <c r="A571" s="293" t="s">
        <v>1550</v>
      </c>
      <c r="B571" s="293" t="s">
        <v>1551</v>
      </c>
      <c r="C571" s="299">
        <v>46174.0</v>
      </c>
      <c r="D571" s="296">
        <v>1.0</v>
      </c>
      <c r="E571" s="296">
        <v>6.0</v>
      </c>
      <c r="F571" s="296">
        <v>2026.0</v>
      </c>
      <c r="G571" s="299">
        <v>46175.0</v>
      </c>
      <c r="H571" s="269">
        <v>2.0</v>
      </c>
      <c r="I571" s="296">
        <v>6.0</v>
      </c>
      <c r="J571" s="269">
        <v>2026.0</v>
      </c>
      <c r="K571" s="235" t="s">
        <v>38</v>
      </c>
      <c r="L571" s="235" t="s">
        <v>518</v>
      </c>
      <c r="M571" s="235">
        <v>1.0</v>
      </c>
      <c r="N571" s="164">
        <v>1.0</v>
      </c>
      <c r="O571" s="235">
        <v>2.0</v>
      </c>
      <c r="P571" s="299">
        <v>46175.05269675926</v>
      </c>
      <c r="Q571" s="213">
        <v>2.0</v>
      </c>
      <c r="R571" s="213">
        <v>6.0</v>
      </c>
      <c r="S571" s="296">
        <v>2026.0</v>
      </c>
      <c r="T571" s="82" t="s">
        <v>319</v>
      </c>
      <c r="U571" s="235">
        <v>29.75</v>
      </c>
      <c r="V571" s="299">
        <v>46175.052569444444</v>
      </c>
      <c r="W571" s="296">
        <v>2.0</v>
      </c>
      <c r="X571" s="296">
        <v>6.0</v>
      </c>
      <c r="Y571" s="296">
        <v>2026.0</v>
      </c>
      <c r="Z571" s="235" t="s">
        <v>352</v>
      </c>
    </row>
    <row r="572">
      <c r="A572" s="293" t="s">
        <v>1552</v>
      </c>
      <c r="B572" s="293" t="s">
        <v>1553</v>
      </c>
      <c r="C572" s="299">
        <v>46187.0</v>
      </c>
      <c r="D572" s="296">
        <v>14.0</v>
      </c>
      <c r="E572" s="296">
        <v>6.0</v>
      </c>
      <c r="F572" s="296">
        <v>2026.0</v>
      </c>
      <c r="G572" s="299">
        <v>46188.0</v>
      </c>
      <c r="H572" s="269">
        <v>15.0</v>
      </c>
      <c r="I572" s="296">
        <v>6.0</v>
      </c>
      <c r="J572" s="269">
        <v>2026.0</v>
      </c>
      <c r="K572" s="235" t="s">
        <v>38</v>
      </c>
      <c r="L572" s="235" t="s">
        <v>518</v>
      </c>
      <c r="M572" s="235">
        <v>1.0</v>
      </c>
      <c r="N572" s="164">
        <v>1.0</v>
      </c>
      <c r="O572" s="235">
        <v>2.0</v>
      </c>
      <c r="P572" s="299">
        <v>46187.58488425926</v>
      </c>
      <c r="Q572" s="213">
        <v>14.0</v>
      </c>
      <c r="R572" s="213">
        <v>6.0</v>
      </c>
      <c r="S572" s="296">
        <v>2026.0</v>
      </c>
      <c r="T572" s="82" t="s">
        <v>319</v>
      </c>
      <c r="U572" s="235">
        <v>29.75</v>
      </c>
      <c r="V572" s="299">
        <v>46187.58451388889</v>
      </c>
      <c r="W572" s="296">
        <v>14.0</v>
      </c>
      <c r="X572" s="296">
        <v>6.0</v>
      </c>
      <c r="Y572" s="296">
        <v>2026.0</v>
      </c>
      <c r="Z572" s="82" t="s">
        <v>319</v>
      </c>
    </row>
    <row r="573">
      <c r="A573" s="293" t="s">
        <v>1554</v>
      </c>
      <c r="B573" s="293" t="s">
        <v>1555</v>
      </c>
      <c r="C573" s="299">
        <v>46196.0</v>
      </c>
      <c r="D573" s="296">
        <v>23.0</v>
      </c>
      <c r="E573" s="296">
        <v>6.0</v>
      </c>
      <c r="F573" s="296">
        <v>2026.0</v>
      </c>
      <c r="G573" s="299">
        <v>46199.0</v>
      </c>
      <c r="H573" s="269">
        <v>26.0</v>
      </c>
      <c r="I573" s="296">
        <v>6.0</v>
      </c>
      <c r="J573" s="269">
        <v>2026.0</v>
      </c>
      <c r="K573" s="235" t="s">
        <v>38</v>
      </c>
      <c r="L573" s="235" t="s">
        <v>518</v>
      </c>
      <c r="M573" s="235">
        <v>1.0</v>
      </c>
      <c r="N573" s="164">
        <v>3.0</v>
      </c>
      <c r="O573" s="235">
        <v>6.0</v>
      </c>
      <c r="P573" s="299">
        <v>46198.72834490741</v>
      </c>
      <c r="Q573" s="213">
        <v>25.0</v>
      </c>
      <c r="R573" s="213">
        <v>6.0</v>
      </c>
      <c r="S573" s="296">
        <v>2026.0</v>
      </c>
      <c r="T573" s="82" t="s">
        <v>319</v>
      </c>
      <c r="U573" s="235">
        <v>89.25</v>
      </c>
      <c r="V573" s="299">
        <v>46198.70804398148</v>
      </c>
      <c r="W573" s="296">
        <v>25.0</v>
      </c>
      <c r="X573" s="296">
        <v>6.0</v>
      </c>
      <c r="Y573" s="296">
        <v>2026.0</v>
      </c>
      <c r="Z573" s="82" t="s">
        <v>319</v>
      </c>
    </row>
    <row r="574">
      <c r="A574" s="293" t="s">
        <v>1556</v>
      </c>
      <c r="B574" s="293" t="s">
        <v>1557</v>
      </c>
      <c r="C574" s="299">
        <v>46178.0</v>
      </c>
      <c r="D574" s="296">
        <v>5.0</v>
      </c>
      <c r="E574" s="296">
        <v>6.0</v>
      </c>
      <c r="F574" s="296">
        <v>2026.0</v>
      </c>
      <c r="G574" s="299">
        <v>46181.0</v>
      </c>
      <c r="H574" s="269">
        <v>8.0</v>
      </c>
      <c r="I574" s="296">
        <v>6.0</v>
      </c>
      <c r="J574" s="269">
        <v>2026.0</v>
      </c>
      <c r="K574" s="235" t="s">
        <v>38</v>
      </c>
      <c r="L574" s="235" t="s">
        <v>518</v>
      </c>
      <c r="M574" s="235">
        <v>1.0</v>
      </c>
      <c r="N574" s="164">
        <v>3.0</v>
      </c>
      <c r="O574" s="235">
        <v>6.0</v>
      </c>
      <c r="P574" s="299">
        <v>46178.6606712963</v>
      </c>
      <c r="Q574" s="213">
        <v>5.0</v>
      </c>
      <c r="R574" s="213">
        <v>6.0</v>
      </c>
      <c r="S574" s="296">
        <v>2026.0</v>
      </c>
      <c r="T574" s="235" t="s">
        <v>352</v>
      </c>
      <c r="U574" s="235">
        <v>114.75</v>
      </c>
      <c r="V574" s="299">
        <v>46178.65729166667</v>
      </c>
      <c r="W574" s="296">
        <v>5.0</v>
      </c>
      <c r="X574" s="296">
        <v>6.0</v>
      </c>
      <c r="Y574" s="296">
        <v>2026.0</v>
      </c>
      <c r="Z574" s="235" t="s">
        <v>352</v>
      </c>
    </row>
    <row r="575">
      <c r="A575" s="293" t="s">
        <v>1559</v>
      </c>
      <c r="B575" s="293" t="s">
        <v>1560</v>
      </c>
      <c r="C575" s="299">
        <v>46186.0</v>
      </c>
      <c r="D575" s="296">
        <v>13.0</v>
      </c>
      <c r="E575" s="296">
        <v>6.0</v>
      </c>
      <c r="F575" s="296">
        <v>2026.0</v>
      </c>
      <c r="G575" s="299">
        <v>46187.0</v>
      </c>
      <c r="H575" s="269">
        <v>14.0</v>
      </c>
      <c r="I575" s="296">
        <v>6.0</v>
      </c>
      <c r="J575" s="269">
        <v>2026.0</v>
      </c>
      <c r="K575" s="235" t="s">
        <v>38</v>
      </c>
      <c r="L575" s="235" t="s">
        <v>518</v>
      </c>
      <c r="M575" s="235">
        <v>1.0</v>
      </c>
      <c r="N575" s="164">
        <v>1.0</v>
      </c>
      <c r="O575" s="235">
        <v>2.0</v>
      </c>
      <c r="P575" s="299">
        <v>46186.757835648146</v>
      </c>
      <c r="Q575" s="213">
        <v>13.0</v>
      </c>
      <c r="R575" s="213">
        <v>6.0</v>
      </c>
      <c r="S575" s="296">
        <v>2026.0</v>
      </c>
      <c r="T575" s="82" t="s">
        <v>319</v>
      </c>
      <c r="U575" s="235">
        <v>29.75</v>
      </c>
      <c r="V575" s="299">
        <v>46186.75740740741</v>
      </c>
      <c r="W575" s="296">
        <v>13.0</v>
      </c>
      <c r="X575" s="296">
        <v>6.0</v>
      </c>
      <c r="Y575" s="296">
        <v>2026.0</v>
      </c>
      <c r="Z575" s="82" t="s">
        <v>319</v>
      </c>
    </row>
    <row r="576">
      <c r="A576" s="293" t="s">
        <v>1561</v>
      </c>
      <c r="B576" s="293" t="s">
        <v>1562</v>
      </c>
      <c r="C576" s="299">
        <v>46189.0</v>
      </c>
      <c r="D576" s="296">
        <v>16.0</v>
      </c>
      <c r="E576" s="296">
        <v>6.0</v>
      </c>
      <c r="F576" s="296">
        <v>2026.0</v>
      </c>
      <c r="G576" s="299">
        <v>46190.0</v>
      </c>
      <c r="H576" s="269">
        <v>17.0</v>
      </c>
      <c r="I576" s="296">
        <v>6.0</v>
      </c>
      <c r="J576" s="269">
        <v>2026.0</v>
      </c>
      <c r="K576" s="235" t="s">
        <v>38</v>
      </c>
      <c r="L576" s="235" t="s">
        <v>518</v>
      </c>
      <c r="M576" s="235">
        <v>1.0</v>
      </c>
      <c r="N576" s="164">
        <v>1.0</v>
      </c>
      <c r="O576" s="235">
        <v>2.0</v>
      </c>
      <c r="P576" s="299">
        <v>46189.63644675926</v>
      </c>
      <c r="Q576" s="213">
        <v>16.0</v>
      </c>
      <c r="R576" s="213">
        <v>6.0</v>
      </c>
      <c r="S576" s="296">
        <v>2026.0</v>
      </c>
      <c r="T576" s="235" t="s">
        <v>352</v>
      </c>
      <c r="U576" s="235">
        <v>38.25</v>
      </c>
      <c r="V576" s="299">
        <v>46189.625081018516</v>
      </c>
      <c r="W576" s="296">
        <v>16.0</v>
      </c>
      <c r="X576" s="296">
        <v>6.0</v>
      </c>
      <c r="Y576" s="296">
        <v>2026.0</v>
      </c>
      <c r="Z576" s="235" t="s">
        <v>352</v>
      </c>
    </row>
    <row r="577">
      <c r="A577" s="293" t="s">
        <v>1564</v>
      </c>
      <c r="B577" s="293" t="s">
        <v>1565</v>
      </c>
      <c r="C577" s="299">
        <v>46178.0</v>
      </c>
      <c r="D577" s="296">
        <v>5.0</v>
      </c>
      <c r="E577" s="296">
        <v>6.0</v>
      </c>
      <c r="F577" s="296">
        <v>2026.0</v>
      </c>
      <c r="G577" s="299">
        <v>46181.0</v>
      </c>
      <c r="H577" s="269">
        <v>8.0</v>
      </c>
      <c r="I577" s="296">
        <v>6.0</v>
      </c>
      <c r="J577" s="269">
        <v>2026.0</v>
      </c>
      <c r="K577" s="235" t="s">
        <v>38</v>
      </c>
      <c r="L577" s="235" t="s">
        <v>518</v>
      </c>
      <c r="M577" s="235">
        <v>1.0</v>
      </c>
      <c r="N577" s="164">
        <v>3.0</v>
      </c>
      <c r="O577" s="235">
        <v>6.0</v>
      </c>
      <c r="P577" s="299">
        <v>46178.7459375</v>
      </c>
      <c r="Q577" s="213">
        <v>5.0</v>
      </c>
      <c r="R577" s="213">
        <v>6.0</v>
      </c>
      <c r="S577" s="296">
        <v>2026.0</v>
      </c>
      <c r="T577" s="235" t="s">
        <v>352</v>
      </c>
      <c r="U577" s="235">
        <v>89.25</v>
      </c>
      <c r="V577" s="299">
        <v>46178.74553240741</v>
      </c>
      <c r="W577" s="296">
        <v>5.0</v>
      </c>
      <c r="X577" s="296">
        <v>6.0</v>
      </c>
      <c r="Y577" s="296">
        <v>2026.0</v>
      </c>
      <c r="Z577" s="235" t="s">
        <v>352</v>
      </c>
    </row>
    <row r="578">
      <c r="A578" s="293" t="s">
        <v>1566</v>
      </c>
      <c r="B578" s="293" t="s">
        <v>1567</v>
      </c>
      <c r="C578" s="299">
        <v>46181.0</v>
      </c>
      <c r="D578" s="296">
        <v>8.0</v>
      </c>
      <c r="E578" s="296">
        <v>6.0</v>
      </c>
      <c r="F578" s="296">
        <v>2026.0</v>
      </c>
      <c r="G578" s="299">
        <v>46183.0</v>
      </c>
      <c r="H578" s="269">
        <v>10.0</v>
      </c>
      <c r="I578" s="296">
        <v>6.0</v>
      </c>
      <c r="J578" s="269">
        <v>2026.0</v>
      </c>
      <c r="K578" s="235" t="s">
        <v>38</v>
      </c>
      <c r="L578" s="235" t="s">
        <v>518</v>
      </c>
      <c r="M578" s="235">
        <v>1.0</v>
      </c>
      <c r="N578" s="164">
        <v>2.0</v>
      </c>
      <c r="O578" s="235">
        <v>4.0</v>
      </c>
      <c r="P578" s="299">
        <v>46181.70846064815</v>
      </c>
      <c r="Q578" s="213">
        <v>8.0</v>
      </c>
      <c r="R578" s="213">
        <v>6.0</v>
      </c>
      <c r="S578" s="296">
        <v>2026.0</v>
      </c>
      <c r="T578" s="82" t="s">
        <v>319</v>
      </c>
      <c r="U578" s="235">
        <v>73.95</v>
      </c>
      <c r="V578" s="299">
        <v>46181.70846064815</v>
      </c>
      <c r="W578" s="296">
        <v>8.0</v>
      </c>
      <c r="X578" s="296">
        <v>6.0</v>
      </c>
      <c r="Y578" s="296">
        <v>2026.0</v>
      </c>
      <c r="Z578" s="82" t="s">
        <v>319</v>
      </c>
    </row>
    <row r="579">
      <c r="A579" s="293" t="s">
        <v>1568</v>
      </c>
      <c r="B579" s="293" t="s">
        <v>1569</v>
      </c>
      <c r="C579" s="299">
        <v>46198.0</v>
      </c>
      <c r="D579" s="296">
        <v>25.0</v>
      </c>
      <c r="E579" s="296">
        <v>6.0</v>
      </c>
      <c r="F579" s="296">
        <v>2026.0</v>
      </c>
      <c r="G579" s="299">
        <v>46199.0</v>
      </c>
      <c r="H579" s="269">
        <v>26.0</v>
      </c>
      <c r="I579" s="296">
        <v>6.0</v>
      </c>
      <c r="J579" s="269">
        <v>2026.0</v>
      </c>
      <c r="K579" s="235" t="s">
        <v>38</v>
      </c>
      <c r="L579" s="235" t="s">
        <v>518</v>
      </c>
      <c r="M579" s="235">
        <v>1.0</v>
      </c>
      <c r="N579" s="164">
        <v>1.0</v>
      </c>
      <c r="O579" s="235">
        <v>2.0</v>
      </c>
      <c r="P579" s="299">
        <v>46198.56165509259</v>
      </c>
      <c r="Q579" s="213">
        <v>25.0</v>
      </c>
      <c r="R579" s="213">
        <v>6.0</v>
      </c>
      <c r="S579" s="296">
        <v>2026.0</v>
      </c>
      <c r="T579" s="235" t="s">
        <v>352</v>
      </c>
      <c r="U579" s="235">
        <v>29.75</v>
      </c>
      <c r="V579" s="299">
        <v>46198.56118055555</v>
      </c>
      <c r="W579" s="296">
        <v>25.0</v>
      </c>
      <c r="X579" s="296">
        <v>6.0</v>
      </c>
      <c r="Y579" s="296">
        <v>2026.0</v>
      </c>
      <c r="Z579" s="235" t="s">
        <v>352</v>
      </c>
    </row>
    <row r="580">
      <c r="A580" s="293" t="s">
        <v>1570</v>
      </c>
      <c r="B580" s="293" t="s">
        <v>1571</v>
      </c>
      <c r="C580" s="299">
        <v>46199.0</v>
      </c>
      <c r="D580" s="296">
        <v>26.0</v>
      </c>
      <c r="E580" s="296">
        <v>6.0</v>
      </c>
      <c r="F580" s="296">
        <v>2026.0</v>
      </c>
      <c r="G580" s="299">
        <v>46201.0</v>
      </c>
      <c r="H580" s="269">
        <v>28.0</v>
      </c>
      <c r="I580" s="296">
        <v>6.0</v>
      </c>
      <c r="J580" s="269">
        <v>2026.0</v>
      </c>
      <c r="K580" s="235" t="s">
        <v>38</v>
      </c>
      <c r="L580" s="235" t="s">
        <v>518</v>
      </c>
      <c r="M580" s="235">
        <v>2.0</v>
      </c>
      <c r="N580" s="164">
        <v>2.0</v>
      </c>
      <c r="O580" s="235">
        <v>8.0</v>
      </c>
      <c r="P580" s="299">
        <v>46200.02270833333</v>
      </c>
      <c r="Q580" s="213">
        <v>27.0</v>
      </c>
      <c r="R580" s="213">
        <v>6.0</v>
      </c>
      <c r="S580" s="296">
        <v>2026.0</v>
      </c>
      <c r="T580" s="235" t="s">
        <v>352</v>
      </c>
      <c r="U580" s="235">
        <v>119.0</v>
      </c>
      <c r="V580" s="299">
        <v>46200.02270833333</v>
      </c>
      <c r="W580" s="296">
        <v>27.0</v>
      </c>
      <c r="X580" s="296">
        <v>6.0</v>
      </c>
      <c r="Y580" s="296">
        <v>2026.0</v>
      </c>
      <c r="Z580" s="235" t="s">
        <v>352</v>
      </c>
    </row>
    <row r="581">
      <c r="A581" s="293" t="s">
        <v>1572</v>
      </c>
      <c r="B581" s="293" t="s">
        <v>1573</v>
      </c>
      <c r="C581" s="299">
        <v>46200.0</v>
      </c>
      <c r="D581" s="296">
        <v>27.0</v>
      </c>
      <c r="E581" s="296">
        <v>6.0</v>
      </c>
      <c r="F581" s="296">
        <v>2026.0</v>
      </c>
      <c r="G581" s="299">
        <v>46202.0</v>
      </c>
      <c r="H581" s="269">
        <v>29.0</v>
      </c>
      <c r="I581" s="296">
        <v>6.0</v>
      </c>
      <c r="J581" s="269">
        <v>2026.0</v>
      </c>
      <c r="K581" s="235" t="s">
        <v>38</v>
      </c>
      <c r="L581" s="235" t="s">
        <v>518</v>
      </c>
      <c r="M581" s="235">
        <v>1.0</v>
      </c>
      <c r="N581" s="164">
        <v>2.0</v>
      </c>
      <c r="O581" s="235">
        <v>4.0</v>
      </c>
      <c r="P581" s="299">
        <v>46200.934895833336</v>
      </c>
      <c r="Q581" s="213">
        <v>27.0</v>
      </c>
      <c r="R581" s="213">
        <v>6.0</v>
      </c>
      <c r="S581" s="296">
        <v>2026.0</v>
      </c>
      <c r="T581" s="82" t="s">
        <v>319</v>
      </c>
      <c r="U581" s="235">
        <v>59.5</v>
      </c>
      <c r="V581" s="299">
        <v>46200.934895833336</v>
      </c>
      <c r="W581" s="296">
        <v>27.0</v>
      </c>
      <c r="X581" s="296">
        <v>6.0</v>
      </c>
      <c r="Y581" s="296">
        <v>2026.0</v>
      </c>
      <c r="Z581" s="82" t="s">
        <v>319</v>
      </c>
    </row>
    <row r="582">
      <c r="A582" s="293" t="s">
        <v>1574</v>
      </c>
      <c r="B582" s="293" t="s">
        <v>1575</v>
      </c>
      <c r="C582" s="299">
        <v>46195.0</v>
      </c>
      <c r="D582" s="296">
        <v>22.0</v>
      </c>
      <c r="E582" s="296">
        <v>6.0</v>
      </c>
      <c r="F582" s="296">
        <v>2026.0</v>
      </c>
      <c r="G582" s="299">
        <v>46196.0</v>
      </c>
      <c r="H582" s="269">
        <v>23.0</v>
      </c>
      <c r="I582" s="296">
        <v>6.0</v>
      </c>
      <c r="J582" s="269">
        <v>2026.0</v>
      </c>
      <c r="K582" s="235" t="s">
        <v>38</v>
      </c>
      <c r="L582" s="235" t="s">
        <v>518</v>
      </c>
      <c r="M582" s="235">
        <v>1.0</v>
      </c>
      <c r="N582" s="164">
        <v>1.0</v>
      </c>
      <c r="O582" s="235">
        <v>2.0</v>
      </c>
      <c r="P582" s="299">
        <v>46196.240625</v>
      </c>
      <c r="Q582" s="213">
        <v>23.0</v>
      </c>
      <c r="R582" s="213">
        <v>6.0</v>
      </c>
      <c r="S582" s="296">
        <v>2026.0</v>
      </c>
      <c r="T582" s="82" t="s">
        <v>319</v>
      </c>
      <c r="U582" s="235">
        <v>46.75</v>
      </c>
      <c r="V582" s="299">
        <v>46196.240625</v>
      </c>
      <c r="W582" s="296">
        <v>23.0</v>
      </c>
      <c r="X582" s="296">
        <v>6.0</v>
      </c>
      <c r="Y582" s="296">
        <v>2026.0</v>
      </c>
      <c r="Z582" s="82" t="s">
        <v>319</v>
      </c>
    </row>
    <row r="583">
      <c r="A583" s="293" t="s">
        <v>1576</v>
      </c>
      <c r="B583" s="293" t="s">
        <v>1577</v>
      </c>
      <c r="C583" s="299">
        <v>46179.0</v>
      </c>
      <c r="D583" s="296">
        <v>6.0</v>
      </c>
      <c r="E583" s="296">
        <v>6.0</v>
      </c>
      <c r="F583" s="296">
        <v>2026.0</v>
      </c>
      <c r="G583" s="299">
        <v>46182.0</v>
      </c>
      <c r="H583" s="269">
        <v>9.0</v>
      </c>
      <c r="I583" s="296">
        <v>6.0</v>
      </c>
      <c r="J583" s="269">
        <v>2026.0</v>
      </c>
      <c r="K583" s="235" t="s">
        <v>38</v>
      </c>
      <c r="L583" s="235" t="s">
        <v>518</v>
      </c>
      <c r="M583" s="235">
        <v>1.0</v>
      </c>
      <c r="N583" s="164">
        <v>3.0</v>
      </c>
      <c r="O583" s="235">
        <v>6.0</v>
      </c>
      <c r="P583" s="299">
        <v>46179.69342592593</v>
      </c>
      <c r="Q583" s="213">
        <v>6.0</v>
      </c>
      <c r="R583" s="213">
        <v>6.0</v>
      </c>
      <c r="S583" s="296">
        <v>2026.0</v>
      </c>
      <c r="T583" s="82" t="s">
        <v>319</v>
      </c>
      <c r="U583" s="235">
        <v>112.2</v>
      </c>
      <c r="V583" s="299">
        <v>46179.69260416667</v>
      </c>
      <c r="W583" s="296">
        <v>6.0</v>
      </c>
      <c r="X583" s="296">
        <v>6.0</v>
      </c>
      <c r="Y583" s="296">
        <v>2026.0</v>
      </c>
      <c r="Z583" s="82" t="s">
        <v>319</v>
      </c>
    </row>
    <row r="584">
      <c r="A584" s="293" t="s">
        <v>1578</v>
      </c>
      <c r="B584" s="293" t="s">
        <v>1579</v>
      </c>
      <c r="C584" s="299">
        <v>46200.0</v>
      </c>
      <c r="D584" s="296">
        <v>27.0</v>
      </c>
      <c r="E584" s="296">
        <v>6.0</v>
      </c>
      <c r="F584" s="296">
        <v>2026.0</v>
      </c>
      <c r="G584" s="299">
        <v>46202.0</v>
      </c>
      <c r="H584" s="269">
        <v>29.0</v>
      </c>
      <c r="I584" s="296">
        <v>6.0</v>
      </c>
      <c r="J584" s="269">
        <v>2026.0</v>
      </c>
      <c r="K584" s="235" t="s">
        <v>38</v>
      </c>
      <c r="L584" s="235" t="s">
        <v>518</v>
      </c>
      <c r="M584" s="235">
        <v>1.0</v>
      </c>
      <c r="N584" s="164">
        <v>2.0</v>
      </c>
      <c r="O584" s="235">
        <v>4.0</v>
      </c>
      <c r="P584" s="299">
        <v>46200.67667824074</v>
      </c>
      <c r="Q584" s="213">
        <v>27.0</v>
      </c>
      <c r="R584" s="213">
        <v>6.0</v>
      </c>
      <c r="S584" s="296">
        <v>2026.0</v>
      </c>
      <c r="T584" s="82" t="s">
        <v>319</v>
      </c>
      <c r="U584" s="235">
        <v>59.5</v>
      </c>
      <c r="V584" s="299">
        <v>46200.66295138889</v>
      </c>
      <c r="W584" s="296">
        <v>27.0</v>
      </c>
      <c r="X584" s="296">
        <v>6.0</v>
      </c>
      <c r="Y584" s="296">
        <v>2026.0</v>
      </c>
      <c r="Z584" s="82" t="s">
        <v>319</v>
      </c>
    </row>
    <row r="585">
      <c r="A585" s="293" t="s">
        <v>1580</v>
      </c>
      <c r="B585" s="293" t="s">
        <v>1581</v>
      </c>
      <c r="C585" s="299">
        <v>46180.0</v>
      </c>
      <c r="D585" s="296">
        <v>7.0</v>
      </c>
      <c r="E585" s="296">
        <v>6.0</v>
      </c>
      <c r="F585" s="296">
        <v>2026.0</v>
      </c>
      <c r="G585" s="299">
        <v>46183.0</v>
      </c>
      <c r="H585" s="269">
        <v>10.0</v>
      </c>
      <c r="I585" s="296">
        <v>6.0</v>
      </c>
      <c r="J585" s="269">
        <v>2026.0</v>
      </c>
      <c r="K585" s="235" t="s">
        <v>38</v>
      </c>
      <c r="L585" s="235" t="s">
        <v>518</v>
      </c>
      <c r="M585" s="235">
        <v>1.0</v>
      </c>
      <c r="N585" s="164">
        <v>3.0</v>
      </c>
      <c r="O585" s="235">
        <v>6.0</v>
      </c>
      <c r="P585" s="299">
        <v>46182.77564814815</v>
      </c>
      <c r="Q585" s="213">
        <v>9.0</v>
      </c>
      <c r="R585" s="213">
        <v>6.0</v>
      </c>
      <c r="S585" s="296">
        <v>2026.0</v>
      </c>
      <c r="T585" s="82" t="s">
        <v>319</v>
      </c>
      <c r="U585" s="235">
        <v>114.75</v>
      </c>
      <c r="V585" s="299">
        <v>46182.77505787037</v>
      </c>
      <c r="W585" s="296">
        <v>9.0</v>
      </c>
      <c r="X585" s="296">
        <v>6.0</v>
      </c>
      <c r="Y585" s="296">
        <v>2026.0</v>
      </c>
      <c r="Z585" s="82" t="s">
        <v>319</v>
      </c>
    </row>
    <row r="586">
      <c r="A586" s="293" t="s">
        <v>1582</v>
      </c>
      <c r="B586" s="293" t="s">
        <v>1583</v>
      </c>
      <c r="C586" s="299">
        <v>46177.0</v>
      </c>
      <c r="D586" s="296">
        <v>4.0</v>
      </c>
      <c r="E586" s="296">
        <v>6.0</v>
      </c>
      <c r="F586" s="296">
        <v>2026.0</v>
      </c>
      <c r="G586" s="299">
        <v>46180.0</v>
      </c>
      <c r="H586" s="269">
        <v>7.0</v>
      </c>
      <c r="I586" s="296">
        <v>6.0</v>
      </c>
      <c r="J586" s="269">
        <v>2026.0</v>
      </c>
      <c r="K586" s="235" t="s">
        <v>38</v>
      </c>
      <c r="L586" s="235" t="s">
        <v>518</v>
      </c>
      <c r="M586" s="235">
        <v>1.0</v>
      </c>
      <c r="N586" s="164">
        <v>3.0</v>
      </c>
      <c r="O586" s="235">
        <v>6.0</v>
      </c>
      <c r="P586" s="299">
        <v>46180.37900462963</v>
      </c>
      <c r="Q586" s="213">
        <v>7.0</v>
      </c>
      <c r="R586" s="213">
        <v>6.0</v>
      </c>
      <c r="S586" s="296">
        <v>2026.0</v>
      </c>
      <c r="T586" s="82" t="s">
        <v>319</v>
      </c>
      <c r="U586" s="235">
        <v>89.25</v>
      </c>
      <c r="V586" s="299">
        <v>46180.378842592596</v>
      </c>
      <c r="W586" s="296">
        <v>7.0</v>
      </c>
      <c r="X586" s="296">
        <v>6.0</v>
      </c>
      <c r="Y586" s="296">
        <v>2026.0</v>
      </c>
      <c r="Z586" s="82" t="s">
        <v>319</v>
      </c>
    </row>
    <row r="587">
      <c r="A587" s="293" t="s">
        <v>1584</v>
      </c>
      <c r="B587" s="293" t="s">
        <v>1585</v>
      </c>
      <c r="C587" s="299">
        <v>46175.0</v>
      </c>
      <c r="D587" s="296">
        <v>2.0</v>
      </c>
      <c r="E587" s="296">
        <v>6.0</v>
      </c>
      <c r="F587" s="296">
        <v>2026.0</v>
      </c>
      <c r="G587" s="299">
        <v>46176.0</v>
      </c>
      <c r="H587" s="269">
        <v>3.0</v>
      </c>
      <c r="I587" s="296">
        <v>6.0</v>
      </c>
      <c r="J587" s="269">
        <v>2026.0</v>
      </c>
      <c r="K587" s="235" t="s">
        <v>38</v>
      </c>
      <c r="L587" s="235" t="s">
        <v>518</v>
      </c>
      <c r="M587" s="235">
        <v>1.0</v>
      </c>
      <c r="N587" s="164">
        <v>1.0</v>
      </c>
      <c r="O587" s="235">
        <v>2.0</v>
      </c>
      <c r="P587" s="299">
        <v>46176.037314814814</v>
      </c>
      <c r="Q587" s="213">
        <v>3.0</v>
      </c>
      <c r="R587" s="213">
        <v>6.0</v>
      </c>
      <c r="S587" s="296">
        <v>2026.0</v>
      </c>
      <c r="T587" s="82" t="s">
        <v>319</v>
      </c>
      <c r="U587" s="235">
        <v>27.2</v>
      </c>
      <c r="V587" s="299">
        <v>46176.03700231481</v>
      </c>
      <c r="W587" s="296">
        <v>3.0</v>
      </c>
      <c r="X587" s="296">
        <v>6.0</v>
      </c>
      <c r="Y587" s="296">
        <v>2026.0</v>
      </c>
      <c r="Z587" s="82" t="s">
        <v>319</v>
      </c>
    </row>
    <row r="588">
      <c r="A588" s="293" t="s">
        <v>1586</v>
      </c>
      <c r="B588" s="293" t="s">
        <v>1587</v>
      </c>
      <c r="C588" s="299">
        <v>46199.0</v>
      </c>
      <c r="D588" s="296">
        <v>26.0</v>
      </c>
      <c r="E588" s="296">
        <v>6.0</v>
      </c>
      <c r="F588" s="296">
        <v>2026.0</v>
      </c>
      <c r="G588" s="299">
        <v>46201.0</v>
      </c>
      <c r="H588" s="269">
        <v>28.0</v>
      </c>
      <c r="I588" s="296">
        <v>6.0</v>
      </c>
      <c r="J588" s="269">
        <v>2026.0</v>
      </c>
      <c r="K588" s="235" t="s">
        <v>38</v>
      </c>
      <c r="L588" s="235" t="s">
        <v>518</v>
      </c>
      <c r="M588" s="235">
        <v>1.0</v>
      </c>
      <c r="N588" s="164">
        <v>2.0</v>
      </c>
      <c r="O588" s="235">
        <v>4.0</v>
      </c>
      <c r="P588" s="299">
        <v>46199.607152777775</v>
      </c>
      <c r="Q588" s="213">
        <v>26.0</v>
      </c>
      <c r="R588" s="213">
        <v>6.0</v>
      </c>
      <c r="S588" s="296">
        <v>2026.0</v>
      </c>
      <c r="T588" s="235" t="s">
        <v>352</v>
      </c>
      <c r="U588" s="235">
        <v>59.5</v>
      </c>
      <c r="V588" s="299">
        <v>46199.606412037036</v>
      </c>
      <c r="W588" s="296">
        <v>26.0</v>
      </c>
      <c r="X588" s="296">
        <v>6.0</v>
      </c>
      <c r="Y588" s="296">
        <v>2026.0</v>
      </c>
      <c r="Z588" s="235" t="s">
        <v>352</v>
      </c>
    </row>
    <row r="589">
      <c r="A589" s="293" t="s">
        <v>1588</v>
      </c>
      <c r="B589" s="293" t="s">
        <v>1589</v>
      </c>
      <c r="C589" s="299">
        <v>46183.0</v>
      </c>
      <c r="D589" s="296">
        <v>10.0</v>
      </c>
      <c r="E589" s="296">
        <v>6.0</v>
      </c>
      <c r="F589" s="296">
        <v>2026.0</v>
      </c>
      <c r="G589" s="299">
        <v>46184.0</v>
      </c>
      <c r="H589" s="269">
        <v>11.0</v>
      </c>
      <c r="I589" s="296">
        <v>6.0</v>
      </c>
      <c r="J589" s="269">
        <v>2026.0</v>
      </c>
      <c r="K589" s="235" t="s">
        <v>38</v>
      </c>
      <c r="L589" s="235" t="s">
        <v>518</v>
      </c>
      <c r="M589" s="235">
        <v>1.0</v>
      </c>
      <c r="N589" s="164">
        <v>1.0</v>
      </c>
      <c r="O589" s="235">
        <v>2.0</v>
      </c>
      <c r="P589" s="299">
        <v>46184.40777777778</v>
      </c>
      <c r="Q589" s="213">
        <v>11.0</v>
      </c>
      <c r="R589" s="213">
        <v>6.0</v>
      </c>
      <c r="S589" s="296">
        <v>2026.0</v>
      </c>
      <c r="T589" s="82" t="s">
        <v>319</v>
      </c>
      <c r="U589" s="235">
        <v>38.25</v>
      </c>
      <c r="V589" s="299">
        <v>46184.40777777778</v>
      </c>
      <c r="W589" s="296">
        <v>11.0</v>
      </c>
      <c r="X589" s="296">
        <v>6.0</v>
      </c>
      <c r="Y589" s="296">
        <v>2026.0</v>
      </c>
      <c r="Z589" s="82" t="s">
        <v>319</v>
      </c>
    </row>
    <row r="590">
      <c r="A590" s="293" t="s">
        <v>1590</v>
      </c>
      <c r="B590" s="293" t="s">
        <v>1591</v>
      </c>
      <c r="C590" s="299">
        <v>46183.0</v>
      </c>
      <c r="D590" s="296">
        <v>10.0</v>
      </c>
      <c r="E590" s="296">
        <v>6.0</v>
      </c>
      <c r="F590" s="296">
        <v>2026.0</v>
      </c>
      <c r="G590" s="299">
        <v>46188.0</v>
      </c>
      <c r="H590" s="269">
        <v>15.0</v>
      </c>
      <c r="I590" s="296">
        <v>6.0</v>
      </c>
      <c r="J590" s="269">
        <v>2026.0</v>
      </c>
      <c r="K590" s="235" t="s">
        <v>38</v>
      </c>
      <c r="L590" s="235" t="s">
        <v>518</v>
      </c>
      <c r="M590" s="235">
        <v>1.0</v>
      </c>
      <c r="N590" s="164">
        <v>5.0</v>
      </c>
      <c r="O590" s="235">
        <v>10.0</v>
      </c>
      <c r="P590" s="299">
        <v>46186.76678240741</v>
      </c>
      <c r="Q590" s="213">
        <v>13.0</v>
      </c>
      <c r="R590" s="213">
        <v>6.0</v>
      </c>
      <c r="S590" s="296">
        <v>2026.0</v>
      </c>
      <c r="T590" s="82" t="s">
        <v>319</v>
      </c>
      <c r="U590" s="235">
        <v>199.75</v>
      </c>
      <c r="V590" s="299">
        <v>46186.76631944445</v>
      </c>
      <c r="W590" s="296">
        <v>13.0</v>
      </c>
      <c r="X590" s="296">
        <v>6.0</v>
      </c>
      <c r="Y590" s="296">
        <v>2026.0</v>
      </c>
      <c r="Z590" s="82" t="s">
        <v>319</v>
      </c>
    </row>
    <row r="591">
      <c r="A591" s="293" t="s">
        <v>1592</v>
      </c>
      <c r="B591" s="293" t="s">
        <v>1593</v>
      </c>
      <c r="C591" s="299">
        <v>46193.0</v>
      </c>
      <c r="D591" s="296">
        <v>20.0</v>
      </c>
      <c r="E591" s="296">
        <v>6.0</v>
      </c>
      <c r="F591" s="296">
        <v>2026.0</v>
      </c>
      <c r="G591" s="299">
        <v>46196.0</v>
      </c>
      <c r="H591" s="269">
        <v>23.0</v>
      </c>
      <c r="I591" s="296">
        <v>6.0</v>
      </c>
      <c r="J591" s="269">
        <v>2026.0</v>
      </c>
      <c r="K591" s="235" t="s">
        <v>38</v>
      </c>
      <c r="L591" s="235" t="s">
        <v>518</v>
      </c>
      <c r="M591" s="235">
        <v>1.0</v>
      </c>
      <c r="N591" s="164">
        <v>3.0</v>
      </c>
      <c r="O591" s="235">
        <v>6.0</v>
      </c>
      <c r="P591" s="299">
        <v>46193.67157407408</v>
      </c>
      <c r="Q591" s="213">
        <v>20.0</v>
      </c>
      <c r="R591" s="213">
        <v>6.0</v>
      </c>
      <c r="S591" s="296">
        <v>2026.0</v>
      </c>
      <c r="T591" s="82" t="s">
        <v>319</v>
      </c>
      <c r="U591" s="235">
        <v>112.2</v>
      </c>
      <c r="V591" s="299">
        <v>46193.670625</v>
      </c>
      <c r="W591" s="296">
        <v>20.0</v>
      </c>
      <c r="X591" s="296">
        <v>6.0</v>
      </c>
      <c r="Y591" s="296">
        <v>2026.0</v>
      </c>
      <c r="Z591" s="82" t="s">
        <v>319</v>
      </c>
    </row>
    <row r="592">
      <c r="A592" s="293" t="s">
        <v>1594</v>
      </c>
      <c r="B592" s="293" t="s">
        <v>1595</v>
      </c>
      <c r="C592" s="299">
        <v>46197.0</v>
      </c>
      <c r="D592" s="296">
        <v>24.0</v>
      </c>
      <c r="E592" s="296">
        <v>6.0</v>
      </c>
      <c r="F592" s="296">
        <v>2026.0</v>
      </c>
      <c r="G592" s="299">
        <v>46205.0</v>
      </c>
      <c r="H592" s="269">
        <v>2.0</v>
      </c>
      <c r="I592" s="296">
        <v>7.0</v>
      </c>
      <c r="J592" s="269">
        <v>2026.0</v>
      </c>
      <c r="K592" s="235" t="s">
        <v>38</v>
      </c>
      <c r="L592" s="235" t="s">
        <v>518</v>
      </c>
      <c r="M592" s="235">
        <v>1.0</v>
      </c>
      <c r="N592" s="164">
        <v>8.0</v>
      </c>
      <c r="O592" s="235">
        <v>14.0</v>
      </c>
      <c r="P592" s="299">
        <v>46197.69215277778</v>
      </c>
      <c r="Q592" s="213">
        <v>24.0</v>
      </c>
      <c r="R592" s="213">
        <v>6.0</v>
      </c>
      <c r="S592" s="296">
        <v>2026.0</v>
      </c>
      <c r="T592" s="235" t="s">
        <v>352</v>
      </c>
      <c r="U592" s="235">
        <v>246.5</v>
      </c>
      <c r="V592" s="299">
        <v>46197.69148148148</v>
      </c>
      <c r="W592" s="296">
        <v>24.0</v>
      </c>
      <c r="X592" s="296">
        <v>6.0</v>
      </c>
      <c r="Y592" s="296">
        <v>2026.0</v>
      </c>
      <c r="Z592" s="235" t="s">
        <v>352</v>
      </c>
    </row>
    <row r="593">
      <c r="A593" s="293" t="s">
        <v>1596</v>
      </c>
      <c r="B593" s="293" t="s">
        <v>1597</v>
      </c>
      <c r="C593" s="299">
        <v>46201.0</v>
      </c>
      <c r="D593" s="296">
        <v>28.0</v>
      </c>
      <c r="E593" s="296">
        <v>6.0</v>
      </c>
      <c r="F593" s="296">
        <v>2026.0</v>
      </c>
      <c r="G593" s="299">
        <v>46203.0</v>
      </c>
      <c r="H593" s="269">
        <v>30.0</v>
      </c>
      <c r="I593" s="296">
        <v>6.0</v>
      </c>
      <c r="J593" s="269">
        <v>2026.0</v>
      </c>
      <c r="K593" s="235" t="s">
        <v>38</v>
      </c>
      <c r="L593" s="235" t="s">
        <v>518</v>
      </c>
      <c r="M593" s="235">
        <v>1.0</v>
      </c>
      <c r="N593" s="164">
        <v>2.0</v>
      </c>
      <c r="O593" s="235">
        <v>4.0</v>
      </c>
      <c r="P593" s="299">
        <v>46203.42199074074</v>
      </c>
      <c r="Q593" s="213">
        <v>30.0</v>
      </c>
      <c r="R593" s="213">
        <v>6.0</v>
      </c>
      <c r="S593" s="296">
        <v>2026.0</v>
      </c>
      <c r="T593" s="235" t="s">
        <v>10</v>
      </c>
      <c r="U593" s="235">
        <v>76.5</v>
      </c>
      <c r="V593" s="299">
        <v>46203.42199074074</v>
      </c>
      <c r="W593" s="296">
        <v>30.0</v>
      </c>
      <c r="X593" s="296">
        <v>6.0</v>
      </c>
      <c r="Y593" s="296">
        <v>2026.0</v>
      </c>
      <c r="Z593" s="235" t="s">
        <v>10</v>
      </c>
    </row>
    <row r="594">
      <c r="A594" s="293" t="s">
        <v>1598</v>
      </c>
      <c r="B594" s="293" t="s">
        <v>1599</v>
      </c>
      <c r="C594" s="299">
        <v>46194.0</v>
      </c>
      <c r="D594" s="296">
        <v>21.0</v>
      </c>
      <c r="E594" s="296">
        <v>6.0</v>
      </c>
      <c r="F594" s="296">
        <v>2026.0</v>
      </c>
      <c r="G594" s="299">
        <v>46195.0</v>
      </c>
      <c r="H594" s="269">
        <v>22.0</v>
      </c>
      <c r="I594" s="296">
        <v>6.0</v>
      </c>
      <c r="J594" s="269">
        <v>2026.0</v>
      </c>
      <c r="K594" s="235" t="s">
        <v>38</v>
      </c>
      <c r="L594" s="235" t="s">
        <v>518</v>
      </c>
      <c r="M594" s="235">
        <v>1.0</v>
      </c>
      <c r="N594" s="164">
        <v>1.0</v>
      </c>
      <c r="O594" s="235">
        <v>2.0</v>
      </c>
      <c r="P594" s="299">
        <v>46194.667129629626</v>
      </c>
      <c r="Q594" s="213">
        <v>21.0</v>
      </c>
      <c r="R594" s="213">
        <v>6.0</v>
      </c>
      <c r="S594" s="296">
        <v>2026.0</v>
      </c>
      <c r="T594" s="235" t="s">
        <v>10</v>
      </c>
      <c r="U594" s="235">
        <v>29.75</v>
      </c>
      <c r="V594" s="299">
        <v>46194.66670138889</v>
      </c>
      <c r="W594" s="296">
        <v>21.0</v>
      </c>
      <c r="X594" s="296">
        <v>6.0</v>
      </c>
      <c r="Y594" s="296">
        <v>2026.0</v>
      </c>
      <c r="Z594" s="235" t="s">
        <v>10</v>
      </c>
    </row>
    <row r="595">
      <c r="A595" s="293" t="s">
        <v>1600</v>
      </c>
      <c r="B595" s="293" t="s">
        <v>1601</v>
      </c>
      <c r="C595" s="299">
        <v>46196.0</v>
      </c>
      <c r="D595" s="296">
        <v>23.0</v>
      </c>
      <c r="E595" s="296">
        <v>6.0</v>
      </c>
      <c r="F595" s="296">
        <v>2026.0</v>
      </c>
      <c r="G595" s="299">
        <v>46198.0</v>
      </c>
      <c r="H595" s="269">
        <v>25.0</v>
      </c>
      <c r="I595" s="296">
        <v>6.0</v>
      </c>
      <c r="J595" s="269">
        <v>2026.0</v>
      </c>
      <c r="K595" s="235" t="s">
        <v>38</v>
      </c>
      <c r="L595" s="235" t="s">
        <v>518</v>
      </c>
      <c r="M595" s="235">
        <v>1.0</v>
      </c>
      <c r="N595" s="164">
        <v>2.0</v>
      </c>
      <c r="O595" s="235">
        <v>4.0</v>
      </c>
      <c r="P595" s="299">
        <v>46198.266747685186</v>
      </c>
      <c r="Q595" s="213">
        <v>25.0</v>
      </c>
      <c r="R595" s="213">
        <v>6.0</v>
      </c>
      <c r="S595" s="296">
        <v>2026.0</v>
      </c>
      <c r="T595" s="235" t="s">
        <v>10</v>
      </c>
      <c r="U595" s="235">
        <v>59.5</v>
      </c>
      <c r="V595" s="299">
        <v>46198.266747685186</v>
      </c>
      <c r="W595" s="296">
        <v>25.0</v>
      </c>
      <c r="X595" s="296">
        <v>6.0</v>
      </c>
      <c r="Y595" s="296">
        <v>2026.0</v>
      </c>
      <c r="Z595" s="235" t="s">
        <v>10</v>
      </c>
    </row>
    <row r="596">
      <c r="A596" s="293" t="s">
        <v>1602</v>
      </c>
      <c r="B596" s="293" t="s">
        <v>1603</v>
      </c>
      <c r="C596" s="299">
        <v>46196.0</v>
      </c>
      <c r="D596" s="296">
        <v>23.0</v>
      </c>
      <c r="E596" s="296">
        <v>6.0</v>
      </c>
      <c r="F596" s="296">
        <v>2026.0</v>
      </c>
      <c r="G596" s="299">
        <v>46197.0</v>
      </c>
      <c r="H596" s="269">
        <v>24.0</v>
      </c>
      <c r="I596" s="296">
        <v>6.0</v>
      </c>
      <c r="J596" s="269">
        <v>2026.0</v>
      </c>
      <c r="K596" s="235" t="s">
        <v>38</v>
      </c>
      <c r="L596" s="235" t="s">
        <v>518</v>
      </c>
      <c r="M596" s="235">
        <v>1.0</v>
      </c>
      <c r="N596" s="164">
        <v>1.0</v>
      </c>
      <c r="O596" s="235">
        <v>2.0</v>
      </c>
      <c r="P596" s="299">
        <v>46196.78003472222</v>
      </c>
      <c r="Q596" s="213">
        <v>23.0</v>
      </c>
      <c r="R596" s="213">
        <v>6.0</v>
      </c>
      <c r="S596" s="296">
        <v>2026.0</v>
      </c>
      <c r="T596" s="82" t="s">
        <v>319</v>
      </c>
      <c r="U596" s="235">
        <v>29.75</v>
      </c>
      <c r="V596" s="299">
        <v>46196.77974537037</v>
      </c>
      <c r="W596" s="296">
        <v>23.0</v>
      </c>
      <c r="X596" s="296">
        <v>6.0</v>
      </c>
      <c r="Y596" s="296">
        <v>2026.0</v>
      </c>
      <c r="Z596" s="82" t="s">
        <v>319</v>
      </c>
    </row>
    <row r="597">
      <c r="A597" s="293" t="s">
        <v>1604</v>
      </c>
      <c r="B597" s="293" t="s">
        <v>1605</v>
      </c>
      <c r="C597" s="299">
        <v>46195.0</v>
      </c>
      <c r="D597" s="296">
        <v>22.0</v>
      </c>
      <c r="E597" s="296">
        <v>6.0</v>
      </c>
      <c r="F597" s="296">
        <v>2026.0</v>
      </c>
      <c r="G597" s="299">
        <v>46196.0</v>
      </c>
      <c r="H597" s="269">
        <v>23.0</v>
      </c>
      <c r="I597" s="296">
        <v>6.0</v>
      </c>
      <c r="J597" s="269">
        <v>2026.0</v>
      </c>
      <c r="K597" s="235" t="s">
        <v>38</v>
      </c>
      <c r="L597" s="235" t="s">
        <v>518</v>
      </c>
      <c r="M597" s="235">
        <v>2.0</v>
      </c>
      <c r="N597" s="164">
        <v>1.0</v>
      </c>
      <c r="O597" s="235">
        <v>4.0</v>
      </c>
      <c r="P597" s="299">
        <v>46196.24319444445</v>
      </c>
      <c r="Q597" s="213">
        <v>23.0</v>
      </c>
      <c r="R597" s="213">
        <v>6.0</v>
      </c>
      <c r="S597" s="296">
        <v>2026.0</v>
      </c>
      <c r="T597" s="235" t="s">
        <v>10</v>
      </c>
      <c r="U597" s="235">
        <v>59.5</v>
      </c>
      <c r="V597" s="299">
        <v>46196.24319444445</v>
      </c>
      <c r="W597" s="296">
        <v>23.0</v>
      </c>
      <c r="X597" s="296">
        <v>6.0</v>
      </c>
      <c r="Y597" s="296">
        <v>2026.0</v>
      </c>
      <c r="Z597" s="235" t="s">
        <v>10</v>
      </c>
    </row>
    <row r="598">
      <c r="A598" s="293" t="s">
        <v>1606</v>
      </c>
      <c r="B598" s="293" t="s">
        <v>1607</v>
      </c>
      <c r="C598" s="299">
        <v>46177.0</v>
      </c>
      <c r="D598" s="296">
        <v>4.0</v>
      </c>
      <c r="E598" s="296">
        <v>6.0</v>
      </c>
      <c r="F598" s="296">
        <v>2026.0</v>
      </c>
      <c r="G598" s="299">
        <v>46178.0</v>
      </c>
      <c r="H598" s="269">
        <v>5.0</v>
      </c>
      <c r="I598" s="296">
        <v>6.0</v>
      </c>
      <c r="J598" s="269">
        <v>2026.0</v>
      </c>
      <c r="K598" s="235" t="s">
        <v>38</v>
      </c>
      <c r="L598" s="235" t="s">
        <v>518</v>
      </c>
      <c r="M598" s="235">
        <v>2.0</v>
      </c>
      <c r="N598" s="164">
        <v>1.0</v>
      </c>
      <c r="O598" s="235">
        <v>4.0</v>
      </c>
      <c r="P598" s="299">
        <v>46177.841898148145</v>
      </c>
      <c r="Q598" s="213">
        <v>4.0</v>
      </c>
      <c r="R598" s="213">
        <v>6.0</v>
      </c>
      <c r="S598" s="296">
        <v>2026.0</v>
      </c>
      <c r="T598" s="235" t="s">
        <v>352</v>
      </c>
      <c r="U598" s="235">
        <v>54.4</v>
      </c>
      <c r="V598" s="299">
        <v>46177.84149305556</v>
      </c>
      <c r="W598" s="296">
        <v>4.0</v>
      </c>
      <c r="X598" s="296">
        <v>6.0</v>
      </c>
      <c r="Y598" s="296">
        <v>2026.0</v>
      </c>
      <c r="Z598" s="235" t="s">
        <v>352</v>
      </c>
    </row>
    <row r="599">
      <c r="A599" s="293" t="s">
        <v>1608</v>
      </c>
      <c r="B599" s="293" t="s">
        <v>1609</v>
      </c>
      <c r="C599" s="299">
        <v>46184.0</v>
      </c>
      <c r="D599" s="296">
        <v>11.0</v>
      </c>
      <c r="E599" s="296">
        <v>6.0</v>
      </c>
      <c r="F599" s="296">
        <v>2026.0</v>
      </c>
      <c r="G599" s="299">
        <v>46188.0</v>
      </c>
      <c r="H599" s="269">
        <v>15.0</v>
      </c>
      <c r="I599" s="296">
        <v>6.0</v>
      </c>
      <c r="J599" s="269">
        <v>2026.0</v>
      </c>
      <c r="K599" s="235" t="s">
        <v>38</v>
      </c>
      <c r="L599" s="235" t="s">
        <v>518</v>
      </c>
      <c r="M599" s="235">
        <v>1.0</v>
      </c>
      <c r="N599" s="164">
        <v>4.0</v>
      </c>
      <c r="O599" s="235">
        <v>8.0</v>
      </c>
      <c r="P599" s="299">
        <v>46184.85016203704</v>
      </c>
      <c r="Q599" s="213">
        <v>11.0</v>
      </c>
      <c r="R599" s="213">
        <v>6.0</v>
      </c>
      <c r="S599" s="296">
        <v>2026.0</v>
      </c>
      <c r="T599" s="235" t="s">
        <v>10</v>
      </c>
      <c r="U599" s="235">
        <v>141.95</v>
      </c>
      <c r="V599" s="299">
        <v>46184.849756944444</v>
      </c>
      <c r="W599" s="296">
        <v>11.0</v>
      </c>
      <c r="X599" s="296">
        <v>6.0</v>
      </c>
      <c r="Y599" s="296">
        <v>2026.0</v>
      </c>
      <c r="Z599" s="235" t="s">
        <v>10</v>
      </c>
    </row>
    <row r="600">
      <c r="A600" s="293" t="s">
        <v>1610</v>
      </c>
      <c r="B600" s="293" t="s">
        <v>1611</v>
      </c>
      <c r="C600" s="299">
        <v>46202.0</v>
      </c>
      <c r="D600" s="296">
        <v>29.0</v>
      </c>
      <c r="E600" s="296">
        <v>6.0</v>
      </c>
      <c r="F600" s="296">
        <v>2026.0</v>
      </c>
      <c r="G600" s="299">
        <v>46204.0</v>
      </c>
      <c r="H600" s="269">
        <v>1.0</v>
      </c>
      <c r="I600" s="296">
        <v>7.0</v>
      </c>
      <c r="J600" s="269">
        <v>2026.0</v>
      </c>
      <c r="K600" s="235" t="s">
        <v>38</v>
      </c>
      <c r="L600" s="235" t="s">
        <v>518</v>
      </c>
      <c r="M600" s="235">
        <v>1.0</v>
      </c>
      <c r="N600" s="164">
        <v>2.0</v>
      </c>
      <c r="O600" s="235">
        <v>4.0</v>
      </c>
      <c r="P600" s="299">
        <v>46202.683229166665</v>
      </c>
      <c r="Q600" s="213">
        <v>29.0</v>
      </c>
      <c r="R600" s="213">
        <v>6.0</v>
      </c>
      <c r="S600" s="296">
        <v>2026.0</v>
      </c>
      <c r="T600" s="82" t="s">
        <v>319</v>
      </c>
      <c r="U600" s="235">
        <v>76.5</v>
      </c>
      <c r="V600" s="299">
        <v>46202.68271990741</v>
      </c>
      <c r="W600" s="296">
        <v>29.0</v>
      </c>
      <c r="X600" s="296">
        <v>6.0</v>
      </c>
      <c r="Y600" s="296">
        <v>2026.0</v>
      </c>
      <c r="Z600" s="82" t="s">
        <v>319</v>
      </c>
    </row>
    <row r="601">
      <c r="A601" s="293" t="s">
        <v>1612</v>
      </c>
      <c r="B601" s="293" t="s">
        <v>1613</v>
      </c>
      <c r="C601" s="299">
        <v>46186.0</v>
      </c>
      <c r="D601" s="296">
        <v>13.0</v>
      </c>
      <c r="E601" s="296">
        <v>6.0</v>
      </c>
      <c r="F601" s="296">
        <v>2026.0</v>
      </c>
      <c r="G601" s="299">
        <v>46188.0</v>
      </c>
      <c r="H601" s="269">
        <v>15.0</v>
      </c>
      <c r="I601" s="296">
        <v>6.0</v>
      </c>
      <c r="J601" s="269">
        <v>2026.0</v>
      </c>
      <c r="K601" s="235" t="s">
        <v>38</v>
      </c>
      <c r="L601" s="235" t="s">
        <v>518</v>
      </c>
      <c r="M601" s="235">
        <v>1.0</v>
      </c>
      <c r="N601" s="164">
        <v>2.0</v>
      </c>
      <c r="O601" s="235">
        <v>4.0</v>
      </c>
      <c r="P601" s="299">
        <v>46186.64974537037</v>
      </c>
      <c r="Q601" s="213">
        <v>13.0</v>
      </c>
      <c r="R601" s="213">
        <v>6.0</v>
      </c>
      <c r="S601" s="296">
        <v>2026.0</v>
      </c>
      <c r="T601" s="235" t="s">
        <v>10</v>
      </c>
      <c r="U601" s="235">
        <v>68.0</v>
      </c>
      <c r="V601" s="299">
        <v>46186.64884259259</v>
      </c>
      <c r="W601" s="296">
        <v>13.0</v>
      </c>
      <c r="X601" s="296">
        <v>6.0</v>
      </c>
      <c r="Y601" s="296">
        <v>2026.0</v>
      </c>
      <c r="Z601" s="235" t="s">
        <v>10</v>
      </c>
    </row>
    <row r="602">
      <c r="A602" s="82" t="s">
        <v>1614</v>
      </c>
      <c r="B602" s="82">
        <v>5.561472196329E12</v>
      </c>
      <c r="C602" s="412">
        <v>46203.0</v>
      </c>
      <c r="D602" s="82">
        <v>30.0</v>
      </c>
      <c r="E602" s="82">
        <v>6.0</v>
      </c>
      <c r="F602" s="82">
        <v>2026.0</v>
      </c>
      <c r="G602" s="412">
        <v>46205.0</v>
      </c>
      <c r="H602" s="82">
        <v>2.0</v>
      </c>
      <c r="I602" s="82">
        <v>7.0</v>
      </c>
      <c r="J602" s="82">
        <v>2026.0</v>
      </c>
      <c r="K602" s="328" t="s">
        <v>38</v>
      </c>
      <c r="L602" s="328" t="s">
        <v>518</v>
      </c>
      <c r="M602" s="82">
        <v>1.0</v>
      </c>
      <c r="N602" s="82">
        <v>2.0</v>
      </c>
      <c r="O602" s="82">
        <v>4.0</v>
      </c>
      <c r="P602" s="412">
        <v>46204.0</v>
      </c>
      <c r="Q602" s="413">
        <v>1.0</v>
      </c>
      <c r="R602" s="413">
        <v>7.0</v>
      </c>
      <c r="S602" s="82">
        <v>2026.0</v>
      </c>
      <c r="T602" s="328" t="s">
        <v>319</v>
      </c>
      <c r="U602" s="82">
        <v>68.0</v>
      </c>
      <c r="V602" s="412">
        <v>46204.0</v>
      </c>
      <c r="W602" s="413">
        <v>1.0</v>
      </c>
      <c r="X602" s="413">
        <v>7.0</v>
      </c>
      <c r="Y602" s="82">
        <v>2026.0</v>
      </c>
      <c r="Z602" s="328" t="s">
        <v>319</v>
      </c>
    </row>
    <row r="603">
      <c r="A603" s="324" t="s">
        <v>1615</v>
      </c>
      <c r="B603" s="324" t="s">
        <v>1616</v>
      </c>
      <c r="C603" s="325">
        <v>46204.0</v>
      </c>
      <c r="D603" s="326">
        <v>1.0</v>
      </c>
      <c r="E603" s="326">
        <v>7.0</v>
      </c>
      <c r="F603" s="326">
        <v>2026.0</v>
      </c>
      <c r="G603" s="325">
        <v>46206.0</v>
      </c>
      <c r="H603" s="326">
        <v>3.0</v>
      </c>
      <c r="I603" s="326">
        <v>7.0</v>
      </c>
      <c r="J603" s="326">
        <v>2026.0</v>
      </c>
      <c r="K603" s="324" t="s">
        <v>38</v>
      </c>
      <c r="L603" s="324" t="s">
        <v>518</v>
      </c>
      <c r="M603" s="324">
        <v>1.0</v>
      </c>
      <c r="N603" s="324">
        <v>2.0</v>
      </c>
      <c r="O603" s="324">
        <v>4.0</v>
      </c>
      <c r="P603" s="325">
        <v>46204.68292824074</v>
      </c>
      <c r="Q603" s="327">
        <v>1.0</v>
      </c>
      <c r="R603" s="327">
        <v>7.0</v>
      </c>
      <c r="S603" s="326">
        <v>2026.0</v>
      </c>
      <c r="T603" s="324" t="s">
        <v>352</v>
      </c>
      <c r="U603" s="324">
        <v>59.5</v>
      </c>
      <c r="V603" s="325">
        <v>46204.682650462964</v>
      </c>
      <c r="W603" s="326">
        <v>1.0</v>
      </c>
      <c r="X603" s="326">
        <v>7.0</v>
      </c>
      <c r="Y603" s="326">
        <v>2026.0</v>
      </c>
      <c r="Z603" s="324" t="s">
        <v>352</v>
      </c>
      <c r="AA603" s="265"/>
      <c r="AB603" s="265"/>
    </row>
    <row r="604">
      <c r="A604" s="324" t="s">
        <v>1617</v>
      </c>
      <c r="B604" s="324" t="s">
        <v>1618</v>
      </c>
      <c r="C604" s="325">
        <v>46204.0</v>
      </c>
      <c r="D604" s="326">
        <v>1.0</v>
      </c>
      <c r="E604" s="326">
        <v>7.0</v>
      </c>
      <c r="F604" s="326">
        <v>2026.0</v>
      </c>
      <c r="G604" s="325">
        <v>46205.0</v>
      </c>
      <c r="H604" s="326">
        <v>2.0</v>
      </c>
      <c r="I604" s="326">
        <v>7.0</v>
      </c>
      <c r="J604" s="326">
        <v>2026.0</v>
      </c>
      <c r="K604" s="324" t="s">
        <v>38</v>
      </c>
      <c r="L604" s="324" t="s">
        <v>518</v>
      </c>
      <c r="M604" s="324">
        <v>1.0</v>
      </c>
      <c r="N604" s="324">
        <v>1.0</v>
      </c>
      <c r="O604" s="324">
        <v>2.0</v>
      </c>
      <c r="P604" s="325">
        <v>46205.015706018516</v>
      </c>
      <c r="Q604" s="327">
        <v>2.0</v>
      </c>
      <c r="R604" s="327">
        <v>7.0</v>
      </c>
      <c r="S604" s="326">
        <v>2026.0</v>
      </c>
      <c r="T604" s="324" t="s">
        <v>319</v>
      </c>
      <c r="U604" s="324">
        <v>29.75</v>
      </c>
      <c r="V604" s="325">
        <v>46205.015706018516</v>
      </c>
      <c r="W604" s="326">
        <v>2.0</v>
      </c>
      <c r="X604" s="326">
        <v>7.0</v>
      </c>
      <c r="Y604" s="326">
        <v>2026.0</v>
      </c>
      <c r="Z604" s="324" t="s">
        <v>319</v>
      </c>
      <c r="AA604" s="265"/>
      <c r="AB604" s="265"/>
    </row>
    <row r="605">
      <c r="A605" s="328" t="s">
        <v>1619</v>
      </c>
      <c r="B605" s="328" t="s">
        <v>1620</v>
      </c>
      <c r="C605" s="329">
        <v>46204.0</v>
      </c>
      <c r="D605" s="330">
        <v>1.0</v>
      </c>
      <c r="E605" s="330">
        <v>7.0</v>
      </c>
      <c r="F605" s="330">
        <v>2026.0</v>
      </c>
      <c r="G605" s="329">
        <v>46206.0</v>
      </c>
      <c r="H605" s="330">
        <v>3.0</v>
      </c>
      <c r="I605" s="330">
        <v>7.0</v>
      </c>
      <c r="J605" s="330">
        <v>2026.0</v>
      </c>
      <c r="K605" s="328" t="s">
        <v>38</v>
      </c>
      <c r="L605" s="328" t="s">
        <v>518</v>
      </c>
      <c r="M605" s="328">
        <v>1.0</v>
      </c>
      <c r="N605" s="328">
        <v>2.0</v>
      </c>
      <c r="O605" s="328">
        <v>4.0</v>
      </c>
      <c r="P605" s="329">
        <v>46206.45353009259</v>
      </c>
      <c r="Q605" s="331">
        <v>3.0</v>
      </c>
      <c r="R605" s="331">
        <v>7.0</v>
      </c>
      <c r="S605" s="330">
        <v>2026.0</v>
      </c>
      <c r="T605" s="328" t="s">
        <v>319</v>
      </c>
      <c r="U605" s="328">
        <v>59.5</v>
      </c>
      <c r="V605" s="329">
        <v>46206.45309027778</v>
      </c>
      <c r="W605" s="330">
        <v>3.0</v>
      </c>
      <c r="X605" s="330">
        <v>7.0</v>
      </c>
      <c r="Y605" s="330">
        <v>2026.0</v>
      </c>
      <c r="Z605" s="328" t="s">
        <v>319</v>
      </c>
    </row>
    <row r="606">
      <c r="A606" s="328" t="s">
        <v>1621</v>
      </c>
      <c r="B606" s="328" t="s">
        <v>1622</v>
      </c>
      <c r="C606" s="329">
        <v>46206.0</v>
      </c>
      <c r="D606" s="330">
        <v>3.0</v>
      </c>
      <c r="E606" s="330">
        <v>7.0</v>
      </c>
      <c r="F606" s="330">
        <v>2026.0</v>
      </c>
      <c r="G606" s="329">
        <v>46208.0</v>
      </c>
      <c r="H606" s="330">
        <v>5.0</v>
      </c>
      <c r="I606" s="330">
        <v>7.0</v>
      </c>
      <c r="J606" s="330">
        <v>2026.0</v>
      </c>
      <c r="K606" s="328" t="s">
        <v>38</v>
      </c>
      <c r="L606" s="328" t="s">
        <v>518</v>
      </c>
      <c r="M606" s="328">
        <v>1.0</v>
      </c>
      <c r="N606" s="328">
        <v>2.0</v>
      </c>
      <c r="O606" s="328">
        <v>4.0</v>
      </c>
      <c r="P606" s="329">
        <v>46207.7184837963</v>
      </c>
      <c r="Q606" s="331">
        <v>4.0</v>
      </c>
      <c r="R606" s="331">
        <v>7.0</v>
      </c>
      <c r="S606" s="330">
        <v>2026.0</v>
      </c>
      <c r="T606" s="328" t="s">
        <v>10</v>
      </c>
      <c r="U606" s="328">
        <v>59.5</v>
      </c>
      <c r="V606" s="329">
        <v>46207.71732638889</v>
      </c>
      <c r="W606" s="330">
        <v>4.0</v>
      </c>
      <c r="X606" s="330">
        <v>7.0</v>
      </c>
      <c r="Y606" s="330">
        <v>2026.0</v>
      </c>
      <c r="Z606" s="328" t="s">
        <v>10</v>
      </c>
    </row>
    <row r="607">
      <c r="A607" s="328" t="s">
        <v>1623</v>
      </c>
      <c r="B607" s="328" t="s">
        <v>1624</v>
      </c>
      <c r="C607" s="329">
        <v>46207.0</v>
      </c>
      <c r="D607" s="330">
        <v>4.0</v>
      </c>
      <c r="E607" s="330">
        <v>7.0</v>
      </c>
      <c r="F607" s="330">
        <v>2026.0</v>
      </c>
      <c r="G607" s="329">
        <v>46210.0</v>
      </c>
      <c r="H607" s="330">
        <v>7.0</v>
      </c>
      <c r="I607" s="330">
        <v>7.0</v>
      </c>
      <c r="J607" s="330">
        <v>2026.0</v>
      </c>
      <c r="K607" s="328" t="s">
        <v>38</v>
      </c>
      <c r="L607" s="328" t="s">
        <v>518</v>
      </c>
      <c r="M607" s="328">
        <v>1.0</v>
      </c>
      <c r="N607" s="328">
        <v>3.0</v>
      </c>
      <c r="O607" s="328">
        <v>6.0</v>
      </c>
      <c r="P607" s="329">
        <v>46207.64708333334</v>
      </c>
      <c r="Q607" s="331">
        <v>4.0</v>
      </c>
      <c r="R607" s="331">
        <v>7.0</v>
      </c>
      <c r="S607" s="330">
        <v>2026.0</v>
      </c>
      <c r="T607" s="328" t="s">
        <v>319</v>
      </c>
      <c r="U607" s="328">
        <v>89.25</v>
      </c>
      <c r="V607" s="329">
        <v>46207.646574074075</v>
      </c>
      <c r="W607" s="330">
        <v>4.0</v>
      </c>
      <c r="X607" s="330">
        <v>7.0</v>
      </c>
      <c r="Y607" s="330">
        <v>2026.0</v>
      </c>
      <c r="Z607" s="328" t="s">
        <v>319</v>
      </c>
    </row>
    <row r="608">
      <c r="A608" s="328" t="s">
        <v>1625</v>
      </c>
      <c r="B608" s="328" t="s">
        <v>1626</v>
      </c>
      <c r="C608" s="329">
        <v>46206.0</v>
      </c>
      <c r="D608" s="330">
        <v>3.0</v>
      </c>
      <c r="E608" s="330">
        <v>7.0</v>
      </c>
      <c r="F608" s="330">
        <v>2026.0</v>
      </c>
      <c r="G608" s="329">
        <v>46208.0</v>
      </c>
      <c r="H608" s="330">
        <v>5.0</v>
      </c>
      <c r="I608" s="330">
        <v>7.0</v>
      </c>
      <c r="J608" s="330">
        <v>2026.0</v>
      </c>
      <c r="K608" s="328" t="s">
        <v>38</v>
      </c>
      <c r="L608" s="328" t="s">
        <v>518</v>
      </c>
      <c r="M608" s="328">
        <v>1.0</v>
      </c>
      <c r="N608" s="328">
        <v>2.0</v>
      </c>
      <c r="O608" s="328">
        <v>4.0</v>
      </c>
      <c r="P608" s="329">
        <v>46208.465046296296</v>
      </c>
      <c r="Q608" s="331">
        <v>5.0</v>
      </c>
      <c r="R608" s="331">
        <v>7.0</v>
      </c>
      <c r="S608" s="330">
        <v>2026.0</v>
      </c>
      <c r="T608" s="328" t="s">
        <v>319</v>
      </c>
      <c r="U608" s="328">
        <v>59.5</v>
      </c>
      <c r="V608" s="329">
        <v>46208.46456018519</v>
      </c>
      <c r="W608" s="330">
        <v>5.0</v>
      </c>
      <c r="X608" s="330">
        <v>7.0</v>
      </c>
      <c r="Y608" s="330">
        <v>2026.0</v>
      </c>
      <c r="Z608" s="328" t="s">
        <v>319</v>
      </c>
    </row>
    <row r="609">
      <c r="A609" s="324" t="s">
        <v>1627</v>
      </c>
      <c r="B609" s="324" t="s">
        <v>1628</v>
      </c>
      <c r="C609" s="325">
        <v>46206.0</v>
      </c>
      <c r="D609" s="326">
        <v>3.0</v>
      </c>
      <c r="E609" s="326">
        <v>7.0</v>
      </c>
      <c r="F609" s="326">
        <v>2026.0</v>
      </c>
      <c r="G609" s="325">
        <v>46207.0</v>
      </c>
      <c r="H609" s="326">
        <v>4.0</v>
      </c>
      <c r="I609" s="326">
        <v>7.0</v>
      </c>
      <c r="J609" s="326">
        <v>2026.0</v>
      </c>
      <c r="K609" s="324" t="s">
        <v>38</v>
      </c>
      <c r="L609" s="324" t="s">
        <v>518</v>
      </c>
      <c r="M609" s="324">
        <v>1.0</v>
      </c>
      <c r="N609" s="324">
        <v>1.0</v>
      </c>
      <c r="O609" s="324">
        <v>2.0</v>
      </c>
      <c r="P609" s="325">
        <v>46208.01893518519</v>
      </c>
      <c r="Q609" s="327">
        <v>5.0</v>
      </c>
      <c r="R609" s="327">
        <v>7.0</v>
      </c>
      <c r="S609" s="326">
        <v>2026.0</v>
      </c>
      <c r="T609" s="324" t="s">
        <v>319</v>
      </c>
      <c r="U609" s="324">
        <v>29.75</v>
      </c>
      <c r="V609" s="325">
        <v>46208.01880787037</v>
      </c>
      <c r="W609" s="326">
        <v>5.0</v>
      </c>
      <c r="X609" s="326">
        <v>7.0</v>
      </c>
      <c r="Y609" s="326">
        <v>2026.0</v>
      </c>
      <c r="Z609" s="324" t="s">
        <v>319</v>
      </c>
    </row>
    <row r="610">
      <c r="A610" s="328" t="s">
        <v>1629</v>
      </c>
      <c r="B610" s="328" t="s">
        <v>1630</v>
      </c>
      <c r="C610" s="329">
        <v>46207.0</v>
      </c>
      <c r="D610" s="330">
        <v>4.0</v>
      </c>
      <c r="E610" s="330">
        <v>7.0</v>
      </c>
      <c r="F610" s="330">
        <v>2026.0</v>
      </c>
      <c r="G610" s="329">
        <v>46208.0</v>
      </c>
      <c r="H610" s="330">
        <v>5.0</v>
      </c>
      <c r="I610" s="330">
        <v>7.0</v>
      </c>
      <c r="J610" s="330">
        <v>2026.0</v>
      </c>
      <c r="K610" s="328" t="s">
        <v>38</v>
      </c>
      <c r="L610" s="328" t="s">
        <v>518</v>
      </c>
      <c r="M610" s="328">
        <v>1.0</v>
      </c>
      <c r="N610" s="328">
        <v>1.0</v>
      </c>
      <c r="O610" s="328">
        <v>2.0</v>
      </c>
      <c r="P610" s="329">
        <v>46208.02292824074</v>
      </c>
      <c r="Q610" s="331">
        <v>5.0</v>
      </c>
      <c r="R610" s="331">
        <v>7.0</v>
      </c>
      <c r="S610" s="330">
        <v>2026.0</v>
      </c>
      <c r="T610" s="328" t="s">
        <v>352</v>
      </c>
      <c r="U610" s="328">
        <v>29.75</v>
      </c>
      <c r="V610" s="329">
        <v>46208.02292824074</v>
      </c>
      <c r="W610" s="330">
        <v>5.0</v>
      </c>
      <c r="X610" s="330">
        <v>7.0</v>
      </c>
      <c r="Y610" s="330">
        <v>2026.0</v>
      </c>
      <c r="Z610" s="328" t="s">
        <v>352</v>
      </c>
    </row>
    <row r="611">
      <c r="A611" s="328" t="s">
        <v>1631</v>
      </c>
      <c r="B611" s="328" t="s">
        <v>1632</v>
      </c>
      <c r="C611" s="329">
        <v>46208.0</v>
      </c>
      <c r="D611" s="330">
        <v>5.0</v>
      </c>
      <c r="E611" s="330">
        <v>7.0</v>
      </c>
      <c r="F611" s="330">
        <v>2026.0</v>
      </c>
      <c r="G611" s="329">
        <v>46209.0</v>
      </c>
      <c r="H611" s="330">
        <v>6.0</v>
      </c>
      <c r="I611" s="330">
        <v>7.0</v>
      </c>
      <c r="J611" s="330">
        <v>2026.0</v>
      </c>
      <c r="K611" s="328" t="s">
        <v>38</v>
      </c>
      <c r="L611" s="328" t="s">
        <v>518</v>
      </c>
      <c r="M611" s="328">
        <v>1.0</v>
      </c>
      <c r="N611" s="328">
        <v>1.0</v>
      </c>
      <c r="O611" s="328">
        <v>2.0</v>
      </c>
      <c r="P611" s="329">
        <v>46208.87530092592</v>
      </c>
      <c r="Q611" s="331">
        <v>5.0</v>
      </c>
      <c r="R611" s="331">
        <v>7.0</v>
      </c>
      <c r="S611" s="330">
        <v>2026.0</v>
      </c>
      <c r="T611" s="328" t="s">
        <v>319</v>
      </c>
      <c r="U611" s="328">
        <v>27.2</v>
      </c>
      <c r="V611" s="329">
        <v>46208.87530092592</v>
      </c>
      <c r="W611" s="330">
        <v>5.0</v>
      </c>
      <c r="X611" s="330">
        <v>7.0</v>
      </c>
      <c r="Y611" s="330">
        <v>2026.0</v>
      </c>
      <c r="Z611" s="328" t="s">
        <v>319</v>
      </c>
    </row>
    <row r="612">
      <c r="A612" s="328" t="s">
        <v>1633</v>
      </c>
      <c r="B612" s="328" t="s">
        <v>1634</v>
      </c>
      <c r="C612" s="329">
        <v>46206.0</v>
      </c>
      <c r="D612" s="330">
        <v>3.0</v>
      </c>
      <c r="E612" s="330">
        <v>7.0</v>
      </c>
      <c r="F612" s="330">
        <v>2026.0</v>
      </c>
      <c r="G612" s="329">
        <v>46209.0</v>
      </c>
      <c r="H612" s="330">
        <v>6.0</v>
      </c>
      <c r="I612" s="330">
        <v>7.0</v>
      </c>
      <c r="J612" s="330">
        <v>2026.0</v>
      </c>
      <c r="K612" s="328" t="s">
        <v>38</v>
      </c>
      <c r="L612" s="328" t="s">
        <v>518</v>
      </c>
      <c r="M612" s="328">
        <v>1.0</v>
      </c>
      <c r="N612" s="328">
        <v>3.0</v>
      </c>
      <c r="O612" s="328">
        <v>6.0</v>
      </c>
      <c r="P612" s="329">
        <v>46209.86278935185</v>
      </c>
      <c r="Q612" s="331">
        <v>6.0</v>
      </c>
      <c r="R612" s="331">
        <v>7.0</v>
      </c>
      <c r="S612" s="330">
        <v>2026.0</v>
      </c>
      <c r="T612" s="328" t="s">
        <v>319</v>
      </c>
      <c r="U612" s="328">
        <v>89.25</v>
      </c>
      <c r="V612" s="329">
        <v>46209.86278935185</v>
      </c>
      <c r="W612" s="330">
        <v>6.0</v>
      </c>
      <c r="X612" s="330">
        <v>7.0</v>
      </c>
      <c r="Y612" s="330">
        <v>2026.0</v>
      </c>
      <c r="Z612" s="328" t="s">
        <v>319</v>
      </c>
    </row>
    <row r="613">
      <c r="A613" s="328" t="s">
        <v>1635</v>
      </c>
      <c r="B613" s="328" t="s">
        <v>1636</v>
      </c>
      <c r="C613" s="329">
        <v>46208.0</v>
      </c>
      <c r="D613" s="330">
        <v>5.0</v>
      </c>
      <c r="E613" s="330">
        <v>7.0</v>
      </c>
      <c r="F613" s="330">
        <v>2026.0</v>
      </c>
      <c r="G613" s="329">
        <v>46209.0</v>
      </c>
      <c r="H613" s="330">
        <v>6.0</v>
      </c>
      <c r="I613" s="330">
        <v>7.0</v>
      </c>
      <c r="J613" s="330">
        <v>2026.0</v>
      </c>
      <c r="K613" s="328" t="s">
        <v>38</v>
      </c>
      <c r="L613" s="328" t="s">
        <v>518</v>
      </c>
      <c r="M613" s="328">
        <v>1.0</v>
      </c>
      <c r="N613" s="328">
        <v>1.0</v>
      </c>
      <c r="O613" s="328">
        <v>2.0</v>
      </c>
      <c r="P613" s="329">
        <v>46209.04146990741</v>
      </c>
      <c r="Q613" s="331">
        <v>6.0</v>
      </c>
      <c r="R613" s="331">
        <v>7.0</v>
      </c>
      <c r="S613" s="330">
        <v>2026.0</v>
      </c>
      <c r="T613" s="328" t="s">
        <v>319</v>
      </c>
      <c r="U613" s="328">
        <v>29.75</v>
      </c>
      <c r="V613" s="329">
        <v>46209.04146990741</v>
      </c>
      <c r="W613" s="330">
        <v>6.0</v>
      </c>
      <c r="X613" s="330">
        <v>7.0</v>
      </c>
      <c r="Y613" s="330">
        <v>2026.0</v>
      </c>
      <c r="Z613" s="328" t="s">
        <v>319</v>
      </c>
    </row>
    <row r="614">
      <c r="A614" s="328" t="s">
        <v>1637</v>
      </c>
      <c r="B614" s="328" t="s">
        <v>1638</v>
      </c>
      <c r="C614" s="329">
        <v>46208.0</v>
      </c>
      <c r="D614" s="330">
        <v>5.0</v>
      </c>
      <c r="E614" s="330">
        <v>7.0</v>
      </c>
      <c r="F614" s="330">
        <v>2026.0</v>
      </c>
      <c r="G614" s="329">
        <v>46209.0</v>
      </c>
      <c r="H614" s="330">
        <v>6.0</v>
      </c>
      <c r="I614" s="330">
        <v>7.0</v>
      </c>
      <c r="J614" s="330">
        <v>2026.0</v>
      </c>
      <c r="K614" s="328" t="s">
        <v>38</v>
      </c>
      <c r="L614" s="328" t="s">
        <v>518</v>
      </c>
      <c r="M614" s="328">
        <v>1.0</v>
      </c>
      <c r="N614" s="328">
        <v>1.0</v>
      </c>
      <c r="O614" s="328">
        <v>2.0</v>
      </c>
      <c r="P614" s="329">
        <v>46209.44326388889</v>
      </c>
      <c r="Q614" s="331">
        <v>6.0</v>
      </c>
      <c r="R614" s="331">
        <v>7.0</v>
      </c>
      <c r="S614" s="330">
        <v>2026.0</v>
      </c>
      <c r="T614" s="328" t="s">
        <v>319</v>
      </c>
      <c r="U614" s="328">
        <v>29.75</v>
      </c>
      <c r="V614" s="329">
        <v>46209.44326388889</v>
      </c>
      <c r="W614" s="330">
        <v>6.0</v>
      </c>
      <c r="X614" s="330">
        <v>7.0</v>
      </c>
      <c r="Y614" s="330">
        <v>2026.0</v>
      </c>
      <c r="Z614" s="328" t="s">
        <v>319</v>
      </c>
    </row>
    <row r="615">
      <c r="A615" s="328" t="s">
        <v>1639</v>
      </c>
      <c r="B615" s="328" t="s">
        <v>1640</v>
      </c>
      <c r="C615" s="329">
        <v>46208.0</v>
      </c>
      <c r="D615" s="330">
        <v>5.0</v>
      </c>
      <c r="E615" s="330">
        <v>7.0</v>
      </c>
      <c r="F615" s="330">
        <v>2026.0</v>
      </c>
      <c r="G615" s="329">
        <v>46210.0</v>
      </c>
      <c r="H615" s="330">
        <v>7.0</v>
      </c>
      <c r="I615" s="330">
        <v>7.0</v>
      </c>
      <c r="J615" s="330">
        <v>2026.0</v>
      </c>
      <c r="K615" s="328" t="s">
        <v>38</v>
      </c>
      <c r="L615" s="328" t="s">
        <v>518</v>
      </c>
      <c r="M615" s="328">
        <v>1.0</v>
      </c>
      <c r="N615" s="328">
        <v>2.0</v>
      </c>
      <c r="O615" s="328">
        <v>4.0</v>
      </c>
      <c r="P615" s="329">
        <v>46209.86399305556</v>
      </c>
      <c r="Q615" s="331">
        <v>6.0</v>
      </c>
      <c r="R615" s="331">
        <v>7.0</v>
      </c>
      <c r="S615" s="330">
        <v>2026.0</v>
      </c>
      <c r="T615" s="328" t="s">
        <v>319</v>
      </c>
      <c r="U615" s="328">
        <v>59.5</v>
      </c>
      <c r="V615" s="329">
        <v>46209.86399305556</v>
      </c>
      <c r="W615" s="330">
        <v>6.0</v>
      </c>
      <c r="X615" s="330">
        <v>7.0</v>
      </c>
      <c r="Y615" s="330">
        <v>2026.0</v>
      </c>
      <c r="Z615" s="328" t="s">
        <v>319</v>
      </c>
    </row>
    <row r="616">
      <c r="A616" s="328" t="s">
        <v>1642</v>
      </c>
      <c r="B616" s="328" t="s">
        <v>1643</v>
      </c>
      <c r="C616" s="329">
        <v>46208.0</v>
      </c>
      <c r="D616" s="330">
        <v>5.0</v>
      </c>
      <c r="E616" s="330">
        <v>7.0</v>
      </c>
      <c r="F616" s="330">
        <v>2026.0</v>
      </c>
      <c r="G616" s="329">
        <v>46210.0</v>
      </c>
      <c r="H616" s="330">
        <v>7.0</v>
      </c>
      <c r="I616" s="330">
        <v>7.0</v>
      </c>
      <c r="J616" s="330">
        <v>2026.0</v>
      </c>
      <c r="K616" s="328" t="s">
        <v>38</v>
      </c>
      <c r="L616" s="328" t="s">
        <v>518</v>
      </c>
      <c r="M616" s="328">
        <v>1.0</v>
      </c>
      <c r="N616" s="328">
        <v>2.0</v>
      </c>
      <c r="O616" s="328">
        <v>4.0</v>
      </c>
      <c r="P616" s="329">
        <v>46210.05886574074</v>
      </c>
      <c r="Q616" s="331">
        <v>7.0</v>
      </c>
      <c r="R616" s="331">
        <v>7.0</v>
      </c>
      <c r="S616" s="330">
        <v>2026.0</v>
      </c>
      <c r="T616" s="328" t="s">
        <v>319</v>
      </c>
      <c r="U616" s="328">
        <v>59.5</v>
      </c>
      <c r="V616" s="329">
        <v>46210.05886574074</v>
      </c>
      <c r="W616" s="330">
        <v>7.0</v>
      </c>
      <c r="X616" s="330">
        <v>7.0</v>
      </c>
      <c r="Y616" s="330">
        <v>2026.0</v>
      </c>
      <c r="Z616" s="328" t="s">
        <v>319</v>
      </c>
    </row>
    <row r="617">
      <c r="A617" s="328" t="s">
        <v>1644</v>
      </c>
      <c r="B617" s="328" t="s">
        <v>1645</v>
      </c>
      <c r="C617" s="329">
        <v>46208.0</v>
      </c>
      <c r="D617" s="330">
        <v>5.0</v>
      </c>
      <c r="E617" s="330">
        <v>7.0</v>
      </c>
      <c r="F617" s="330">
        <v>2026.0</v>
      </c>
      <c r="G617" s="329">
        <v>46209.0</v>
      </c>
      <c r="H617" s="330">
        <v>6.0</v>
      </c>
      <c r="I617" s="330">
        <v>7.0</v>
      </c>
      <c r="J617" s="330">
        <v>2026.0</v>
      </c>
      <c r="K617" s="328" t="s">
        <v>38</v>
      </c>
      <c r="L617" s="328" t="s">
        <v>518</v>
      </c>
      <c r="M617" s="328">
        <v>1.0</v>
      </c>
      <c r="N617" s="328">
        <v>1.0</v>
      </c>
      <c r="O617" s="328">
        <v>2.0</v>
      </c>
      <c r="P617" s="329">
        <v>46210.77171296296</v>
      </c>
      <c r="Q617" s="331">
        <v>7.0</v>
      </c>
      <c r="R617" s="331">
        <v>7.0</v>
      </c>
      <c r="S617" s="330">
        <v>2026.0</v>
      </c>
      <c r="T617" s="328" t="s">
        <v>319</v>
      </c>
      <c r="U617" s="328">
        <v>29.75</v>
      </c>
      <c r="V617" s="329">
        <v>46210.77171296296</v>
      </c>
      <c r="W617" s="330">
        <v>7.0</v>
      </c>
      <c r="X617" s="330">
        <v>7.0</v>
      </c>
      <c r="Y617" s="330">
        <v>2026.0</v>
      </c>
      <c r="Z617" s="328" t="s">
        <v>319</v>
      </c>
    </row>
    <row r="618">
      <c r="A618" s="328" t="s">
        <v>1646</v>
      </c>
      <c r="B618" s="328" t="s">
        <v>1647</v>
      </c>
      <c r="C618" s="329">
        <v>46209.0</v>
      </c>
      <c r="D618" s="330">
        <v>6.0</v>
      </c>
      <c r="E618" s="330">
        <v>7.0</v>
      </c>
      <c r="F618" s="330">
        <v>2026.0</v>
      </c>
      <c r="G618" s="329">
        <v>46215.0</v>
      </c>
      <c r="H618" s="330">
        <v>12.0</v>
      </c>
      <c r="I618" s="330">
        <v>7.0</v>
      </c>
      <c r="J618" s="330">
        <v>2026.0</v>
      </c>
      <c r="K618" s="328" t="s">
        <v>38</v>
      </c>
      <c r="L618" s="328" t="s">
        <v>518</v>
      </c>
      <c r="M618" s="328">
        <v>1.0</v>
      </c>
      <c r="N618" s="328">
        <v>6.0</v>
      </c>
      <c r="O618" s="328">
        <v>12.0</v>
      </c>
      <c r="P618" s="329">
        <v>46210.02997685185</v>
      </c>
      <c r="Q618" s="331">
        <v>7.0</v>
      </c>
      <c r="R618" s="331">
        <v>7.0</v>
      </c>
      <c r="S618" s="330">
        <v>2026.0</v>
      </c>
      <c r="T618" s="328" t="s">
        <v>319</v>
      </c>
      <c r="U618" s="328">
        <v>195.5</v>
      </c>
      <c r="V618" s="329">
        <v>46210.02997685185</v>
      </c>
      <c r="W618" s="330">
        <v>7.0</v>
      </c>
      <c r="X618" s="330">
        <v>7.0</v>
      </c>
      <c r="Y618" s="330">
        <v>2026.0</v>
      </c>
      <c r="Z618" s="328" t="s">
        <v>319</v>
      </c>
    </row>
    <row r="619">
      <c r="A619" s="328" t="s">
        <v>1648</v>
      </c>
      <c r="B619" s="328" t="s">
        <v>1649</v>
      </c>
      <c r="C619" s="329">
        <v>46209.0</v>
      </c>
      <c r="D619" s="330">
        <v>6.0</v>
      </c>
      <c r="E619" s="330">
        <v>7.0</v>
      </c>
      <c r="F619" s="330">
        <v>2026.0</v>
      </c>
      <c r="G619" s="329">
        <v>46210.0</v>
      </c>
      <c r="H619" s="330">
        <v>7.0</v>
      </c>
      <c r="I619" s="330">
        <v>7.0</v>
      </c>
      <c r="J619" s="330">
        <v>2026.0</v>
      </c>
      <c r="K619" s="328" t="s">
        <v>38</v>
      </c>
      <c r="L619" s="328" t="s">
        <v>518</v>
      </c>
      <c r="M619" s="328">
        <v>1.0</v>
      </c>
      <c r="N619" s="328">
        <v>1.0</v>
      </c>
      <c r="O619" s="328">
        <v>2.0</v>
      </c>
      <c r="P619" s="329">
        <v>46210.03192129629</v>
      </c>
      <c r="Q619" s="331">
        <v>7.0</v>
      </c>
      <c r="R619" s="331">
        <v>7.0</v>
      </c>
      <c r="S619" s="330">
        <v>2026.0</v>
      </c>
      <c r="T619" s="328" t="s">
        <v>319</v>
      </c>
      <c r="U619" s="328">
        <v>29.75</v>
      </c>
      <c r="V619" s="329">
        <v>46210.03192129629</v>
      </c>
      <c r="W619" s="330">
        <v>7.0</v>
      </c>
      <c r="X619" s="330">
        <v>7.0</v>
      </c>
      <c r="Y619" s="330">
        <v>2026.0</v>
      </c>
      <c r="Z619" s="328" t="s">
        <v>319</v>
      </c>
    </row>
    <row r="620">
      <c r="A620" s="328" t="s">
        <v>1650</v>
      </c>
      <c r="B620" s="328" t="s">
        <v>1651</v>
      </c>
      <c r="C620" s="329">
        <v>46209.0</v>
      </c>
      <c r="D620" s="330">
        <v>6.0</v>
      </c>
      <c r="E620" s="330">
        <v>7.0</v>
      </c>
      <c r="F620" s="330">
        <v>2026.0</v>
      </c>
      <c r="G620" s="329">
        <v>46212.0</v>
      </c>
      <c r="H620" s="330">
        <v>9.0</v>
      </c>
      <c r="I620" s="330">
        <v>7.0</v>
      </c>
      <c r="J620" s="330">
        <v>2026.0</v>
      </c>
      <c r="K620" s="328" t="s">
        <v>38</v>
      </c>
      <c r="L620" s="328" t="s">
        <v>518</v>
      </c>
      <c r="M620" s="328">
        <v>1.0</v>
      </c>
      <c r="N620" s="328">
        <v>3.0</v>
      </c>
      <c r="O620" s="328">
        <v>6.0</v>
      </c>
      <c r="P620" s="329">
        <v>46210.747719907406</v>
      </c>
      <c r="Q620" s="331">
        <v>7.0</v>
      </c>
      <c r="R620" s="331">
        <v>7.0</v>
      </c>
      <c r="S620" s="330">
        <v>2026.0</v>
      </c>
      <c r="T620" s="328" t="s">
        <v>319</v>
      </c>
      <c r="U620" s="328">
        <v>89.25</v>
      </c>
      <c r="V620" s="329">
        <v>46210.747719907406</v>
      </c>
      <c r="W620" s="330">
        <v>7.0</v>
      </c>
      <c r="X620" s="330">
        <v>7.0</v>
      </c>
      <c r="Y620" s="330">
        <v>2026.0</v>
      </c>
      <c r="Z620" s="328" t="s">
        <v>319</v>
      </c>
    </row>
    <row r="621">
      <c r="A621" s="328" t="s">
        <v>1652</v>
      </c>
      <c r="B621" s="328" t="s">
        <v>1653</v>
      </c>
      <c r="C621" s="329">
        <v>46209.0</v>
      </c>
      <c r="D621" s="330">
        <v>6.0</v>
      </c>
      <c r="E621" s="330">
        <v>7.0</v>
      </c>
      <c r="F621" s="330">
        <v>2026.0</v>
      </c>
      <c r="G621" s="329">
        <v>46211.0</v>
      </c>
      <c r="H621" s="330">
        <v>8.0</v>
      </c>
      <c r="I621" s="330">
        <v>7.0</v>
      </c>
      <c r="J621" s="330">
        <v>2026.0</v>
      </c>
      <c r="K621" s="328" t="s">
        <v>38</v>
      </c>
      <c r="L621" s="328" t="s">
        <v>518</v>
      </c>
      <c r="M621" s="328">
        <v>1.0</v>
      </c>
      <c r="N621" s="328">
        <v>2.0</v>
      </c>
      <c r="O621" s="328">
        <v>4.0</v>
      </c>
      <c r="P621" s="329">
        <v>46210.74246527778</v>
      </c>
      <c r="Q621" s="331">
        <v>7.0</v>
      </c>
      <c r="R621" s="331">
        <v>7.0</v>
      </c>
      <c r="S621" s="330">
        <v>2026.0</v>
      </c>
      <c r="T621" s="328" t="s">
        <v>319</v>
      </c>
      <c r="U621" s="328">
        <v>59.5</v>
      </c>
      <c r="V621" s="329">
        <v>46210.74246527778</v>
      </c>
      <c r="W621" s="330">
        <v>7.0</v>
      </c>
      <c r="X621" s="330">
        <v>7.0</v>
      </c>
      <c r="Y621" s="330">
        <v>2026.0</v>
      </c>
      <c r="Z621" s="328" t="s">
        <v>319</v>
      </c>
    </row>
    <row r="622">
      <c r="A622" s="328" t="s">
        <v>1654</v>
      </c>
      <c r="B622" s="328" t="s">
        <v>1655</v>
      </c>
      <c r="C622" s="329">
        <v>46210.0</v>
      </c>
      <c r="D622" s="330">
        <v>7.0</v>
      </c>
      <c r="E622" s="330">
        <v>7.0</v>
      </c>
      <c r="F622" s="330">
        <v>2026.0</v>
      </c>
      <c r="G622" s="329">
        <v>46211.0</v>
      </c>
      <c r="H622" s="330">
        <v>8.0</v>
      </c>
      <c r="I622" s="330">
        <v>7.0</v>
      </c>
      <c r="J622" s="330">
        <v>2026.0</v>
      </c>
      <c r="K622" s="328" t="s">
        <v>38</v>
      </c>
      <c r="L622" s="328" t="s">
        <v>518</v>
      </c>
      <c r="M622" s="328">
        <v>1.0</v>
      </c>
      <c r="N622" s="328">
        <v>1.0</v>
      </c>
      <c r="O622" s="328">
        <v>2.0</v>
      </c>
      <c r="P622" s="329">
        <v>46210.75664351852</v>
      </c>
      <c r="Q622" s="331">
        <v>7.0</v>
      </c>
      <c r="R622" s="331">
        <v>7.0</v>
      </c>
      <c r="S622" s="330">
        <v>2026.0</v>
      </c>
      <c r="T622" s="328" t="s">
        <v>319</v>
      </c>
      <c r="U622" s="328">
        <v>35.7</v>
      </c>
      <c r="V622" s="329">
        <v>46210.75664351852</v>
      </c>
      <c r="W622" s="330">
        <v>7.0</v>
      </c>
      <c r="X622" s="330">
        <v>7.0</v>
      </c>
      <c r="Y622" s="330">
        <v>2026.0</v>
      </c>
      <c r="Z622" s="328" t="s">
        <v>319</v>
      </c>
    </row>
    <row r="623">
      <c r="A623" s="328" t="s">
        <v>1656</v>
      </c>
      <c r="B623" s="328" t="s">
        <v>1657</v>
      </c>
      <c r="C623" s="329">
        <v>46209.0</v>
      </c>
      <c r="D623" s="330">
        <v>6.0</v>
      </c>
      <c r="E623" s="330">
        <v>7.0</v>
      </c>
      <c r="F623" s="330">
        <v>2026.0</v>
      </c>
      <c r="G623" s="329">
        <v>46212.0</v>
      </c>
      <c r="H623" s="330">
        <v>9.0</v>
      </c>
      <c r="I623" s="330">
        <v>7.0</v>
      </c>
      <c r="J623" s="330">
        <v>2026.0</v>
      </c>
      <c r="K623" s="328" t="s">
        <v>38</v>
      </c>
      <c r="L623" s="328" t="s">
        <v>518</v>
      </c>
      <c r="M623" s="328">
        <v>1.0</v>
      </c>
      <c r="N623" s="328">
        <v>3.0</v>
      </c>
      <c r="O623" s="328">
        <v>6.0</v>
      </c>
      <c r="P623" s="329">
        <v>46211.4715625</v>
      </c>
      <c r="Q623" s="331">
        <v>8.0</v>
      </c>
      <c r="R623" s="331">
        <v>7.0</v>
      </c>
      <c r="S623" s="330">
        <v>2026.0</v>
      </c>
      <c r="T623" s="328" t="s">
        <v>319</v>
      </c>
      <c r="U623" s="328">
        <v>89.25</v>
      </c>
      <c r="V623" s="329">
        <v>46211.4715625</v>
      </c>
      <c r="W623" s="330">
        <v>8.0</v>
      </c>
      <c r="X623" s="330">
        <v>7.0</v>
      </c>
      <c r="Y623" s="330">
        <v>2026.0</v>
      </c>
      <c r="Z623" s="328" t="s">
        <v>319</v>
      </c>
    </row>
    <row r="624">
      <c r="A624" s="328" t="s">
        <v>1658</v>
      </c>
      <c r="B624" s="328" t="s">
        <v>1659</v>
      </c>
      <c r="C624" s="329">
        <v>46210.0</v>
      </c>
      <c r="D624" s="330">
        <v>7.0</v>
      </c>
      <c r="E624" s="330">
        <v>7.0</v>
      </c>
      <c r="F624" s="330">
        <v>2026.0</v>
      </c>
      <c r="G624" s="329">
        <v>46211.0</v>
      </c>
      <c r="H624" s="330">
        <v>8.0</v>
      </c>
      <c r="I624" s="330">
        <v>7.0</v>
      </c>
      <c r="J624" s="330">
        <v>2026.0</v>
      </c>
      <c r="K624" s="328" t="s">
        <v>38</v>
      </c>
      <c r="L624" s="328" t="s">
        <v>518</v>
      </c>
      <c r="M624" s="328">
        <v>1.0</v>
      </c>
      <c r="N624" s="328">
        <v>1.0</v>
      </c>
      <c r="O624" s="328">
        <v>2.0</v>
      </c>
      <c r="P624" s="329">
        <v>46211.30892361111</v>
      </c>
      <c r="Q624" s="331">
        <v>8.0</v>
      </c>
      <c r="R624" s="331">
        <v>7.0</v>
      </c>
      <c r="S624" s="330">
        <v>2026.0</v>
      </c>
      <c r="T624" s="328" t="s">
        <v>319</v>
      </c>
      <c r="U624" s="328">
        <v>29.75</v>
      </c>
      <c r="V624" s="329">
        <v>46211.30892361111</v>
      </c>
      <c r="W624" s="330">
        <v>8.0</v>
      </c>
      <c r="X624" s="330">
        <v>7.0</v>
      </c>
      <c r="Y624" s="330">
        <v>2026.0</v>
      </c>
      <c r="Z624" s="328" t="s">
        <v>319</v>
      </c>
    </row>
    <row r="625">
      <c r="A625" s="328" t="s">
        <v>1648</v>
      </c>
      <c r="B625" s="328" t="s">
        <v>1660</v>
      </c>
      <c r="C625" s="329">
        <v>46211.0</v>
      </c>
      <c r="D625" s="330">
        <v>8.0</v>
      </c>
      <c r="E625" s="330">
        <v>7.0</v>
      </c>
      <c r="F625" s="330">
        <v>2026.0</v>
      </c>
      <c r="G625" s="329">
        <v>46212.0</v>
      </c>
      <c r="H625" s="330">
        <v>9.0</v>
      </c>
      <c r="I625" s="330">
        <v>7.0</v>
      </c>
      <c r="J625" s="330">
        <v>2026.0</v>
      </c>
      <c r="K625" s="328" t="s">
        <v>38</v>
      </c>
      <c r="L625" s="328" t="s">
        <v>518</v>
      </c>
      <c r="M625" s="328">
        <v>1.0</v>
      </c>
      <c r="N625" s="328">
        <v>1.0</v>
      </c>
      <c r="O625" s="328">
        <v>2.0</v>
      </c>
      <c r="P625" s="329">
        <v>46211.8275462963</v>
      </c>
      <c r="Q625" s="331">
        <v>8.0</v>
      </c>
      <c r="R625" s="331">
        <v>7.0</v>
      </c>
      <c r="S625" s="330">
        <v>2026.0</v>
      </c>
      <c r="T625" s="328" t="s">
        <v>319</v>
      </c>
      <c r="U625" s="328">
        <v>29.75</v>
      </c>
      <c r="V625" s="329">
        <v>46211.8275462963</v>
      </c>
      <c r="W625" s="330">
        <v>8.0</v>
      </c>
      <c r="X625" s="330">
        <v>7.0</v>
      </c>
      <c r="Y625" s="330">
        <v>2026.0</v>
      </c>
      <c r="Z625" s="328" t="s">
        <v>319</v>
      </c>
    </row>
    <row r="626">
      <c r="A626" s="328" t="s">
        <v>1346</v>
      </c>
      <c r="B626" s="328" t="s">
        <v>1661</v>
      </c>
      <c r="C626" s="329">
        <v>46211.0</v>
      </c>
      <c r="D626" s="330">
        <v>8.0</v>
      </c>
      <c r="E626" s="330">
        <v>7.0</v>
      </c>
      <c r="F626" s="330">
        <v>2026.0</v>
      </c>
      <c r="G626" s="329">
        <v>46212.0</v>
      </c>
      <c r="H626" s="330">
        <v>9.0</v>
      </c>
      <c r="I626" s="330">
        <v>7.0</v>
      </c>
      <c r="J626" s="330">
        <v>2026.0</v>
      </c>
      <c r="K626" s="328" t="s">
        <v>38</v>
      </c>
      <c r="L626" s="328" t="s">
        <v>518</v>
      </c>
      <c r="M626" s="328">
        <v>1.0</v>
      </c>
      <c r="N626" s="328">
        <v>1.0</v>
      </c>
      <c r="O626" s="328">
        <v>2.0</v>
      </c>
      <c r="P626" s="329">
        <v>46211.83116898148</v>
      </c>
      <c r="Q626" s="331">
        <v>8.0</v>
      </c>
      <c r="R626" s="331">
        <v>7.0</v>
      </c>
      <c r="S626" s="330">
        <v>2026.0</v>
      </c>
      <c r="T626" s="328" t="s">
        <v>319</v>
      </c>
      <c r="U626" s="328">
        <v>46.75</v>
      </c>
      <c r="V626" s="329">
        <v>46211.83116898148</v>
      </c>
      <c r="W626" s="330">
        <v>8.0</v>
      </c>
      <c r="X626" s="330">
        <v>7.0</v>
      </c>
      <c r="Y626" s="330">
        <v>2026.0</v>
      </c>
      <c r="Z626" s="328" t="s">
        <v>319</v>
      </c>
    </row>
    <row r="627">
      <c r="A627" s="328" t="s">
        <v>1639</v>
      </c>
      <c r="B627" s="328" t="s">
        <v>1662</v>
      </c>
      <c r="C627" s="329">
        <v>46210.0</v>
      </c>
      <c r="D627" s="330">
        <v>7.0</v>
      </c>
      <c r="E627" s="330">
        <v>7.0</v>
      </c>
      <c r="F627" s="330">
        <v>2026.0</v>
      </c>
      <c r="G627" s="329">
        <v>46212.0</v>
      </c>
      <c r="H627" s="330">
        <v>9.0</v>
      </c>
      <c r="I627" s="330">
        <v>7.0</v>
      </c>
      <c r="J627" s="330">
        <v>2026.0</v>
      </c>
      <c r="K627" s="328" t="s">
        <v>38</v>
      </c>
      <c r="L627" s="328" t="s">
        <v>518</v>
      </c>
      <c r="M627" s="328">
        <v>1.0</v>
      </c>
      <c r="N627" s="328">
        <v>2.0</v>
      </c>
      <c r="O627" s="328">
        <v>4.0</v>
      </c>
      <c r="P627" s="329">
        <v>46212.18549768518</v>
      </c>
      <c r="Q627" s="331">
        <v>9.0</v>
      </c>
      <c r="R627" s="331">
        <v>7.0</v>
      </c>
      <c r="S627" s="330">
        <v>2026.0</v>
      </c>
      <c r="T627" s="328" t="s">
        <v>319</v>
      </c>
      <c r="U627" s="328">
        <v>76.5</v>
      </c>
      <c r="V627" s="329">
        <v>46212.18549768518</v>
      </c>
      <c r="W627" s="330">
        <v>9.0</v>
      </c>
      <c r="X627" s="330">
        <v>7.0</v>
      </c>
      <c r="Y627" s="330">
        <v>2026.0</v>
      </c>
      <c r="Z627" s="328" t="s">
        <v>319</v>
      </c>
    </row>
    <row r="628">
      <c r="A628" s="328" t="s">
        <v>1663</v>
      </c>
      <c r="B628" s="328" t="s">
        <v>1664</v>
      </c>
      <c r="C628" s="329">
        <v>46212.0</v>
      </c>
      <c r="D628" s="330">
        <v>9.0</v>
      </c>
      <c r="E628" s="330">
        <v>7.0</v>
      </c>
      <c r="F628" s="330">
        <v>2026.0</v>
      </c>
      <c r="G628" s="329">
        <v>46216.0</v>
      </c>
      <c r="H628" s="330">
        <v>13.0</v>
      </c>
      <c r="I628" s="330">
        <v>7.0</v>
      </c>
      <c r="J628" s="330">
        <v>2026.0</v>
      </c>
      <c r="K628" s="328" t="s">
        <v>38</v>
      </c>
      <c r="L628" s="328" t="s">
        <v>518</v>
      </c>
      <c r="M628" s="328">
        <v>1.0</v>
      </c>
      <c r="N628" s="328">
        <v>4.0</v>
      </c>
      <c r="O628" s="328">
        <v>8.0</v>
      </c>
      <c r="P628" s="329">
        <v>46212.930439814816</v>
      </c>
      <c r="Q628" s="331">
        <v>9.0</v>
      </c>
      <c r="R628" s="331">
        <v>7.0</v>
      </c>
      <c r="S628" s="330">
        <v>2026.0</v>
      </c>
      <c r="T628" s="328" t="s">
        <v>10</v>
      </c>
      <c r="U628" s="328">
        <v>153.0</v>
      </c>
      <c r="V628" s="329">
        <v>46212.930439814816</v>
      </c>
      <c r="W628" s="330">
        <v>9.0</v>
      </c>
      <c r="X628" s="330">
        <v>7.0</v>
      </c>
      <c r="Y628" s="330">
        <v>2026.0</v>
      </c>
      <c r="Z628" s="328" t="s">
        <v>10</v>
      </c>
    </row>
    <row r="629">
      <c r="A629" s="324" t="s">
        <v>1665</v>
      </c>
      <c r="B629" s="324" t="s">
        <v>1666</v>
      </c>
      <c r="C629" s="325">
        <v>46212.0</v>
      </c>
      <c r="D629" s="326">
        <v>9.0</v>
      </c>
      <c r="E629" s="326">
        <v>7.0</v>
      </c>
      <c r="F629" s="326">
        <v>2026.0</v>
      </c>
      <c r="G629" s="325">
        <v>46213.0</v>
      </c>
      <c r="H629" s="326">
        <v>10.0</v>
      </c>
      <c r="I629" s="326">
        <v>7.0</v>
      </c>
      <c r="J629" s="326">
        <v>2026.0</v>
      </c>
      <c r="K629" s="324" t="s">
        <v>38</v>
      </c>
      <c r="L629" s="324" t="s">
        <v>518</v>
      </c>
      <c r="M629" s="324">
        <v>1.0</v>
      </c>
      <c r="N629" s="324">
        <v>1.0</v>
      </c>
      <c r="O629" s="324">
        <v>2.0</v>
      </c>
      <c r="P629" s="325">
        <v>46213.416354166664</v>
      </c>
      <c r="Q629" s="327">
        <v>10.0</v>
      </c>
      <c r="R629" s="327">
        <v>7.0</v>
      </c>
      <c r="S629" s="326">
        <v>2026.0</v>
      </c>
      <c r="T629" s="324" t="s">
        <v>352</v>
      </c>
      <c r="U629" s="324">
        <v>29.75</v>
      </c>
      <c r="V629" s="325">
        <v>46213.41540509259</v>
      </c>
      <c r="W629" s="326">
        <v>10.0</v>
      </c>
      <c r="X629" s="326">
        <v>7.0</v>
      </c>
      <c r="Y629" s="326">
        <v>2026.0</v>
      </c>
      <c r="Z629" s="324" t="s">
        <v>352</v>
      </c>
      <c r="AA629" s="265"/>
      <c r="AB629" s="265"/>
    </row>
    <row r="630">
      <c r="A630" s="328" t="s">
        <v>1667</v>
      </c>
      <c r="B630" s="328" t="s">
        <v>1668</v>
      </c>
      <c r="C630" s="329">
        <v>46212.0</v>
      </c>
      <c r="D630" s="330">
        <v>9.0</v>
      </c>
      <c r="E630" s="330">
        <v>7.0</v>
      </c>
      <c r="F630" s="330">
        <v>2026.0</v>
      </c>
      <c r="G630" s="329">
        <v>46213.0</v>
      </c>
      <c r="H630" s="330">
        <v>10.0</v>
      </c>
      <c r="I630" s="330">
        <v>7.0</v>
      </c>
      <c r="J630" s="330">
        <v>2026.0</v>
      </c>
      <c r="K630" s="328" t="s">
        <v>38</v>
      </c>
      <c r="L630" s="328" t="s">
        <v>518</v>
      </c>
      <c r="M630" s="328">
        <v>1.0</v>
      </c>
      <c r="N630" s="328">
        <v>1.0</v>
      </c>
      <c r="O630" s="328">
        <v>2.0</v>
      </c>
      <c r="P630" s="329">
        <v>46213.3734837963</v>
      </c>
      <c r="Q630" s="331">
        <v>10.0</v>
      </c>
      <c r="R630" s="331">
        <v>7.0</v>
      </c>
      <c r="S630" s="330">
        <v>2026.0</v>
      </c>
      <c r="T630" s="328" t="s">
        <v>319</v>
      </c>
      <c r="U630" s="328">
        <v>27.2</v>
      </c>
      <c r="V630" s="329">
        <v>46213.372569444444</v>
      </c>
      <c r="W630" s="330">
        <v>10.0</v>
      </c>
      <c r="X630" s="330">
        <v>7.0</v>
      </c>
      <c r="Y630" s="330">
        <v>2026.0</v>
      </c>
      <c r="Z630" s="328" t="s">
        <v>319</v>
      </c>
    </row>
    <row r="631">
      <c r="A631" s="328" t="s">
        <v>1669</v>
      </c>
      <c r="B631" s="328" t="s">
        <v>1670</v>
      </c>
      <c r="C631" s="329">
        <v>46213.0</v>
      </c>
      <c r="D631" s="330">
        <v>10.0</v>
      </c>
      <c r="E631" s="330">
        <v>7.0</v>
      </c>
      <c r="F631" s="330">
        <v>2026.0</v>
      </c>
      <c r="G631" s="329">
        <v>46214.0</v>
      </c>
      <c r="H631" s="330">
        <v>11.0</v>
      </c>
      <c r="I631" s="330">
        <v>7.0</v>
      </c>
      <c r="J631" s="330">
        <v>2026.0</v>
      </c>
      <c r="K631" s="328" t="s">
        <v>38</v>
      </c>
      <c r="L631" s="328" t="s">
        <v>518</v>
      </c>
      <c r="M631" s="328">
        <v>1.0</v>
      </c>
      <c r="N631" s="328">
        <v>1.0</v>
      </c>
      <c r="O631" s="328">
        <v>2.0</v>
      </c>
      <c r="P631" s="329">
        <v>46213.907013888886</v>
      </c>
      <c r="Q631" s="331">
        <v>10.0</v>
      </c>
      <c r="R631" s="331">
        <v>7.0</v>
      </c>
      <c r="S631" s="330">
        <v>2026.0</v>
      </c>
      <c r="T631" s="328" t="s">
        <v>319</v>
      </c>
      <c r="U631" s="328">
        <v>29.75</v>
      </c>
      <c r="V631" s="329">
        <v>46213.907013888886</v>
      </c>
      <c r="W631" s="330">
        <v>10.0</v>
      </c>
      <c r="X631" s="330">
        <v>7.0</v>
      </c>
      <c r="Y631" s="330">
        <v>2026.0</v>
      </c>
      <c r="Z631" s="328" t="s">
        <v>319</v>
      </c>
    </row>
    <row r="632">
      <c r="A632" s="328" t="s">
        <v>1671</v>
      </c>
      <c r="B632" s="328" t="s">
        <v>1672</v>
      </c>
      <c r="C632" s="329">
        <v>46213.0</v>
      </c>
      <c r="D632" s="330">
        <v>10.0</v>
      </c>
      <c r="E632" s="330">
        <v>7.0</v>
      </c>
      <c r="F632" s="330">
        <v>2026.0</v>
      </c>
      <c r="G632" s="329">
        <v>46216.0</v>
      </c>
      <c r="H632" s="330">
        <v>13.0</v>
      </c>
      <c r="I632" s="330">
        <v>7.0</v>
      </c>
      <c r="J632" s="330">
        <v>2026.0</v>
      </c>
      <c r="K632" s="328" t="s">
        <v>38</v>
      </c>
      <c r="L632" s="328" t="s">
        <v>518</v>
      </c>
      <c r="M632" s="328">
        <v>1.0</v>
      </c>
      <c r="N632" s="328">
        <v>3.0</v>
      </c>
      <c r="O632" s="328">
        <v>6.0</v>
      </c>
      <c r="P632" s="329">
        <v>46213.90795138889</v>
      </c>
      <c r="Q632" s="331">
        <v>10.0</v>
      </c>
      <c r="R632" s="331">
        <v>7.0</v>
      </c>
      <c r="S632" s="330">
        <v>2026.0</v>
      </c>
      <c r="T632" s="328" t="s">
        <v>319</v>
      </c>
      <c r="U632" s="328">
        <v>101.15</v>
      </c>
      <c r="V632" s="329">
        <v>46213.664305555554</v>
      </c>
      <c r="W632" s="330">
        <v>10.0</v>
      </c>
      <c r="X632" s="330">
        <v>7.0</v>
      </c>
      <c r="Y632" s="330">
        <v>2026.0</v>
      </c>
      <c r="Z632" s="328" t="s">
        <v>319</v>
      </c>
    </row>
    <row r="633">
      <c r="A633" s="328" t="s">
        <v>1673</v>
      </c>
      <c r="B633" s="328" t="s">
        <v>1674</v>
      </c>
      <c r="C633" s="329">
        <v>46214.0</v>
      </c>
      <c r="D633" s="330">
        <v>11.0</v>
      </c>
      <c r="E633" s="330">
        <v>7.0</v>
      </c>
      <c r="F633" s="330">
        <v>2026.0</v>
      </c>
      <c r="G633" s="329">
        <v>46215.0</v>
      </c>
      <c r="H633" s="330">
        <v>12.0</v>
      </c>
      <c r="I633" s="330">
        <v>7.0</v>
      </c>
      <c r="J633" s="330">
        <v>2026.0</v>
      </c>
      <c r="K633" s="328" t="s">
        <v>38</v>
      </c>
      <c r="L633" s="328" t="s">
        <v>518</v>
      </c>
      <c r="M633" s="328">
        <v>1.0</v>
      </c>
      <c r="N633" s="328">
        <v>1.0</v>
      </c>
      <c r="O633" s="328">
        <v>2.0</v>
      </c>
      <c r="P633" s="329">
        <v>46215.01818287037</v>
      </c>
      <c r="Q633" s="331">
        <v>12.0</v>
      </c>
      <c r="R633" s="331">
        <v>7.0</v>
      </c>
      <c r="S633" s="330">
        <v>2026.0</v>
      </c>
      <c r="T633" s="328" t="s">
        <v>319</v>
      </c>
      <c r="U633" s="328">
        <v>35.7</v>
      </c>
      <c r="V633" s="329">
        <v>46215.01818287037</v>
      </c>
      <c r="W633" s="330">
        <v>12.0</v>
      </c>
      <c r="X633" s="330">
        <v>7.0</v>
      </c>
      <c r="Y633" s="330">
        <v>2026.0</v>
      </c>
      <c r="Z633" s="328" t="s">
        <v>319</v>
      </c>
    </row>
    <row r="634">
      <c r="A634" s="328" t="s">
        <v>1675</v>
      </c>
      <c r="B634" s="328" t="s">
        <v>1676</v>
      </c>
      <c r="C634" s="329">
        <v>46215.0</v>
      </c>
      <c r="D634" s="330">
        <v>12.0</v>
      </c>
      <c r="E634" s="330">
        <v>7.0</v>
      </c>
      <c r="F634" s="330">
        <v>2026.0</v>
      </c>
      <c r="G634" s="329">
        <v>46216.0</v>
      </c>
      <c r="H634" s="330">
        <v>13.0</v>
      </c>
      <c r="I634" s="330">
        <v>7.0</v>
      </c>
      <c r="J634" s="330">
        <v>2026.0</v>
      </c>
      <c r="K634" s="328" t="s">
        <v>38</v>
      </c>
      <c r="L634" s="328" t="s">
        <v>518</v>
      </c>
      <c r="M634" s="328">
        <v>1.0</v>
      </c>
      <c r="N634" s="328">
        <v>1.0</v>
      </c>
      <c r="O634" s="328">
        <v>2.0</v>
      </c>
      <c r="P634" s="329">
        <v>46215.86450231481</v>
      </c>
      <c r="Q634" s="331">
        <v>12.0</v>
      </c>
      <c r="R634" s="331">
        <v>7.0</v>
      </c>
      <c r="S634" s="330">
        <v>2026.0</v>
      </c>
      <c r="T634" s="328" t="s">
        <v>352</v>
      </c>
      <c r="U634" s="328">
        <v>29.75</v>
      </c>
      <c r="V634" s="329">
        <v>46215.86450231481</v>
      </c>
      <c r="W634" s="330">
        <v>12.0</v>
      </c>
      <c r="X634" s="330">
        <v>7.0</v>
      </c>
      <c r="Y634" s="330">
        <v>2026.0</v>
      </c>
      <c r="Z634" s="328" t="s">
        <v>352</v>
      </c>
    </row>
    <row r="635">
      <c r="A635" s="328" t="s">
        <v>1677</v>
      </c>
      <c r="B635" s="328" t="s">
        <v>1678</v>
      </c>
      <c r="C635" s="329">
        <v>46215.0</v>
      </c>
      <c r="D635" s="330">
        <v>12.0</v>
      </c>
      <c r="E635" s="330">
        <v>7.0</v>
      </c>
      <c r="F635" s="330">
        <v>2026.0</v>
      </c>
      <c r="G635" s="329">
        <v>46218.0</v>
      </c>
      <c r="H635" s="330">
        <v>15.0</v>
      </c>
      <c r="I635" s="330">
        <v>7.0</v>
      </c>
      <c r="J635" s="330">
        <v>2026.0</v>
      </c>
      <c r="K635" s="328" t="s">
        <v>38</v>
      </c>
      <c r="L635" s="328" t="s">
        <v>518</v>
      </c>
      <c r="M635" s="328">
        <v>1.0</v>
      </c>
      <c r="N635" s="328">
        <v>3.0</v>
      </c>
      <c r="O635" s="328">
        <v>6.0</v>
      </c>
      <c r="P635" s="329">
        <v>46215.76495370371</v>
      </c>
      <c r="Q635" s="331">
        <v>12.0</v>
      </c>
      <c r="R635" s="331">
        <v>7.0</v>
      </c>
      <c r="S635" s="330">
        <v>2026.0</v>
      </c>
      <c r="T635" s="328" t="s">
        <v>319</v>
      </c>
      <c r="U635" s="328">
        <v>106.25</v>
      </c>
      <c r="V635" s="329">
        <v>46215.76495370371</v>
      </c>
      <c r="W635" s="330">
        <v>12.0</v>
      </c>
      <c r="X635" s="330">
        <v>7.0</v>
      </c>
      <c r="Y635" s="330">
        <v>2026.0</v>
      </c>
      <c r="Z635" s="328" t="s">
        <v>319</v>
      </c>
    </row>
    <row r="636">
      <c r="A636" s="328" t="s">
        <v>1679</v>
      </c>
      <c r="B636" s="328" t="s">
        <v>1680</v>
      </c>
      <c r="C636" s="329">
        <v>46215.0</v>
      </c>
      <c r="D636" s="330">
        <v>12.0</v>
      </c>
      <c r="E636" s="330">
        <v>7.0</v>
      </c>
      <c r="F636" s="330">
        <v>2026.0</v>
      </c>
      <c r="G636" s="329">
        <v>46217.0</v>
      </c>
      <c r="H636" s="330">
        <v>14.0</v>
      </c>
      <c r="I636" s="330">
        <v>7.0</v>
      </c>
      <c r="J636" s="330">
        <v>2026.0</v>
      </c>
      <c r="K636" s="328" t="s">
        <v>38</v>
      </c>
      <c r="L636" s="328" t="s">
        <v>518</v>
      </c>
      <c r="M636" s="328">
        <v>1.0</v>
      </c>
      <c r="N636" s="328">
        <v>2.0</v>
      </c>
      <c r="O636" s="328">
        <v>4.0</v>
      </c>
      <c r="P636" s="329">
        <v>46215.705555555556</v>
      </c>
      <c r="Q636" s="331">
        <v>12.0</v>
      </c>
      <c r="R636" s="331">
        <v>7.0</v>
      </c>
      <c r="S636" s="330">
        <v>2026.0</v>
      </c>
      <c r="T636" s="328" t="s">
        <v>319</v>
      </c>
      <c r="U636" s="328">
        <v>65.45</v>
      </c>
      <c r="V636" s="329">
        <v>46215.705555555556</v>
      </c>
      <c r="W636" s="330">
        <v>12.0</v>
      </c>
      <c r="X636" s="330">
        <v>7.0</v>
      </c>
      <c r="Y636" s="330">
        <v>2026.0</v>
      </c>
      <c r="Z636" s="328" t="s">
        <v>319</v>
      </c>
    </row>
    <row r="637">
      <c r="A637" s="328" t="s">
        <v>1681</v>
      </c>
      <c r="B637" s="328" t="s">
        <v>1682</v>
      </c>
      <c r="C637" s="329">
        <v>46215.0</v>
      </c>
      <c r="D637" s="330">
        <v>12.0</v>
      </c>
      <c r="E637" s="330">
        <v>7.0</v>
      </c>
      <c r="F637" s="330">
        <v>2026.0</v>
      </c>
      <c r="G637" s="329">
        <v>46216.0</v>
      </c>
      <c r="H637" s="330">
        <v>13.0</v>
      </c>
      <c r="I637" s="330">
        <v>7.0</v>
      </c>
      <c r="J637" s="330">
        <v>2026.0</v>
      </c>
      <c r="K637" s="328" t="s">
        <v>38</v>
      </c>
      <c r="L637" s="328" t="s">
        <v>518</v>
      </c>
      <c r="M637" s="328">
        <v>1.0</v>
      </c>
      <c r="N637" s="328">
        <v>1.0</v>
      </c>
      <c r="O637" s="328">
        <v>2.0</v>
      </c>
      <c r="P637" s="329">
        <v>46215.94099537037</v>
      </c>
      <c r="Q637" s="331">
        <v>12.0</v>
      </c>
      <c r="R637" s="331">
        <v>7.0</v>
      </c>
      <c r="S637" s="330">
        <v>2026.0</v>
      </c>
      <c r="T637" s="328" t="s">
        <v>352</v>
      </c>
      <c r="U637" s="328">
        <v>29.75</v>
      </c>
      <c r="V637" s="329">
        <v>46215.94099537037</v>
      </c>
      <c r="W637" s="330">
        <v>12.0</v>
      </c>
      <c r="X637" s="330">
        <v>7.0</v>
      </c>
      <c r="Y637" s="330">
        <v>2026.0</v>
      </c>
      <c r="Z637" s="328" t="s">
        <v>352</v>
      </c>
    </row>
    <row r="638">
      <c r="A638" s="328" t="s">
        <v>1683</v>
      </c>
      <c r="B638" s="328" t="s">
        <v>1684</v>
      </c>
      <c r="C638" s="329">
        <v>46216.0</v>
      </c>
      <c r="D638" s="330">
        <v>13.0</v>
      </c>
      <c r="E638" s="330">
        <v>7.0</v>
      </c>
      <c r="F638" s="330">
        <v>2026.0</v>
      </c>
      <c r="G638" s="329">
        <v>46217.0</v>
      </c>
      <c r="H638" s="330">
        <v>14.0</v>
      </c>
      <c r="I638" s="330">
        <v>7.0</v>
      </c>
      <c r="J638" s="330">
        <v>2026.0</v>
      </c>
      <c r="K638" s="328" t="s">
        <v>38</v>
      </c>
      <c r="L638" s="328" t="s">
        <v>518</v>
      </c>
      <c r="M638" s="328">
        <v>1.0</v>
      </c>
      <c r="N638" s="328">
        <v>1.0</v>
      </c>
      <c r="O638" s="328">
        <v>2.0</v>
      </c>
      <c r="P638" s="329">
        <v>46216.88086805555</v>
      </c>
      <c r="Q638" s="331">
        <v>13.0</v>
      </c>
      <c r="R638" s="331">
        <v>7.0</v>
      </c>
      <c r="S638" s="330">
        <v>2026.0</v>
      </c>
      <c r="T638" s="328" t="s">
        <v>352</v>
      </c>
      <c r="U638" s="328">
        <v>38.25</v>
      </c>
      <c r="V638" s="329">
        <v>46216.88086805555</v>
      </c>
      <c r="W638" s="330">
        <v>13.0</v>
      </c>
      <c r="X638" s="330">
        <v>7.0</v>
      </c>
      <c r="Y638" s="330">
        <v>2026.0</v>
      </c>
      <c r="Z638" s="328" t="s">
        <v>352</v>
      </c>
    </row>
    <row r="639">
      <c r="A639" s="328" t="s">
        <v>1685</v>
      </c>
      <c r="B639" s="328" t="s">
        <v>1686</v>
      </c>
      <c r="C639" s="329">
        <v>46216.0</v>
      </c>
      <c r="D639" s="330">
        <v>13.0</v>
      </c>
      <c r="E639" s="330">
        <v>7.0</v>
      </c>
      <c r="F639" s="330">
        <v>2026.0</v>
      </c>
      <c r="G639" s="329">
        <v>46217.0</v>
      </c>
      <c r="H639" s="330">
        <v>14.0</v>
      </c>
      <c r="I639" s="330">
        <v>7.0</v>
      </c>
      <c r="J639" s="330">
        <v>2026.0</v>
      </c>
      <c r="K639" s="328" t="s">
        <v>38</v>
      </c>
      <c r="L639" s="328" t="s">
        <v>518</v>
      </c>
      <c r="M639" s="328">
        <v>1.0</v>
      </c>
      <c r="N639" s="328">
        <v>1.0</v>
      </c>
      <c r="O639" s="328">
        <v>2.0</v>
      </c>
      <c r="P639" s="329">
        <v>46216.6619212963</v>
      </c>
      <c r="Q639" s="331">
        <v>13.0</v>
      </c>
      <c r="R639" s="331">
        <v>7.0</v>
      </c>
      <c r="S639" s="330">
        <v>2026.0</v>
      </c>
      <c r="T639" s="328" t="s">
        <v>319</v>
      </c>
      <c r="U639" s="328">
        <v>29.75</v>
      </c>
      <c r="V639" s="329">
        <v>46216.6619212963</v>
      </c>
      <c r="W639" s="330">
        <v>13.0</v>
      </c>
      <c r="X639" s="330">
        <v>7.0</v>
      </c>
      <c r="Y639" s="330">
        <v>2026.0</v>
      </c>
      <c r="Z639" s="328" t="s">
        <v>319</v>
      </c>
    </row>
    <row r="640">
      <c r="A640" s="328" t="s">
        <v>1687</v>
      </c>
      <c r="B640" s="328" t="s">
        <v>1688</v>
      </c>
      <c r="C640" s="329">
        <v>46216.0</v>
      </c>
      <c r="D640" s="330">
        <v>13.0</v>
      </c>
      <c r="E640" s="330">
        <v>7.0</v>
      </c>
      <c r="F640" s="330">
        <v>2026.0</v>
      </c>
      <c r="G640" s="329">
        <v>46222.0</v>
      </c>
      <c r="H640" s="330">
        <v>19.0</v>
      </c>
      <c r="I640" s="330">
        <v>7.0</v>
      </c>
      <c r="J640" s="330">
        <v>2026.0</v>
      </c>
      <c r="K640" s="328" t="s">
        <v>38</v>
      </c>
      <c r="L640" s="328" t="s">
        <v>518</v>
      </c>
      <c r="M640" s="328">
        <v>1.0</v>
      </c>
      <c r="N640" s="328">
        <v>6.0</v>
      </c>
      <c r="O640" s="328">
        <v>12.0</v>
      </c>
      <c r="P640" s="329">
        <v>46216.921111111114</v>
      </c>
      <c r="Q640" s="331">
        <v>13.0</v>
      </c>
      <c r="R640" s="331">
        <v>7.0</v>
      </c>
      <c r="S640" s="330">
        <v>2026.0</v>
      </c>
      <c r="T640" s="328" t="s">
        <v>352</v>
      </c>
      <c r="U640" s="328">
        <v>263.5</v>
      </c>
      <c r="V640" s="329">
        <v>46216.921111111114</v>
      </c>
      <c r="W640" s="330">
        <v>13.0</v>
      </c>
      <c r="X640" s="330">
        <v>7.0</v>
      </c>
      <c r="Y640" s="330">
        <v>2026.0</v>
      </c>
      <c r="Z640" s="328" t="s">
        <v>352</v>
      </c>
    </row>
    <row r="641">
      <c r="A641" s="328" t="s">
        <v>1689</v>
      </c>
      <c r="B641" s="328" t="s">
        <v>1690</v>
      </c>
      <c r="C641" s="329">
        <v>46216.0</v>
      </c>
      <c r="D641" s="330">
        <v>13.0</v>
      </c>
      <c r="E641" s="330">
        <v>7.0</v>
      </c>
      <c r="F641" s="330">
        <v>2026.0</v>
      </c>
      <c r="G641" s="329">
        <v>46218.0</v>
      </c>
      <c r="H641" s="330">
        <v>15.0</v>
      </c>
      <c r="I641" s="330">
        <v>7.0</v>
      </c>
      <c r="J641" s="330">
        <v>2026.0</v>
      </c>
      <c r="K641" s="328" t="s">
        <v>38</v>
      </c>
      <c r="L641" s="328" t="s">
        <v>518</v>
      </c>
      <c r="M641" s="328">
        <v>1.0</v>
      </c>
      <c r="N641" s="328">
        <v>2.0</v>
      </c>
      <c r="O641" s="328">
        <v>4.0</v>
      </c>
      <c r="P641" s="329">
        <v>46217.66532407407</v>
      </c>
      <c r="Q641" s="331">
        <v>14.0</v>
      </c>
      <c r="R641" s="331">
        <v>7.0</v>
      </c>
      <c r="S641" s="330">
        <v>2026.0</v>
      </c>
      <c r="T641" s="328" t="s">
        <v>319</v>
      </c>
      <c r="U641" s="328">
        <v>76.5</v>
      </c>
      <c r="V641" s="329">
        <v>46217.66532407407</v>
      </c>
      <c r="W641" s="330">
        <v>14.0</v>
      </c>
      <c r="X641" s="330">
        <v>7.0</v>
      </c>
      <c r="Y641" s="330">
        <v>2026.0</v>
      </c>
      <c r="Z641" s="328" t="s">
        <v>319</v>
      </c>
    </row>
    <row r="642">
      <c r="A642" s="328" t="s">
        <v>1691</v>
      </c>
      <c r="B642" s="328" t="s">
        <v>1692</v>
      </c>
      <c r="C642" s="329">
        <v>46217.0</v>
      </c>
      <c r="D642" s="330">
        <v>14.0</v>
      </c>
      <c r="E642" s="330">
        <v>7.0</v>
      </c>
      <c r="F642" s="330">
        <v>2026.0</v>
      </c>
      <c r="G642" s="329">
        <v>46218.0</v>
      </c>
      <c r="H642" s="330">
        <v>15.0</v>
      </c>
      <c r="I642" s="330">
        <v>7.0</v>
      </c>
      <c r="J642" s="330">
        <v>2026.0</v>
      </c>
      <c r="K642" s="328" t="s">
        <v>38</v>
      </c>
      <c r="L642" s="328" t="s">
        <v>518</v>
      </c>
      <c r="M642" s="328">
        <v>1.0</v>
      </c>
      <c r="N642" s="328">
        <v>1.0</v>
      </c>
      <c r="O642" s="328">
        <v>2.0</v>
      </c>
      <c r="P642" s="329">
        <v>46218.05326388889</v>
      </c>
      <c r="Q642" s="331">
        <v>15.0</v>
      </c>
      <c r="R642" s="331">
        <v>7.0</v>
      </c>
      <c r="S642" s="330">
        <v>2026.0</v>
      </c>
      <c r="T642" s="328" t="s">
        <v>319</v>
      </c>
      <c r="U642" s="328">
        <v>29.75</v>
      </c>
      <c r="V642" s="329">
        <v>46218.05326388889</v>
      </c>
      <c r="W642" s="330">
        <v>15.0</v>
      </c>
      <c r="X642" s="330">
        <v>7.0</v>
      </c>
      <c r="Y642" s="330">
        <v>2026.0</v>
      </c>
      <c r="Z642" s="328" t="s">
        <v>319</v>
      </c>
    </row>
    <row r="643">
      <c r="A643" s="328" t="s">
        <v>1693</v>
      </c>
      <c r="B643" s="328" t="s">
        <v>1694</v>
      </c>
      <c r="C643" s="329">
        <v>46218.0</v>
      </c>
      <c r="D643" s="330">
        <v>15.0</v>
      </c>
      <c r="E643" s="330">
        <v>7.0</v>
      </c>
      <c r="F643" s="330">
        <v>2026.0</v>
      </c>
      <c r="G643" s="329">
        <v>46219.0</v>
      </c>
      <c r="H643" s="330">
        <v>16.0</v>
      </c>
      <c r="I643" s="330">
        <v>7.0</v>
      </c>
      <c r="J643" s="330">
        <v>2026.0</v>
      </c>
      <c r="K643" s="328" t="s">
        <v>38</v>
      </c>
      <c r="L643" s="328" t="s">
        <v>518</v>
      </c>
      <c r="M643" s="328">
        <v>1.0</v>
      </c>
      <c r="N643" s="328">
        <v>1.0</v>
      </c>
      <c r="O643" s="328">
        <v>2.0</v>
      </c>
      <c r="P643" s="329">
        <v>46218.99616898148</v>
      </c>
      <c r="Q643" s="331">
        <v>15.0</v>
      </c>
      <c r="R643" s="331">
        <v>7.0</v>
      </c>
      <c r="S643" s="330">
        <v>2026.0</v>
      </c>
      <c r="T643" s="328" t="s">
        <v>319</v>
      </c>
      <c r="U643" s="328">
        <v>29.75</v>
      </c>
      <c r="V643" s="329">
        <v>46218.99616898148</v>
      </c>
      <c r="W643" s="330">
        <v>15.0</v>
      </c>
      <c r="X643" s="330">
        <v>7.0</v>
      </c>
      <c r="Y643" s="330">
        <v>2026.0</v>
      </c>
      <c r="Z643" s="328" t="s">
        <v>319</v>
      </c>
    </row>
    <row r="644">
      <c r="A644" s="328" t="s">
        <v>1695</v>
      </c>
      <c r="B644" s="328" t="s">
        <v>1696</v>
      </c>
      <c r="C644" s="329">
        <v>46218.0</v>
      </c>
      <c r="D644" s="330">
        <v>15.0</v>
      </c>
      <c r="E644" s="330">
        <v>7.0</v>
      </c>
      <c r="F644" s="330">
        <v>2026.0</v>
      </c>
      <c r="G644" s="329">
        <v>46219.0</v>
      </c>
      <c r="H644" s="330">
        <v>16.0</v>
      </c>
      <c r="I644" s="330">
        <v>7.0</v>
      </c>
      <c r="J644" s="330">
        <v>2026.0</v>
      </c>
      <c r="K644" s="328" t="s">
        <v>38</v>
      </c>
      <c r="L644" s="328" t="s">
        <v>518</v>
      </c>
      <c r="M644" s="328">
        <v>1.0</v>
      </c>
      <c r="N644" s="328">
        <v>1.0</v>
      </c>
      <c r="O644" s="328">
        <v>2.0</v>
      </c>
      <c r="P644" s="329">
        <v>46218.99743055556</v>
      </c>
      <c r="Q644" s="331">
        <v>15.0</v>
      </c>
      <c r="R644" s="331">
        <v>7.0</v>
      </c>
      <c r="S644" s="330">
        <v>2026.0</v>
      </c>
      <c r="T644" s="328" t="s">
        <v>319</v>
      </c>
      <c r="U644" s="328">
        <v>29.75</v>
      </c>
      <c r="V644" s="329">
        <v>46218.99743055556</v>
      </c>
      <c r="W644" s="330">
        <v>15.0</v>
      </c>
      <c r="X644" s="330">
        <v>7.0</v>
      </c>
      <c r="Y644" s="330">
        <v>2026.0</v>
      </c>
      <c r="Z644" s="328" t="s">
        <v>319</v>
      </c>
    </row>
    <row r="645">
      <c r="A645" s="328" t="s">
        <v>1697</v>
      </c>
      <c r="B645" s="328" t="s">
        <v>1698</v>
      </c>
      <c r="C645" s="329">
        <v>46218.0</v>
      </c>
      <c r="D645" s="330">
        <v>15.0</v>
      </c>
      <c r="E645" s="330">
        <v>7.0</v>
      </c>
      <c r="F645" s="330">
        <v>2026.0</v>
      </c>
      <c r="G645" s="329">
        <v>46219.0</v>
      </c>
      <c r="H645" s="330">
        <v>16.0</v>
      </c>
      <c r="I645" s="330">
        <v>7.0</v>
      </c>
      <c r="J645" s="330">
        <v>2026.0</v>
      </c>
      <c r="K645" s="328" t="s">
        <v>38</v>
      </c>
      <c r="L645" s="328" t="s">
        <v>518</v>
      </c>
      <c r="M645" s="328">
        <v>1.0</v>
      </c>
      <c r="N645" s="328">
        <v>1.0</v>
      </c>
      <c r="O645" s="328">
        <v>2.0</v>
      </c>
      <c r="P645" s="329">
        <v>46219.29671296296</v>
      </c>
      <c r="Q645" s="331">
        <v>16.0</v>
      </c>
      <c r="R645" s="331">
        <v>7.0</v>
      </c>
      <c r="S645" s="330">
        <v>2026.0</v>
      </c>
      <c r="T645" s="328" t="s">
        <v>10</v>
      </c>
      <c r="U645" s="328">
        <v>46.75</v>
      </c>
      <c r="V645" s="329">
        <v>46219.29671296296</v>
      </c>
      <c r="W645" s="330">
        <v>16.0</v>
      </c>
      <c r="X645" s="330">
        <v>7.0</v>
      </c>
      <c r="Y645" s="330">
        <v>2026.0</v>
      </c>
      <c r="Z645" s="328" t="s">
        <v>10</v>
      </c>
    </row>
    <row r="646">
      <c r="A646" s="328" t="s">
        <v>1699</v>
      </c>
      <c r="B646" s="328" t="s">
        <v>1700</v>
      </c>
      <c r="C646" s="329">
        <v>46219.0</v>
      </c>
      <c r="D646" s="330">
        <v>16.0</v>
      </c>
      <c r="E646" s="330">
        <v>7.0</v>
      </c>
      <c r="F646" s="330">
        <v>2026.0</v>
      </c>
      <c r="G646" s="329">
        <v>46220.0</v>
      </c>
      <c r="H646" s="330">
        <v>17.0</v>
      </c>
      <c r="I646" s="330">
        <v>7.0</v>
      </c>
      <c r="J646" s="330">
        <v>2026.0</v>
      </c>
      <c r="K646" s="328" t="s">
        <v>38</v>
      </c>
      <c r="L646" s="328" t="s">
        <v>518</v>
      </c>
      <c r="M646" s="328">
        <v>1.0</v>
      </c>
      <c r="N646" s="328">
        <v>1.0</v>
      </c>
      <c r="O646" s="328">
        <v>2.0</v>
      </c>
      <c r="P646" s="329">
        <v>46219.75840277778</v>
      </c>
      <c r="Q646" s="331">
        <v>16.0</v>
      </c>
      <c r="R646" s="331">
        <v>7.0</v>
      </c>
      <c r="S646" s="330">
        <v>2026.0</v>
      </c>
      <c r="T646" s="328" t="s">
        <v>319</v>
      </c>
      <c r="U646" s="328">
        <v>35.7</v>
      </c>
      <c r="V646" s="329">
        <v>46219.75811342592</v>
      </c>
      <c r="W646" s="330">
        <v>16.0</v>
      </c>
      <c r="X646" s="330">
        <v>7.0</v>
      </c>
      <c r="Y646" s="330">
        <v>2026.0</v>
      </c>
      <c r="Z646" s="328" t="s">
        <v>319</v>
      </c>
    </row>
    <row r="647">
      <c r="A647" s="328" t="s">
        <v>1701</v>
      </c>
      <c r="B647" s="328" t="s">
        <v>1702</v>
      </c>
      <c r="C647" s="329">
        <v>46219.0</v>
      </c>
      <c r="D647" s="330">
        <v>16.0</v>
      </c>
      <c r="E647" s="330">
        <v>7.0</v>
      </c>
      <c r="F647" s="330">
        <v>2026.0</v>
      </c>
      <c r="G647" s="329">
        <v>46223.0</v>
      </c>
      <c r="H647" s="330">
        <v>20.0</v>
      </c>
      <c r="I647" s="330">
        <v>7.0</v>
      </c>
      <c r="J647" s="330">
        <v>2026.0</v>
      </c>
      <c r="K647" s="328" t="s">
        <v>38</v>
      </c>
      <c r="L647" s="328" t="s">
        <v>518</v>
      </c>
      <c r="M647" s="328">
        <v>1.0</v>
      </c>
      <c r="N647" s="328">
        <v>4.0</v>
      </c>
      <c r="O647" s="328">
        <v>8.0</v>
      </c>
      <c r="P647" s="329">
        <v>46220.81832175926</v>
      </c>
      <c r="Q647" s="331">
        <v>17.0</v>
      </c>
      <c r="R647" s="331">
        <v>7.0</v>
      </c>
      <c r="S647" s="330">
        <v>2026.0</v>
      </c>
      <c r="T647" s="328" t="s">
        <v>319</v>
      </c>
      <c r="U647" s="328">
        <v>150.45</v>
      </c>
      <c r="V647" s="329">
        <v>46220.81783564815</v>
      </c>
      <c r="W647" s="330">
        <v>17.0</v>
      </c>
      <c r="X647" s="330">
        <v>7.0</v>
      </c>
      <c r="Y647" s="330">
        <v>2026.0</v>
      </c>
      <c r="Z647" s="328" t="s">
        <v>319</v>
      </c>
    </row>
    <row r="648">
      <c r="A648" s="328" t="s">
        <v>1703</v>
      </c>
      <c r="B648" s="328" t="s">
        <v>1704</v>
      </c>
      <c r="C648" s="329">
        <v>46220.0</v>
      </c>
      <c r="D648" s="330">
        <v>17.0</v>
      </c>
      <c r="E648" s="330">
        <v>7.0</v>
      </c>
      <c r="F648" s="330">
        <v>2026.0</v>
      </c>
      <c r="G648" s="329">
        <v>46221.0</v>
      </c>
      <c r="H648" s="330">
        <v>18.0</v>
      </c>
      <c r="I648" s="330">
        <v>7.0</v>
      </c>
      <c r="J648" s="330">
        <v>2026.0</v>
      </c>
      <c r="K648" s="328" t="s">
        <v>38</v>
      </c>
      <c r="L648" s="328" t="s">
        <v>518</v>
      </c>
      <c r="M648" s="328">
        <v>1.0</v>
      </c>
      <c r="N648" s="328">
        <v>1.0</v>
      </c>
      <c r="O648" s="328">
        <v>2.0</v>
      </c>
      <c r="P648" s="329">
        <v>46220.93638888889</v>
      </c>
      <c r="Q648" s="331">
        <v>17.0</v>
      </c>
      <c r="R648" s="331">
        <v>7.0</v>
      </c>
      <c r="S648" s="330">
        <v>2026.0</v>
      </c>
      <c r="T648" s="328" t="s">
        <v>319</v>
      </c>
      <c r="U648" s="328">
        <v>46.75</v>
      </c>
      <c r="V648" s="329">
        <v>46220.93638888889</v>
      </c>
      <c r="W648" s="330">
        <v>17.0</v>
      </c>
      <c r="X648" s="330">
        <v>7.0</v>
      </c>
      <c r="Y648" s="330">
        <v>2026.0</v>
      </c>
      <c r="Z648" s="328" t="s">
        <v>319</v>
      </c>
    </row>
    <row r="649">
      <c r="A649" s="328" t="s">
        <v>1699</v>
      </c>
      <c r="B649" s="328" t="s">
        <v>1705</v>
      </c>
      <c r="C649" s="329">
        <v>46220.0</v>
      </c>
      <c r="D649" s="330">
        <v>17.0</v>
      </c>
      <c r="E649" s="330">
        <v>7.0</v>
      </c>
      <c r="F649" s="330">
        <v>2026.0</v>
      </c>
      <c r="G649" s="329">
        <v>46221.0</v>
      </c>
      <c r="H649" s="330">
        <v>18.0</v>
      </c>
      <c r="I649" s="330">
        <v>7.0</v>
      </c>
      <c r="J649" s="330">
        <v>2026.0</v>
      </c>
      <c r="K649" s="328" t="s">
        <v>38</v>
      </c>
      <c r="L649" s="328" t="s">
        <v>518</v>
      </c>
      <c r="M649" s="328">
        <v>1.0</v>
      </c>
      <c r="N649" s="328">
        <v>1.0</v>
      </c>
      <c r="O649" s="328">
        <v>2.0</v>
      </c>
      <c r="P649" s="329">
        <v>46221.47662037037</v>
      </c>
      <c r="Q649" s="331">
        <v>18.0</v>
      </c>
      <c r="R649" s="331">
        <v>7.0</v>
      </c>
      <c r="S649" s="330">
        <v>2026.0</v>
      </c>
      <c r="T649" s="328" t="s">
        <v>319</v>
      </c>
      <c r="U649" s="328">
        <v>27.2</v>
      </c>
      <c r="V649" s="329">
        <v>46221.47550925926</v>
      </c>
      <c r="W649" s="330">
        <v>18.0</v>
      </c>
      <c r="X649" s="330">
        <v>7.0</v>
      </c>
      <c r="Y649" s="330">
        <v>2026.0</v>
      </c>
      <c r="Z649" s="328" t="s">
        <v>319</v>
      </c>
    </row>
    <row r="650">
      <c r="A650" s="328" t="s">
        <v>1706</v>
      </c>
      <c r="B650" s="328" t="s">
        <v>1707</v>
      </c>
      <c r="C650" s="329">
        <v>46221.0</v>
      </c>
      <c r="D650" s="330">
        <v>18.0</v>
      </c>
      <c r="E650" s="330">
        <v>7.0</v>
      </c>
      <c r="F650" s="330">
        <v>2026.0</v>
      </c>
      <c r="G650" s="329">
        <v>46223.0</v>
      </c>
      <c r="H650" s="330">
        <v>20.0</v>
      </c>
      <c r="I650" s="330">
        <v>7.0</v>
      </c>
      <c r="J650" s="330">
        <v>2026.0</v>
      </c>
      <c r="K650" s="328" t="s">
        <v>38</v>
      </c>
      <c r="L650" s="328" t="s">
        <v>518</v>
      </c>
      <c r="M650" s="328">
        <v>1.0</v>
      </c>
      <c r="N650" s="328">
        <v>2.0</v>
      </c>
      <c r="O650" s="328">
        <v>4.0</v>
      </c>
      <c r="P650" s="329">
        <v>46221.65163194444</v>
      </c>
      <c r="Q650" s="331">
        <v>18.0</v>
      </c>
      <c r="R650" s="331">
        <v>7.0</v>
      </c>
      <c r="S650" s="330">
        <v>2026.0</v>
      </c>
      <c r="T650" s="328" t="s">
        <v>319</v>
      </c>
      <c r="U650" s="328">
        <v>54.4</v>
      </c>
      <c r="V650" s="329">
        <v>46221.65130787037</v>
      </c>
      <c r="W650" s="330">
        <v>18.0</v>
      </c>
      <c r="X650" s="330">
        <v>7.0</v>
      </c>
      <c r="Y650" s="330">
        <v>2026.0</v>
      </c>
      <c r="Z650" s="328" t="s">
        <v>319</v>
      </c>
    </row>
    <row r="651">
      <c r="A651" s="328" t="s">
        <v>1708</v>
      </c>
      <c r="B651" s="328" t="s">
        <v>1709</v>
      </c>
      <c r="C651" s="329">
        <v>46222.0</v>
      </c>
      <c r="D651" s="330">
        <v>19.0</v>
      </c>
      <c r="E651" s="330">
        <v>7.0</v>
      </c>
      <c r="F651" s="330">
        <v>2026.0</v>
      </c>
      <c r="G651" s="329">
        <v>46223.0</v>
      </c>
      <c r="H651" s="330">
        <v>20.0</v>
      </c>
      <c r="I651" s="330">
        <v>7.0</v>
      </c>
      <c r="J651" s="330">
        <v>2026.0</v>
      </c>
      <c r="K651" s="328" t="s">
        <v>38</v>
      </c>
      <c r="L651" s="328" t="s">
        <v>518</v>
      </c>
      <c r="M651" s="328">
        <v>1.0</v>
      </c>
      <c r="N651" s="328">
        <v>1.0</v>
      </c>
      <c r="O651" s="328">
        <v>2.0</v>
      </c>
      <c r="P651" s="329">
        <v>46223.48422453704</v>
      </c>
      <c r="Q651" s="331">
        <v>20.0</v>
      </c>
      <c r="R651" s="331">
        <v>7.0</v>
      </c>
      <c r="S651" s="330">
        <v>2026.0</v>
      </c>
      <c r="T651" s="328" t="s">
        <v>319</v>
      </c>
      <c r="U651" s="328">
        <v>29.75</v>
      </c>
      <c r="V651" s="329">
        <v>46223.48422453704</v>
      </c>
      <c r="W651" s="330">
        <v>20.0</v>
      </c>
      <c r="X651" s="330">
        <v>7.0</v>
      </c>
      <c r="Y651" s="330">
        <v>2026.0</v>
      </c>
      <c r="Z651" s="328" t="s">
        <v>319</v>
      </c>
    </row>
    <row r="652">
      <c r="A652" s="328" t="s">
        <v>1710</v>
      </c>
      <c r="B652" s="328" t="s">
        <v>1711</v>
      </c>
      <c r="C652" s="329">
        <v>46222.0</v>
      </c>
      <c r="D652" s="330">
        <v>19.0</v>
      </c>
      <c r="E652" s="330">
        <v>7.0</v>
      </c>
      <c r="F652" s="330">
        <v>2026.0</v>
      </c>
      <c r="G652" s="329">
        <v>46224.0</v>
      </c>
      <c r="H652" s="330">
        <v>21.0</v>
      </c>
      <c r="I652" s="330">
        <v>7.0</v>
      </c>
      <c r="J652" s="330">
        <v>2026.0</v>
      </c>
      <c r="K652" s="328" t="s">
        <v>38</v>
      </c>
      <c r="L652" s="328" t="s">
        <v>518</v>
      </c>
      <c r="M652" s="328">
        <v>1.0</v>
      </c>
      <c r="N652" s="328">
        <v>2.0</v>
      </c>
      <c r="O652" s="328">
        <v>4.0</v>
      </c>
      <c r="P652" s="329">
        <v>46223.039768518516</v>
      </c>
      <c r="Q652" s="331">
        <v>20.0</v>
      </c>
      <c r="R652" s="331">
        <v>7.0</v>
      </c>
      <c r="S652" s="330">
        <v>2026.0</v>
      </c>
      <c r="T652" s="328" t="s">
        <v>319</v>
      </c>
      <c r="U652" s="328">
        <v>54.4</v>
      </c>
      <c r="V652" s="329">
        <v>46223.039768518516</v>
      </c>
      <c r="W652" s="330">
        <v>20.0</v>
      </c>
      <c r="X652" s="330">
        <v>7.0</v>
      </c>
      <c r="Y652" s="330">
        <v>2026.0</v>
      </c>
      <c r="Z652" s="328" t="s">
        <v>319</v>
      </c>
    </row>
    <row r="653">
      <c r="A653" s="328" t="s">
        <v>1712</v>
      </c>
      <c r="B653" s="328" t="s">
        <v>1713</v>
      </c>
      <c r="C653" s="329">
        <v>46223.0</v>
      </c>
      <c r="D653" s="330">
        <v>20.0</v>
      </c>
      <c r="E653" s="330">
        <v>7.0</v>
      </c>
      <c r="F653" s="330">
        <v>2026.0</v>
      </c>
      <c r="G653" s="329">
        <v>46224.0</v>
      </c>
      <c r="H653" s="330">
        <v>21.0</v>
      </c>
      <c r="I653" s="330">
        <v>7.0</v>
      </c>
      <c r="J653" s="330">
        <v>2026.0</v>
      </c>
      <c r="K653" s="328" t="s">
        <v>38</v>
      </c>
      <c r="L653" s="328" t="s">
        <v>518</v>
      </c>
      <c r="M653" s="328">
        <v>1.0</v>
      </c>
      <c r="N653" s="328">
        <v>1.0</v>
      </c>
      <c r="O653" s="328">
        <v>2.0</v>
      </c>
      <c r="P653" s="329">
        <v>46224.30458333333</v>
      </c>
      <c r="Q653" s="331">
        <v>21.0</v>
      </c>
      <c r="R653" s="331">
        <v>7.0</v>
      </c>
      <c r="S653" s="330">
        <v>2026.0</v>
      </c>
      <c r="T653" s="328" t="s">
        <v>319</v>
      </c>
      <c r="U653" s="328">
        <v>29.75</v>
      </c>
      <c r="V653" s="329">
        <v>46224.30458333333</v>
      </c>
      <c r="W653" s="330">
        <v>21.0</v>
      </c>
      <c r="X653" s="330">
        <v>7.0</v>
      </c>
      <c r="Y653" s="330">
        <v>2026.0</v>
      </c>
      <c r="Z653" s="328" t="s">
        <v>319</v>
      </c>
    </row>
    <row r="654">
      <c r="A654" s="328" t="s">
        <v>1714</v>
      </c>
      <c r="B654" s="328" t="s">
        <v>1715</v>
      </c>
      <c r="C654" s="329">
        <v>46224.0</v>
      </c>
      <c r="D654" s="330">
        <v>21.0</v>
      </c>
      <c r="E654" s="330">
        <v>7.0</v>
      </c>
      <c r="F654" s="330">
        <v>2026.0</v>
      </c>
      <c r="G654" s="329">
        <v>46228.0</v>
      </c>
      <c r="H654" s="330">
        <v>25.0</v>
      </c>
      <c r="I654" s="330">
        <v>7.0</v>
      </c>
      <c r="J654" s="330">
        <v>2026.0</v>
      </c>
      <c r="K654" s="328" t="s">
        <v>38</v>
      </c>
      <c r="L654" s="328" t="s">
        <v>518</v>
      </c>
      <c r="M654" s="328">
        <v>1.0</v>
      </c>
      <c r="N654" s="328">
        <v>4.0</v>
      </c>
      <c r="O654" s="328">
        <v>8.0</v>
      </c>
      <c r="P654" s="329">
        <v>46224.9240162037</v>
      </c>
      <c r="Q654" s="331">
        <v>21.0</v>
      </c>
      <c r="R654" s="331">
        <v>7.0</v>
      </c>
      <c r="S654" s="330">
        <v>2026.0</v>
      </c>
      <c r="T654" s="328" t="s">
        <v>319</v>
      </c>
      <c r="U654" s="328">
        <v>153.0</v>
      </c>
      <c r="V654" s="329">
        <v>46224.9240162037</v>
      </c>
      <c r="W654" s="330">
        <v>21.0</v>
      </c>
      <c r="X654" s="330">
        <v>7.0</v>
      </c>
      <c r="Y654" s="330">
        <v>2026.0</v>
      </c>
      <c r="Z654" s="328" t="s">
        <v>319</v>
      </c>
    </row>
    <row r="655">
      <c r="A655" s="328" t="s">
        <v>1716</v>
      </c>
      <c r="B655" s="328" t="s">
        <v>1717</v>
      </c>
      <c r="C655" s="329">
        <v>46224.0</v>
      </c>
      <c r="D655" s="330">
        <v>21.0</v>
      </c>
      <c r="E655" s="330">
        <v>7.0</v>
      </c>
      <c r="F655" s="330">
        <v>2026.0</v>
      </c>
      <c r="G655" s="329">
        <v>46227.0</v>
      </c>
      <c r="H655" s="330">
        <v>24.0</v>
      </c>
      <c r="I655" s="330">
        <v>7.0</v>
      </c>
      <c r="J655" s="330">
        <v>2026.0</v>
      </c>
      <c r="K655" s="328" t="s">
        <v>38</v>
      </c>
      <c r="L655" s="328" t="s">
        <v>518</v>
      </c>
      <c r="M655" s="328">
        <v>1.0</v>
      </c>
      <c r="N655" s="328">
        <v>3.0</v>
      </c>
      <c r="O655" s="328">
        <v>6.0</v>
      </c>
      <c r="P655" s="329">
        <v>46224.84690972222</v>
      </c>
      <c r="Q655" s="331">
        <v>21.0</v>
      </c>
      <c r="R655" s="331">
        <v>7.0</v>
      </c>
      <c r="S655" s="330">
        <v>2026.0</v>
      </c>
      <c r="T655" s="328" t="s">
        <v>319</v>
      </c>
      <c r="U655" s="328">
        <v>86.7</v>
      </c>
      <c r="V655" s="329">
        <v>46224.84690972222</v>
      </c>
      <c r="W655" s="330">
        <v>21.0</v>
      </c>
      <c r="X655" s="330">
        <v>7.0</v>
      </c>
      <c r="Y655" s="330">
        <v>2026.0</v>
      </c>
      <c r="Z655" s="328" t="s">
        <v>319</v>
      </c>
    </row>
    <row r="656">
      <c r="A656" s="328" t="s">
        <v>1718</v>
      </c>
      <c r="B656" s="328" t="s">
        <v>1719</v>
      </c>
      <c r="C656" s="329">
        <v>46224.0</v>
      </c>
      <c r="D656" s="330">
        <v>21.0</v>
      </c>
      <c r="E656" s="330">
        <v>7.0</v>
      </c>
      <c r="F656" s="330">
        <v>2026.0</v>
      </c>
      <c r="G656" s="329">
        <v>46226.0</v>
      </c>
      <c r="H656" s="330">
        <v>23.0</v>
      </c>
      <c r="I656" s="330">
        <v>7.0</v>
      </c>
      <c r="J656" s="330">
        <v>2026.0</v>
      </c>
      <c r="K656" s="328" t="s">
        <v>38</v>
      </c>
      <c r="L656" s="328" t="s">
        <v>518</v>
      </c>
      <c r="M656" s="328">
        <v>1.0</v>
      </c>
      <c r="N656" s="328">
        <v>2.0</v>
      </c>
      <c r="O656" s="328">
        <v>4.0</v>
      </c>
      <c r="P656" s="329">
        <v>46224.65675925926</v>
      </c>
      <c r="Q656" s="331">
        <v>21.0</v>
      </c>
      <c r="R656" s="331">
        <v>7.0</v>
      </c>
      <c r="S656" s="330">
        <v>2026.0</v>
      </c>
      <c r="T656" s="328" t="s">
        <v>319</v>
      </c>
      <c r="U656" s="328">
        <v>59.5</v>
      </c>
      <c r="V656" s="329">
        <v>46224.65675925926</v>
      </c>
      <c r="W656" s="330">
        <v>21.0</v>
      </c>
      <c r="X656" s="330">
        <v>7.0</v>
      </c>
      <c r="Y656" s="330">
        <v>2026.0</v>
      </c>
      <c r="Z656" s="328" t="s">
        <v>319</v>
      </c>
    </row>
    <row r="657">
      <c r="A657" s="328" t="s">
        <v>1720</v>
      </c>
      <c r="B657" s="328" t="s">
        <v>1721</v>
      </c>
      <c r="C657" s="329">
        <v>46218.0</v>
      </c>
      <c r="D657" s="330">
        <v>15.0</v>
      </c>
      <c r="E657" s="330">
        <v>7.0</v>
      </c>
      <c r="F657" s="330">
        <v>2026.0</v>
      </c>
      <c r="G657" s="329">
        <v>46225.0</v>
      </c>
      <c r="H657" s="330">
        <v>22.0</v>
      </c>
      <c r="I657" s="330">
        <v>7.0</v>
      </c>
      <c r="J657" s="330">
        <v>2026.0</v>
      </c>
      <c r="K657" s="328" t="s">
        <v>38</v>
      </c>
      <c r="L657" s="328" t="s">
        <v>518</v>
      </c>
      <c r="M657" s="328">
        <v>1.0</v>
      </c>
      <c r="N657" s="328">
        <v>7.0</v>
      </c>
      <c r="O657" s="328">
        <v>14.0</v>
      </c>
      <c r="P657" s="329">
        <v>46225.46355324074</v>
      </c>
      <c r="Q657" s="331">
        <v>22.0</v>
      </c>
      <c r="R657" s="331">
        <v>7.0</v>
      </c>
      <c r="S657" s="330">
        <v>2026.0</v>
      </c>
      <c r="T657" s="328" t="s">
        <v>319</v>
      </c>
      <c r="U657" s="328">
        <v>301.75</v>
      </c>
      <c r="V657" s="329">
        <v>46225.46355324074</v>
      </c>
      <c r="W657" s="330">
        <v>22.0</v>
      </c>
      <c r="X657" s="330">
        <v>7.0</v>
      </c>
      <c r="Y657" s="330">
        <v>2026.0</v>
      </c>
      <c r="Z657" s="328" t="s">
        <v>319</v>
      </c>
    </row>
    <row r="658">
      <c r="A658" s="328" t="s">
        <v>1722</v>
      </c>
      <c r="B658" s="328" t="s">
        <v>1723</v>
      </c>
      <c r="C658" s="329">
        <v>46224.0</v>
      </c>
      <c r="D658" s="330">
        <v>21.0</v>
      </c>
      <c r="E658" s="330">
        <v>7.0</v>
      </c>
      <c r="F658" s="330">
        <v>2026.0</v>
      </c>
      <c r="G658" s="329">
        <v>46227.0</v>
      </c>
      <c r="H658" s="330">
        <v>24.0</v>
      </c>
      <c r="I658" s="330">
        <v>7.0</v>
      </c>
      <c r="J658" s="330">
        <v>2026.0</v>
      </c>
      <c r="K658" s="328" t="s">
        <v>38</v>
      </c>
      <c r="L658" s="328" t="s">
        <v>518</v>
      </c>
      <c r="M658" s="328">
        <v>1.0</v>
      </c>
      <c r="N658" s="328">
        <v>3.0</v>
      </c>
      <c r="O658" s="328">
        <v>6.0</v>
      </c>
      <c r="P658" s="329">
        <v>46225.4378125</v>
      </c>
      <c r="Q658" s="331">
        <v>22.0</v>
      </c>
      <c r="R658" s="331">
        <v>7.0</v>
      </c>
      <c r="S658" s="330">
        <v>2026.0</v>
      </c>
      <c r="T658" s="328" t="s">
        <v>319</v>
      </c>
      <c r="U658" s="328">
        <v>104.55</v>
      </c>
      <c r="V658" s="329">
        <v>46225.4378125</v>
      </c>
      <c r="W658" s="330">
        <v>22.0</v>
      </c>
      <c r="X658" s="330">
        <v>7.0</v>
      </c>
      <c r="Y658" s="330">
        <v>2026.0</v>
      </c>
      <c r="Z658" s="328" t="s">
        <v>319</v>
      </c>
    </row>
    <row r="659">
      <c r="A659" s="328" t="s">
        <v>1724</v>
      </c>
      <c r="B659" s="328" t="s">
        <v>1725</v>
      </c>
      <c r="C659" s="329">
        <v>46225.0</v>
      </c>
      <c r="D659" s="330">
        <v>22.0</v>
      </c>
      <c r="E659" s="330">
        <v>7.0</v>
      </c>
      <c r="F659" s="330">
        <v>2026.0</v>
      </c>
      <c r="G659" s="329">
        <v>46228.0</v>
      </c>
      <c r="H659" s="330">
        <v>25.0</v>
      </c>
      <c r="I659" s="330">
        <v>7.0</v>
      </c>
      <c r="J659" s="330">
        <v>2026.0</v>
      </c>
      <c r="K659" s="328" t="s">
        <v>38</v>
      </c>
      <c r="L659" s="328" t="s">
        <v>518</v>
      </c>
      <c r="M659" s="328">
        <v>1.0</v>
      </c>
      <c r="N659" s="328">
        <v>3.0</v>
      </c>
      <c r="O659" s="328">
        <v>6.0</v>
      </c>
      <c r="P659" s="329">
        <v>46225.905648148146</v>
      </c>
      <c r="Q659" s="331">
        <v>22.0</v>
      </c>
      <c r="R659" s="331">
        <v>7.0</v>
      </c>
      <c r="S659" s="330">
        <v>2026.0</v>
      </c>
      <c r="T659" s="328" t="s">
        <v>319</v>
      </c>
      <c r="U659" s="328">
        <v>114.75</v>
      </c>
      <c r="V659" s="329">
        <v>46225.905648148146</v>
      </c>
      <c r="W659" s="330">
        <v>22.0</v>
      </c>
      <c r="X659" s="330">
        <v>7.0</v>
      </c>
      <c r="Y659" s="330">
        <v>2026.0</v>
      </c>
      <c r="Z659" s="328" t="s">
        <v>319</v>
      </c>
    </row>
    <row r="660">
      <c r="A660" s="324" t="s">
        <v>1726</v>
      </c>
      <c r="B660" s="324" t="s">
        <v>1727</v>
      </c>
      <c r="C660" s="325">
        <v>46225.0</v>
      </c>
      <c r="D660" s="326">
        <v>22.0</v>
      </c>
      <c r="E660" s="326">
        <v>7.0</v>
      </c>
      <c r="F660" s="326">
        <v>2026.0</v>
      </c>
      <c r="G660" s="325">
        <v>46230.0</v>
      </c>
      <c r="H660" s="326">
        <v>27.0</v>
      </c>
      <c r="I660" s="326">
        <v>7.0</v>
      </c>
      <c r="J660" s="326">
        <v>2026.0</v>
      </c>
      <c r="K660" s="324" t="s">
        <v>38</v>
      </c>
      <c r="L660" s="324" t="s">
        <v>518</v>
      </c>
      <c r="M660" s="324">
        <v>1.0</v>
      </c>
      <c r="N660" s="324">
        <v>6.0</v>
      </c>
      <c r="O660" s="326">
        <v>10.0</v>
      </c>
      <c r="P660" s="325">
        <v>46226.97275462963</v>
      </c>
      <c r="Q660" s="327">
        <v>23.0</v>
      </c>
      <c r="R660" s="327">
        <v>7.0</v>
      </c>
      <c r="S660" s="326">
        <v>2026.0</v>
      </c>
      <c r="T660" s="324" t="s">
        <v>319</v>
      </c>
      <c r="U660" s="324">
        <v>318.75</v>
      </c>
      <c r="V660" s="325">
        <v>46226.97275462963</v>
      </c>
      <c r="W660" s="326">
        <v>23.0</v>
      </c>
      <c r="X660" s="326">
        <v>7.0</v>
      </c>
      <c r="Y660" s="326">
        <v>2026.0</v>
      </c>
      <c r="Z660" s="324" t="s">
        <v>319</v>
      </c>
    </row>
    <row r="661">
      <c r="A661" s="328" t="s">
        <v>1728</v>
      </c>
      <c r="B661" s="328" t="s">
        <v>1729</v>
      </c>
      <c r="C661" s="329">
        <v>46225.0</v>
      </c>
      <c r="D661" s="330">
        <v>22.0</v>
      </c>
      <c r="E661" s="330">
        <v>7.0</v>
      </c>
      <c r="F661" s="330">
        <v>2026.0</v>
      </c>
      <c r="G661" s="329">
        <v>46227.0</v>
      </c>
      <c r="H661" s="330">
        <v>24.0</v>
      </c>
      <c r="I661" s="330">
        <v>7.0</v>
      </c>
      <c r="J661" s="330">
        <v>2026.0</v>
      </c>
      <c r="K661" s="328" t="s">
        <v>38</v>
      </c>
      <c r="L661" s="328" t="s">
        <v>518</v>
      </c>
      <c r="M661" s="328">
        <v>1.0</v>
      </c>
      <c r="N661" s="328">
        <v>2.0</v>
      </c>
      <c r="O661" s="328">
        <v>4.0</v>
      </c>
      <c r="P661" s="329">
        <v>46226.90043981482</v>
      </c>
      <c r="Q661" s="331">
        <v>23.0</v>
      </c>
      <c r="R661" s="331">
        <v>7.0</v>
      </c>
      <c r="S661" s="330">
        <v>2026.0</v>
      </c>
      <c r="T661" s="328" t="s">
        <v>319</v>
      </c>
      <c r="U661" s="328">
        <v>59.5</v>
      </c>
      <c r="V661" s="329">
        <v>46226.90043981482</v>
      </c>
      <c r="W661" s="330">
        <v>23.0</v>
      </c>
      <c r="X661" s="330">
        <v>7.0</v>
      </c>
      <c r="Y661" s="330">
        <v>2026.0</v>
      </c>
      <c r="Z661" s="328" t="s">
        <v>319</v>
      </c>
    </row>
    <row r="662">
      <c r="A662" s="328" t="s">
        <v>1730</v>
      </c>
      <c r="B662" s="328" t="s">
        <v>1731</v>
      </c>
      <c r="C662" s="329">
        <v>46225.0</v>
      </c>
      <c r="D662" s="330">
        <v>22.0</v>
      </c>
      <c r="E662" s="330">
        <v>7.0</v>
      </c>
      <c r="F662" s="330">
        <v>2026.0</v>
      </c>
      <c r="G662" s="329">
        <v>46226.0</v>
      </c>
      <c r="H662" s="330">
        <v>23.0</v>
      </c>
      <c r="I662" s="330">
        <v>7.0</v>
      </c>
      <c r="J662" s="330">
        <v>2026.0</v>
      </c>
      <c r="K662" s="328" t="s">
        <v>38</v>
      </c>
      <c r="L662" s="328" t="s">
        <v>518</v>
      </c>
      <c r="M662" s="328">
        <v>1.0</v>
      </c>
      <c r="N662" s="328">
        <v>1.0</v>
      </c>
      <c r="O662" s="328">
        <v>2.0</v>
      </c>
      <c r="P662" s="329">
        <v>46226.46913194445</v>
      </c>
      <c r="Q662" s="331">
        <v>23.0</v>
      </c>
      <c r="R662" s="331">
        <v>7.0</v>
      </c>
      <c r="S662" s="330">
        <v>2026.0</v>
      </c>
      <c r="T662" s="328" t="s">
        <v>319</v>
      </c>
      <c r="U662" s="328">
        <v>46.75</v>
      </c>
      <c r="V662" s="329">
        <v>46226.468726851854</v>
      </c>
      <c r="W662" s="330">
        <v>23.0</v>
      </c>
      <c r="X662" s="330">
        <v>7.0</v>
      </c>
      <c r="Y662" s="330">
        <v>2026.0</v>
      </c>
      <c r="Z662" s="328" t="s">
        <v>319</v>
      </c>
    </row>
    <row r="663">
      <c r="A663" s="328" t="s">
        <v>1732</v>
      </c>
      <c r="B663" s="328" t="s">
        <v>1733</v>
      </c>
      <c r="C663" s="329">
        <v>46226.0</v>
      </c>
      <c r="D663" s="330">
        <v>23.0</v>
      </c>
      <c r="E663" s="330">
        <v>7.0</v>
      </c>
      <c r="F663" s="330">
        <v>2026.0</v>
      </c>
      <c r="G663" s="329">
        <v>46228.0</v>
      </c>
      <c r="H663" s="330">
        <v>25.0</v>
      </c>
      <c r="I663" s="330">
        <v>7.0</v>
      </c>
      <c r="J663" s="330">
        <v>2026.0</v>
      </c>
      <c r="K663" s="328" t="s">
        <v>38</v>
      </c>
      <c r="L663" s="328" t="s">
        <v>518</v>
      </c>
      <c r="M663" s="328">
        <v>1.0</v>
      </c>
      <c r="N663" s="328">
        <v>2.0</v>
      </c>
      <c r="O663" s="328">
        <v>4.0</v>
      </c>
      <c r="P663" s="329">
        <v>46226.97361111111</v>
      </c>
      <c r="Q663" s="331">
        <v>23.0</v>
      </c>
      <c r="R663" s="331">
        <v>7.0</v>
      </c>
      <c r="S663" s="330">
        <v>2026.0</v>
      </c>
      <c r="T663" s="328" t="s">
        <v>319</v>
      </c>
      <c r="U663" s="328">
        <v>93.5</v>
      </c>
      <c r="V663" s="329">
        <v>46226.97361111111</v>
      </c>
      <c r="W663" s="330">
        <v>23.0</v>
      </c>
      <c r="X663" s="330">
        <v>7.0</v>
      </c>
      <c r="Y663" s="330">
        <v>2026.0</v>
      </c>
      <c r="Z663" s="328" t="s">
        <v>319</v>
      </c>
    </row>
    <row r="664">
      <c r="A664" s="328" t="s">
        <v>1734</v>
      </c>
      <c r="B664" s="328" t="s">
        <v>1735</v>
      </c>
      <c r="C664" s="329">
        <v>46226.0</v>
      </c>
      <c r="D664" s="330">
        <v>23.0</v>
      </c>
      <c r="E664" s="330">
        <v>7.0</v>
      </c>
      <c r="F664" s="330">
        <v>2026.0</v>
      </c>
      <c r="G664" s="329">
        <v>46230.0</v>
      </c>
      <c r="H664" s="330">
        <v>27.0</v>
      </c>
      <c r="I664" s="330">
        <v>7.0</v>
      </c>
      <c r="J664" s="330">
        <v>2026.0</v>
      </c>
      <c r="K664" s="328" t="s">
        <v>38</v>
      </c>
      <c r="L664" s="328" t="s">
        <v>518</v>
      </c>
      <c r="M664" s="328">
        <v>1.0</v>
      </c>
      <c r="N664" s="328">
        <v>4.0</v>
      </c>
      <c r="O664" s="328">
        <v>8.0</v>
      </c>
      <c r="P664" s="329">
        <v>46226.8921412037</v>
      </c>
      <c r="Q664" s="331">
        <v>23.0</v>
      </c>
      <c r="R664" s="331">
        <v>7.0</v>
      </c>
      <c r="S664" s="330">
        <v>2026.0</v>
      </c>
      <c r="T664" s="328" t="s">
        <v>319</v>
      </c>
      <c r="U664" s="328">
        <v>178.5</v>
      </c>
      <c r="V664" s="329">
        <v>46226.8921412037</v>
      </c>
      <c r="W664" s="330">
        <v>23.0</v>
      </c>
      <c r="X664" s="330">
        <v>7.0</v>
      </c>
      <c r="Y664" s="330">
        <v>2026.0</v>
      </c>
      <c r="Z664" s="328" t="s">
        <v>319</v>
      </c>
    </row>
    <row r="665">
      <c r="A665" s="328" t="s">
        <v>1736</v>
      </c>
      <c r="B665" s="328" t="s">
        <v>1737</v>
      </c>
      <c r="C665" s="329">
        <v>46226.0</v>
      </c>
      <c r="D665" s="330">
        <v>23.0</v>
      </c>
      <c r="E665" s="330">
        <v>7.0</v>
      </c>
      <c r="F665" s="330">
        <v>2026.0</v>
      </c>
      <c r="G665" s="329">
        <v>46230.0</v>
      </c>
      <c r="H665" s="330">
        <v>27.0</v>
      </c>
      <c r="I665" s="330">
        <v>7.0</v>
      </c>
      <c r="J665" s="330">
        <v>2026.0</v>
      </c>
      <c r="K665" s="328" t="s">
        <v>38</v>
      </c>
      <c r="L665" s="328" t="s">
        <v>518</v>
      </c>
      <c r="M665" s="328">
        <v>1.0</v>
      </c>
      <c r="N665" s="328">
        <v>4.0</v>
      </c>
      <c r="O665" s="328">
        <v>8.0</v>
      </c>
      <c r="P665" s="329">
        <v>46227.366377314815</v>
      </c>
      <c r="Q665" s="331">
        <v>24.0</v>
      </c>
      <c r="R665" s="331">
        <v>7.0</v>
      </c>
      <c r="S665" s="330">
        <v>2026.0</v>
      </c>
      <c r="T665" s="328" t="s">
        <v>319</v>
      </c>
      <c r="U665" s="328">
        <v>134.3</v>
      </c>
      <c r="V665" s="329">
        <v>46227.36597222222</v>
      </c>
      <c r="W665" s="330">
        <v>24.0</v>
      </c>
      <c r="X665" s="330">
        <v>7.0</v>
      </c>
      <c r="Y665" s="330">
        <v>2026.0</v>
      </c>
      <c r="Z665" s="328" t="s">
        <v>319</v>
      </c>
    </row>
    <row r="666">
      <c r="A666" s="328" t="s">
        <v>886</v>
      </c>
      <c r="B666" s="328" t="s">
        <v>1738</v>
      </c>
      <c r="C666" s="329">
        <v>46227.0</v>
      </c>
      <c r="D666" s="330">
        <v>24.0</v>
      </c>
      <c r="E666" s="330">
        <v>7.0</v>
      </c>
      <c r="F666" s="330">
        <v>2026.0</v>
      </c>
      <c r="G666" s="329">
        <v>46228.0</v>
      </c>
      <c r="H666" s="330">
        <v>25.0</v>
      </c>
      <c r="I666" s="330">
        <v>7.0</v>
      </c>
      <c r="J666" s="330">
        <v>2026.0</v>
      </c>
      <c r="K666" s="328" t="s">
        <v>38</v>
      </c>
      <c r="L666" s="328" t="s">
        <v>518</v>
      </c>
      <c r="M666" s="328">
        <v>1.0</v>
      </c>
      <c r="N666" s="328">
        <v>1.0</v>
      </c>
      <c r="O666" s="328">
        <v>2.0</v>
      </c>
      <c r="P666" s="329">
        <v>46227.77369212963</v>
      </c>
      <c r="Q666" s="331">
        <v>24.0</v>
      </c>
      <c r="R666" s="331">
        <v>7.0</v>
      </c>
      <c r="S666" s="330">
        <v>2026.0</v>
      </c>
      <c r="T666" s="328" t="s">
        <v>319</v>
      </c>
      <c r="U666" s="328">
        <v>29.75</v>
      </c>
      <c r="V666" s="329">
        <v>46227.77324074074</v>
      </c>
      <c r="W666" s="330">
        <v>24.0</v>
      </c>
      <c r="X666" s="330">
        <v>7.0</v>
      </c>
      <c r="Y666" s="330">
        <v>2026.0</v>
      </c>
      <c r="Z666" s="328" t="s">
        <v>319</v>
      </c>
    </row>
    <row r="667">
      <c r="A667" s="328" t="s">
        <v>1739</v>
      </c>
      <c r="B667" s="328" t="s">
        <v>1740</v>
      </c>
      <c r="C667" s="329">
        <v>46226.0</v>
      </c>
      <c r="D667" s="330">
        <v>23.0</v>
      </c>
      <c r="E667" s="330">
        <v>7.0</v>
      </c>
      <c r="F667" s="330">
        <v>2026.0</v>
      </c>
      <c r="G667" s="329">
        <v>46229.0</v>
      </c>
      <c r="H667" s="330">
        <v>26.0</v>
      </c>
      <c r="I667" s="330">
        <v>7.0</v>
      </c>
      <c r="J667" s="330">
        <v>2026.0</v>
      </c>
      <c r="K667" s="328" t="s">
        <v>38</v>
      </c>
      <c r="L667" s="328" t="s">
        <v>518</v>
      </c>
      <c r="M667" s="328">
        <v>1.0</v>
      </c>
      <c r="N667" s="328">
        <v>3.0</v>
      </c>
      <c r="O667" s="328">
        <v>6.0</v>
      </c>
      <c r="P667" s="329">
        <v>46228.79733796296</v>
      </c>
      <c r="Q667" s="331">
        <v>25.0</v>
      </c>
      <c r="R667" s="331">
        <v>7.0</v>
      </c>
      <c r="S667" s="330">
        <v>2026.0</v>
      </c>
      <c r="T667" s="328" t="s">
        <v>319</v>
      </c>
      <c r="U667" s="328">
        <v>89.25</v>
      </c>
      <c r="V667" s="329">
        <v>46228.79699074074</v>
      </c>
      <c r="W667" s="330">
        <v>25.0</v>
      </c>
      <c r="X667" s="330">
        <v>7.0</v>
      </c>
      <c r="Y667" s="330">
        <v>2026.0</v>
      </c>
      <c r="Z667" s="328" t="s">
        <v>319</v>
      </c>
    </row>
    <row r="668">
      <c r="A668" s="328" t="s">
        <v>1741</v>
      </c>
      <c r="B668" s="328" t="s">
        <v>1742</v>
      </c>
      <c r="C668" s="329">
        <v>46227.0</v>
      </c>
      <c r="D668" s="330">
        <v>24.0</v>
      </c>
      <c r="E668" s="330">
        <v>7.0</v>
      </c>
      <c r="F668" s="330">
        <v>2026.0</v>
      </c>
      <c r="G668" s="329">
        <v>46228.0</v>
      </c>
      <c r="H668" s="330">
        <v>25.0</v>
      </c>
      <c r="I668" s="330">
        <v>7.0</v>
      </c>
      <c r="J668" s="330">
        <v>2026.0</v>
      </c>
      <c r="K668" s="328" t="s">
        <v>38</v>
      </c>
      <c r="L668" s="328" t="s">
        <v>518</v>
      </c>
      <c r="M668" s="328">
        <v>1.0</v>
      </c>
      <c r="N668" s="328">
        <v>1.0</v>
      </c>
      <c r="O668" s="328">
        <v>2.0</v>
      </c>
      <c r="P668" s="329">
        <v>46228.376226851855</v>
      </c>
      <c r="Q668" s="331">
        <v>25.0</v>
      </c>
      <c r="R668" s="331">
        <v>7.0</v>
      </c>
      <c r="S668" s="330">
        <v>2026.0</v>
      </c>
      <c r="T668" s="328" t="s">
        <v>319</v>
      </c>
      <c r="U668" s="328">
        <v>29.75</v>
      </c>
      <c r="V668" s="329">
        <v>46228.37446759259</v>
      </c>
      <c r="W668" s="330">
        <v>25.0</v>
      </c>
      <c r="X668" s="330">
        <v>7.0</v>
      </c>
      <c r="Y668" s="330">
        <v>2026.0</v>
      </c>
      <c r="Z668" s="328" t="s">
        <v>319</v>
      </c>
    </row>
    <row r="669">
      <c r="A669" s="328" t="s">
        <v>1743</v>
      </c>
      <c r="B669" s="328" t="s">
        <v>1744</v>
      </c>
      <c r="C669" s="329">
        <v>46228.0</v>
      </c>
      <c r="D669" s="330">
        <v>25.0</v>
      </c>
      <c r="E669" s="330">
        <v>7.0</v>
      </c>
      <c r="F669" s="330">
        <v>2026.0</v>
      </c>
      <c r="G669" s="329">
        <v>46230.0</v>
      </c>
      <c r="H669" s="330">
        <v>27.0</v>
      </c>
      <c r="I669" s="330">
        <v>7.0</v>
      </c>
      <c r="J669" s="330">
        <v>2026.0</v>
      </c>
      <c r="K669" s="328" t="s">
        <v>38</v>
      </c>
      <c r="L669" s="328" t="s">
        <v>518</v>
      </c>
      <c r="M669" s="328">
        <v>1.0</v>
      </c>
      <c r="N669" s="328">
        <v>2.0</v>
      </c>
      <c r="O669" s="328">
        <v>4.0</v>
      </c>
      <c r="P669" s="329">
        <v>46228.78258101852</v>
      </c>
      <c r="Q669" s="331">
        <v>25.0</v>
      </c>
      <c r="R669" s="331">
        <v>7.0</v>
      </c>
      <c r="S669" s="330">
        <v>2026.0</v>
      </c>
      <c r="T669" s="328" t="s">
        <v>319</v>
      </c>
      <c r="U669" s="328">
        <v>93.5</v>
      </c>
      <c r="V669" s="329">
        <v>46228.78225694445</v>
      </c>
      <c r="W669" s="330">
        <v>25.0</v>
      </c>
      <c r="X669" s="330">
        <v>7.0</v>
      </c>
      <c r="Y669" s="330">
        <v>2026.0</v>
      </c>
      <c r="Z669" s="328" t="s">
        <v>319</v>
      </c>
    </row>
    <row r="670">
      <c r="A670" s="328" t="s">
        <v>1745</v>
      </c>
      <c r="B670" s="328" t="s">
        <v>1746</v>
      </c>
      <c r="C670" s="329">
        <v>46228.0</v>
      </c>
      <c r="D670" s="330">
        <v>25.0</v>
      </c>
      <c r="E670" s="330">
        <v>7.0</v>
      </c>
      <c r="F670" s="330">
        <v>2026.0</v>
      </c>
      <c r="G670" s="329">
        <v>46231.0</v>
      </c>
      <c r="H670" s="330">
        <v>28.0</v>
      </c>
      <c r="I670" s="330">
        <v>7.0</v>
      </c>
      <c r="J670" s="330">
        <v>2026.0</v>
      </c>
      <c r="K670" s="328" t="s">
        <v>38</v>
      </c>
      <c r="L670" s="328" t="s">
        <v>518</v>
      </c>
      <c r="M670" s="328">
        <v>1.0</v>
      </c>
      <c r="N670" s="328">
        <v>3.0</v>
      </c>
      <c r="O670" s="328">
        <v>6.0</v>
      </c>
      <c r="P670" s="329">
        <v>46230.47625</v>
      </c>
      <c r="Q670" s="331">
        <v>27.0</v>
      </c>
      <c r="R670" s="331">
        <v>7.0</v>
      </c>
      <c r="S670" s="330">
        <v>2026.0</v>
      </c>
      <c r="T670" s="328" t="s">
        <v>319</v>
      </c>
      <c r="U670" s="328">
        <v>113.9</v>
      </c>
      <c r="V670" s="329">
        <v>46230.47625</v>
      </c>
      <c r="W670" s="330">
        <v>27.0</v>
      </c>
      <c r="X670" s="330">
        <v>7.0</v>
      </c>
      <c r="Y670" s="330">
        <v>2026.0</v>
      </c>
      <c r="Z670" s="328" t="s">
        <v>319</v>
      </c>
    </row>
    <row r="671">
      <c r="A671" s="328" t="s">
        <v>1747</v>
      </c>
      <c r="B671" s="328" t="s">
        <v>1748</v>
      </c>
      <c r="C671" s="329">
        <v>46230.0</v>
      </c>
      <c r="D671" s="330">
        <v>27.0</v>
      </c>
      <c r="E671" s="330">
        <v>7.0</v>
      </c>
      <c r="F671" s="330">
        <v>2026.0</v>
      </c>
      <c r="G671" s="329">
        <v>46232.0</v>
      </c>
      <c r="H671" s="330">
        <v>29.0</v>
      </c>
      <c r="I671" s="330">
        <v>7.0</v>
      </c>
      <c r="J671" s="330">
        <v>2026.0</v>
      </c>
      <c r="K671" s="328" t="s">
        <v>38</v>
      </c>
      <c r="L671" s="328" t="s">
        <v>518</v>
      </c>
      <c r="M671" s="328">
        <v>1.0</v>
      </c>
      <c r="N671" s="328">
        <v>2.0</v>
      </c>
      <c r="O671" s="328">
        <v>4.0</v>
      </c>
      <c r="P671" s="329">
        <v>46230.641388888886</v>
      </c>
      <c r="Q671" s="331">
        <v>27.0</v>
      </c>
      <c r="R671" s="331">
        <v>7.0</v>
      </c>
      <c r="S671" s="330">
        <v>2026.0</v>
      </c>
      <c r="T671" s="328" t="s">
        <v>319</v>
      </c>
      <c r="U671" s="328">
        <v>67.15</v>
      </c>
      <c r="V671" s="329">
        <v>46230.641388888886</v>
      </c>
      <c r="W671" s="330">
        <v>27.0</v>
      </c>
      <c r="X671" s="330">
        <v>7.0</v>
      </c>
      <c r="Y671" s="330">
        <v>2026.0</v>
      </c>
      <c r="Z671" s="328" t="s">
        <v>319</v>
      </c>
    </row>
    <row r="672">
      <c r="A672" s="328" t="s">
        <v>1749</v>
      </c>
      <c r="B672" s="328" t="s">
        <v>1750</v>
      </c>
      <c r="C672" s="329">
        <v>46229.0</v>
      </c>
      <c r="D672" s="330">
        <v>26.0</v>
      </c>
      <c r="E672" s="330">
        <v>7.0</v>
      </c>
      <c r="F672" s="330">
        <v>2026.0</v>
      </c>
      <c r="G672" s="329">
        <v>46232.0</v>
      </c>
      <c r="H672" s="330">
        <v>29.0</v>
      </c>
      <c r="I672" s="330">
        <v>7.0</v>
      </c>
      <c r="J672" s="330">
        <v>2026.0</v>
      </c>
      <c r="K672" s="328" t="s">
        <v>38</v>
      </c>
      <c r="L672" s="328" t="s">
        <v>518</v>
      </c>
      <c r="M672" s="328">
        <v>1.0</v>
      </c>
      <c r="N672" s="328">
        <v>3.0</v>
      </c>
      <c r="O672" s="328">
        <v>6.0</v>
      </c>
      <c r="P672" s="329">
        <v>46231.84342592592</v>
      </c>
      <c r="Q672" s="331">
        <v>28.0</v>
      </c>
      <c r="R672" s="331">
        <v>7.0</v>
      </c>
      <c r="S672" s="330">
        <v>2026.0</v>
      </c>
      <c r="T672" s="328" t="s">
        <v>319</v>
      </c>
      <c r="U672" s="328">
        <v>140.25</v>
      </c>
      <c r="V672" s="329">
        <v>46231.84342592592</v>
      </c>
      <c r="W672" s="330">
        <v>28.0</v>
      </c>
      <c r="X672" s="330">
        <v>7.0</v>
      </c>
      <c r="Y672" s="330">
        <v>2026.0</v>
      </c>
      <c r="Z672" s="328" t="s">
        <v>319</v>
      </c>
    </row>
    <row r="673">
      <c r="A673" s="328" t="s">
        <v>1751</v>
      </c>
      <c r="B673" s="328" t="s">
        <v>1752</v>
      </c>
      <c r="C673" s="329">
        <v>46230.0</v>
      </c>
      <c r="D673" s="330">
        <v>27.0</v>
      </c>
      <c r="E673" s="330">
        <v>7.0</v>
      </c>
      <c r="F673" s="330">
        <v>2026.0</v>
      </c>
      <c r="G673" s="329">
        <v>46234.0</v>
      </c>
      <c r="H673" s="330">
        <v>31.0</v>
      </c>
      <c r="I673" s="330">
        <v>7.0</v>
      </c>
      <c r="J673" s="330">
        <v>2026.0</v>
      </c>
      <c r="K673" s="328" t="s">
        <v>38</v>
      </c>
      <c r="L673" s="328" t="s">
        <v>518</v>
      </c>
      <c r="M673" s="328">
        <v>1.0</v>
      </c>
      <c r="N673" s="328">
        <v>4.0</v>
      </c>
      <c r="O673" s="328">
        <v>8.0</v>
      </c>
      <c r="P673" s="329">
        <v>46231.006875</v>
      </c>
      <c r="Q673" s="331">
        <v>28.0</v>
      </c>
      <c r="R673" s="331">
        <v>7.0</v>
      </c>
      <c r="S673" s="330">
        <v>2026.0</v>
      </c>
      <c r="T673" s="328" t="s">
        <v>319</v>
      </c>
      <c r="U673" s="328">
        <v>153.0</v>
      </c>
      <c r="V673" s="329">
        <v>46231.006875</v>
      </c>
      <c r="W673" s="330">
        <v>28.0</v>
      </c>
      <c r="X673" s="330">
        <v>7.0</v>
      </c>
      <c r="Y673" s="330">
        <v>2026.0</v>
      </c>
      <c r="Z673" s="328" t="s">
        <v>319</v>
      </c>
    </row>
    <row r="674">
      <c r="A674" s="328" t="s">
        <v>1753</v>
      </c>
      <c r="B674" s="328" t="s">
        <v>1754</v>
      </c>
      <c r="C674" s="329">
        <v>46231.0</v>
      </c>
      <c r="D674" s="330">
        <v>28.0</v>
      </c>
      <c r="E674" s="330">
        <v>7.0</v>
      </c>
      <c r="F674" s="330">
        <v>2026.0</v>
      </c>
      <c r="G674" s="329">
        <v>46234.0</v>
      </c>
      <c r="H674" s="330">
        <v>31.0</v>
      </c>
      <c r="I674" s="330">
        <v>7.0</v>
      </c>
      <c r="J674" s="330">
        <v>2026.0</v>
      </c>
      <c r="K674" s="328" t="s">
        <v>38</v>
      </c>
      <c r="L674" s="328" t="s">
        <v>518</v>
      </c>
      <c r="M674" s="328">
        <v>1.0</v>
      </c>
      <c r="N674" s="328">
        <v>3.0</v>
      </c>
      <c r="O674" s="328">
        <v>6.0</v>
      </c>
      <c r="P674" s="329">
        <v>46232.70413194445</v>
      </c>
      <c r="Q674" s="331">
        <v>29.0</v>
      </c>
      <c r="R674" s="331">
        <v>7.0</v>
      </c>
      <c r="S674" s="330">
        <v>2026.0</v>
      </c>
      <c r="T674" s="328" t="s">
        <v>319</v>
      </c>
      <c r="U674" s="328">
        <v>89.25</v>
      </c>
      <c r="V674" s="329">
        <v>46232.70413194445</v>
      </c>
      <c r="W674" s="330">
        <v>29.0</v>
      </c>
      <c r="X674" s="330">
        <v>7.0</v>
      </c>
      <c r="Y674" s="330">
        <v>2026.0</v>
      </c>
      <c r="Z674" s="328" t="s">
        <v>319</v>
      </c>
    </row>
    <row r="675">
      <c r="A675" s="328" t="s">
        <v>1755</v>
      </c>
      <c r="B675" s="328" t="s">
        <v>1756</v>
      </c>
      <c r="C675" s="329">
        <v>46233.0</v>
      </c>
      <c r="D675" s="330">
        <v>30.0</v>
      </c>
      <c r="E675" s="330">
        <v>7.0</v>
      </c>
      <c r="F675" s="330">
        <v>2026.0</v>
      </c>
      <c r="G675" s="329">
        <v>46235.0</v>
      </c>
      <c r="H675" s="330">
        <v>1.0</v>
      </c>
      <c r="I675" s="330">
        <v>8.0</v>
      </c>
      <c r="J675" s="330">
        <v>2026.0</v>
      </c>
      <c r="K675" s="328" t="s">
        <v>38</v>
      </c>
      <c r="L675" s="328" t="s">
        <v>518</v>
      </c>
      <c r="M675" s="328">
        <v>1.0</v>
      </c>
      <c r="N675" s="328">
        <v>2.0</v>
      </c>
      <c r="O675" s="328">
        <v>4.0</v>
      </c>
      <c r="P675" s="329">
        <v>46233.93256944444</v>
      </c>
      <c r="Q675" s="331">
        <v>30.0</v>
      </c>
      <c r="R675" s="331">
        <v>7.0</v>
      </c>
      <c r="S675" s="330">
        <v>2026.0</v>
      </c>
      <c r="T675" s="328" t="s">
        <v>319</v>
      </c>
      <c r="U675" s="328">
        <v>59.5</v>
      </c>
      <c r="V675" s="329">
        <v>46233.93256944444</v>
      </c>
      <c r="W675" s="330">
        <v>30.0</v>
      </c>
      <c r="X675" s="330">
        <v>7.0</v>
      </c>
      <c r="Y675" s="330">
        <v>2026.0</v>
      </c>
      <c r="Z675" s="328" t="s">
        <v>319</v>
      </c>
    </row>
    <row r="676">
      <c r="A676" s="328" t="s">
        <v>1747</v>
      </c>
      <c r="B676" s="328" t="s">
        <v>1757</v>
      </c>
      <c r="C676" s="329">
        <v>46232.0</v>
      </c>
      <c r="D676" s="330">
        <v>29.0</v>
      </c>
      <c r="E676" s="330">
        <v>7.0</v>
      </c>
      <c r="F676" s="330">
        <v>2026.0</v>
      </c>
      <c r="G676" s="329">
        <v>46233.0</v>
      </c>
      <c r="H676" s="330">
        <v>30.0</v>
      </c>
      <c r="I676" s="330">
        <v>7.0</v>
      </c>
      <c r="J676" s="330">
        <v>2026.0</v>
      </c>
      <c r="K676" s="328" t="s">
        <v>38</v>
      </c>
      <c r="L676" s="328" t="s">
        <v>518</v>
      </c>
      <c r="M676" s="328">
        <v>1.0</v>
      </c>
      <c r="N676" s="328">
        <v>1.0</v>
      </c>
      <c r="O676" s="328">
        <v>2.0</v>
      </c>
      <c r="P676" s="329">
        <v>46234.907488425924</v>
      </c>
      <c r="Q676" s="331">
        <v>31.0</v>
      </c>
      <c r="R676" s="331">
        <v>7.0</v>
      </c>
      <c r="S676" s="330">
        <v>2026.0</v>
      </c>
      <c r="T676" s="328" t="s">
        <v>319</v>
      </c>
      <c r="U676" s="429">
        <v>38.25</v>
      </c>
      <c r="V676" s="329">
        <v>46234.907488425924</v>
      </c>
      <c r="W676" s="330">
        <v>31.0</v>
      </c>
      <c r="X676" s="330">
        <v>7.0</v>
      </c>
      <c r="Y676" s="330">
        <v>2026.0</v>
      </c>
      <c r="Z676" s="328" t="s">
        <v>319</v>
      </c>
    </row>
    <row r="677">
      <c r="A677" s="328" t="s">
        <v>1758</v>
      </c>
      <c r="B677" s="328" t="s">
        <v>1759</v>
      </c>
      <c r="C677" s="329">
        <v>46233.0</v>
      </c>
      <c r="D677" s="330">
        <v>30.0</v>
      </c>
      <c r="E677" s="330">
        <v>7.0</v>
      </c>
      <c r="F677" s="330">
        <v>2026.0</v>
      </c>
      <c r="G677" s="329">
        <v>46234.0</v>
      </c>
      <c r="H677" s="330">
        <v>31.0</v>
      </c>
      <c r="I677" s="330">
        <v>7.0</v>
      </c>
      <c r="J677" s="330">
        <v>2026.0</v>
      </c>
      <c r="K677" s="328" t="s">
        <v>38</v>
      </c>
      <c r="L677" s="328" t="s">
        <v>518</v>
      </c>
      <c r="M677" s="328">
        <v>1.0</v>
      </c>
      <c r="N677" s="328">
        <v>1.0</v>
      </c>
      <c r="O677" s="328">
        <v>2.0</v>
      </c>
      <c r="P677" s="329">
        <v>46234.40488425926</v>
      </c>
      <c r="Q677" s="331">
        <v>31.0</v>
      </c>
      <c r="R677" s="331">
        <v>7.0</v>
      </c>
      <c r="S677" s="330">
        <v>2026.0</v>
      </c>
      <c r="T677" s="328" t="s">
        <v>319</v>
      </c>
      <c r="U677" s="429">
        <v>29.75</v>
      </c>
      <c r="V677" s="329">
        <v>46234.40415509259</v>
      </c>
      <c r="W677" s="330">
        <v>31.0</v>
      </c>
      <c r="X677" s="330">
        <v>7.0</v>
      </c>
      <c r="Y677" s="330">
        <v>2026.0</v>
      </c>
      <c r="Z677" s="328" t="s">
        <v>319</v>
      </c>
    </row>
    <row r="678">
      <c r="A678" s="324" t="s">
        <v>1760</v>
      </c>
      <c r="B678" s="324" t="s">
        <v>1761</v>
      </c>
      <c r="C678" s="325">
        <v>46233.0</v>
      </c>
      <c r="D678" s="326">
        <v>30.0</v>
      </c>
      <c r="E678" s="326">
        <v>7.0</v>
      </c>
      <c r="F678" s="326">
        <v>2026.0</v>
      </c>
      <c r="G678" s="325">
        <v>46237.0</v>
      </c>
      <c r="H678" s="326">
        <v>3.0</v>
      </c>
      <c r="I678" s="326">
        <v>8.0</v>
      </c>
      <c r="J678" s="326">
        <v>2026.0</v>
      </c>
      <c r="K678" s="324" t="s">
        <v>38</v>
      </c>
      <c r="L678" s="324" t="s">
        <v>518</v>
      </c>
      <c r="M678" s="324">
        <v>1.0</v>
      </c>
      <c r="N678" s="324">
        <v>4.0</v>
      </c>
      <c r="O678" s="324">
        <v>8.0</v>
      </c>
      <c r="P678" s="325">
        <v>46234.01476851852</v>
      </c>
      <c r="Q678" s="327">
        <v>31.0</v>
      </c>
      <c r="R678" s="327">
        <v>7.0</v>
      </c>
      <c r="S678" s="326">
        <v>2026.0</v>
      </c>
      <c r="T678" s="324" t="s">
        <v>319</v>
      </c>
      <c r="U678" s="324">
        <v>150.45</v>
      </c>
      <c r="V678" s="325">
        <v>46234.01476851852</v>
      </c>
      <c r="W678" s="326">
        <v>31.0</v>
      </c>
      <c r="X678" s="326">
        <v>7.0</v>
      </c>
      <c r="Y678" s="326">
        <v>2026.0</v>
      </c>
      <c r="Z678" s="324" t="s">
        <v>319</v>
      </c>
      <c r="AA678" s="265"/>
      <c r="AB678" s="265"/>
    </row>
    <row r="679">
      <c r="A679" s="328" t="s">
        <v>1762</v>
      </c>
      <c r="B679" s="328" t="s">
        <v>1763</v>
      </c>
      <c r="C679" s="329">
        <v>46234.0</v>
      </c>
      <c r="D679" s="330">
        <v>31.0</v>
      </c>
      <c r="E679" s="330">
        <v>7.0</v>
      </c>
      <c r="F679" s="330">
        <v>2026.0</v>
      </c>
      <c r="G679" s="329">
        <v>46235.0</v>
      </c>
      <c r="H679" s="330">
        <v>1.0</v>
      </c>
      <c r="I679" s="330">
        <v>8.0</v>
      </c>
      <c r="J679" s="330">
        <v>2026.0</v>
      </c>
      <c r="K679" s="328" t="s">
        <v>38</v>
      </c>
      <c r="L679" s="328" t="s">
        <v>518</v>
      </c>
      <c r="M679" s="328">
        <v>1.0</v>
      </c>
      <c r="N679" s="328">
        <v>1.0</v>
      </c>
      <c r="O679" s="328">
        <v>2.0</v>
      </c>
      <c r="P679" s="329">
        <v>46234.8084375</v>
      </c>
      <c r="Q679" s="331">
        <v>31.0</v>
      </c>
      <c r="R679" s="331">
        <v>7.0</v>
      </c>
      <c r="S679" s="330">
        <v>2026.0</v>
      </c>
      <c r="T679" s="328" t="s">
        <v>352</v>
      </c>
      <c r="U679" s="328">
        <v>29.75</v>
      </c>
      <c r="V679" s="329">
        <v>46234.807604166665</v>
      </c>
      <c r="W679" s="330">
        <v>31.0</v>
      </c>
      <c r="X679" s="330">
        <v>7.0</v>
      </c>
      <c r="Y679" s="330">
        <v>2026.0</v>
      </c>
      <c r="Z679" s="328" t="s">
        <v>352</v>
      </c>
    </row>
    <row r="680">
      <c r="A680" s="328" t="s">
        <v>1764</v>
      </c>
      <c r="B680" s="328" t="s">
        <v>1765</v>
      </c>
      <c r="C680" s="329">
        <v>46234.0</v>
      </c>
      <c r="D680" s="330">
        <v>31.0</v>
      </c>
      <c r="E680" s="330">
        <v>7.0</v>
      </c>
      <c r="F680" s="330">
        <v>2026.0</v>
      </c>
      <c r="G680" s="329">
        <v>46235.0</v>
      </c>
      <c r="H680" s="330">
        <v>1.0</v>
      </c>
      <c r="I680" s="330">
        <v>8.0</v>
      </c>
      <c r="J680" s="330">
        <v>2026.0</v>
      </c>
      <c r="K680" s="328" t="s">
        <v>38</v>
      </c>
      <c r="L680" s="328" t="s">
        <v>518</v>
      </c>
      <c r="M680" s="328">
        <v>1.0</v>
      </c>
      <c r="N680" s="328">
        <v>1.0</v>
      </c>
      <c r="O680" s="328">
        <v>2.0</v>
      </c>
      <c r="P680" s="329">
        <v>46234.71943287037</v>
      </c>
      <c r="Q680" s="331">
        <v>31.0</v>
      </c>
      <c r="R680" s="331">
        <v>7.0</v>
      </c>
      <c r="S680" s="330">
        <v>2026.0</v>
      </c>
      <c r="T680" s="328" t="s">
        <v>319</v>
      </c>
      <c r="U680" s="429">
        <v>38.25</v>
      </c>
      <c r="V680" s="329">
        <v>46234.71905092592</v>
      </c>
      <c r="W680" s="330">
        <v>31.0</v>
      </c>
      <c r="X680" s="330">
        <v>7.0</v>
      </c>
      <c r="Y680" s="330">
        <v>2026.0</v>
      </c>
      <c r="Z680" s="328" t="s">
        <v>319</v>
      </c>
    </row>
    <row r="681">
      <c r="A681" s="328" t="s">
        <v>1766</v>
      </c>
      <c r="B681" s="328" t="s">
        <v>1767</v>
      </c>
      <c r="C681" s="329">
        <v>46206.0</v>
      </c>
      <c r="D681" s="330">
        <v>3.0</v>
      </c>
      <c r="E681" s="330">
        <v>7.0</v>
      </c>
      <c r="F681" s="330">
        <v>2026.0</v>
      </c>
      <c r="G681" s="329">
        <v>46208.0</v>
      </c>
      <c r="H681" s="330">
        <v>5.0</v>
      </c>
      <c r="I681" s="330">
        <v>7.0</v>
      </c>
      <c r="J681" s="330">
        <v>2026.0</v>
      </c>
      <c r="K681" s="328" t="s">
        <v>38</v>
      </c>
      <c r="L681" s="328" t="s">
        <v>518</v>
      </c>
      <c r="M681" s="328">
        <v>2.0</v>
      </c>
      <c r="N681" s="328">
        <v>2.0</v>
      </c>
      <c r="O681" s="328">
        <v>8.0</v>
      </c>
      <c r="P681" s="329">
        <v>46206.619722222225</v>
      </c>
      <c r="Q681" s="331">
        <v>3.0</v>
      </c>
      <c r="R681" s="331">
        <v>7.0</v>
      </c>
      <c r="S681" s="330">
        <v>2026.0</v>
      </c>
      <c r="T681" s="328" t="s">
        <v>319</v>
      </c>
      <c r="U681" s="328">
        <v>119.0</v>
      </c>
      <c r="V681" s="329">
        <v>46206.61883101852</v>
      </c>
      <c r="W681" s="330">
        <v>3.0</v>
      </c>
      <c r="X681" s="330">
        <v>7.0</v>
      </c>
      <c r="Y681" s="330">
        <v>2026.0</v>
      </c>
      <c r="Z681" s="328" t="s">
        <v>319</v>
      </c>
    </row>
    <row r="682">
      <c r="A682" s="324" t="s">
        <v>1768</v>
      </c>
      <c r="B682" s="324" t="s">
        <v>1769</v>
      </c>
      <c r="C682" s="325">
        <v>46210.0</v>
      </c>
      <c r="D682" s="326">
        <v>7.0</v>
      </c>
      <c r="E682" s="326">
        <v>7.0</v>
      </c>
      <c r="F682" s="326">
        <v>2026.0</v>
      </c>
      <c r="G682" s="325">
        <v>46214.0</v>
      </c>
      <c r="H682" s="326">
        <v>11.0</v>
      </c>
      <c r="I682" s="326">
        <v>7.0</v>
      </c>
      <c r="J682" s="326">
        <v>2026.0</v>
      </c>
      <c r="K682" s="324" t="s">
        <v>38</v>
      </c>
      <c r="L682" s="324" t="s">
        <v>518</v>
      </c>
      <c r="M682" s="324">
        <v>2.0</v>
      </c>
      <c r="N682" s="324">
        <v>4.0</v>
      </c>
      <c r="O682" s="326">
        <v>16.0</v>
      </c>
      <c r="P682" s="325">
        <v>46211.03134259259</v>
      </c>
      <c r="Q682" s="327">
        <v>8.0</v>
      </c>
      <c r="R682" s="327">
        <v>7.0</v>
      </c>
      <c r="S682" s="326">
        <v>2026.0</v>
      </c>
      <c r="T682" s="324" t="s">
        <v>319</v>
      </c>
      <c r="U682" s="324">
        <v>510.0</v>
      </c>
      <c r="V682" s="325">
        <v>46211.03134259259</v>
      </c>
      <c r="W682" s="326">
        <v>8.0</v>
      </c>
      <c r="X682" s="326">
        <v>7.0</v>
      </c>
      <c r="Y682" s="326">
        <v>2026.0</v>
      </c>
      <c r="Z682" s="324" t="s">
        <v>319</v>
      </c>
    </row>
    <row r="683">
      <c r="A683" s="328" t="s">
        <v>1770</v>
      </c>
      <c r="B683" s="328" t="s">
        <v>1771</v>
      </c>
      <c r="C683" s="329">
        <v>46211.0</v>
      </c>
      <c r="D683" s="330">
        <v>8.0</v>
      </c>
      <c r="E683" s="330">
        <v>7.0</v>
      </c>
      <c r="F683" s="330">
        <v>2026.0</v>
      </c>
      <c r="G683" s="329">
        <v>46214.0</v>
      </c>
      <c r="H683" s="330">
        <v>11.0</v>
      </c>
      <c r="I683" s="330">
        <v>7.0</v>
      </c>
      <c r="J683" s="330">
        <v>2026.0</v>
      </c>
      <c r="K683" s="328" t="s">
        <v>38</v>
      </c>
      <c r="L683" s="328" t="s">
        <v>518</v>
      </c>
      <c r="M683" s="328">
        <v>2.0</v>
      </c>
      <c r="N683" s="328">
        <v>3.0</v>
      </c>
      <c r="O683" s="328">
        <v>12.0</v>
      </c>
      <c r="P683" s="329">
        <v>46214.45686342593</v>
      </c>
      <c r="Q683" s="331">
        <v>11.0</v>
      </c>
      <c r="R683" s="331">
        <v>7.0</v>
      </c>
      <c r="S683" s="330">
        <v>2026.0</v>
      </c>
      <c r="T683" s="328" t="s">
        <v>10</v>
      </c>
      <c r="U683" s="328">
        <v>178.5</v>
      </c>
      <c r="V683" s="329">
        <v>46214.45644675926</v>
      </c>
      <c r="W683" s="330">
        <v>11.0</v>
      </c>
      <c r="X683" s="330">
        <v>7.0</v>
      </c>
      <c r="Y683" s="330">
        <v>2026.0</v>
      </c>
      <c r="Z683" s="328" t="s">
        <v>10</v>
      </c>
    </row>
    <row r="684">
      <c r="A684" s="328" t="s">
        <v>1772</v>
      </c>
      <c r="B684" s="328" t="s">
        <v>1773</v>
      </c>
      <c r="C684" s="329">
        <v>46216.0</v>
      </c>
      <c r="D684" s="330">
        <v>13.0</v>
      </c>
      <c r="E684" s="330">
        <v>7.0</v>
      </c>
      <c r="F684" s="330">
        <v>2026.0</v>
      </c>
      <c r="G684" s="329">
        <v>46217.0</v>
      </c>
      <c r="H684" s="330">
        <v>14.0</v>
      </c>
      <c r="I684" s="330">
        <v>7.0</v>
      </c>
      <c r="J684" s="330">
        <v>2026.0</v>
      </c>
      <c r="K684" s="328" t="s">
        <v>38</v>
      </c>
      <c r="L684" s="328" t="s">
        <v>518</v>
      </c>
      <c r="M684" s="328">
        <v>2.0</v>
      </c>
      <c r="N684" s="328">
        <v>1.0</v>
      </c>
      <c r="O684" s="328">
        <v>4.0</v>
      </c>
      <c r="P684" s="329">
        <v>46217.93787037037</v>
      </c>
      <c r="Q684" s="331">
        <v>14.0</v>
      </c>
      <c r="R684" s="331">
        <v>7.0</v>
      </c>
      <c r="S684" s="330">
        <v>2026.0</v>
      </c>
      <c r="T684" s="328" t="s">
        <v>319</v>
      </c>
      <c r="U684" s="328">
        <v>59.5</v>
      </c>
      <c r="V684" s="329">
        <v>46217.93787037037</v>
      </c>
      <c r="W684" s="330">
        <v>14.0</v>
      </c>
      <c r="X684" s="330">
        <v>7.0</v>
      </c>
      <c r="Y684" s="330">
        <v>2026.0</v>
      </c>
      <c r="Z684" s="328" t="s">
        <v>319</v>
      </c>
    </row>
    <row r="685">
      <c r="A685" s="328" t="s">
        <v>1774</v>
      </c>
      <c r="B685" s="328" t="s">
        <v>1775</v>
      </c>
      <c r="C685" s="329">
        <v>46218.0</v>
      </c>
      <c r="D685" s="330">
        <v>15.0</v>
      </c>
      <c r="E685" s="330">
        <v>7.0</v>
      </c>
      <c r="F685" s="330">
        <v>2026.0</v>
      </c>
      <c r="G685" s="329">
        <v>46219.0</v>
      </c>
      <c r="H685" s="330">
        <v>16.0</v>
      </c>
      <c r="I685" s="330">
        <v>7.0</v>
      </c>
      <c r="J685" s="330">
        <v>2026.0</v>
      </c>
      <c r="K685" s="328" t="s">
        <v>38</v>
      </c>
      <c r="L685" s="328" t="s">
        <v>518</v>
      </c>
      <c r="M685" s="328">
        <v>2.0</v>
      </c>
      <c r="N685" s="328">
        <v>1.0</v>
      </c>
      <c r="O685" s="328">
        <v>4.0</v>
      </c>
      <c r="P685" s="329">
        <v>46219.42016203704</v>
      </c>
      <c r="Q685" s="331">
        <v>16.0</v>
      </c>
      <c r="R685" s="331">
        <v>7.0</v>
      </c>
      <c r="S685" s="330">
        <v>2026.0</v>
      </c>
      <c r="T685" s="328" t="s">
        <v>10</v>
      </c>
      <c r="U685" s="328">
        <v>59.5</v>
      </c>
      <c r="V685" s="329">
        <v>46219.41936342593</v>
      </c>
      <c r="W685" s="330">
        <v>16.0</v>
      </c>
      <c r="X685" s="330">
        <v>7.0</v>
      </c>
      <c r="Y685" s="330">
        <v>2026.0</v>
      </c>
      <c r="Z685" s="328" t="s">
        <v>10</v>
      </c>
    </row>
    <row r="686">
      <c r="A686" s="328" t="s">
        <v>1776</v>
      </c>
      <c r="B686" s="328" t="s">
        <v>1777</v>
      </c>
      <c r="C686" s="329">
        <v>46223.0</v>
      </c>
      <c r="D686" s="330">
        <v>20.0</v>
      </c>
      <c r="E686" s="330">
        <v>7.0</v>
      </c>
      <c r="F686" s="330">
        <v>2026.0</v>
      </c>
      <c r="G686" s="329">
        <v>46224.0</v>
      </c>
      <c r="H686" s="330">
        <v>21.0</v>
      </c>
      <c r="I686" s="330">
        <v>7.0</v>
      </c>
      <c r="J686" s="330">
        <v>2026.0</v>
      </c>
      <c r="K686" s="328" t="s">
        <v>38</v>
      </c>
      <c r="L686" s="328" t="s">
        <v>518</v>
      </c>
      <c r="M686" s="328">
        <v>2.0</v>
      </c>
      <c r="N686" s="328">
        <v>1.0</v>
      </c>
      <c r="O686" s="328">
        <v>4.0</v>
      </c>
      <c r="P686" s="329">
        <v>46223.82230324074</v>
      </c>
      <c r="Q686" s="331">
        <v>20.0</v>
      </c>
      <c r="R686" s="331">
        <v>7.0</v>
      </c>
      <c r="S686" s="330">
        <v>2026.0</v>
      </c>
      <c r="T686" s="328" t="s">
        <v>319</v>
      </c>
      <c r="U686" s="328">
        <v>59.5</v>
      </c>
      <c r="V686" s="329">
        <v>46223.82230324074</v>
      </c>
      <c r="W686" s="330">
        <v>20.0</v>
      </c>
      <c r="X686" s="330">
        <v>7.0</v>
      </c>
      <c r="Y686" s="330">
        <v>2026.0</v>
      </c>
      <c r="Z686" s="328" t="s">
        <v>319</v>
      </c>
    </row>
    <row r="687">
      <c r="A687" s="328" t="s">
        <v>1778</v>
      </c>
      <c r="B687" s="328" t="s">
        <v>1779</v>
      </c>
      <c r="C687" s="329">
        <v>46222.0</v>
      </c>
      <c r="D687" s="330">
        <v>19.0</v>
      </c>
      <c r="E687" s="330">
        <v>7.0</v>
      </c>
      <c r="F687" s="330">
        <v>2026.0</v>
      </c>
      <c r="G687" s="329">
        <v>46224.0</v>
      </c>
      <c r="H687" s="330">
        <v>21.0</v>
      </c>
      <c r="I687" s="330">
        <v>7.0</v>
      </c>
      <c r="J687" s="330">
        <v>2026.0</v>
      </c>
      <c r="K687" s="328" t="s">
        <v>38</v>
      </c>
      <c r="L687" s="328" t="s">
        <v>518</v>
      </c>
      <c r="M687" s="328">
        <v>2.0</v>
      </c>
      <c r="N687" s="328">
        <v>2.0</v>
      </c>
      <c r="O687" s="328">
        <v>8.0</v>
      </c>
      <c r="P687" s="329">
        <v>46224.463275462964</v>
      </c>
      <c r="Q687" s="331">
        <v>21.0</v>
      </c>
      <c r="R687" s="331">
        <v>7.0</v>
      </c>
      <c r="S687" s="330">
        <v>2026.0</v>
      </c>
      <c r="T687" s="328" t="s">
        <v>319</v>
      </c>
      <c r="U687" s="328">
        <v>108.8</v>
      </c>
      <c r="V687" s="329">
        <v>46224.463275462964</v>
      </c>
      <c r="W687" s="330">
        <v>21.0</v>
      </c>
      <c r="X687" s="330">
        <v>7.0</v>
      </c>
      <c r="Y687" s="330">
        <v>2026.0</v>
      </c>
      <c r="Z687" s="328" t="s">
        <v>319</v>
      </c>
    </row>
    <row r="688">
      <c r="A688" s="328" t="s">
        <v>1780</v>
      </c>
      <c r="B688" s="328" t="s">
        <v>1781</v>
      </c>
      <c r="C688" s="329">
        <v>46224.0</v>
      </c>
      <c r="D688" s="330">
        <v>21.0</v>
      </c>
      <c r="E688" s="330">
        <v>7.0</v>
      </c>
      <c r="F688" s="330">
        <v>2026.0</v>
      </c>
      <c r="G688" s="329">
        <v>46225.0</v>
      </c>
      <c r="H688" s="330">
        <v>22.0</v>
      </c>
      <c r="I688" s="330">
        <v>7.0</v>
      </c>
      <c r="J688" s="330">
        <v>2026.0</v>
      </c>
      <c r="K688" s="328" t="s">
        <v>38</v>
      </c>
      <c r="L688" s="328" t="s">
        <v>518</v>
      </c>
      <c r="M688" s="328">
        <v>2.0</v>
      </c>
      <c r="N688" s="328">
        <v>1.0</v>
      </c>
      <c r="O688" s="328">
        <v>4.0</v>
      </c>
      <c r="P688" s="329">
        <v>46224.90043981482</v>
      </c>
      <c r="Q688" s="331">
        <v>21.0</v>
      </c>
      <c r="R688" s="331">
        <v>7.0</v>
      </c>
      <c r="S688" s="330">
        <v>2026.0</v>
      </c>
      <c r="T688" s="328" t="s">
        <v>319</v>
      </c>
      <c r="U688" s="328">
        <v>59.5</v>
      </c>
      <c r="V688" s="329">
        <v>46224.90043981482</v>
      </c>
      <c r="W688" s="330">
        <v>21.0</v>
      </c>
      <c r="X688" s="330">
        <v>7.0</v>
      </c>
      <c r="Y688" s="330">
        <v>2026.0</v>
      </c>
      <c r="Z688" s="328" t="s">
        <v>319</v>
      </c>
    </row>
    <row r="689">
      <c r="A689" s="328" t="s">
        <v>1782</v>
      </c>
      <c r="B689" s="328" t="s">
        <v>1783</v>
      </c>
      <c r="C689" s="329">
        <v>46230.0</v>
      </c>
      <c r="D689" s="330">
        <v>27.0</v>
      </c>
      <c r="E689" s="330">
        <v>7.0</v>
      </c>
      <c r="F689" s="330">
        <v>2026.0</v>
      </c>
      <c r="G689" s="329">
        <v>46231.0</v>
      </c>
      <c r="H689" s="330">
        <v>28.0</v>
      </c>
      <c r="I689" s="330">
        <v>7.0</v>
      </c>
      <c r="J689" s="330">
        <v>2026.0</v>
      </c>
      <c r="K689" s="328" t="s">
        <v>38</v>
      </c>
      <c r="L689" s="328" t="s">
        <v>518</v>
      </c>
      <c r="M689" s="328">
        <v>2.0</v>
      </c>
      <c r="N689" s="328">
        <v>1.0</v>
      </c>
      <c r="O689" s="328">
        <v>4.0</v>
      </c>
      <c r="P689" s="329">
        <v>46230.654016203705</v>
      </c>
      <c r="Q689" s="331">
        <v>27.0</v>
      </c>
      <c r="R689" s="331">
        <v>7.0</v>
      </c>
      <c r="S689" s="330">
        <v>2026.0</v>
      </c>
      <c r="T689" s="328" t="s">
        <v>319</v>
      </c>
      <c r="U689" s="328">
        <v>59.5</v>
      </c>
      <c r="V689" s="329">
        <v>46230.654016203705</v>
      </c>
      <c r="W689" s="330">
        <v>27.0</v>
      </c>
      <c r="X689" s="330">
        <v>7.0</v>
      </c>
      <c r="Y689" s="330">
        <v>2026.0</v>
      </c>
      <c r="Z689" s="328" t="s">
        <v>319</v>
      </c>
    </row>
    <row r="690">
      <c r="A690" s="328" t="s">
        <v>1784</v>
      </c>
      <c r="B690" s="328" t="s">
        <v>1785</v>
      </c>
      <c r="C690" s="329">
        <v>46232.0</v>
      </c>
      <c r="D690" s="330">
        <v>29.0</v>
      </c>
      <c r="E690" s="330">
        <v>7.0</v>
      </c>
      <c r="F690" s="330">
        <v>2026.0</v>
      </c>
      <c r="G690" s="329">
        <v>46233.0</v>
      </c>
      <c r="H690" s="330">
        <v>30.0</v>
      </c>
      <c r="I690" s="330">
        <v>7.0</v>
      </c>
      <c r="J690" s="330">
        <v>2026.0</v>
      </c>
      <c r="K690" s="328" t="s">
        <v>38</v>
      </c>
      <c r="L690" s="328" t="s">
        <v>518</v>
      </c>
      <c r="M690" s="328">
        <v>2.0</v>
      </c>
      <c r="N690" s="328">
        <v>1.0</v>
      </c>
      <c r="O690" s="328">
        <v>4.0</v>
      </c>
      <c r="P690" s="329">
        <v>46233.44715277778</v>
      </c>
      <c r="Q690" s="331">
        <v>30.0</v>
      </c>
      <c r="R690" s="331">
        <v>7.0</v>
      </c>
      <c r="S690" s="330">
        <v>2026.0</v>
      </c>
      <c r="T690" s="328" t="s">
        <v>319</v>
      </c>
      <c r="U690" s="328">
        <v>59.5</v>
      </c>
      <c r="V690" s="329">
        <v>46233.446388888886</v>
      </c>
      <c r="W690" s="330">
        <v>30.0</v>
      </c>
      <c r="X690" s="330">
        <v>7.0</v>
      </c>
      <c r="Y690" s="330">
        <v>2026.0</v>
      </c>
      <c r="Z690" s="328" t="s">
        <v>319</v>
      </c>
    </row>
    <row r="691">
      <c r="A691" s="324" t="s">
        <v>1786</v>
      </c>
      <c r="B691" s="324" t="s">
        <v>1787</v>
      </c>
      <c r="C691" s="325">
        <v>46233.0</v>
      </c>
      <c r="D691" s="326">
        <v>30.0</v>
      </c>
      <c r="E691" s="326">
        <v>7.0</v>
      </c>
      <c r="F691" s="326">
        <v>2026.0</v>
      </c>
      <c r="G691" s="325">
        <v>46234.0</v>
      </c>
      <c r="H691" s="326">
        <v>31.0</v>
      </c>
      <c r="I691" s="326">
        <v>7.0</v>
      </c>
      <c r="J691" s="326">
        <v>2026.0</v>
      </c>
      <c r="K691" s="324" t="s">
        <v>38</v>
      </c>
      <c r="L691" s="324" t="s">
        <v>518</v>
      </c>
      <c r="M691" s="324">
        <v>2.0</v>
      </c>
      <c r="N691" s="324">
        <v>1.0</v>
      </c>
      <c r="O691" s="324">
        <v>4.0</v>
      </c>
      <c r="P691" s="325">
        <v>46234.01357638889</v>
      </c>
      <c r="Q691" s="327">
        <v>31.0</v>
      </c>
      <c r="R691" s="327">
        <v>7.0</v>
      </c>
      <c r="S691" s="326">
        <v>2026.0</v>
      </c>
      <c r="T691" s="324" t="s">
        <v>319</v>
      </c>
      <c r="U691" s="324">
        <v>74.8</v>
      </c>
      <c r="V691" s="325">
        <v>46234.01357638889</v>
      </c>
      <c r="W691" s="326">
        <v>31.0</v>
      </c>
      <c r="X691" s="326">
        <v>7.0</v>
      </c>
      <c r="Y691" s="326">
        <v>2026.0</v>
      </c>
      <c r="Z691" s="324" t="s">
        <v>319</v>
      </c>
      <c r="AA691" s="265"/>
      <c r="AB691" s="265"/>
    </row>
    <row r="692">
      <c r="A692" s="328" t="s">
        <v>1747</v>
      </c>
      <c r="B692" s="328" t="s">
        <v>1788</v>
      </c>
      <c r="C692" s="329">
        <v>46234.0</v>
      </c>
      <c r="D692" s="330">
        <v>31.0</v>
      </c>
      <c r="E692" s="330">
        <v>7.0</v>
      </c>
      <c r="F692" s="330">
        <v>2026.0</v>
      </c>
      <c r="G692" s="329">
        <v>46236.0</v>
      </c>
      <c r="H692" s="330">
        <v>2.0</v>
      </c>
      <c r="I692" s="330">
        <v>8.0</v>
      </c>
      <c r="J692" s="330">
        <v>2026.0</v>
      </c>
      <c r="K692" s="328" t="s">
        <v>38</v>
      </c>
      <c r="L692" s="328" t="s">
        <v>518</v>
      </c>
      <c r="M692" s="328">
        <v>2.0</v>
      </c>
      <c r="N692" s="328">
        <v>2.0</v>
      </c>
      <c r="O692" s="328">
        <v>8.0</v>
      </c>
      <c r="P692" s="329">
        <v>46234.908171296294</v>
      </c>
      <c r="Q692" s="331">
        <v>31.0</v>
      </c>
      <c r="R692" s="331">
        <v>7.0</v>
      </c>
      <c r="S692" s="330">
        <v>2026.0</v>
      </c>
      <c r="T692" s="328" t="s">
        <v>319</v>
      </c>
      <c r="U692" s="429">
        <v>144.5</v>
      </c>
      <c r="V692" s="329">
        <v>46234.908171296294</v>
      </c>
      <c r="W692" s="330">
        <v>31.0</v>
      </c>
      <c r="X692" s="330">
        <v>7.0</v>
      </c>
      <c r="Y692" s="330">
        <v>2026.0</v>
      </c>
      <c r="Z692" s="328" t="s">
        <v>319</v>
      </c>
    </row>
    <row r="693">
      <c r="A693" s="328" t="s">
        <v>1789</v>
      </c>
      <c r="B693" s="328" t="s">
        <v>1790</v>
      </c>
      <c r="C693" s="329">
        <v>46217.0</v>
      </c>
      <c r="D693" s="330">
        <v>14.0</v>
      </c>
      <c r="E693" s="330">
        <v>7.0</v>
      </c>
      <c r="F693" s="330">
        <v>2026.0</v>
      </c>
      <c r="G693" s="329">
        <v>46218.0</v>
      </c>
      <c r="H693" s="330">
        <v>15.0</v>
      </c>
      <c r="I693" s="330">
        <v>7.0</v>
      </c>
      <c r="J693" s="330">
        <v>2026.0</v>
      </c>
      <c r="K693" s="328" t="s">
        <v>38</v>
      </c>
      <c r="L693" s="328" t="s">
        <v>518</v>
      </c>
      <c r="M693" s="328">
        <v>3.0</v>
      </c>
      <c r="N693" s="328">
        <v>1.0</v>
      </c>
      <c r="O693" s="328">
        <v>6.0</v>
      </c>
      <c r="P693" s="329">
        <v>46218.05520833333</v>
      </c>
      <c r="Q693" s="331">
        <v>15.0</v>
      </c>
      <c r="R693" s="331">
        <v>7.0</v>
      </c>
      <c r="S693" s="330">
        <v>2026.0</v>
      </c>
      <c r="T693" s="328" t="s">
        <v>319</v>
      </c>
      <c r="U693" s="328">
        <v>89.25</v>
      </c>
      <c r="V693" s="329">
        <v>46218.05520833333</v>
      </c>
      <c r="W693" s="330">
        <v>15.0</v>
      </c>
      <c r="X693" s="330">
        <v>7.0</v>
      </c>
      <c r="Y693" s="330">
        <v>2026.0</v>
      </c>
      <c r="Z693" s="328" t="s">
        <v>319</v>
      </c>
    </row>
    <row r="694">
      <c r="A694" s="328" t="s">
        <v>1791</v>
      </c>
      <c r="B694" s="328" t="s">
        <v>1792</v>
      </c>
      <c r="C694" s="329">
        <v>46221.0</v>
      </c>
      <c r="D694" s="330">
        <v>18.0</v>
      </c>
      <c r="E694" s="330">
        <v>7.0</v>
      </c>
      <c r="F694" s="330">
        <v>2026.0</v>
      </c>
      <c r="G694" s="329">
        <v>46222.0</v>
      </c>
      <c r="H694" s="330">
        <v>19.0</v>
      </c>
      <c r="I694" s="330">
        <v>7.0</v>
      </c>
      <c r="J694" s="330">
        <v>2026.0</v>
      </c>
      <c r="K694" s="328" t="s">
        <v>38</v>
      </c>
      <c r="L694" s="328" t="s">
        <v>518</v>
      </c>
      <c r="M694" s="328">
        <v>3.0</v>
      </c>
      <c r="N694" s="328">
        <v>1.0</v>
      </c>
      <c r="O694" s="328">
        <v>6.0</v>
      </c>
      <c r="P694" s="329">
        <v>46222.02164351852</v>
      </c>
      <c r="Q694" s="331">
        <v>19.0</v>
      </c>
      <c r="R694" s="331">
        <v>7.0</v>
      </c>
      <c r="S694" s="330">
        <v>2026.0</v>
      </c>
      <c r="T694" s="328" t="s">
        <v>10</v>
      </c>
      <c r="U694" s="328">
        <v>89.25</v>
      </c>
      <c r="V694" s="329">
        <v>46222.02164351852</v>
      </c>
      <c r="W694" s="330">
        <v>19.0</v>
      </c>
      <c r="X694" s="330">
        <v>7.0</v>
      </c>
      <c r="Y694" s="330">
        <v>2026.0</v>
      </c>
      <c r="Z694" s="328" t="s">
        <v>10</v>
      </c>
    </row>
    <row r="695">
      <c r="A695" s="328" t="s">
        <v>1793</v>
      </c>
      <c r="B695" s="328" t="s">
        <v>1794</v>
      </c>
      <c r="C695" s="329">
        <v>46232.0</v>
      </c>
      <c r="D695" s="330">
        <v>29.0</v>
      </c>
      <c r="E695" s="330">
        <v>7.0</v>
      </c>
      <c r="F695" s="330">
        <v>2026.0</v>
      </c>
      <c r="G695" s="329">
        <v>46233.0</v>
      </c>
      <c r="H695" s="330">
        <v>30.0</v>
      </c>
      <c r="I695" s="330">
        <v>7.0</v>
      </c>
      <c r="J695" s="330">
        <v>2026.0</v>
      </c>
      <c r="K695" s="328" t="s">
        <v>38</v>
      </c>
      <c r="L695" s="328" t="s">
        <v>518</v>
      </c>
      <c r="M695" s="328">
        <v>3.0</v>
      </c>
      <c r="N695" s="328">
        <v>1.0</v>
      </c>
      <c r="O695" s="328">
        <v>6.0</v>
      </c>
      <c r="P695" s="329">
        <v>46232.743784722225</v>
      </c>
      <c r="Q695" s="331">
        <v>29.0</v>
      </c>
      <c r="R695" s="331">
        <v>7.0</v>
      </c>
      <c r="S695" s="330">
        <v>2026.0</v>
      </c>
      <c r="T695" s="328" t="s">
        <v>319</v>
      </c>
      <c r="U695" s="328">
        <v>89.25</v>
      </c>
      <c r="V695" s="329">
        <v>46232.743784722225</v>
      </c>
      <c r="W695" s="330">
        <v>29.0</v>
      </c>
      <c r="X695" s="330">
        <v>7.0</v>
      </c>
      <c r="Y695" s="330">
        <v>2026.0</v>
      </c>
      <c r="Z695" s="328" t="s">
        <v>319</v>
      </c>
    </row>
    <row r="696">
      <c r="A696" s="324" t="s">
        <v>1795</v>
      </c>
      <c r="B696" s="324" t="s">
        <v>1796</v>
      </c>
      <c r="C696" s="325">
        <v>46233.0</v>
      </c>
      <c r="D696" s="326">
        <v>30.0</v>
      </c>
      <c r="E696" s="326">
        <v>7.0</v>
      </c>
      <c r="F696" s="326">
        <v>2026.0</v>
      </c>
      <c r="G696" s="325">
        <v>46235.0</v>
      </c>
      <c r="H696" s="326">
        <v>1.0</v>
      </c>
      <c r="I696" s="326">
        <v>8.0</v>
      </c>
      <c r="J696" s="326">
        <v>2026.0</v>
      </c>
      <c r="K696" s="324" t="s">
        <v>38</v>
      </c>
      <c r="L696" s="324" t="s">
        <v>518</v>
      </c>
      <c r="M696" s="324">
        <v>2.0</v>
      </c>
      <c r="N696" s="324">
        <v>2.0</v>
      </c>
      <c r="O696" s="324">
        <v>8.0</v>
      </c>
      <c r="P696" s="433">
        <v>46235.0</v>
      </c>
      <c r="Q696" s="327">
        <v>1.0</v>
      </c>
      <c r="R696" s="327">
        <v>8.0</v>
      </c>
      <c r="S696" s="326">
        <v>2026.0</v>
      </c>
      <c r="T696" s="328" t="s">
        <v>319</v>
      </c>
      <c r="U696" s="324">
        <v>119.0</v>
      </c>
      <c r="V696" s="433">
        <v>46235.0</v>
      </c>
      <c r="W696" s="326">
        <v>1.0</v>
      </c>
      <c r="X696" s="326">
        <v>8.0</v>
      </c>
      <c r="Y696" s="326">
        <v>2026.0</v>
      </c>
      <c r="Z696" s="328" t="s">
        <v>319</v>
      </c>
    </row>
    <row r="697">
      <c r="A697" s="324" t="s">
        <v>1797</v>
      </c>
      <c r="B697" s="324" t="s">
        <v>1798</v>
      </c>
      <c r="C697" s="325">
        <v>46234.0</v>
      </c>
      <c r="D697" s="326">
        <v>31.0</v>
      </c>
      <c r="E697" s="326">
        <v>7.0</v>
      </c>
      <c r="F697" s="326">
        <v>2026.0</v>
      </c>
      <c r="G697" s="325">
        <v>46238.0</v>
      </c>
      <c r="H697" s="326">
        <v>4.0</v>
      </c>
      <c r="I697" s="326">
        <v>8.0</v>
      </c>
      <c r="J697" s="326">
        <v>2026.0</v>
      </c>
      <c r="K697" s="324" t="s">
        <v>38</v>
      </c>
      <c r="L697" s="324" t="s">
        <v>518</v>
      </c>
      <c r="M697" s="324">
        <v>1.0</v>
      </c>
      <c r="N697" s="324">
        <v>4.0</v>
      </c>
      <c r="O697" s="324">
        <v>8.0</v>
      </c>
      <c r="P697" s="433">
        <v>46235.0</v>
      </c>
      <c r="Q697" s="327">
        <v>1.0</v>
      </c>
      <c r="R697" s="327">
        <v>8.0</v>
      </c>
      <c r="S697" s="326">
        <v>2026.0</v>
      </c>
      <c r="T697" s="328" t="s">
        <v>319</v>
      </c>
      <c r="U697" s="324">
        <v>238.0</v>
      </c>
      <c r="V697" s="433">
        <v>46235.0</v>
      </c>
      <c r="W697" s="326">
        <v>1.0</v>
      </c>
      <c r="X697" s="326">
        <v>8.0</v>
      </c>
      <c r="Y697" s="326">
        <v>2026.0</v>
      </c>
      <c r="Z697" s="328" t="s">
        <v>319</v>
      </c>
    </row>
    <row r="698">
      <c r="A698" s="324" t="s">
        <v>1799</v>
      </c>
      <c r="B698" s="324" t="s">
        <v>1800</v>
      </c>
      <c r="C698" s="325">
        <v>46234.0</v>
      </c>
      <c r="D698" s="326">
        <v>31.0</v>
      </c>
      <c r="E698" s="326">
        <v>7.0</v>
      </c>
      <c r="F698" s="326">
        <v>2026.0</v>
      </c>
      <c r="G698" s="325">
        <v>46235.0</v>
      </c>
      <c r="H698" s="326">
        <v>1.0</v>
      </c>
      <c r="I698" s="326">
        <v>8.0</v>
      </c>
      <c r="J698" s="326">
        <v>2026.0</v>
      </c>
      <c r="K698" s="324" t="s">
        <v>38</v>
      </c>
      <c r="L698" s="324" t="s">
        <v>518</v>
      </c>
      <c r="M698" s="324">
        <v>1.0</v>
      </c>
      <c r="N698" s="324">
        <v>1.0</v>
      </c>
      <c r="O698" s="324">
        <v>2.0</v>
      </c>
      <c r="P698" s="433">
        <v>46235.0</v>
      </c>
      <c r="Q698" s="327">
        <v>1.0</v>
      </c>
      <c r="R698" s="327">
        <v>8.0</v>
      </c>
      <c r="S698" s="326">
        <v>2026.0</v>
      </c>
      <c r="T698" s="328" t="s">
        <v>319</v>
      </c>
      <c r="U698" s="324">
        <v>29.75</v>
      </c>
      <c r="V698" s="433">
        <v>46235.0</v>
      </c>
      <c r="W698" s="326">
        <v>1.0</v>
      </c>
      <c r="X698" s="326">
        <v>8.0</v>
      </c>
      <c r="Y698" s="326">
        <v>2026.0</v>
      </c>
      <c r="Z698" s="328" t="s">
        <v>319</v>
      </c>
    </row>
    <row r="699">
      <c r="A699" s="328" t="s">
        <v>1801</v>
      </c>
      <c r="B699" s="328" t="s">
        <v>1802</v>
      </c>
      <c r="C699" s="329">
        <v>46217.0</v>
      </c>
      <c r="D699" s="330">
        <v>14.0</v>
      </c>
      <c r="E699" s="330">
        <v>7.0</v>
      </c>
      <c r="F699" s="330">
        <v>2026.0</v>
      </c>
      <c r="G699" s="329">
        <v>46223.0</v>
      </c>
      <c r="H699" s="330">
        <v>20.0</v>
      </c>
      <c r="I699" s="330">
        <v>7.0</v>
      </c>
      <c r="J699" s="330">
        <v>2026.0</v>
      </c>
      <c r="K699" s="328" t="s">
        <v>38</v>
      </c>
      <c r="L699" s="328" t="s">
        <v>518</v>
      </c>
      <c r="M699" s="328">
        <v>1.0</v>
      </c>
      <c r="N699" s="328">
        <v>6.0</v>
      </c>
      <c r="O699" s="328">
        <v>12.0</v>
      </c>
      <c r="P699" s="243">
        <v>46237.0</v>
      </c>
      <c r="Q699" s="413">
        <v>3.0</v>
      </c>
      <c r="R699" s="413">
        <v>8.0</v>
      </c>
      <c r="S699" s="82">
        <v>2026.0</v>
      </c>
      <c r="T699" s="328" t="s">
        <v>10</v>
      </c>
      <c r="U699" s="328">
        <v>280.5</v>
      </c>
      <c r="V699" s="243">
        <v>46237.0</v>
      </c>
      <c r="W699" s="413">
        <v>3.0</v>
      </c>
      <c r="X699" s="413">
        <v>8.0</v>
      </c>
      <c r="Y699" s="82">
        <v>2026.0</v>
      </c>
      <c r="Z699" s="328" t="s">
        <v>10</v>
      </c>
    </row>
    <row r="700">
      <c r="A700" s="293" t="s">
        <v>494</v>
      </c>
      <c r="B700" s="294" t="s">
        <v>495</v>
      </c>
      <c r="C700" s="235" t="s">
        <v>385</v>
      </c>
      <c r="D700" s="235" t="s">
        <v>496</v>
      </c>
      <c r="E700" s="235" t="s">
        <v>497</v>
      </c>
      <c r="F700" s="235" t="s">
        <v>498</v>
      </c>
      <c r="G700" s="235" t="s">
        <v>386</v>
      </c>
      <c r="H700" s="235" t="s">
        <v>499</v>
      </c>
      <c r="I700" s="164" t="s">
        <v>500</v>
      </c>
      <c r="J700" s="235" t="s">
        <v>501</v>
      </c>
      <c r="K700" s="235" t="s">
        <v>502</v>
      </c>
      <c r="L700" s="235" t="s">
        <v>503</v>
      </c>
      <c r="M700" s="235" t="s">
        <v>504</v>
      </c>
      <c r="N700" s="235" t="s">
        <v>505</v>
      </c>
      <c r="O700" s="235" t="s">
        <v>355</v>
      </c>
      <c r="P700" s="164" t="s">
        <v>506</v>
      </c>
      <c r="Q700" s="292" t="s">
        <v>507</v>
      </c>
      <c r="R700" s="292" t="s">
        <v>508</v>
      </c>
      <c r="S700" s="235" t="s">
        <v>509</v>
      </c>
      <c r="T700" s="235" t="s">
        <v>510</v>
      </c>
      <c r="U700" s="235" t="s">
        <v>1803</v>
      </c>
      <c r="V700" s="235" t="s">
        <v>511</v>
      </c>
      <c r="W700" s="235" t="s">
        <v>512</v>
      </c>
      <c r="X700" s="235" t="s">
        <v>513</v>
      </c>
      <c r="Y700" s="235" t="s">
        <v>514</v>
      </c>
      <c r="Z700" s="235" t="s">
        <v>515</v>
      </c>
    </row>
    <row r="701">
      <c r="A701" s="328" t="s">
        <v>494</v>
      </c>
      <c r="B701" s="328" t="s">
        <v>495</v>
      </c>
      <c r="C701" s="328" t="s">
        <v>385</v>
      </c>
      <c r="D701" s="328" t="s">
        <v>496</v>
      </c>
      <c r="E701" s="328" t="s">
        <v>497</v>
      </c>
      <c r="F701" s="328" t="s">
        <v>498</v>
      </c>
      <c r="G701" s="328" t="s">
        <v>386</v>
      </c>
      <c r="H701" s="328" t="s">
        <v>499</v>
      </c>
      <c r="I701" s="328" t="s">
        <v>500</v>
      </c>
      <c r="J701" s="328" t="s">
        <v>501</v>
      </c>
      <c r="K701" s="328" t="s">
        <v>502</v>
      </c>
      <c r="L701" s="328" t="s">
        <v>503</v>
      </c>
      <c r="M701" s="328" t="s">
        <v>504</v>
      </c>
      <c r="N701" s="328" t="s">
        <v>505</v>
      </c>
      <c r="O701" s="328" t="s">
        <v>355</v>
      </c>
      <c r="P701" s="328" t="s">
        <v>506</v>
      </c>
      <c r="Q701" s="441" t="s">
        <v>507</v>
      </c>
      <c r="R701" s="441" t="s">
        <v>508</v>
      </c>
      <c r="S701" s="328" t="s">
        <v>509</v>
      </c>
      <c r="T701" s="328" t="s">
        <v>510</v>
      </c>
      <c r="U701" s="328" t="s">
        <v>356</v>
      </c>
      <c r="V701" s="328" t="s">
        <v>511</v>
      </c>
      <c r="W701" s="441" t="s">
        <v>512</v>
      </c>
      <c r="X701" s="441" t="s">
        <v>513</v>
      </c>
      <c r="Y701" s="328" t="s">
        <v>514</v>
      </c>
      <c r="Z701" s="328" t="s">
        <v>515</v>
      </c>
    </row>
    <row r="702">
      <c r="A702" s="328" t="s">
        <v>494</v>
      </c>
      <c r="B702" s="328" t="s">
        <v>495</v>
      </c>
      <c r="C702" s="328" t="s">
        <v>385</v>
      </c>
      <c r="D702" s="328" t="s">
        <v>496</v>
      </c>
      <c r="E702" s="328" t="s">
        <v>497</v>
      </c>
      <c r="F702" s="328" t="s">
        <v>498</v>
      </c>
      <c r="G702" s="328" t="s">
        <v>386</v>
      </c>
      <c r="H702" s="328" t="s">
        <v>499</v>
      </c>
      <c r="I702" s="328" t="s">
        <v>500</v>
      </c>
      <c r="J702" s="328" t="s">
        <v>501</v>
      </c>
      <c r="K702" s="328" t="s">
        <v>502</v>
      </c>
      <c r="L702" s="328" t="s">
        <v>503</v>
      </c>
      <c r="M702" s="328" t="s">
        <v>504</v>
      </c>
      <c r="N702" s="328" t="s">
        <v>505</v>
      </c>
      <c r="O702" s="328" t="s">
        <v>355</v>
      </c>
      <c r="P702" s="328" t="s">
        <v>506</v>
      </c>
      <c r="Q702" s="441" t="s">
        <v>507</v>
      </c>
      <c r="R702" s="441" t="s">
        <v>508</v>
      </c>
      <c r="S702" s="328" t="s">
        <v>509</v>
      </c>
      <c r="T702" s="328" t="s">
        <v>510</v>
      </c>
      <c r="U702" s="328" t="s">
        <v>356</v>
      </c>
      <c r="V702" s="328" t="s">
        <v>511</v>
      </c>
      <c r="W702" s="328" t="s">
        <v>512</v>
      </c>
      <c r="X702" s="328" t="s">
        <v>513</v>
      </c>
      <c r="Y702" s="328" t="s">
        <v>514</v>
      </c>
      <c r="Z702" s="328" t="s">
        <v>515</v>
      </c>
    </row>
    <row r="703">
      <c r="A703" s="328" t="s">
        <v>494</v>
      </c>
      <c r="B703" s="328" t="s">
        <v>495</v>
      </c>
      <c r="C703" s="328" t="s">
        <v>385</v>
      </c>
      <c r="D703" s="328" t="s">
        <v>496</v>
      </c>
      <c r="E703" s="328" t="s">
        <v>497</v>
      </c>
      <c r="F703" s="328" t="s">
        <v>498</v>
      </c>
      <c r="G703" s="328" t="s">
        <v>386</v>
      </c>
      <c r="H703" s="328" t="s">
        <v>499</v>
      </c>
      <c r="I703" s="328" t="s">
        <v>500</v>
      </c>
      <c r="J703" s="328" t="s">
        <v>501</v>
      </c>
      <c r="K703" s="328" t="s">
        <v>502</v>
      </c>
      <c r="L703" s="328" t="s">
        <v>503</v>
      </c>
      <c r="M703" s="328" t="s">
        <v>504</v>
      </c>
      <c r="N703" s="328" t="s">
        <v>505</v>
      </c>
      <c r="O703" s="328" t="s">
        <v>355</v>
      </c>
      <c r="P703" s="328" t="s">
        <v>506</v>
      </c>
      <c r="Q703" s="441" t="s">
        <v>507</v>
      </c>
      <c r="R703" s="441" t="s">
        <v>508</v>
      </c>
      <c r="S703" s="328" t="s">
        <v>509</v>
      </c>
      <c r="T703" s="328" t="s">
        <v>510</v>
      </c>
      <c r="U703" s="328" t="s">
        <v>1803</v>
      </c>
      <c r="V703" s="328" t="s">
        <v>511</v>
      </c>
      <c r="W703" s="328" t="s">
        <v>512</v>
      </c>
      <c r="X703" s="328" t="s">
        <v>513</v>
      </c>
      <c r="Y703" s="328" t="s">
        <v>514</v>
      </c>
      <c r="Z703" s="328" t="s">
        <v>515</v>
      </c>
    </row>
    <row r="704">
      <c r="A704" s="328" t="s">
        <v>494</v>
      </c>
      <c r="B704" s="328" t="s">
        <v>495</v>
      </c>
      <c r="C704" s="328" t="s">
        <v>385</v>
      </c>
      <c r="D704" s="328" t="s">
        <v>496</v>
      </c>
      <c r="E704" s="328" t="s">
        <v>497</v>
      </c>
      <c r="F704" s="328" t="s">
        <v>498</v>
      </c>
      <c r="G704" s="328" t="s">
        <v>386</v>
      </c>
      <c r="H704" s="328" t="s">
        <v>499</v>
      </c>
      <c r="I704" s="328" t="s">
        <v>500</v>
      </c>
      <c r="J704" s="328" t="s">
        <v>501</v>
      </c>
      <c r="K704" s="328" t="s">
        <v>502</v>
      </c>
      <c r="L704" s="328" t="s">
        <v>503</v>
      </c>
      <c r="M704" s="328" t="s">
        <v>504</v>
      </c>
      <c r="N704" s="328" t="s">
        <v>505</v>
      </c>
      <c r="O704" s="328" t="s">
        <v>355</v>
      </c>
      <c r="P704" s="328" t="s">
        <v>506</v>
      </c>
      <c r="Q704" s="441" t="s">
        <v>507</v>
      </c>
      <c r="R704" s="441" t="s">
        <v>508</v>
      </c>
      <c r="S704" s="328" t="s">
        <v>509</v>
      </c>
      <c r="T704" s="328" t="s">
        <v>510</v>
      </c>
      <c r="U704" s="328" t="s">
        <v>356</v>
      </c>
      <c r="V704" s="328" t="s">
        <v>511</v>
      </c>
      <c r="W704" s="328" t="s">
        <v>512</v>
      </c>
      <c r="X704" s="328" t="s">
        <v>513</v>
      </c>
      <c r="Y704" s="328" t="s">
        <v>514</v>
      </c>
      <c r="Z704" s="328" t="s">
        <v>515</v>
      </c>
    </row>
    <row r="705">
      <c r="A705" s="293" t="s">
        <v>1804</v>
      </c>
      <c r="B705" s="294"/>
      <c r="C705" s="299">
        <v>46178.0</v>
      </c>
      <c r="D705" s="296">
        <v>5.0</v>
      </c>
      <c r="E705" s="296">
        <v>6.0</v>
      </c>
      <c r="F705" s="296">
        <v>2026.0</v>
      </c>
      <c r="G705" s="299">
        <v>46179.0</v>
      </c>
      <c r="H705" s="296">
        <v>6.0</v>
      </c>
      <c r="I705" s="269">
        <v>6.0</v>
      </c>
      <c r="J705" s="296">
        <v>2026.0</v>
      </c>
      <c r="K705" s="235" t="s">
        <v>54</v>
      </c>
      <c r="L705" s="235" t="s">
        <v>1392</v>
      </c>
      <c r="M705" s="235">
        <v>1.0</v>
      </c>
      <c r="N705" s="235">
        <v>1.0</v>
      </c>
      <c r="O705" s="235">
        <v>2.0</v>
      </c>
      <c r="P705" s="299">
        <v>46179.0</v>
      </c>
      <c r="Q705" s="213">
        <v>6.0</v>
      </c>
      <c r="R705" s="213">
        <v>6.0</v>
      </c>
      <c r="S705" s="296">
        <v>2026.0</v>
      </c>
      <c r="T705" s="82" t="s">
        <v>319</v>
      </c>
      <c r="U705" s="235">
        <v>32.0</v>
      </c>
      <c r="V705" s="299">
        <v>46179.0</v>
      </c>
      <c r="W705" s="296">
        <v>6.0</v>
      </c>
      <c r="X705" s="296">
        <v>6.0</v>
      </c>
      <c r="Y705" s="296">
        <v>2026.0</v>
      </c>
      <c r="Z705" s="82" t="s">
        <v>319</v>
      </c>
    </row>
    <row r="706">
      <c r="A706" s="293" t="s">
        <v>1805</v>
      </c>
      <c r="B706" s="294"/>
      <c r="C706" s="299">
        <v>46198.0</v>
      </c>
      <c r="D706" s="296">
        <v>25.0</v>
      </c>
      <c r="E706" s="296">
        <v>6.0</v>
      </c>
      <c r="F706" s="296">
        <v>2026.0</v>
      </c>
      <c r="G706" s="299">
        <v>46202.0</v>
      </c>
      <c r="H706" s="296">
        <v>29.0</v>
      </c>
      <c r="I706" s="269">
        <v>6.0</v>
      </c>
      <c r="J706" s="296">
        <v>2026.0</v>
      </c>
      <c r="K706" s="235" t="s">
        <v>1806</v>
      </c>
      <c r="L706" s="235" t="s">
        <v>1392</v>
      </c>
      <c r="M706" s="235">
        <v>1.0</v>
      </c>
      <c r="N706" s="235">
        <v>4.0</v>
      </c>
      <c r="O706" s="235">
        <v>8.0</v>
      </c>
      <c r="P706" s="299">
        <v>46198.0</v>
      </c>
      <c r="Q706" s="213">
        <v>25.0</v>
      </c>
      <c r="R706" s="213">
        <v>6.0</v>
      </c>
      <c r="S706" s="296">
        <v>2026.0</v>
      </c>
      <c r="T706" s="82" t="s">
        <v>310</v>
      </c>
      <c r="U706" s="235">
        <v>140.0</v>
      </c>
      <c r="V706" s="299">
        <v>46198.0</v>
      </c>
      <c r="W706" s="296">
        <v>25.0</v>
      </c>
      <c r="X706" s="296">
        <v>6.0</v>
      </c>
      <c r="Y706" s="296">
        <v>2026.0</v>
      </c>
      <c r="Z706" s="82" t="s">
        <v>310</v>
      </c>
    </row>
    <row r="707">
      <c r="A707" s="293" t="s">
        <v>1807</v>
      </c>
      <c r="B707" s="294"/>
      <c r="C707" s="299">
        <v>46175.0</v>
      </c>
      <c r="D707" s="296">
        <v>2.0</v>
      </c>
      <c r="E707" s="296">
        <v>6.0</v>
      </c>
      <c r="F707" s="296">
        <v>2026.0</v>
      </c>
      <c r="G707" s="299">
        <v>46177.0</v>
      </c>
      <c r="H707" s="296">
        <v>4.0</v>
      </c>
      <c r="I707" s="269">
        <v>6.0</v>
      </c>
      <c r="J707" s="296">
        <v>2026.0</v>
      </c>
      <c r="K707" s="164" t="s">
        <v>1806</v>
      </c>
      <c r="L707" s="235" t="s">
        <v>1392</v>
      </c>
      <c r="M707" s="235">
        <v>1.0</v>
      </c>
      <c r="N707" s="235">
        <v>2.0</v>
      </c>
      <c r="O707" s="235">
        <v>4.0</v>
      </c>
      <c r="P707" s="299">
        <v>46176.0</v>
      </c>
      <c r="Q707" s="213">
        <v>3.0</v>
      </c>
      <c r="R707" s="213">
        <v>6.0</v>
      </c>
      <c r="S707" s="296">
        <v>2026.0</v>
      </c>
      <c r="T707" s="235" t="s">
        <v>310</v>
      </c>
      <c r="U707" s="235">
        <v>90.0</v>
      </c>
      <c r="V707" s="299">
        <v>46176.0</v>
      </c>
      <c r="W707" s="296">
        <v>3.0</v>
      </c>
      <c r="X707" s="296">
        <v>6.0</v>
      </c>
      <c r="Y707" s="296">
        <v>2026.0</v>
      </c>
      <c r="Z707" s="82" t="s">
        <v>310</v>
      </c>
    </row>
    <row r="708">
      <c r="A708" s="442" t="s">
        <v>1808</v>
      </c>
      <c r="B708" s="443"/>
      <c r="C708" s="444">
        <v>46187.0</v>
      </c>
      <c r="D708" s="445">
        <v>14.0</v>
      </c>
      <c r="E708" s="445">
        <v>6.0</v>
      </c>
      <c r="F708" s="445">
        <v>2026.0</v>
      </c>
      <c r="G708" s="444">
        <v>46188.0</v>
      </c>
      <c r="H708" s="445">
        <v>15.0</v>
      </c>
      <c r="I708" s="340">
        <v>6.0</v>
      </c>
      <c r="J708" s="445">
        <v>2026.0</v>
      </c>
      <c r="K708" s="446" t="s">
        <v>1806</v>
      </c>
      <c r="L708" s="447" t="s">
        <v>1392</v>
      </c>
      <c r="M708" s="447">
        <v>1.0</v>
      </c>
      <c r="N708" s="447">
        <v>1.0</v>
      </c>
      <c r="O708" s="447">
        <v>2.0</v>
      </c>
      <c r="P708" s="444">
        <v>46187.0</v>
      </c>
      <c r="Q708" s="337">
        <v>14.0</v>
      </c>
      <c r="R708" s="337">
        <v>6.0</v>
      </c>
      <c r="S708" s="445">
        <v>2026.0</v>
      </c>
      <c r="T708" s="447"/>
      <c r="U708" s="447">
        <v>45.0</v>
      </c>
      <c r="V708" s="444">
        <v>46187.0</v>
      </c>
      <c r="W708" s="445">
        <v>14.0</v>
      </c>
      <c r="X708" s="445">
        <v>6.0</v>
      </c>
      <c r="Y708" s="445">
        <v>2026.0</v>
      </c>
      <c r="Z708" s="448"/>
      <c r="AA708" s="265"/>
      <c r="AB708" s="265"/>
    </row>
    <row r="709">
      <c r="A709" s="293" t="s">
        <v>1809</v>
      </c>
      <c r="B709" s="294"/>
      <c r="C709" s="299">
        <v>46193.0</v>
      </c>
      <c r="D709" s="296">
        <v>20.0</v>
      </c>
      <c r="E709" s="296">
        <v>6.0</v>
      </c>
      <c r="F709" s="296">
        <v>2026.0</v>
      </c>
      <c r="G709" s="299">
        <v>46197.0</v>
      </c>
      <c r="H709" s="296">
        <v>24.0</v>
      </c>
      <c r="I709" s="269">
        <v>6.0</v>
      </c>
      <c r="J709" s="296">
        <v>2026.0</v>
      </c>
      <c r="K709" s="235" t="s">
        <v>1806</v>
      </c>
      <c r="L709" s="235" t="s">
        <v>1392</v>
      </c>
      <c r="M709" s="235">
        <v>1.0</v>
      </c>
      <c r="N709" s="235">
        <v>4.0</v>
      </c>
      <c r="O709" s="235">
        <v>8.0</v>
      </c>
      <c r="P709" s="299">
        <v>46192.0</v>
      </c>
      <c r="Q709" s="213">
        <v>19.0</v>
      </c>
      <c r="R709" s="213">
        <v>6.0</v>
      </c>
      <c r="S709" s="296">
        <v>2026.0</v>
      </c>
      <c r="T709" s="235" t="s">
        <v>310</v>
      </c>
      <c r="U709" s="235">
        <v>140.0</v>
      </c>
      <c r="V709" s="299">
        <v>46192.0</v>
      </c>
      <c r="W709" s="296">
        <v>19.0</v>
      </c>
      <c r="X709" s="296">
        <v>6.0</v>
      </c>
      <c r="Y709" s="296">
        <v>2026.0</v>
      </c>
      <c r="Z709" s="235" t="s">
        <v>310</v>
      </c>
    </row>
    <row r="710">
      <c r="A710" s="293" t="s">
        <v>1810</v>
      </c>
      <c r="B710" s="294"/>
      <c r="C710" s="299">
        <v>46202.0</v>
      </c>
      <c r="D710" s="296">
        <v>29.0</v>
      </c>
      <c r="E710" s="296">
        <v>6.0</v>
      </c>
      <c r="F710" s="296">
        <v>2026.0</v>
      </c>
      <c r="G710" s="299">
        <v>46203.0</v>
      </c>
      <c r="H710" s="296">
        <v>30.0</v>
      </c>
      <c r="I710" s="269">
        <v>6.0</v>
      </c>
      <c r="J710" s="296">
        <v>2026.0</v>
      </c>
      <c r="K710" s="235" t="s">
        <v>1806</v>
      </c>
      <c r="L710" s="235" t="s">
        <v>1392</v>
      </c>
      <c r="M710" s="235">
        <v>1.0</v>
      </c>
      <c r="N710" s="235">
        <v>1.0</v>
      </c>
      <c r="O710" s="235">
        <v>2.0</v>
      </c>
      <c r="P710" s="299">
        <v>46201.0</v>
      </c>
      <c r="Q710" s="213">
        <v>28.0</v>
      </c>
      <c r="R710" s="213">
        <v>6.0</v>
      </c>
      <c r="S710" s="296">
        <v>2026.0</v>
      </c>
      <c r="T710" s="235" t="s">
        <v>310</v>
      </c>
      <c r="U710" s="235">
        <v>35.0</v>
      </c>
      <c r="V710" s="299">
        <v>46201.0</v>
      </c>
      <c r="W710" s="296">
        <v>28.0</v>
      </c>
      <c r="X710" s="296">
        <v>6.0</v>
      </c>
      <c r="Y710" s="296">
        <v>2026.0</v>
      </c>
      <c r="Z710" s="235" t="s">
        <v>310</v>
      </c>
    </row>
    <row r="711">
      <c r="A711" s="328" t="s">
        <v>1810</v>
      </c>
      <c r="B711" s="449"/>
      <c r="C711" s="329">
        <v>46202.0</v>
      </c>
      <c r="D711" s="330">
        <v>29.0</v>
      </c>
      <c r="E711" s="330">
        <v>6.0</v>
      </c>
      <c r="F711" s="330">
        <v>2026.0</v>
      </c>
      <c r="G711" s="329">
        <v>46203.0</v>
      </c>
      <c r="H711" s="330">
        <v>30.0</v>
      </c>
      <c r="I711" s="330">
        <v>6.0</v>
      </c>
      <c r="J711" s="330">
        <v>2026.0</v>
      </c>
      <c r="K711" s="328" t="s">
        <v>1806</v>
      </c>
      <c r="L711" s="328" t="s">
        <v>1392</v>
      </c>
      <c r="M711" s="330">
        <v>1.0</v>
      </c>
      <c r="N711" s="330">
        <v>1.0</v>
      </c>
      <c r="O711" s="330">
        <v>2.0</v>
      </c>
      <c r="P711" s="329">
        <v>46205.0</v>
      </c>
      <c r="Q711" s="331">
        <v>2.0</v>
      </c>
      <c r="R711" s="331">
        <v>7.0</v>
      </c>
      <c r="S711" s="330">
        <v>2026.0</v>
      </c>
      <c r="T711" s="328" t="s">
        <v>310</v>
      </c>
      <c r="U711" s="328">
        <v>33.26</v>
      </c>
      <c r="V711" s="329">
        <v>46205.0</v>
      </c>
      <c r="W711" s="330">
        <v>2.0</v>
      </c>
      <c r="X711" s="330">
        <v>7.0</v>
      </c>
      <c r="Y711" s="330">
        <v>2026.0</v>
      </c>
      <c r="Z711" s="328" t="s">
        <v>310</v>
      </c>
    </row>
    <row r="712">
      <c r="A712" s="328" t="s">
        <v>1811</v>
      </c>
      <c r="B712" s="393"/>
      <c r="C712" s="329">
        <v>46220.0</v>
      </c>
      <c r="D712" s="330">
        <v>17.0</v>
      </c>
      <c r="E712" s="330">
        <v>7.0</v>
      </c>
      <c r="F712" s="330">
        <v>2026.0</v>
      </c>
      <c r="G712" s="329">
        <v>46222.0</v>
      </c>
      <c r="H712" s="330">
        <v>19.0</v>
      </c>
      <c r="I712" s="330">
        <v>7.0</v>
      </c>
      <c r="J712" s="330">
        <v>2026.0</v>
      </c>
      <c r="K712" s="328" t="s">
        <v>1806</v>
      </c>
      <c r="L712" s="328" t="s">
        <v>1392</v>
      </c>
      <c r="M712" s="330">
        <v>2.0</v>
      </c>
      <c r="N712" s="330">
        <v>2.0</v>
      </c>
      <c r="O712" s="330">
        <v>8.0</v>
      </c>
      <c r="P712" s="329">
        <v>46221.0</v>
      </c>
      <c r="Q712" s="331">
        <v>18.0</v>
      </c>
      <c r="R712" s="331">
        <v>7.0</v>
      </c>
      <c r="S712" s="330">
        <v>2026.0</v>
      </c>
      <c r="T712" s="328" t="s">
        <v>352</v>
      </c>
      <c r="U712" s="450">
        <v>120.0</v>
      </c>
      <c r="V712" s="329">
        <v>46221.0</v>
      </c>
      <c r="W712" s="330">
        <v>18.0</v>
      </c>
      <c r="X712" s="330">
        <v>7.0</v>
      </c>
      <c r="Y712" s="330">
        <v>2026.0</v>
      </c>
      <c r="Z712" s="328" t="s">
        <v>352</v>
      </c>
    </row>
    <row r="713">
      <c r="A713" s="328" t="s">
        <v>1812</v>
      </c>
      <c r="B713" s="449"/>
      <c r="C713" s="329">
        <v>46233.0</v>
      </c>
      <c r="D713" s="330">
        <v>30.0</v>
      </c>
      <c r="E713" s="330">
        <v>7.0</v>
      </c>
      <c r="F713" s="330">
        <v>2026.0</v>
      </c>
      <c r="G713" s="329">
        <v>46235.0</v>
      </c>
      <c r="H713" s="330">
        <v>1.0</v>
      </c>
      <c r="I713" s="330">
        <v>8.0</v>
      </c>
      <c r="J713" s="330">
        <v>2026.0</v>
      </c>
      <c r="K713" s="328" t="s">
        <v>1806</v>
      </c>
      <c r="L713" s="328" t="s">
        <v>1392</v>
      </c>
      <c r="M713" s="330">
        <v>1.0</v>
      </c>
      <c r="N713" s="330">
        <v>2.0</v>
      </c>
      <c r="O713" s="330">
        <v>4.0</v>
      </c>
      <c r="P713" s="329">
        <v>46223.0</v>
      </c>
      <c r="Q713" s="331">
        <v>20.0</v>
      </c>
      <c r="R713" s="331">
        <v>7.0</v>
      </c>
      <c r="S713" s="330">
        <v>2026.0</v>
      </c>
      <c r="T713" s="328" t="s">
        <v>310</v>
      </c>
      <c r="U713" s="328">
        <v>66.32</v>
      </c>
      <c r="V713" s="329">
        <v>46223.0</v>
      </c>
      <c r="W713" s="330">
        <v>20.0</v>
      </c>
      <c r="X713" s="330">
        <v>7.0</v>
      </c>
      <c r="Y713" s="330">
        <v>2026.0</v>
      </c>
      <c r="Z713" s="328" t="s">
        <v>310</v>
      </c>
    </row>
    <row r="714">
      <c r="A714" s="328" t="s">
        <v>1813</v>
      </c>
      <c r="B714" s="393"/>
      <c r="C714" s="329">
        <v>46234.0</v>
      </c>
      <c r="D714" s="330">
        <v>31.0</v>
      </c>
      <c r="E714" s="330">
        <v>7.0</v>
      </c>
      <c r="F714" s="330">
        <v>2026.0</v>
      </c>
      <c r="G714" s="329">
        <v>46235.0</v>
      </c>
      <c r="H714" s="330">
        <v>1.0</v>
      </c>
      <c r="I714" s="330">
        <v>8.0</v>
      </c>
      <c r="J714" s="330">
        <v>2026.0</v>
      </c>
      <c r="K714" s="328" t="s">
        <v>1806</v>
      </c>
      <c r="L714" s="328" t="s">
        <v>1814</v>
      </c>
      <c r="M714" s="330">
        <v>1.0</v>
      </c>
      <c r="N714" s="330">
        <v>1.0</v>
      </c>
      <c r="O714" s="330">
        <v>2.0</v>
      </c>
      <c r="P714" s="329">
        <v>46231.0</v>
      </c>
      <c r="Q714" s="331">
        <v>28.0</v>
      </c>
      <c r="R714" s="331">
        <v>7.0</v>
      </c>
      <c r="S714" s="330">
        <v>2026.0</v>
      </c>
      <c r="T714" s="328" t="s">
        <v>310</v>
      </c>
      <c r="U714" s="328">
        <v>38.18</v>
      </c>
      <c r="V714" s="329">
        <v>46231.0</v>
      </c>
      <c r="W714" s="330">
        <v>28.0</v>
      </c>
      <c r="X714" s="330">
        <v>7.0</v>
      </c>
      <c r="Y714" s="330">
        <v>2026.0</v>
      </c>
      <c r="Z714" s="328" t="s">
        <v>310</v>
      </c>
    </row>
    <row r="715">
      <c r="A715" s="393"/>
      <c r="B715" s="449"/>
      <c r="C715" s="385"/>
      <c r="D715" s="385"/>
      <c r="E715" s="385"/>
      <c r="F715" s="385"/>
      <c r="G715" s="385"/>
      <c r="H715" s="385"/>
      <c r="I715" s="385"/>
      <c r="J715" s="385"/>
      <c r="K715" s="385"/>
      <c r="L715" s="385"/>
      <c r="M715" s="385"/>
      <c r="N715" s="385"/>
      <c r="O715" s="385"/>
      <c r="P715" s="385"/>
      <c r="Q715" s="451"/>
      <c r="R715" s="451"/>
      <c r="S715" s="385"/>
      <c r="T715" s="385"/>
      <c r="U715" s="385"/>
      <c r="V715" s="385"/>
      <c r="W715" s="385"/>
      <c r="X715" s="385"/>
      <c r="Y715" s="385"/>
      <c r="Z715" s="385"/>
    </row>
    <row r="716">
      <c r="A716" s="452"/>
      <c r="B716" s="393"/>
      <c r="C716" s="393"/>
      <c r="D716" s="452"/>
      <c r="E716" s="452"/>
      <c r="F716" s="452"/>
      <c r="G716" s="393"/>
      <c r="H716" s="452"/>
      <c r="I716" s="452"/>
      <c r="J716" s="452"/>
      <c r="K716" s="452"/>
      <c r="L716" s="452"/>
      <c r="M716" s="452"/>
      <c r="N716" s="452"/>
      <c r="O716" s="452"/>
      <c r="P716" s="393"/>
      <c r="Q716" s="451"/>
      <c r="R716" s="451"/>
      <c r="S716" s="452"/>
      <c r="T716" s="452"/>
      <c r="U716" s="385"/>
      <c r="V716" s="393"/>
      <c r="W716" s="452"/>
      <c r="X716" s="452"/>
      <c r="Y716" s="452"/>
      <c r="Z716" s="452"/>
    </row>
    <row r="717">
      <c r="A717" s="452"/>
      <c r="B717" s="393"/>
      <c r="C717" s="393"/>
      <c r="D717" s="452"/>
      <c r="E717" s="452"/>
      <c r="F717" s="452"/>
      <c r="G717" s="393"/>
      <c r="H717" s="452"/>
      <c r="I717" s="452"/>
      <c r="J717" s="452"/>
      <c r="K717" s="452"/>
      <c r="L717" s="452"/>
      <c r="M717" s="452"/>
      <c r="N717" s="452"/>
      <c r="O717" s="452"/>
      <c r="P717" s="393"/>
      <c r="Q717" s="451"/>
      <c r="R717" s="451"/>
      <c r="S717" s="452"/>
      <c r="T717" s="452"/>
      <c r="U717" s="385"/>
      <c r="V717" s="393"/>
      <c r="W717" s="452"/>
      <c r="X717" s="452"/>
      <c r="Y717" s="452"/>
      <c r="Z717" s="452"/>
    </row>
    <row r="718">
      <c r="A718" s="235"/>
      <c r="B718" s="293"/>
      <c r="C718" s="235"/>
      <c r="D718" s="235"/>
      <c r="E718" s="235"/>
      <c r="F718" s="235"/>
      <c r="G718" s="235"/>
      <c r="H718" s="235"/>
      <c r="I718" s="235"/>
      <c r="J718" s="235"/>
      <c r="K718" s="235"/>
      <c r="L718" s="235"/>
      <c r="M718" s="235"/>
      <c r="N718" s="235"/>
      <c r="O718" s="235"/>
      <c r="P718" s="235"/>
      <c r="Q718" s="292"/>
      <c r="R718" s="292"/>
      <c r="S718" s="235"/>
      <c r="T718" s="235"/>
      <c r="U718" s="235"/>
      <c r="V718" s="235"/>
      <c r="W718" s="235"/>
      <c r="X718" s="235"/>
      <c r="Y718" s="235"/>
      <c r="Z718" s="235"/>
    </row>
    <row r="719">
      <c r="A719" s="453"/>
      <c r="B719" s="454"/>
      <c r="C719" s="453"/>
      <c r="D719" s="453"/>
      <c r="E719" s="453"/>
      <c r="F719" s="453"/>
      <c r="G719" s="453"/>
      <c r="H719" s="453"/>
      <c r="I719" s="453"/>
      <c r="J719" s="453"/>
      <c r="K719" s="453"/>
      <c r="L719" s="453"/>
      <c r="M719" s="453"/>
      <c r="N719" s="453"/>
      <c r="O719" s="453"/>
      <c r="P719" s="453"/>
      <c r="Q719" s="455"/>
      <c r="R719" s="455"/>
      <c r="S719" s="453"/>
      <c r="T719" s="453"/>
      <c r="U719" s="453"/>
      <c r="V719" s="453"/>
      <c r="W719" s="453"/>
      <c r="X719" s="453"/>
      <c r="Y719" s="453"/>
      <c r="Z719" s="453"/>
    </row>
    <row r="720">
      <c r="A720" s="453"/>
      <c r="B720" s="454"/>
      <c r="C720" s="453"/>
      <c r="D720" s="453"/>
      <c r="E720" s="453"/>
      <c r="F720" s="453"/>
      <c r="G720" s="453"/>
      <c r="H720" s="453"/>
      <c r="I720" s="453"/>
      <c r="J720" s="453"/>
      <c r="K720" s="453"/>
      <c r="L720" s="453"/>
      <c r="M720" s="453"/>
      <c r="N720" s="453"/>
      <c r="O720" s="453"/>
      <c r="P720" s="453"/>
      <c r="Q720" s="455"/>
      <c r="R720" s="455"/>
      <c r="S720" s="453"/>
      <c r="T720" s="453"/>
      <c r="U720" s="453"/>
      <c r="V720" s="453"/>
      <c r="W720" s="453"/>
      <c r="X720" s="453"/>
      <c r="Y720" s="453"/>
      <c r="Z720" s="453"/>
    </row>
    <row r="721">
      <c r="A721" s="235"/>
      <c r="B721" s="293"/>
      <c r="C721" s="235"/>
      <c r="D721" s="235"/>
      <c r="E721" s="235"/>
      <c r="F721" s="235"/>
      <c r="G721" s="235"/>
      <c r="H721" s="235"/>
      <c r="I721" s="235"/>
      <c r="J721" s="235"/>
      <c r="K721" s="235"/>
      <c r="L721" s="235"/>
      <c r="M721" s="235"/>
      <c r="N721" s="235"/>
      <c r="O721" s="235"/>
      <c r="P721" s="235"/>
      <c r="Q721" s="292"/>
      <c r="R721" s="292"/>
      <c r="S721" s="235"/>
      <c r="T721" s="235"/>
      <c r="U721" s="235"/>
      <c r="V721" s="235"/>
      <c r="W721" s="235"/>
      <c r="X721" s="235"/>
      <c r="Y721" s="235"/>
      <c r="Z721" s="235"/>
    </row>
    <row r="722">
      <c r="A722" s="235"/>
      <c r="B722" s="293"/>
      <c r="C722" s="235"/>
      <c r="D722" s="235"/>
      <c r="E722" s="235"/>
      <c r="F722" s="235"/>
      <c r="G722" s="235"/>
      <c r="H722" s="235"/>
      <c r="I722" s="235"/>
      <c r="J722" s="235"/>
      <c r="K722" s="235"/>
      <c r="L722" s="235"/>
      <c r="M722" s="235"/>
      <c r="N722" s="235"/>
      <c r="O722" s="235"/>
      <c r="P722" s="235"/>
      <c r="Q722" s="292"/>
      <c r="R722" s="292"/>
      <c r="S722" s="235"/>
      <c r="T722" s="235"/>
      <c r="U722" s="235"/>
      <c r="V722" s="235"/>
      <c r="W722" s="235"/>
      <c r="X722" s="235"/>
      <c r="Y722" s="235"/>
      <c r="Z722" s="235"/>
    </row>
    <row r="723">
      <c r="A723" s="235"/>
      <c r="B723" s="293"/>
      <c r="C723" s="235"/>
      <c r="D723" s="235"/>
      <c r="E723" s="235"/>
      <c r="F723" s="235"/>
      <c r="G723" s="235"/>
      <c r="H723" s="235"/>
      <c r="I723" s="235"/>
      <c r="J723" s="235"/>
      <c r="K723" s="235"/>
      <c r="L723" s="235"/>
      <c r="M723" s="235"/>
      <c r="N723" s="235"/>
      <c r="O723" s="235"/>
      <c r="P723" s="235"/>
      <c r="Q723" s="292"/>
      <c r="R723" s="292"/>
      <c r="S723" s="235"/>
      <c r="T723" s="235"/>
      <c r="U723" s="235"/>
      <c r="V723" s="235"/>
      <c r="W723" s="235"/>
      <c r="X723" s="235"/>
      <c r="Y723" s="235"/>
      <c r="Z723" s="235"/>
    </row>
    <row r="724">
      <c r="A724" s="235"/>
      <c r="B724" s="293"/>
      <c r="C724" s="235"/>
      <c r="D724" s="235"/>
      <c r="E724" s="235"/>
      <c r="F724" s="235"/>
      <c r="G724" s="235"/>
      <c r="H724" s="235"/>
      <c r="I724" s="235"/>
      <c r="J724" s="235"/>
      <c r="K724" s="235"/>
      <c r="L724" s="235"/>
      <c r="M724" s="235"/>
      <c r="N724" s="235"/>
      <c r="O724" s="235"/>
      <c r="P724" s="235"/>
      <c r="Q724" s="292"/>
      <c r="R724" s="292"/>
      <c r="S724" s="235"/>
      <c r="T724" s="235"/>
      <c r="U724" s="235"/>
      <c r="V724" s="235"/>
      <c r="W724" s="235"/>
      <c r="X724" s="235"/>
      <c r="Y724" s="235"/>
      <c r="Z724" s="235"/>
    </row>
    <row r="725">
      <c r="A725" s="235"/>
      <c r="B725" s="293"/>
      <c r="C725" s="235"/>
      <c r="D725" s="235"/>
      <c r="E725" s="235"/>
      <c r="F725" s="235"/>
      <c r="G725" s="235"/>
      <c r="H725" s="235"/>
      <c r="I725" s="235"/>
      <c r="J725" s="235"/>
      <c r="K725" s="235"/>
      <c r="L725" s="235"/>
      <c r="M725" s="235"/>
      <c r="N725" s="235"/>
      <c r="O725" s="235"/>
      <c r="P725" s="235"/>
      <c r="Q725" s="292"/>
      <c r="R725" s="292"/>
      <c r="S725" s="235"/>
      <c r="T725" s="235"/>
      <c r="U725" s="235"/>
      <c r="V725" s="235"/>
      <c r="W725" s="235"/>
      <c r="X725" s="235"/>
      <c r="Y725" s="235"/>
      <c r="Z725" s="235"/>
    </row>
    <row r="726">
      <c r="A726" s="235"/>
      <c r="B726" s="293"/>
      <c r="C726" s="235"/>
      <c r="D726" s="235"/>
      <c r="E726" s="235"/>
      <c r="F726" s="235"/>
      <c r="G726" s="235"/>
      <c r="H726" s="235"/>
      <c r="I726" s="235"/>
      <c r="J726" s="235"/>
      <c r="K726" s="235"/>
      <c r="L726" s="235"/>
      <c r="M726" s="235"/>
      <c r="N726" s="235"/>
      <c r="O726" s="235"/>
      <c r="P726" s="235"/>
      <c r="Q726" s="292"/>
      <c r="R726" s="292"/>
      <c r="S726" s="235"/>
      <c r="T726" s="235"/>
      <c r="U726" s="235"/>
      <c r="V726" s="235"/>
      <c r="W726" s="235"/>
      <c r="X726" s="235"/>
      <c r="Y726" s="235"/>
      <c r="Z726" s="235"/>
    </row>
    <row r="727">
      <c r="A727" s="235"/>
      <c r="B727" s="293"/>
      <c r="C727" s="235"/>
      <c r="D727" s="235"/>
      <c r="E727" s="235"/>
      <c r="F727" s="235"/>
      <c r="G727" s="235"/>
      <c r="H727" s="235"/>
      <c r="I727" s="235"/>
      <c r="J727" s="235"/>
      <c r="K727" s="235"/>
      <c r="L727" s="235"/>
      <c r="M727" s="235"/>
      <c r="N727" s="235"/>
      <c r="O727" s="235"/>
      <c r="P727" s="235"/>
      <c r="Q727" s="292"/>
      <c r="R727" s="292"/>
      <c r="S727" s="235"/>
      <c r="T727" s="235"/>
      <c r="U727" s="235"/>
      <c r="V727" s="235"/>
      <c r="W727" s="235"/>
      <c r="X727" s="235"/>
      <c r="Y727" s="235"/>
      <c r="Z727" s="235"/>
    </row>
    <row r="728">
      <c r="A728" s="235"/>
      <c r="B728" s="293"/>
      <c r="C728" s="235"/>
      <c r="D728" s="235"/>
      <c r="E728" s="235"/>
      <c r="F728" s="235"/>
      <c r="G728" s="235"/>
      <c r="H728" s="235"/>
      <c r="I728" s="235"/>
      <c r="J728" s="235"/>
      <c r="K728" s="235"/>
      <c r="L728" s="235"/>
      <c r="M728" s="235"/>
      <c r="N728" s="235"/>
      <c r="O728" s="235"/>
      <c r="P728" s="235"/>
      <c r="Q728" s="292"/>
      <c r="R728" s="292"/>
      <c r="S728" s="235"/>
      <c r="T728" s="235"/>
      <c r="U728" s="235"/>
      <c r="V728" s="235"/>
      <c r="W728" s="235"/>
      <c r="X728" s="235"/>
      <c r="Y728" s="235"/>
      <c r="Z728" s="235"/>
    </row>
    <row r="729">
      <c r="A729" s="235"/>
      <c r="B729" s="293"/>
      <c r="C729" s="235"/>
      <c r="D729" s="235"/>
      <c r="E729" s="235"/>
      <c r="F729" s="235"/>
      <c r="G729" s="235"/>
      <c r="H729" s="235"/>
      <c r="I729" s="235"/>
      <c r="J729" s="235"/>
      <c r="K729" s="235"/>
      <c r="L729" s="235"/>
      <c r="M729" s="235"/>
      <c r="N729" s="235"/>
      <c r="O729" s="235"/>
      <c r="P729" s="235"/>
      <c r="Q729" s="292"/>
      <c r="R729" s="292"/>
      <c r="S729" s="235"/>
      <c r="T729" s="235"/>
      <c r="U729" s="235"/>
      <c r="V729" s="235"/>
      <c r="W729" s="235"/>
      <c r="X729" s="235"/>
      <c r="Y729" s="235"/>
      <c r="Z729" s="235"/>
    </row>
    <row r="730">
      <c r="A730" s="235"/>
      <c r="B730" s="293"/>
      <c r="C730" s="235"/>
      <c r="D730" s="235"/>
      <c r="E730" s="235"/>
      <c r="F730" s="235"/>
      <c r="G730" s="235"/>
      <c r="H730" s="235"/>
      <c r="I730" s="235"/>
      <c r="J730" s="235"/>
      <c r="K730" s="235"/>
      <c r="L730" s="235"/>
      <c r="M730" s="235"/>
      <c r="N730" s="235"/>
      <c r="O730" s="235"/>
      <c r="P730" s="235"/>
      <c r="Q730" s="292"/>
      <c r="R730" s="292"/>
      <c r="S730" s="235"/>
      <c r="T730" s="235"/>
      <c r="U730" s="235"/>
      <c r="V730" s="235"/>
      <c r="W730" s="235"/>
      <c r="X730" s="235"/>
      <c r="Y730" s="235"/>
      <c r="Z730" s="235"/>
    </row>
    <row r="731">
      <c r="A731" s="235"/>
      <c r="B731" s="293"/>
      <c r="C731" s="235"/>
      <c r="D731" s="235"/>
      <c r="E731" s="235"/>
      <c r="F731" s="235"/>
      <c r="G731" s="235"/>
      <c r="H731" s="235"/>
      <c r="I731" s="235"/>
      <c r="J731" s="235"/>
      <c r="K731" s="235"/>
      <c r="L731" s="235"/>
      <c r="M731" s="235"/>
      <c r="N731" s="235"/>
      <c r="O731" s="235"/>
      <c r="P731" s="235"/>
      <c r="Q731" s="292"/>
      <c r="R731" s="292"/>
      <c r="S731" s="235"/>
      <c r="T731" s="235"/>
      <c r="U731" s="235"/>
      <c r="V731" s="235"/>
      <c r="W731" s="235"/>
      <c r="X731" s="235"/>
      <c r="Y731" s="235"/>
      <c r="Z731" s="235"/>
    </row>
    <row r="732">
      <c r="A732" s="235"/>
      <c r="B732" s="293"/>
      <c r="C732" s="235"/>
      <c r="D732" s="235"/>
      <c r="E732" s="235"/>
      <c r="F732" s="235"/>
      <c r="G732" s="235"/>
      <c r="H732" s="235"/>
      <c r="I732" s="235"/>
      <c r="J732" s="235"/>
      <c r="K732" s="235"/>
      <c r="L732" s="235"/>
      <c r="M732" s="235"/>
      <c r="N732" s="235"/>
      <c r="O732" s="235"/>
      <c r="P732" s="235"/>
      <c r="Q732" s="292"/>
      <c r="R732" s="292"/>
      <c r="S732" s="235"/>
      <c r="T732" s="235"/>
      <c r="U732" s="235"/>
      <c r="V732" s="235"/>
      <c r="W732" s="235"/>
      <c r="X732" s="235"/>
      <c r="Y732" s="235"/>
      <c r="Z732" s="235"/>
    </row>
    <row r="733">
      <c r="A733" s="235"/>
      <c r="B733" s="293"/>
      <c r="C733" s="235"/>
      <c r="D733" s="235"/>
      <c r="E733" s="235"/>
      <c r="F733" s="235"/>
      <c r="G733" s="235"/>
      <c r="H733" s="235"/>
      <c r="I733" s="235"/>
      <c r="J733" s="235"/>
      <c r="K733" s="235"/>
      <c r="L733" s="235"/>
      <c r="M733" s="235"/>
      <c r="N733" s="235"/>
      <c r="O733" s="235"/>
      <c r="P733" s="235"/>
      <c r="Q733" s="292"/>
      <c r="R733" s="292"/>
      <c r="S733" s="235"/>
      <c r="T733" s="235"/>
      <c r="U733" s="235"/>
      <c r="V733" s="235"/>
      <c r="W733" s="235"/>
      <c r="X733" s="235"/>
      <c r="Y733" s="235"/>
      <c r="Z733" s="235"/>
    </row>
    <row r="734">
      <c r="A734" s="235"/>
      <c r="B734" s="293"/>
      <c r="C734" s="235"/>
      <c r="D734" s="235"/>
      <c r="E734" s="235"/>
      <c r="F734" s="235"/>
      <c r="G734" s="235"/>
      <c r="H734" s="235"/>
      <c r="I734" s="235"/>
      <c r="J734" s="235"/>
      <c r="K734" s="235"/>
      <c r="L734" s="235"/>
      <c r="M734" s="235"/>
      <c r="N734" s="235"/>
      <c r="O734" s="235"/>
      <c r="P734" s="235"/>
      <c r="Q734" s="292"/>
      <c r="R734" s="292"/>
      <c r="S734" s="235"/>
      <c r="T734" s="235"/>
      <c r="U734" s="235"/>
      <c r="V734" s="235"/>
      <c r="W734" s="235"/>
      <c r="X734" s="235"/>
      <c r="Y734" s="235"/>
      <c r="Z734" s="235"/>
    </row>
    <row r="735">
      <c r="A735" s="235"/>
      <c r="B735" s="293"/>
      <c r="C735" s="235"/>
      <c r="D735" s="235"/>
      <c r="E735" s="235"/>
      <c r="F735" s="235"/>
      <c r="G735" s="235"/>
      <c r="H735" s="235"/>
      <c r="I735" s="235"/>
      <c r="J735" s="235"/>
      <c r="K735" s="235"/>
      <c r="L735" s="235"/>
      <c r="M735" s="235"/>
      <c r="N735" s="235"/>
      <c r="O735" s="235"/>
      <c r="P735" s="235"/>
      <c r="Q735" s="292"/>
      <c r="R735" s="292"/>
      <c r="S735" s="235"/>
      <c r="T735" s="235"/>
      <c r="U735" s="235"/>
      <c r="V735" s="235"/>
      <c r="W735" s="235"/>
      <c r="X735" s="235"/>
      <c r="Y735" s="235"/>
      <c r="Z735" s="235"/>
    </row>
    <row r="736">
      <c r="A736" s="235"/>
      <c r="B736" s="293"/>
      <c r="C736" s="235"/>
      <c r="D736" s="235"/>
      <c r="E736" s="235"/>
      <c r="F736" s="235"/>
      <c r="G736" s="235"/>
      <c r="H736" s="235"/>
      <c r="I736" s="235"/>
      <c r="J736" s="235"/>
      <c r="K736" s="235"/>
      <c r="L736" s="235"/>
      <c r="M736" s="235"/>
      <c r="N736" s="235"/>
      <c r="O736" s="235"/>
      <c r="P736" s="235"/>
      <c r="Q736" s="292"/>
      <c r="R736" s="292"/>
      <c r="S736" s="235"/>
      <c r="T736" s="235"/>
      <c r="U736" s="235"/>
      <c r="V736" s="235"/>
      <c r="W736" s="235"/>
      <c r="X736" s="235"/>
      <c r="Y736" s="235"/>
      <c r="Z736" s="235"/>
    </row>
    <row r="737">
      <c r="A737" s="235"/>
      <c r="B737" s="293"/>
      <c r="C737" s="235"/>
      <c r="D737" s="235"/>
      <c r="E737" s="235"/>
      <c r="F737" s="235"/>
      <c r="G737" s="235"/>
      <c r="H737" s="235"/>
      <c r="I737" s="235"/>
      <c r="J737" s="235"/>
      <c r="K737" s="235"/>
      <c r="L737" s="235"/>
      <c r="M737" s="235"/>
      <c r="N737" s="235"/>
      <c r="O737" s="235"/>
      <c r="P737" s="235"/>
      <c r="Q737" s="292"/>
      <c r="R737" s="292"/>
      <c r="S737" s="235"/>
      <c r="T737" s="235"/>
      <c r="U737" s="235"/>
      <c r="V737" s="235"/>
      <c r="W737" s="235"/>
      <c r="X737" s="235"/>
      <c r="Y737" s="235"/>
      <c r="Z737" s="235"/>
    </row>
    <row r="738">
      <c r="A738" s="235"/>
      <c r="B738" s="293"/>
      <c r="C738" s="235"/>
      <c r="D738" s="235"/>
      <c r="E738" s="235"/>
      <c r="F738" s="235"/>
      <c r="G738" s="235"/>
      <c r="H738" s="235"/>
      <c r="I738" s="235"/>
      <c r="J738" s="235"/>
      <c r="K738" s="235"/>
      <c r="L738" s="235"/>
      <c r="M738" s="235"/>
      <c r="N738" s="235"/>
      <c r="O738" s="235"/>
      <c r="P738" s="235"/>
      <c r="Q738" s="292"/>
      <c r="R738" s="292"/>
      <c r="S738" s="235"/>
      <c r="T738" s="235"/>
      <c r="U738" s="235"/>
      <c r="V738" s="235"/>
      <c r="W738" s="235"/>
      <c r="X738" s="235"/>
      <c r="Y738" s="235"/>
      <c r="Z738" s="235"/>
    </row>
    <row r="739">
      <c r="A739" s="235"/>
      <c r="B739" s="293"/>
      <c r="C739" s="235"/>
      <c r="D739" s="235"/>
      <c r="E739" s="235"/>
      <c r="F739" s="235"/>
      <c r="G739" s="235"/>
      <c r="H739" s="235"/>
      <c r="I739" s="235"/>
      <c r="J739" s="235"/>
      <c r="K739" s="235"/>
      <c r="L739" s="235"/>
      <c r="M739" s="235"/>
      <c r="N739" s="235"/>
      <c r="O739" s="235"/>
      <c r="P739" s="235"/>
      <c r="Q739" s="292"/>
      <c r="R739" s="292"/>
      <c r="S739" s="235"/>
      <c r="T739" s="235"/>
      <c r="U739" s="235"/>
      <c r="V739" s="235"/>
      <c r="W739" s="235"/>
      <c r="X739" s="235"/>
      <c r="Y739" s="235"/>
      <c r="Z739" s="235"/>
    </row>
    <row r="740">
      <c r="A740" s="235"/>
      <c r="B740" s="293"/>
      <c r="C740" s="235"/>
      <c r="D740" s="235"/>
      <c r="E740" s="235"/>
      <c r="F740" s="235"/>
      <c r="G740" s="235"/>
      <c r="H740" s="235"/>
      <c r="I740" s="235"/>
      <c r="J740" s="235"/>
      <c r="K740" s="235"/>
      <c r="L740" s="235"/>
      <c r="M740" s="235"/>
      <c r="N740" s="235"/>
      <c r="O740" s="235"/>
      <c r="P740" s="235"/>
      <c r="Q740" s="292"/>
      <c r="R740" s="292"/>
      <c r="S740" s="235"/>
      <c r="T740" s="235"/>
      <c r="U740" s="235"/>
      <c r="V740" s="235"/>
      <c r="W740" s="235"/>
      <c r="X740" s="235"/>
      <c r="Y740" s="235"/>
      <c r="Z740" s="235"/>
    </row>
    <row r="741">
      <c r="A741" s="235"/>
      <c r="B741" s="293"/>
      <c r="C741" s="235"/>
      <c r="D741" s="235"/>
      <c r="E741" s="235"/>
      <c r="F741" s="235"/>
      <c r="G741" s="235"/>
      <c r="H741" s="235"/>
      <c r="I741" s="235"/>
      <c r="J741" s="235"/>
      <c r="K741" s="235"/>
      <c r="L741" s="235"/>
      <c r="M741" s="235"/>
      <c r="N741" s="235"/>
      <c r="O741" s="235"/>
      <c r="P741" s="235"/>
      <c r="Q741" s="292"/>
      <c r="R741" s="292"/>
      <c r="S741" s="235"/>
      <c r="T741" s="235"/>
      <c r="U741" s="235"/>
      <c r="V741" s="235"/>
      <c r="W741" s="235"/>
      <c r="X741" s="235"/>
      <c r="Y741" s="235"/>
      <c r="Z741" s="235"/>
    </row>
    <row r="742">
      <c r="A742" s="235"/>
      <c r="B742" s="293"/>
      <c r="C742" s="235"/>
      <c r="D742" s="235"/>
      <c r="E742" s="235"/>
      <c r="F742" s="235"/>
      <c r="G742" s="235"/>
      <c r="H742" s="235"/>
      <c r="I742" s="235"/>
      <c r="J742" s="235"/>
      <c r="K742" s="235"/>
      <c r="L742" s="235"/>
      <c r="M742" s="235"/>
      <c r="N742" s="235"/>
      <c r="O742" s="235"/>
      <c r="P742" s="235"/>
      <c r="Q742" s="292"/>
      <c r="R742" s="292"/>
      <c r="S742" s="235"/>
      <c r="T742" s="235"/>
      <c r="U742" s="235"/>
      <c r="V742" s="235"/>
      <c r="W742" s="235"/>
      <c r="X742" s="235"/>
      <c r="Y742" s="235"/>
      <c r="Z742" s="235"/>
    </row>
    <row r="743">
      <c r="A743" s="235"/>
      <c r="B743" s="293"/>
      <c r="C743" s="235"/>
      <c r="D743" s="235"/>
      <c r="E743" s="235"/>
      <c r="F743" s="235"/>
      <c r="G743" s="235"/>
      <c r="H743" s="235"/>
      <c r="I743" s="235"/>
      <c r="J743" s="235"/>
      <c r="K743" s="235"/>
      <c r="L743" s="235"/>
      <c r="M743" s="235"/>
      <c r="N743" s="235"/>
      <c r="O743" s="235"/>
      <c r="P743" s="235"/>
      <c r="Q743" s="292"/>
      <c r="R743" s="292"/>
      <c r="S743" s="235"/>
      <c r="T743" s="235"/>
      <c r="U743" s="235"/>
      <c r="V743" s="235"/>
      <c r="W743" s="235"/>
      <c r="X743" s="235"/>
      <c r="Y743" s="235"/>
      <c r="Z743" s="235"/>
    </row>
    <row r="744">
      <c r="A744" s="235"/>
      <c r="B744" s="293"/>
      <c r="C744" s="235"/>
      <c r="D744" s="235"/>
      <c r="E744" s="235"/>
      <c r="F744" s="235"/>
      <c r="G744" s="235"/>
      <c r="H744" s="235"/>
      <c r="I744" s="235"/>
      <c r="J744" s="235"/>
      <c r="K744" s="235"/>
      <c r="L744" s="235"/>
      <c r="M744" s="235"/>
      <c r="N744" s="235"/>
      <c r="O744" s="235"/>
      <c r="P744" s="235"/>
      <c r="Q744" s="292"/>
      <c r="R744" s="292"/>
      <c r="S744" s="235"/>
      <c r="T744" s="235"/>
      <c r="U744" s="235"/>
      <c r="V744" s="235"/>
      <c r="W744" s="235"/>
      <c r="X744" s="235"/>
      <c r="Y744" s="235"/>
      <c r="Z744" s="235"/>
    </row>
    <row r="745">
      <c r="A745" s="235"/>
      <c r="B745" s="293"/>
      <c r="C745" s="235"/>
      <c r="D745" s="235"/>
      <c r="E745" s="235"/>
      <c r="F745" s="235"/>
      <c r="G745" s="235"/>
      <c r="H745" s="235"/>
      <c r="I745" s="235"/>
      <c r="J745" s="235"/>
      <c r="K745" s="235"/>
      <c r="L745" s="235"/>
      <c r="M745" s="235"/>
      <c r="N745" s="235"/>
      <c r="O745" s="235"/>
      <c r="P745" s="235"/>
      <c r="Q745" s="292"/>
      <c r="R745" s="292"/>
      <c r="S745" s="235"/>
      <c r="T745" s="235"/>
      <c r="U745" s="235"/>
      <c r="V745" s="235"/>
      <c r="W745" s="235"/>
      <c r="X745" s="235"/>
      <c r="Y745" s="235"/>
      <c r="Z745" s="235"/>
    </row>
    <row r="746">
      <c r="A746" s="235"/>
      <c r="B746" s="293"/>
      <c r="C746" s="235"/>
      <c r="D746" s="235"/>
      <c r="E746" s="235"/>
      <c r="F746" s="235"/>
      <c r="G746" s="235"/>
      <c r="H746" s="235"/>
      <c r="I746" s="235"/>
      <c r="J746" s="235"/>
      <c r="K746" s="235"/>
      <c r="L746" s="235"/>
      <c r="M746" s="235"/>
      <c r="N746" s="235"/>
      <c r="O746" s="235"/>
      <c r="P746" s="235"/>
      <c r="Q746" s="292"/>
      <c r="R746" s="292"/>
      <c r="S746" s="235"/>
      <c r="T746" s="235"/>
      <c r="U746" s="235"/>
      <c r="V746" s="235"/>
      <c r="W746" s="235"/>
      <c r="X746" s="235"/>
      <c r="Y746" s="235"/>
      <c r="Z746" s="235"/>
    </row>
    <row r="747">
      <c r="A747" s="235"/>
      <c r="B747" s="293"/>
      <c r="C747" s="235"/>
      <c r="D747" s="235"/>
      <c r="E747" s="235"/>
      <c r="F747" s="235"/>
      <c r="G747" s="235"/>
      <c r="H747" s="235"/>
      <c r="I747" s="235"/>
      <c r="J747" s="235"/>
      <c r="K747" s="235"/>
      <c r="L747" s="235"/>
      <c r="M747" s="235"/>
      <c r="N747" s="235"/>
      <c r="O747" s="235"/>
      <c r="P747" s="235"/>
      <c r="Q747" s="292"/>
      <c r="R747" s="292"/>
      <c r="S747" s="235"/>
      <c r="T747" s="235"/>
      <c r="U747" s="235"/>
      <c r="V747" s="235"/>
      <c r="W747" s="235"/>
      <c r="X747" s="235"/>
      <c r="Y747" s="235"/>
      <c r="Z747" s="235"/>
    </row>
    <row r="748">
      <c r="A748" s="235"/>
      <c r="B748" s="293"/>
      <c r="C748" s="235"/>
      <c r="D748" s="235"/>
      <c r="E748" s="235"/>
      <c r="F748" s="235"/>
      <c r="G748" s="235"/>
      <c r="H748" s="235"/>
      <c r="I748" s="235"/>
      <c r="J748" s="235"/>
      <c r="K748" s="235"/>
      <c r="L748" s="235"/>
      <c r="M748" s="235"/>
      <c r="N748" s="235"/>
      <c r="O748" s="235"/>
      <c r="P748" s="235"/>
      <c r="Q748" s="292"/>
      <c r="R748" s="292"/>
      <c r="S748" s="235"/>
      <c r="T748" s="235"/>
      <c r="U748" s="235"/>
      <c r="V748" s="235"/>
      <c r="W748" s="235"/>
      <c r="X748" s="235"/>
      <c r="Y748" s="235"/>
      <c r="Z748" s="235"/>
    </row>
    <row r="749">
      <c r="A749" s="235"/>
      <c r="B749" s="293"/>
      <c r="C749" s="235"/>
      <c r="D749" s="235"/>
      <c r="E749" s="235"/>
      <c r="F749" s="235"/>
      <c r="G749" s="235"/>
      <c r="H749" s="235"/>
      <c r="I749" s="235"/>
      <c r="J749" s="235"/>
      <c r="K749" s="235"/>
      <c r="L749" s="235"/>
      <c r="M749" s="235"/>
      <c r="N749" s="235"/>
      <c r="O749" s="235"/>
      <c r="P749" s="235"/>
      <c r="Q749" s="292"/>
      <c r="R749" s="292"/>
      <c r="S749" s="235"/>
      <c r="T749" s="235"/>
      <c r="U749" s="235"/>
      <c r="V749" s="235"/>
      <c r="W749" s="235"/>
      <c r="X749" s="235"/>
      <c r="Y749" s="235"/>
      <c r="Z749" s="235"/>
    </row>
    <row r="750">
      <c r="A750" s="235"/>
      <c r="B750" s="293"/>
      <c r="C750" s="235"/>
      <c r="D750" s="235"/>
      <c r="E750" s="235"/>
      <c r="F750" s="235"/>
      <c r="G750" s="235"/>
      <c r="H750" s="235"/>
      <c r="I750" s="235"/>
      <c r="J750" s="235"/>
      <c r="K750" s="235"/>
      <c r="L750" s="235"/>
      <c r="M750" s="235"/>
      <c r="N750" s="235"/>
      <c r="O750" s="235"/>
      <c r="P750" s="235"/>
      <c r="Q750" s="292"/>
      <c r="R750" s="292"/>
      <c r="S750" s="235"/>
      <c r="T750" s="235"/>
      <c r="U750" s="235"/>
      <c r="V750" s="235"/>
      <c r="W750" s="235"/>
      <c r="X750" s="235"/>
      <c r="Y750" s="235"/>
      <c r="Z750" s="235"/>
    </row>
    <row r="751">
      <c r="A751" s="235"/>
      <c r="B751" s="293"/>
      <c r="C751" s="235"/>
      <c r="D751" s="235"/>
      <c r="E751" s="235"/>
      <c r="F751" s="235"/>
      <c r="G751" s="235"/>
      <c r="H751" s="235"/>
      <c r="I751" s="235"/>
      <c r="J751" s="235"/>
      <c r="K751" s="235"/>
      <c r="L751" s="235"/>
      <c r="M751" s="235"/>
      <c r="N751" s="235"/>
      <c r="O751" s="235"/>
      <c r="P751" s="235"/>
      <c r="Q751" s="292"/>
      <c r="R751" s="292"/>
      <c r="S751" s="235"/>
      <c r="T751" s="235"/>
      <c r="U751" s="235"/>
      <c r="V751" s="235"/>
      <c r="W751" s="235"/>
      <c r="X751" s="235"/>
      <c r="Y751" s="235"/>
      <c r="Z751" s="235"/>
    </row>
    <row r="752">
      <c r="A752" s="235"/>
      <c r="B752" s="293"/>
      <c r="C752" s="235"/>
      <c r="D752" s="235"/>
      <c r="E752" s="235"/>
      <c r="F752" s="235"/>
      <c r="G752" s="235"/>
      <c r="H752" s="235"/>
      <c r="I752" s="235"/>
      <c r="J752" s="235"/>
      <c r="K752" s="235"/>
      <c r="L752" s="235"/>
      <c r="M752" s="235"/>
      <c r="N752" s="235"/>
      <c r="O752" s="235"/>
      <c r="P752" s="235"/>
      <c r="Q752" s="292"/>
      <c r="R752" s="292"/>
      <c r="S752" s="235"/>
      <c r="T752" s="235"/>
      <c r="U752" s="235"/>
      <c r="V752" s="235"/>
      <c r="W752" s="235"/>
      <c r="X752" s="235"/>
      <c r="Y752" s="235"/>
      <c r="Z752" s="235"/>
    </row>
    <row r="753">
      <c r="A753" s="235"/>
      <c r="B753" s="293"/>
      <c r="C753" s="235"/>
      <c r="D753" s="235"/>
      <c r="E753" s="235"/>
      <c r="F753" s="235"/>
      <c r="G753" s="235"/>
      <c r="H753" s="235"/>
      <c r="I753" s="235"/>
      <c r="J753" s="235"/>
      <c r="K753" s="235"/>
      <c r="L753" s="235"/>
      <c r="M753" s="235"/>
      <c r="N753" s="235"/>
      <c r="O753" s="235"/>
      <c r="P753" s="235"/>
      <c r="Q753" s="292"/>
      <c r="R753" s="292"/>
      <c r="S753" s="235"/>
      <c r="T753" s="235"/>
      <c r="U753" s="235"/>
      <c r="V753" s="235"/>
      <c r="W753" s="235"/>
      <c r="X753" s="235"/>
      <c r="Y753" s="235"/>
      <c r="Z753" s="235"/>
    </row>
    <row r="754">
      <c r="A754" s="235"/>
      <c r="B754" s="293"/>
      <c r="C754" s="235"/>
      <c r="D754" s="235"/>
      <c r="E754" s="235"/>
      <c r="F754" s="235"/>
      <c r="G754" s="235"/>
      <c r="H754" s="235"/>
      <c r="I754" s="235"/>
      <c r="J754" s="235"/>
      <c r="K754" s="235"/>
      <c r="L754" s="235"/>
      <c r="M754" s="235"/>
      <c r="N754" s="235"/>
      <c r="O754" s="235"/>
      <c r="P754" s="235"/>
      <c r="Q754" s="292"/>
      <c r="R754" s="292"/>
      <c r="S754" s="235"/>
      <c r="T754" s="235"/>
      <c r="U754" s="235"/>
      <c r="V754" s="235"/>
      <c r="W754" s="235"/>
      <c r="X754" s="235"/>
      <c r="Y754" s="235"/>
      <c r="Z754" s="235"/>
    </row>
    <row r="755">
      <c r="A755" s="235"/>
      <c r="B755" s="293"/>
      <c r="C755" s="235"/>
      <c r="D755" s="235"/>
      <c r="E755" s="235"/>
      <c r="F755" s="235"/>
      <c r="G755" s="235"/>
      <c r="H755" s="235"/>
      <c r="I755" s="235"/>
      <c r="J755" s="235"/>
      <c r="K755" s="235"/>
      <c r="L755" s="235"/>
      <c r="M755" s="235"/>
      <c r="N755" s="235"/>
      <c r="O755" s="235"/>
      <c r="P755" s="235"/>
      <c r="Q755" s="292"/>
      <c r="R755" s="292"/>
      <c r="S755" s="235"/>
      <c r="T755" s="235"/>
      <c r="U755" s="235"/>
      <c r="V755" s="235"/>
      <c r="W755" s="235"/>
      <c r="X755" s="235"/>
      <c r="Y755" s="235"/>
      <c r="Z755" s="235"/>
    </row>
    <row r="756">
      <c r="A756" s="235"/>
      <c r="B756" s="293"/>
      <c r="C756" s="235"/>
      <c r="D756" s="235"/>
      <c r="E756" s="235"/>
      <c r="F756" s="235"/>
      <c r="G756" s="235"/>
      <c r="H756" s="235"/>
      <c r="I756" s="235"/>
      <c r="J756" s="235"/>
      <c r="K756" s="235"/>
      <c r="L756" s="235"/>
      <c r="M756" s="235"/>
      <c r="N756" s="235"/>
      <c r="O756" s="235"/>
      <c r="P756" s="235"/>
      <c r="Q756" s="292"/>
      <c r="R756" s="292"/>
      <c r="S756" s="235"/>
      <c r="T756" s="235"/>
      <c r="U756" s="235"/>
      <c r="V756" s="235"/>
      <c r="W756" s="235"/>
      <c r="X756" s="235"/>
      <c r="Y756" s="235"/>
      <c r="Z756" s="235"/>
    </row>
    <row r="757">
      <c r="A757" s="235"/>
      <c r="B757" s="293"/>
      <c r="C757" s="235"/>
      <c r="D757" s="235"/>
      <c r="E757" s="235"/>
      <c r="F757" s="235"/>
      <c r="G757" s="235"/>
      <c r="H757" s="235"/>
      <c r="I757" s="235"/>
      <c r="J757" s="235"/>
      <c r="K757" s="235"/>
      <c r="L757" s="235"/>
      <c r="M757" s="235"/>
      <c r="N757" s="235"/>
      <c r="O757" s="235"/>
      <c r="P757" s="235"/>
      <c r="Q757" s="292"/>
      <c r="R757" s="292"/>
      <c r="S757" s="235"/>
      <c r="T757" s="235"/>
      <c r="U757" s="235"/>
      <c r="V757" s="235"/>
      <c r="W757" s="235"/>
      <c r="X757" s="235"/>
      <c r="Y757" s="235"/>
      <c r="Z757" s="235"/>
    </row>
    <row r="758">
      <c r="A758" s="235"/>
      <c r="B758" s="293"/>
      <c r="C758" s="235"/>
      <c r="D758" s="235"/>
      <c r="E758" s="235"/>
      <c r="F758" s="235"/>
      <c r="G758" s="235"/>
      <c r="H758" s="235"/>
      <c r="I758" s="235"/>
      <c r="J758" s="235"/>
      <c r="K758" s="235"/>
      <c r="L758" s="235"/>
      <c r="M758" s="235"/>
      <c r="N758" s="235"/>
      <c r="O758" s="235"/>
      <c r="P758" s="235"/>
      <c r="Q758" s="292"/>
      <c r="R758" s="292"/>
      <c r="S758" s="235"/>
      <c r="T758" s="235"/>
      <c r="U758" s="235"/>
      <c r="V758" s="235"/>
      <c r="W758" s="235"/>
      <c r="X758" s="235"/>
      <c r="Y758" s="235"/>
      <c r="Z758" s="235"/>
    </row>
    <row r="759">
      <c r="A759" s="235"/>
      <c r="B759" s="293"/>
      <c r="C759" s="235"/>
      <c r="D759" s="235"/>
      <c r="E759" s="235"/>
      <c r="F759" s="235"/>
      <c r="G759" s="235"/>
      <c r="H759" s="235"/>
      <c r="I759" s="235"/>
      <c r="J759" s="235"/>
      <c r="K759" s="235"/>
      <c r="L759" s="235"/>
      <c r="M759" s="235"/>
      <c r="N759" s="235"/>
      <c r="O759" s="235"/>
      <c r="P759" s="235"/>
      <c r="Q759" s="292"/>
      <c r="R759" s="292"/>
      <c r="S759" s="235"/>
      <c r="T759" s="235"/>
      <c r="U759" s="235"/>
      <c r="V759" s="235"/>
      <c r="W759" s="235"/>
      <c r="X759" s="235"/>
      <c r="Y759" s="235"/>
      <c r="Z759" s="235"/>
    </row>
    <row r="760">
      <c r="A760" s="235"/>
      <c r="B760" s="293"/>
      <c r="C760" s="235"/>
      <c r="D760" s="235"/>
      <c r="E760" s="235"/>
      <c r="F760" s="235"/>
      <c r="G760" s="235"/>
      <c r="H760" s="235"/>
      <c r="I760" s="235"/>
      <c r="J760" s="235"/>
      <c r="K760" s="235"/>
      <c r="L760" s="235"/>
      <c r="M760" s="235"/>
      <c r="N760" s="235"/>
      <c r="O760" s="235"/>
      <c r="P760" s="235"/>
      <c r="Q760" s="292"/>
      <c r="R760" s="292"/>
      <c r="S760" s="235"/>
      <c r="T760" s="235"/>
      <c r="U760" s="235"/>
      <c r="V760" s="235"/>
      <c r="W760" s="235"/>
      <c r="X760" s="235"/>
      <c r="Y760" s="235"/>
      <c r="Z760" s="235"/>
    </row>
    <row r="761">
      <c r="A761" s="235"/>
      <c r="B761" s="293"/>
      <c r="C761" s="235"/>
      <c r="D761" s="235"/>
      <c r="E761" s="235"/>
      <c r="F761" s="235"/>
      <c r="G761" s="235"/>
      <c r="H761" s="235"/>
      <c r="I761" s="235"/>
      <c r="J761" s="235"/>
      <c r="K761" s="235"/>
      <c r="L761" s="235"/>
      <c r="M761" s="235"/>
      <c r="N761" s="235"/>
      <c r="O761" s="235"/>
      <c r="P761" s="235"/>
      <c r="Q761" s="292"/>
      <c r="R761" s="292"/>
      <c r="S761" s="235"/>
      <c r="T761" s="235"/>
      <c r="U761" s="235"/>
      <c r="V761" s="235"/>
      <c r="W761" s="235"/>
      <c r="X761" s="235"/>
      <c r="Y761" s="235"/>
      <c r="Z761" s="235"/>
    </row>
    <row r="762">
      <c r="A762" s="235"/>
      <c r="B762" s="293"/>
      <c r="C762" s="235"/>
      <c r="D762" s="235"/>
      <c r="E762" s="235"/>
      <c r="F762" s="235"/>
      <c r="G762" s="235"/>
      <c r="H762" s="235"/>
      <c r="I762" s="235"/>
      <c r="J762" s="235"/>
      <c r="K762" s="235"/>
      <c r="L762" s="235"/>
      <c r="M762" s="235"/>
      <c r="N762" s="235"/>
      <c r="O762" s="235"/>
      <c r="P762" s="235"/>
      <c r="Q762" s="292"/>
      <c r="R762" s="292"/>
      <c r="S762" s="235"/>
      <c r="T762" s="235"/>
      <c r="U762" s="235"/>
      <c r="V762" s="235"/>
      <c r="W762" s="235"/>
      <c r="X762" s="235"/>
      <c r="Y762" s="235"/>
      <c r="Z762" s="235"/>
    </row>
    <row r="763">
      <c r="A763" s="235"/>
      <c r="B763" s="293"/>
      <c r="C763" s="235"/>
      <c r="D763" s="235"/>
      <c r="E763" s="235"/>
      <c r="F763" s="235"/>
      <c r="G763" s="235"/>
      <c r="H763" s="235"/>
      <c r="I763" s="235"/>
      <c r="J763" s="235"/>
      <c r="K763" s="235"/>
      <c r="L763" s="235"/>
      <c r="M763" s="235"/>
      <c r="N763" s="235"/>
      <c r="O763" s="235"/>
      <c r="P763" s="235"/>
      <c r="Q763" s="292"/>
      <c r="R763" s="292"/>
      <c r="S763" s="235"/>
      <c r="T763" s="235"/>
      <c r="U763" s="235"/>
      <c r="V763" s="235"/>
      <c r="W763" s="235"/>
      <c r="X763" s="235"/>
      <c r="Y763" s="235"/>
      <c r="Z763" s="235"/>
    </row>
    <row r="764">
      <c r="A764" s="235"/>
      <c r="B764" s="293"/>
      <c r="C764" s="235"/>
      <c r="D764" s="235"/>
      <c r="E764" s="235"/>
      <c r="F764" s="235"/>
      <c r="G764" s="235"/>
      <c r="H764" s="235"/>
      <c r="I764" s="235"/>
      <c r="J764" s="235"/>
      <c r="K764" s="235"/>
      <c r="L764" s="235"/>
      <c r="M764" s="235"/>
      <c r="N764" s="235"/>
      <c r="O764" s="235"/>
      <c r="P764" s="235"/>
      <c r="Q764" s="292"/>
      <c r="R764" s="292"/>
      <c r="S764" s="235"/>
      <c r="T764" s="235"/>
      <c r="U764" s="235"/>
      <c r="V764" s="235"/>
      <c r="W764" s="235"/>
      <c r="X764" s="235"/>
      <c r="Y764" s="235"/>
      <c r="Z764" s="235"/>
    </row>
    <row r="765">
      <c r="A765" s="235"/>
      <c r="B765" s="293"/>
      <c r="C765" s="235"/>
      <c r="D765" s="235"/>
      <c r="E765" s="235"/>
      <c r="F765" s="235"/>
      <c r="G765" s="235"/>
      <c r="H765" s="235"/>
      <c r="I765" s="235"/>
      <c r="J765" s="235"/>
      <c r="K765" s="235"/>
      <c r="L765" s="235"/>
      <c r="M765" s="235"/>
      <c r="N765" s="235"/>
      <c r="O765" s="235"/>
      <c r="P765" s="235"/>
      <c r="Q765" s="292"/>
      <c r="R765" s="292"/>
      <c r="S765" s="235"/>
      <c r="T765" s="235"/>
      <c r="U765" s="235"/>
      <c r="V765" s="235"/>
      <c r="W765" s="235"/>
      <c r="X765" s="235"/>
      <c r="Y765" s="235"/>
      <c r="Z765" s="235"/>
    </row>
    <row r="766">
      <c r="A766" s="235"/>
      <c r="B766" s="293"/>
      <c r="C766" s="235"/>
      <c r="D766" s="235"/>
      <c r="E766" s="235"/>
      <c r="F766" s="235"/>
      <c r="G766" s="235"/>
      <c r="H766" s="235"/>
      <c r="I766" s="235"/>
      <c r="J766" s="235"/>
      <c r="K766" s="235"/>
      <c r="L766" s="235"/>
      <c r="M766" s="235"/>
      <c r="N766" s="235"/>
      <c r="O766" s="235"/>
      <c r="P766" s="235"/>
      <c r="Q766" s="292"/>
      <c r="R766" s="292"/>
      <c r="S766" s="235"/>
      <c r="T766" s="235"/>
      <c r="U766" s="235"/>
      <c r="V766" s="235"/>
      <c r="W766" s="235"/>
      <c r="X766" s="235"/>
      <c r="Y766" s="235"/>
      <c r="Z766" s="235"/>
    </row>
    <row r="767">
      <c r="A767" s="235"/>
      <c r="B767" s="293"/>
      <c r="C767" s="235"/>
      <c r="D767" s="235"/>
      <c r="E767" s="235"/>
      <c r="F767" s="235"/>
      <c r="G767" s="235"/>
      <c r="H767" s="235"/>
      <c r="I767" s="235"/>
      <c r="J767" s="235"/>
      <c r="K767" s="235"/>
      <c r="L767" s="235"/>
      <c r="M767" s="235"/>
      <c r="N767" s="235"/>
      <c r="O767" s="235"/>
      <c r="P767" s="235"/>
      <c r="Q767" s="292"/>
      <c r="R767" s="292"/>
      <c r="S767" s="235"/>
      <c r="T767" s="235"/>
      <c r="U767" s="235"/>
      <c r="V767" s="235"/>
      <c r="W767" s="235"/>
      <c r="X767" s="235"/>
      <c r="Y767" s="235"/>
      <c r="Z767" s="235"/>
    </row>
    <row r="768">
      <c r="A768" s="235"/>
      <c r="B768" s="293"/>
      <c r="C768" s="235"/>
      <c r="D768" s="235"/>
      <c r="E768" s="235"/>
      <c r="F768" s="235"/>
      <c r="G768" s="235"/>
      <c r="H768" s="235"/>
      <c r="I768" s="235"/>
      <c r="J768" s="235"/>
      <c r="K768" s="235"/>
      <c r="L768" s="235"/>
      <c r="M768" s="235"/>
      <c r="N768" s="235"/>
      <c r="O768" s="235"/>
      <c r="P768" s="235"/>
      <c r="Q768" s="292"/>
      <c r="R768" s="292"/>
      <c r="S768" s="235"/>
      <c r="T768" s="235"/>
      <c r="U768" s="235"/>
      <c r="V768" s="235"/>
      <c r="W768" s="235"/>
      <c r="X768" s="235"/>
      <c r="Y768" s="235"/>
      <c r="Z768" s="235"/>
    </row>
    <row r="769">
      <c r="A769" s="235"/>
      <c r="B769" s="293"/>
      <c r="C769" s="235"/>
      <c r="D769" s="235"/>
      <c r="E769" s="235"/>
      <c r="F769" s="235"/>
      <c r="G769" s="235"/>
      <c r="H769" s="235"/>
      <c r="I769" s="235"/>
      <c r="J769" s="235"/>
      <c r="K769" s="235"/>
      <c r="L769" s="235"/>
      <c r="M769" s="235"/>
      <c r="N769" s="235"/>
      <c r="O769" s="235"/>
      <c r="P769" s="235"/>
      <c r="Q769" s="292"/>
      <c r="R769" s="292"/>
      <c r="S769" s="235"/>
      <c r="T769" s="235"/>
      <c r="U769" s="235"/>
      <c r="V769" s="235"/>
      <c r="W769" s="235"/>
      <c r="X769" s="235"/>
      <c r="Y769" s="235"/>
      <c r="Z769" s="235"/>
    </row>
    <row r="770">
      <c r="A770" s="235"/>
      <c r="B770" s="293"/>
      <c r="C770" s="235"/>
      <c r="D770" s="235"/>
      <c r="E770" s="235"/>
      <c r="F770" s="235"/>
      <c r="G770" s="235"/>
      <c r="H770" s="235"/>
      <c r="I770" s="235"/>
      <c r="J770" s="235"/>
      <c r="K770" s="235"/>
      <c r="L770" s="235"/>
      <c r="M770" s="235"/>
      <c r="N770" s="235"/>
      <c r="O770" s="235"/>
      <c r="P770" s="235"/>
      <c r="Q770" s="292"/>
      <c r="R770" s="292"/>
      <c r="S770" s="235"/>
      <c r="T770" s="235"/>
      <c r="U770" s="235"/>
      <c r="V770" s="235"/>
      <c r="W770" s="235"/>
      <c r="X770" s="235"/>
      <c r="Y770" s="235"/>
      <c r="Z770" s="235"/>
    </row>
    <row r="771">
      <c r="A771" s="235"/>
      <c r="B771" s="293"/>
      <c r="C771" s="235"/>
      <c r="D771" s="235"/>
      <c r="E771" s="235"/>
      <c r="F771" s="235"/>
      <c r="G771" s="235"/>
      <c r="H771" s="235"/>
      <c r="I771" s="235"/>
      <c r="J771" s="235"/>
      <c r="K771" s="235"/>
      <c r="L771" s="235"/>
      <c r="M771" s="235"/>
      <c r="N771" s="235"/>
      <c r="O771" s="235"/>
      <c r="P771" s="235"/>
      <c r="Q771" s="292"/>
      <c r="R771" s="292"/>
      <c r="S771" s="235"/>
      <c r="T771" s="235"/>
      <c r="U771" s="235"/>
      <c r="V771" s="235"/>
      <c r="W771" s="235"/>
      <c r="X771" s="235"/>
      <c r="Y771" s="235"/>
      <c r="Z771" s="235"/>
    </row>
    <row r="772">
      <c r="A772" s="235"/>
      <c r="B772" s="293"/>
      <c r="C772" s="235"/>
      <c r="D772" s="235"/>
      <c r="E772" s="235"/>
      <c r="F772" s="235"/>
      <c r="G772" s="235"/>
      <c r="H772" s="235"/>
      <c r="I772" s="235"/>
      <c r="J772" s="235"/>
      <c r="K772" s="235"/>
      <c r="L772" s="235"/>
      <c r="M772" s="235"/>
      <c r="N772" s="235"/>
      <c r="O772" s="235"/>
      <c r="P772" s="235"/>
      <c r="Q772" s="292"/>
      <c r="R772" s="292"/>
      <c r="S772" s="235"/>
      <c r="T772" s="235"/>
      <c r="U772" s="235"/>
      <c r="V772" s="235"/>
      <c r="W772" s="235"/>
      <c r="X772" s="235"/>
      <c r="Y772" s="235"/>
      <c r="Z772" s="235"/>
    </row>
    <row r="773">
      <c r="A773" s="235"/>
      <c r="B773" s="293"/>
      <c r="C773" s="235"/>
      <c r="D773" s="235"/>
      <c r="E773" s="235"/>
      <c r="F773" s="235"/>
      <c r="G773" s="235"/>
      <c r="H773" s="235"/>
      <c r="I773" s="235"/>
      <c r="J773" s="235"/>
      <c r="K773" s="235"/>
      <c r="L773" s="235"/>
      <c r="M773" s="235"/>
      <c r="N773" s="235"/>
      <c r="O773" s="235"/>
      <c r="P773" s="235"/>
      <c r="Q773" s="292"/>
      <c r="R773" s="292"/>
      <c r="S773" s="235"/>
      <c r="T773" s="235"/>
      <c r="U773" s="235"/>
      <c r="V773" s="235"/>
      <c r="W773" s="235"/>
      <c r="X773" s="235"/>
      <c r="Y773" s="235"/>
      <c r="Z773" s="235"/>
    </row>
    <row r="774">
      <c r="A774" s="235"/>
      <c r="B774" s="293"/>
      <c r="C774" s="235"/>
      <c r="D774" s="235"/>
      <c r="E774" s="235"/>
      <c r="F774" s="235"/>
      <c r="G774" s="235"/>
      <c r="H774" s="235"/>
      <c r="I774" s="235"/>
      <c r="J774" s="235"/>
      <c r="K774" s="235"/>
      <c r="L774" s="235"/>
      <c r="M774" s="235"/>
      <c r="N774" s="235"/>
      <c r="O774" s="235"/>
      <c r="P774" s="235"/>
      <c r="Q774" s="292"/>
      <c r="R774" s="292"/>
      <c r="S774" s="235"/>
      <c r="T774" s="235"/>
      <c r="U774" s="235"/>
      <c r="V774" s="235"/>
      <c r="W774" s="235"/>
      <c r="X774" s="235"/>
      <c r="Y774" s="235"/>
      <c r="Z774" s="235"/>
    </row>
    <row r="775">
      <c r="A775" s="235"/>
      <c r="B775" s="293"/>
      <c r="C775" s="235"/>
      <c r="D775" s="235"/>
      <c r="E775" s="235"/>
      <c r="F775" s="235"/>
      <c r="G775" s="235"/>
      <c r="H775" s="235"/>
      <c r="I775" s="235"/>
      <c r="J775" s="235"/>
      <c r="K775" s="235"/>
      <c r="L775" s="235"/>
      <c r="M775" s="235"/>
      <c r="N775" s="235"/>
      <c r="O775" s="235"/>
      <c r="P775" s="235"/>
      <c r="Q775" s="292"/>
      <c r="R775" s="292"/>
      <c r="S775" s="235"/>
      <c r="T775" s="235"/>
      <c r="U775" s="235"/>
      <c r="V775" s="235"/>
      <c r="W775" s="235"/>
      <c r="X775" s="235"/>
      <c r="Y775" s="235"/>
      <c r="Z775" s="235"/>
    </row>
    <row r="776">
      <c r="A776" s="235"/>
      <c r="B776" s="293"/>
      <c r="C776" s="235"/>
      <c r="D776" s="235"/>
      <c r="E776" s="235"/>
      <c r="F776" s="235"/>
      <c r="G776" s="235"/>
      <c r="H776" s="235"/>
      <c r="I776" s="235"/>
      <c r="J776" s="235"/>
      <c r="K776" s="235"/>
      <c r="L776" s="235"/>
      <c r="M776" s="235"/>
      <c r="N776" s="235"/>
      <c r="O776" s="235"/>
      <c r="P776" s="235"/>
      <c r="Q776" s="292"/>
      <c r="R776" s="292"/>
      <c r="S776" s="235"/>
      <c r="T776" s="235"/>
      <c r="U776" s="235"/>
      <c r="V776" s="235"/>
      <c r="W776" s="235"/>
      <c r="X776" s="235"/>
      <c r="Y776" s="235"/>
      <c r="Z776" s="235"/>
    </row>
    <row r="777">
      <c r="A777" s="235"/>
      <c r="B777" s="293"/>
      <c r="C777" s="235"/>
      <c r="D777" s="235"/>
      <c r="E777" s="235"/>
      <c r="F777" s="235"/>
      <c r="G777" s="235"/>
      <c r="H777" s="235"/>
      <c r="I777" s="235"/>
      <c r="J777" s="235"/>
      <c r="K777" s="235"/>
      <c r="L777" s="235"/>
      <c r="M777" s="235"/>
      <c r="N777" s="235"/>
      <c r="O777" s="235"/>
      <c r="P777" s="235"/>
      <c r="Q777" s="292"/>
      <c r="R777" s="292"/>
      <c r="S777" s="235"/>
      <c r="T777" s="235"/>
      <c r="U777" s="235"/>
      <c r="V777" s="235"/>
      <c r="W777" s="235"/>
      <c r="X777" s="235"/>
      <c r="Y777" s="235"/>
      <c r="Z777" s="235"/>
    </row>
    <row r="778">
      <c r="A778" s="235"/>
      <c r="B778" s="293"/>
      <c r="C778" s="235"/>
      <c r="D778" s="235"/>
      <c r="E778" s="235"/>
      <c r="F778" s="235"/>
      <c r="G778" s="235"/>
      <c r="H778" s="235"/>
      <c r="I778" s="235"/>
      <c r="J778" s="235"/>
      <c r="K778" s="235"/>
      <c r="L778" s="235"/>
      <c r="M778" s="235"/>
      <c r="N778" s="235"/>
      <c r="O778" s="235"/>
      <c r="P778" s="235"/>
      <c r="Q778" s="292"/>
      <c r="R778" s="292"/>
      <c r="S778" s="235"/>
      <c r="T778" s="235"/>
      <c r="U778" s="235"/>
      <c r="V778" s="235"/>
      <c r="W778" s="235"/>
      <c r="X778" s="235"/>
      <c r="Y778" s="235"/>
      <c r="Z778" s="235"/>
    </row>
    <row r="779">
      <c r="A779" s="293"/>
      <c r="B779" s="294"/>
      <c r="C779" s="235"/>
      <c r="D779" s="235"/>
      <c r="E779" s="235"/>
      <c r="F779" s="235"/>
      <c r="G779" s="235"/>
      <c r="H779" s="235"/>
      <c r="I779" s="235"/>
      <c r="J779" s="164"/>
      <c r="K779" s="235"/>
      <c r="L779" s="235"/>
      <c r="M779" s="235"/>
      <c r="N779" s="164"/>
      <c r="O779" s="235"/>
      <c r="P779" s="235"/>
      <c r="Q779" s="292"/>
      <c r="R779" s="292"/>
      <c r="S779" s="235"/>
      <c r="T779" s="235"/>
      <c r="U779" s="235"/>
      <c r="V779" s="235"/>
      <c r="W779" s="235"/>
      <c r="X779" s="235"/>
      <c r="Y779" s="235"/>
      <c r="Z779" s="235"/>
    </row>
    <row r="780">
      <c r="A780" s="293"/>
      <c r="B780" s="294"/>
      <c r="C780" s="235"/>
      <c r="D780" s="235"/>
      <c r="E780" s="235"/>
      <c r="F780" s="235"/>
      <c r="G780" s="235"/>
      <c r="H780" s="235"/>
      <c r="I780" s="235"/>
      <c r="J780" s="164"/>
      <c r="K780" s="235"/>
      <c r="L780" s="235"/>
      <c r="M780" s="235"/>
      <c r="N780" s="164"/>
      <c r="O780" s="235"/>
      <c r="P780" s="235"/>
      <c r="Q780" s="292"/>
      <c r="R780" s="292"/>
      <c r="S780" s="235"/>
      <c r="T780" s="235"/>
      <c r="U780" s="235"/>
      <c r="V780" s="235"/>
      <c r="W780" s="235"/>
      <c r="X780" s="235"/>
      <c r="Y780" s="235"/>
      <c r="Z780" s="235"/>
    </row>
    <row r="781">
      <c r="A781" s="293"/>
      <c r="B781" s="294"/>
      <c r="C781" s="235"/>
      <c r="D781" s="235"/>
      <c r="E781" s="235"/>
      <c r="F781" s="235"/>
      <c r="G781" s="235"/>
      <c r="H781" s="235"/>
      <c r="I781" s="235"/>
      <c r="J781" s="164"/>
      <c r="K781" s="235"/>
      <c r="L781" s="235"/>
      <c r="M781" s="235"/>
      <c r="N781" s="164"/>
      <c r="O781" s="235"/>
      <c r="P781" s="235"/>
      <c r="Q781" s="292"/>
      <c r="R781" s="292"/>
      <c r="S781" s="235"/>
      <c r="T781" s="235"/>
      <c r="U781" s="235"/>
      <c r="V781" s="235"/>
      <c r="W781" s="235"/>
      <c r="X781" s="235"/>
      <c r="Y781" s="235"/>
      <c r="Z781" s="235"/>
    </row>
    <row r="782">
      <c r="A782" s="293"/>
      <c r="B782" s="294"/>
      <c r="C782" s="235"/>
      <c r="D782" s="235"/>
      <c r="E782" s="235"/>
      <c r="F782" s="235"/>
      <c r="G782" s="235"/>
      <c r="H782" s="235"/>
      <c r="I782" s="235"/>
      <c r="J782" s="164"/>
      <c r="K782" s="235"/>
      <c r="L782" s="235"/>
      <c r="M782" s="235"/>
      <c r="N782" s="164"/>
      <c r="O782" s="235"/>
      <c r="P782" s="235"/>
      <c r="Q782" s="292"/>
      <c r="R782" s="292"/>
      <c r="S782" s="235"/>
      <c r="T782" s="235"/>
      <c r="U782" s="235"/>
      <c r="V782" s="235"/>
      <c r="W782" s="235"/>
      <c r="X782" s="235"/>
      <c r="Y782" s="235"/>
      <c r="Z782" s="235"/>
    </row>
    <row r="783">
      <c r="A783" s="293"/>
      <c r="B783" s="294"/>
      <c r="C783" s="235"/>
      <c r="D783" s="235"/>
      <c r="E783" s="235"/>
      <c r="F783" s="235"/>
      <c r="G783" s="235"/>
      <c r="H783" s="235"/>
      <c r="I783" s="235"/>
      <c r="J783" s="164"/>
      <c r="K783" s="235"/>
      <c r="L783" s="235"/>
      <c r="M783" s="235"/>
      <c r="N783" s="164"/>
      <c r="O783" s="235"/>
      <c r="P783" s="235"/>
      <c r="Q783" s="292"/>
      <c r="R783" s="292"/>
      <c r="S783" s="235"/>
      <c r="T783" s="235"/>
      <c r="U783" s="235"/>
      <c r="V783" s="235"/>
      <c r="W783" s="235"/>
      <c r="X783" s="235"/>
      <c r="Y783" s="235"/>
      <c r="Z783" s="235"/>
    </row>
    <row r="784">
      <c r="A784" s="293"/>
      <c r="B784" s="294"/>
      <c r="C784" s="235"/>
      <c r="D784" s="235"/>
      <c r="E784" s="235"/>
      <c r="F784" s="235"/>
      <c r="G784" s="235"/>
      <c r="H784" s="235"/>
      <c r="I784" s="235"/>
      <c r="J784" s="164"/>
      <c r="K784" s="235"/>
      <c r="L784" s="235"/>
      <c r="M784" s="235"/>
      <c r="N784" s="164"/>
      <c r="O784" s="235"/>
      <c r="P784" s="235"/>
      <c r="Q784" s="292"/>
      <c r="R784" s="292"/>
      <c r="S784" s="235"/>
      <c r="T784" s="235"/>
      <c r="U784" s="235"/>
      <c r="V784" s="235"/>
      <c r="W784" s="235"/>
      <c r="X784" s="235"/>
      <c r="Y784" s="235"/>
      <c r="Z784" s="235"/>
    </row>
    <row r="785">
      <c r="A785" s="293"/>
      <c r="B785" s="294"/>
      <c r="C785" s="235"/>
      <c r="D785" s="235"/>
      <c r="E785" s="235"/>
      <c r="F785" s="235"/>
      <c r="G785" s="235"/>
      <c r="H785" s="235"/>
      <c r="I785" s="235"/>
      <c r="J785" s="164"/>
      <c r="K785" s="235"/>
      <c r="L785" s="235"/>
      <c r="M785" s="235"/>
      <c r="N785" s="164"/>
      <c r="O785" s="235"/>
      <c r="P785" s="235"/>
      <c r="Q785" s="292"/>
      <c r="R785" s="292"/>
      <c r="S785" s="235"/>
      <c r="T785" s="235"/>
      <c r="U785" s="235"/>
      <c r="V785" s="235"/>
      <c r="W785" s="235"/>
      <c r="X785" s="235"/>
      <c r="Y785" s="235"/>
      <c r="Z785" s="235"/>
    </row>
    <row r="786">
      <c r="A786" s="293"/>
      <c r="B786" s="294"/>
      <c r="C786" s="235"/>
      <c r="D786" s="235"/>
      <c r="E786" s="235"/>
      <c r="F786" s="235"/>
      <c r="G786" s="235"/>
      <c r="H786" s="235"/>
      <c r="I786" s="235"/>
      <c r="J786" s="164"/>
      <c r="K786" s="235"/>
      <c r="L786" s="235"/>
      <c r="M786" s="235"/>
      <c r="N786" s="164"/>
      <c r="O786" s="235"/>
      <c r="P786" s="235"/>
      <c r="Q786" s="292"/>
      <c r="R786" s="292"/>
      <c r="S786" s="235"/>
      <c r="T786" s="235"/>
      <c r="U786" s="235"/>
      <c r="V786" s="235"/>
      <c r="W786" s="235"/>
      <c r="X786" s="235"/>
      <c r="Y786" s="235"/>
      <c r="Z786" s="235"/>
    </row>
    <row r="787">
      <c r="A787" s="293"/>
      <c r="B787" s="294"/>
      <c r="C787" s="235"/>
      <c r="D787" s="235"/>
      <c r="E787" s="235"/>
      <c r="F787" s="235"/>
      <c r="G787" s="235"/>
      <c r="H787" s="235"/>
      <c r="I787" s="235"/>
      <c r="J787" s="164"/>
      <c r="K787" s="235"/>
      <c r="L787" s="235"/>
      <c r="M787" s="235"/>
      <c r="N787" s="164"/>
      <c r="O787" s="235"/>
      <c r="P787" s="235"/>
      <c r="Q787" s="292"/>
      <c r="R787" s="292"/>
      <c r="S787" s="235"/>
      <c r="T787" s="235"/>
      <c r="U787" s="235"/>
      <c r="V787" s="235"/>
      <c r="W787" s="235"/>
      <c r="X787" s="235"/>
      <c r="Y787" s="235"/>
      <c r="Z787" s="235"/>
    </row>
    <row r="788">
      <c r="A788" s="293"/>
      <c r="B788" s="294"/>
      <c r="C788" s="235"/>
      <c r="D788" s="235"/>
      <c r="E788" s="235"/>
      <c r="F788" s="235"/>
      <c r="G788" s="235"/>
      <c r="H788" s="235"/>
      <c r="I788" s="235"/>
      <c r="J788" s="164"/>
      <c r="K788" s="235"/>
      <c r="L788" s="235"/>
      <c r="M788" s="235"/>
      <c r="N788" s="164"/>
      <c r="O788" s="235"/>
      <c r="P788" s="235"/>
      <c r="Q788" s="292"/>
      <c r="R788" s="292"/>
      <c r="S788" s="235"/>
      <c r="T788" s="235"/>
      <c r="U788" s="235"/>
      <c r="V788" s="235"/>
      <c r="W788" s="235"/>
      <c r="X788" s="235"/>
      <c r="Y788" s="235"/>
      <c r="Z788" s="235"/>
    </row>
    <row r="789">
      <c r="A789" s="293"/>
      <c r="B789" s="294"/>
      <c r="C789" s="235"/>
      <c r="D789" s="235"/>
      <c r="E789" s="235"/>
      <c r="F789" s="235"/>
      <c r="G789" s="235"/>
      <c r="H789" s="235"/>
      <c r="I789" s="235"/>
      <c r="J789" s="164"/>
      <c r="K789" s="235"/>
      <c r="L789" s="235"/>
      <c r="M789" s="235"/>
      <c r="N789" s="164"/>
      <c r="O789" s="235"/>
      <c r="P789" s="235"/>
      <c r="Q789" s="292"/>
      <c r="R789" s="292"/>
      <c r="S789" s="235"/>
      <c r="T789" s="235"/>
      <c r="U789" s="235"/>
      <c r="V789" s="235"/>
      <c r="W789" s="235"/>
      <c r="X789" s="235"/>
      <c r="Y789" s="235"/>
      <c r="Z789" s="235"/>
    </row>
    <row r="790">
      <c r="A790" s="293"/>
      <c r="B790" s="294"/>
      <c r="C790" s="235"/>
      <c r="D790" s="235"/>
      <c r="E790" s="235"/>
      <c r="F790" s="235"/>
      <c r="G790" s="235"/>
      <c r="H790" s="235"/>
      <c r="I790" s="235"/>
      <c r="J790" s="164"/>
      <c r="K790" s="235"/>
      <c r="L790" s="235"/>
      <c r="M790" s="235"/>
      <c r="N790" s="164"/>
      <c r="O790" s="235"/>
      <c r="P790" s="235"/>
      <c r="Q790" s="292"/>
      <c r="R790" s="292"/>
      <c r="S790" s="235"/>
      <c r="T790" s="235"/>
      <c r="U790" s="235"/>
      <c r="V790" s="235"/>
      <c r="W790" s="235"/>
      <c r="X790" s="235"/>
      <c r="Y790" s="235"/>
      <c r="Z790" s="235"/>
    </row>
    <row r="791">
      <c r="A791" s="293"/>
      <c r="B791" s="294"/>
      <c r="C791" s="235"/>
      <c r="D791" s="235"/>
      <c r="E791" s="235"/>
      <c r="F791" s="235"/>
      <c r="G791" s="235"/>
      <c r="H791" s="235"/>
      <c r="I791" s="235"/>
      <c r="J791" s="164"/>
      <c r="K791" s="235"/>
      <c r="L791" s="235"/>
      <c r="M791" s="235"/>
      <c r="N791" s="164"/>
      <c r="O791" s="235"/>
      <c r="P791" s="235"/>
      <c r="Q791" s="292"/>
      <c r="R791" s="292"/>
      <c r="S791" s="235"/>
      <c r="T791" s="235"/>
      <c r="U791" s="235"/>
      <c r="V791" s="235"/>
      <c r="W791" s="235"/>
      <c r="X791" s="235"/>
      <c r="Y791" s="235"/>
      <c r="Z791" s="235"/>
    </row>
    <row r="792">
      <c r="A792" s="293"/>
      <c r="B792" s="294"/>
      <c r="C792" s="235"/>
      <c r="D792" s="235"/>
      <c r="E792" s="235"/>
      <c r="F792" s="235"/>
      <c r="G792" s="235"/>
      <c r="H792" s="235"/>
      <c r="I792" s="235"/>
      <c r="J792" s="164"/>
      <c r="K792" s="235"/>
      <c r="L792" s="235"/>
      <c r="M792" s="235"/>
      <c r="N792" s="164"/>
      <c r="O792" s="235"/>
      <c r="P792" s="235"/>
      <c r="Q792" s="292"/>
      <c r="R792" s="292"/>
      <c r="S792" s="235"/>
      <c r="T792" s="235"/>
      <c r="U792" s="235"/>
      <c r="V792" s="235"/>
      <c r="W792" s="235"/>
      <c r="X792" s="235"/>
      <c r="Y792" s="235"/>
      <c r="Z792" s="235"/>
    </row>
    <row r="793">
      <c r="A793" s="293"/>
      <c r="B793" s="294"/>
      <c r="C793" s="235"/>
      <c r="D793" s="235"/>
      <c r="E793" s="235"/>
      <c r="F793" s="235"/>
      <c r="G793" s="235"/>
      <c r="H793" s="235"/>
      <c r="I793" s="235"/>
      <c r="J793" s="164"/>
      <c r="K793" s="235"/>
      <c r="L793" s="235"/>
      <c r="M793" s="235"/>
      <c r="N793" s="164"/>
      <c r="O793" s="235"/>
      <c r="P793" s="235"/>
      <c r="Q793" s="292"/>
      <c r="R793" s="292"/>
      <c r="S793" s="235"/>
      <c r="T793" s="235"/>
      <c r="U793" s="235"/>
      <c r="V793" s="235"/>
      <c r="W793" s="235"/>
      <c r="X793" s="235"/>
      <c r="Y793" s="235"/>
      <c r="Z793" s="235"/>
    </row>
    <row r="794">
      <c r="A794" s="293"/>
      <c r="B794" s="294"/>
      <c r="C794" s="235"/>
      <c r="D794" s="235"/>
      <c r="E794" s="235"/>
      <c r="F794" s="235"/>
      <c r="G794" s="235"/>
      <c r="H794" s="235"/>
      <c r="I794" s="235"/>
      <c r="J794" s="164"/>
      <c r="K794" s="235"/>
      <c r="L794" s="235"/>
      <c r="M794" s="235"/>
      <c r="N794" s="164"/>
      <c r="O794" s="235"/>
      <c r="P794" s="235"/>
      <c r="Q794" s="292"/>
      <c r="R794" s="292"/>
      <c r="S794" s="235"/>
      <c r="T794" s="235"/>
      <c r="U794" s="235"/>
      <c r="V794" s="235"/>
      <c r="W794" s="235"/>
      <c r="X794" s="235"/>
      <c r="Y794" s="235"/>
      <c r="Z794" s="235"/>
    </row>
    <row r="795">
      <c r="A795" s="293"/>
      <c r="B795" s="294"/>
      <c r="C795" s="235"/>
      <c r="D795" s="235"/>
      <c r="E795" s="235"/>
      <c r="F795" s="235"/>
      <c r="G795" s="235"/>
      <c r="H795" s="235"/>
      <c r="I795" s="235"/>
      <c r="J795" s="164"/>
      <c r="K795" s="235"/>
      <c r="L795" s="235"/>
      <c r="M795" s="235"/>
      <c r="N795" s="164"/>
      <c r="O795" s="235"/>
      <c r="P795" s="235"/>
      <c r="Q795" s="292"/>
      <c r="R795" s="292"/>
      <c r="S795" s="235"/>
      <c r="T795" s="235"/>
      <c r="U795" s="235"/>
      <c r="V795" s="235"/>
      <c r="W795" s="235"/>
      <c r="X795" s="235"/>
      <c r="Y795" s="235"/>
      <c r="Z795" s="235"/>
    </row>
    <row r="796">
      <c r="A796" s="293"/>
      <c r="B796" s="294"/>
      <c r="C796" s="235"/>
      <c r="D796" s="235"/>
      <c r="E796" s="235"/>
      <c r="F796" s="235"/>
      <c r="G796" s="235"/>
      <c r="H796" s="235"/>
      <c r="I796" s="235"/>
      <c r="J796" s="164"/>
      <c r="K796" s="235"/>
      <c r="L796" s="235"/>
      <c r="M796" s="235"/>
      <c r="N796" s="164"/>
      <c r="O796" s="235"/>
      <c r="P796" s="235"/>
      <c r="Q796" s="292"/>
      <c r="R796" s="292"/>
      <c r="S796" s="235"/>
      <c r="T796" s="235"/>
      <c r="U796" s="235"/>
      <c r="V796" s="235"/>
      <c r="W796" s="235"/>
      <c r="X796" s="235"/>
      <c r="Y796" s="235"/>
      <c r="Z796" s="235"/>
    </row>
    <row r="797">
      <c r="A797" s="293"/>
      <c r="B797" s="294"/>
      <c r="C797" s="235"/>
      <c r="D797" s="235"/>
      <c r="E797" s="235"/>
      <c r="F797" s="235"/>
      <c r="G797" s="235"/>
      <c r="H797" s="235"/>
      <c r="I797" s="235"/>
      <c r="J797" s="164"/>
      <c r="K797" s="235"/>
      <c r="L797" s="235"/>
      <c r="M797" s="235"/>
      <c r="N797" s="164"/>
      <c r="O797" s="235"/>
      <c r="P797" s="235"/>
      <c r="Q797" s="292"/>
      <c r="R797" s="292"/>
      <c r="S797" s="235"/>
      <c r="T797" s="235"/>
      <c r="U797" s="235"/>
      <c r="V797" s="235"/>
      <c r="W797" s="235"/>
      <c r="X797" s="235"/>
      <c r="Y797" s="235"/>
      <c r="Z797" s="235"/>
    </row>
    <row r="798">
      <c r="A798" s="293"/>
      <c r="B798" s="294"/>
      <c r="C798" s="235"/>
      <c r="D798" s="235"/>
      <c r="E798" s="235"/>
      <c r="F798" s="235"/>
      <c r="G798" s="235"/>
      <c r="H798" s="235"/>
      <c r="I798" s="235"/>
      <c r="J798" s="164"/>
      <c r="K798" s="235"/>
      <c r="L798" s="235"/>
      <c r="M798" s="235"/>
      <c r="N798" s="164"/>
      <c r="O798" s="235"/>
      <c r="P798" s="235"/>
      <c r="Q798" s="292"/>
      <c r="R798" s="292"/>
      <c r="S798" s="235"/>
      <c r="T798" s="235"/>
      <c r="U798" s="235"/>
      <c r="V798" s="235"/>
      <c r="W798" s="235"/>
      <c r="X798" s="235"/>
      <c r="Y798" s="235"/>
      <c r="Z798" s="235"/>
    </row>
    <row r="799">
      <c r="A799" s="293"/>
      <c r="B799" s="294"/>
      <c r="C799" s="235"/>
      <c r="D799" s="235"/>
      <c r="E799" s="235"/>
      <c r="F799" s="235"/>
      <c r="G799" s="235"/>
      <c r="H799" s="235"/>
      <c r="I799" s="235"/>
      <c r="J799" s="164"/>
      <c r="K799" s="235"/>
      <c r="L799" s="235"/>
      <c r="M799" s="235"/>
      <c r="N799" s="164"/>
      <c r="O799" s="235"/>
      <c r="P799" s="235"/>
      <c r="Q799" s="292"/>
      <c r="R799" s="292"/>
      <c r="S799" s="235"/>
      <c r="T799" s="235"/>
      <c r="U799" s="235"/>
      <c r="V799" s="235"/>
      <c r="W799" s="235"/>
      <c r="X799" s="235"/>
      <c r="Y799" s="235"/>
      <c r="Z799" s="235"/>
    </row>
    <row r="800">
      <c r="A800" s="293"/>
      <c r="B800" s="294"/>
      <c r="C800" s="235"/>
      <c r="D800" s="235"/>
      <c r="E800" s="235"/>
      <c r="F800" s="235"/>
      <c r="G800" s="235"/>
      <c r="H800" s="235"/>
      <c r="I800" s="235"/>
      <c r="J800" s="164"/>
      <c r="K800" s="235"/>
      <c r="L800" s="235"/>
      <c r="M800" s="235"/>
      <c r="N800" s="164"/>
      <c r="O800" s="235"/>
      <c r="P800" s="235"/>
      <c r="Q800" s="292"/>
      <c r="R800" s="292"/>
      <c r="S800" s="235"/>
      <c r="T800" s="235"/>
      <c r="U800" s="235"/>
      <c r="V800" s="235"/>
      <c r="W800" s="235"/>
      <c r="X800" s="235"/>
      <c r="Y800" s="235"/>
      <c r="Z800" s="235"/>
    </row>
    <row r="801">
      <c r="A801" s="293"/>
      <c r="B801" s="294"/>
      <c r="C801" s="235"/>
      <c r="D801" s="235"/>
      <c r="E801" s="235"/>
      <c r="F801" s="235"/>
      <c r="G801" s="235"/>
      <c r="H801" s="235"/>
      <c r="I801" s="235"/>
      <c r="J801" s="164"/>
      <c r="K801" s="235"/>
      <c r="L801" s="235"/>
      <c r="M801" s="235"/>
      <c r="N801" s="164"/>
      <c r="O801" s="235"/>
      <c r="P801" s="235"/>
      <c r="Q801" s="292"/>
      <c r="R801" s="292"/>
      <c r="S801" s="235"/>
      <c r="T801" s="235"/>
      <c r="U801" s="235"/>
      <c r="V801" s="235"/>
      <c r="W801" s="235"/>
      <c r="X801" s="235"/>
      <c r="Y801" s="235"/>
      <c r="Z801" s="235"/>
    </row>
    <row r="802">
      <c r="A802" s="293"/>
      <c r="B802" s="294"/>
      <c r="C802" s="235"/>
      <c r="D802" s="235"/>
      <c r="E802" s="235"/>
      <c r="F802" s="235"/>
      <c r="G802" s="235"/>
      <c r="H802" s="235"/>
      <c r="I802" s="235"/>
      <c r="J802" s="164"/>
      <c r="K802" s="235"/>
      <c r="L802" s="235"/>
      <c r="M802" s="235"/>
      <c r="N802" s="164"/>
      <c r="O802" s="235"/>
      <c r="P802" s="235"/>
      <c r="Q802" s="292"/>
      <c r="R802" s="292"/>
      <c r="S802" s="235"/>
      <c r="T802" s="235"/>
      <c r="U802" s="235"/>
      <c r="V802" s="235"/>
      <c r="W802" s="235"/>
      <c r="X802" s="235"/>
      <c r="Y802" s="235"/>
      <c r="Z802" s="235"/>
    </row>
    <row r="803">
      <c r="A803" s="293"/>
      <c r="B803" s="294"/>
      <c r="C803" s="235"/>
      <c r="D803" s="235"/>
      <c r="E803" s="235"/>
      <c r="F803" s="235"/>
      <c r="G803" s="235"/>
      <c r="H803" s="235"/>
      <c r="I803" s="235"/>
      <c r="J803" s="164"/>
      <c r="K803" s="235"/>
      <c r="L803" s="235"/>
      <c r="M803" s="235"/>
      <c r="N803" s="164"/>
      <c r="O803" s="235"/>
      <c r="P803" s="235"/>
      <c r="Q803" s="292"/>
      <c r="R803" s="292"/>
      <c r="S803" s="235"/>
      <c r="T803" s="235"/>
      <c r="U803" s="235"/>
      <c r="V803" s="235"/>
      <c r="W803" s="235"/>
      <c r="X803" s="235"/>
      <c r="Y803" s="235"/>
      <c r="Z803" s="235"/>
    </row>
    <row r="804">
      <c r="A804" s="293"/>
      <c r="B804" s="294"/>
      <c r="C804" s="235"/>
      <c r="D804" s="235"/>
      <c r="E804" s="235"/>
      <c r="F804" s="235"/>
      <c r="G804" s="235"/>
      <c r="H804" s="235"/>
      <c r="I804" s="235"/>
      <c r="J804" s="164"/>
      <c r="K804" s="235"/>
      <c r="L804" s="235"/>
      <c r="M804" s="235"/>
      <c r="N804" s="164"/>
      <c r="O804" s="235"/>
      <c r="P804" s="235"/>
      <c r="Q804" s="292"/>
      <c r="R804" s="292"/>
      <c r="S804" s="235"/>
      <c r="T804" s="235"/>
      <c r="U804" s="235"/>
      <c r="V804" s="235"/>
      <c r="W804" s="235"/>
      <c r="X804" s="235"/>
      <c r="Y804" s="235"/>
      <c r="Z804" s="235"/>
    </row>
    <row r="805">
      <c r="A805" s="293"/>
      <c r="B805" s="294"/>
      <c r="C805" s="235"/>
      <c r="D805" s="235"/>
      <c r="E805" s="235"/>
      <c r="F805" s="235"/>
      <c r="G805" s="235"/>
      <c r="H805" s="235"/>
      <c r="I805" s="235"/>
      <c r="J805" s="164"/>
      <c r="K805" s="235"/>
      <c r="L805" s="235"/>
      <c r="M805" s="235"/>
      <c r="N805" s="164"/>
      <c r="O805" s="235"/>
      <c r="P805" s="235"/>
      <c r="Q805" s="292"/>
      <c r="R805" s="292"/>
      <c r="S805" s="235"/>
      <c r="T805" s="235"/>
      <c r="U805" s="235"/>
      <c r="V805" s="235"/>
      <c r="W805" s="235"/>
      <c r="X805" s="235"/>
      <c r="Y805" s="235"/>
      <c r="Z805" s="235"/>
    </row>
    <row r="806">
      <c r="A806" s="293"/>
      <c r="B806" s="294"/>
      <c r="C806" s="235"/>
      <c r="D806" s="235"/>
      <c r="E806" s="235"/>
      <c r="F806" s="235"/>
      <c r="G806" s="235"/>
      <c r="H806" s="235"/>
      <c r="I806" s="235"/>
      <c r="J806" s="164"/>
      <c r="K806" s="235"/>
      <c r="L806" s="235"/>
      <c r="M806" s="235"/>
      <c r="N806" s="164"/>
      <c r="O806" s="235"/>
      <c r="P806" s="235"/>
      <c r="Q806" s="292"/>
      <c r="R806" s="292"/>
      <c r="S806" s="235"/>
      <c r="T806" s="235"/>
      <c r="U806" s="235"/>
      <c r="V806" s="235"/>
      <c r="W806" s="235"/>
      <c r="X806" s="235"/>
      <c r="Y806" s="235"/>
      <c r="Z806" s="235"/>
    </row>
    <row r="807">
      <c r="A807" s="293"/>
      <c r="B807" s="294"/>
      <c r="C807" s="235"/>
      <c r="D807" s="235"/>
      <c r="E807" s="235"/>
      <c r="F807" s="235"/>
      <c r="G807" s="235"/>
      <c r="H807" s="235"/>
      <c r="I807" s="235"/>
      <c r="J807" s="164"/>
      <c r="K807" s="235"/>
      <c r="L807" s="235"/>
      <c r="M807" s="235"/>
      <c r="N807" s="164"/>
      <c r="O807" s="235"/>
      <c r="P807" s="235"/>
      <c r="Q807" s="292"/>
      <c r="R807" s="292"/>
      <c r="S807" s="235"/>
      <c r="T807" s="235"/>
      <c r="U807" s="235"/>
      <c r="V807" s="235"/>
      <c r="W807" s="235"/>
      <c r="X807" s="235"/>
      <c r="Y807" s="235"/>
      <c r="Z807" s="235"/>
    </row>
    <row r="808">
      <c r="A808" s="293"/>
      <c r="B808" s="294"/>
      <c r="C808" s="235"/>
      <c r="D808" s="235"/>
      <c r="E808" s="235"/>
      <c r="F808" s="235"/>
      <c r="G808" s="235"/>
      <c r="H808" s="235"/>
      <c r="I808" s="235"/>
      <c r="J808" s="164"/>
      <c r="K808" s="235"/>
      <c r="L808" s="235"/>
      <c r="M808" s="235"/>
      <c r="N808" s="164"/>
      <c r="O808" s="235"/>
      <c r="P808" s="235"/>
      <c r="Q808" s="292"/>
      <c r="R808" s="292"/>
      <c r="S808" s="235"/>
      <c r="T808" s="235"/>
      <c r="U808" s="235"/>
      <c r="V808" s="235"/>
      <c r="W808" s="235"/>
      <c r="X808" s="235"/>
      <c r="Y808" s="235"/>
      <c r="Z808" s="235"/>
    </row>
    <row r="809">
      <c r="A809" s="293"/>
      <c r="B809" s="294"/>
      <c r="C809" s="235"/>
      <c r="D809" s="235"/>
      <c r="E809" s="235"/>
      <c r="F809" s="235"/>
      <c r="G809" s="235"/>
      <c r="H809" s="235"/>
      <c r="I809" s="235"/>
      <c r="J809" s="164"/>
      <c r="K809" s="235"/>
      <c r="L809" s="235"/>
      <c r="M809" s="235"/>
      <c r="N809" s="164"/>
      <c r="O809" s="235"/>
      <c r="P809" s="235"/>
      <c r="Q809" s="292"/>
      <c r="R809" s="292"/>
      <c r="S809" s="235"/>
      <c r="T809" s="235"/>
      <c r="U809" s="235"/>
      <c r="V809" s="235"/>
      <c r="W809" s="235"/>
      <c r="X809" s="235"/>
      <c r="Y809" s="235"/>
      <c r="Z809" s="235"/>
    </row>
    <row r="810">
      <c r="A810" s="293"/>
      <c r="B810" s="294"/>
      <c r="C810" s="235"/>
      <c r="D810" s="235"/>
      <c r="E810" s="235"/>
      <c r="F810" s="235"/>
      <c r="G810" s="235"/>
      <c r="H810" s="235"/>
      <c r="I810" s="235"/>
      <c r="J810" s="164"/>
      <c r="K810" s="235"/>
      <c r="L810" s="235"/>
      <c r="M810" s="235"/>
      <c r="N810" s="164"/>
      <c r="O810" s="235"/>
      <c r="P810" s="235"/>
      <c r="Q810" s="292"/>
      <c r="R810" s="292"/>
      <c r="S810" s="235"/>
      <c r="T810" s="235"/>
      <c r="U810" s="235"/>
      <c r="V810" s="235"/>
      <c r="W810" s="235"/>
      <c r="X810" s="235"/>
      <c r="Y810" s="235"/>
      <c r="Z810" s="235"/>
    </row>
    <row r="811">
      <c r="A811" s="293"/>
      <c r="B811" s="294"/>
      <c r="C811" s="235"/>
      <c r="D811" s="235"/>
      <c r="E811" s="235"/>
      <c r="F811" s="235"/>
      <c r="G811" s="235"/>
      <c r="H811" s="235"/>
      <c r="I811" s="235"/>
      <c r="J811" s="164"/>
      <c r="K811" s="235"/>
      <c r="L811" s="235"/>
      <c r="M811" s="235"/>
      <c r="N811" s="164"/>
      <c r="O811" s="235"/>
      <c r="P811" s="235"/>
      <c r="Q811" s="292"/>
      <c r="R811" s="292"/>
      <c r="S811" s="235"/>
      <c r="T811" s="235"/>
      <c r="U811" s="235"/>
      <c r="V811" s="235"/>
      <c r="W811" s="235"/>
      <c r="X811" s="235"/>
      <c r="Y811" s="235"/>
      <c r="Z811" s="235"/>
    </row>
    <row r="812">
      <c r="A812" s="293"/>
      <c r="B812" s="294"/>
      <c r="C812" s="235"/>
      <c r="D812" s="235"/>
      <c r="E812" s="235"/>
      <c r="F812" s="235"/>
      <c r="G812" s="235"/>
      <c r="H812" s="235"/>
      <c r="I812" s="235"/>
      <c r="J812" s="164"/>
      <c r="K812" s="235"/>
      <c r="L812" s="235"/>
      <c r="M812" s="235"/>
      <c r="N812" s="164"/>
      <c r="O812" s="235"/>
      <c r="P812" s="235"/>
      <c r="Q812" s="292"/>
      <c r="R812" s="292"/>
      <c r="S812" s="235"/>
      <c r="T812" s="235"/>
      <c r="U812" s="235"/>
      <c r="V812" s="235"/>
      <c r="W812" s="235"/>
      <c r="X812" s="235"/>
      <c r="Y812" s="235"/>
      <c r="Z812" s="235"/>
    </row>
    <row r="813">
      <c r="A813" s="293"/>
      <c r="B813" s="294"/>
      <c r="C813" s="235"/>
      <c r="D813" s="235"/>
      <c r="E813" s="235"/>
      <c r="F813" s="235"/>
      <c r="G813" s="235"/>
      <c r="H813" s="235"/>
      <c r="I813" s="235"/>
      <c r="J813" s="164"/>
      <c r="K813" s="235"/>
      <c r="L813" s="235"/>
      <c r="M813" s="235"/>
      <c r="N813" s="164"/>
      <c r="O813" s="235"/>
      <c r="P813" s="235"/>
      <c r="Q813" s="292"/>
      <c r="R813" s="292"/>
      <c r="S813" s="235"/>
      <c r="T813" s="235"/>
      <c r="U813" s="235"/>
      <c r="V813" s="235"/>
      <c r="W813" s="235"/>
      <c r="X813" s="235"/>
      <c r="Y813" s="235"/>
      <c r="Z813" s="235"/>
    </row>
    <row r="814">
      <c r="A814" s="293"/>
      <c r="B814" s="294"/>
      <c r="C814" s="235"/>
      <c r="D814" s="235"/>
      <c r="E814" s="235"/>
      <c r="F814" s="235"/>
      <c r="G814" s="235"/>
      <c r="H814" s="235"/>
      <c r="I814" s="235"/>
      <c r="J814" s="164"/>
      <c r="K814" s="235"/>
      <c r="L814" s="235"/>
      <c r="M814" s="235"/>
      <c r="N814" s="164"/>
      <c r="O814" s="235"/>
      <c r="P814" s="235"/>
      <c r="Q814" s="292"/>
      <c r="R814" s="292"/>
      <c r="S814" s="235"/>
      <c r="T814" s="235"/>
      <c r="U814" s="235"/>
      <c r="V814" s="235"/>
      <c r="W814" s="235"/>
      <c r="X814" s="235"/>
      <c r="Y814" s="235"/>
      <c r="Z814" s="235"/>
    </row>
    <row r="815">
      <c r="A815" s="293"/>
      <c r="B815" s="294"/>
      <c r="C815" s="235"/>
      <c r="D815" s="235"/>
      <c r="E815" s="235"/>
      <c r="F815" s="235"/>
      <c r="G815" s="235"/>
      <c r="H815" s="235"/>
      <c r="I815" s="235"/>
      <c r="J815" s="164"/>
      <c r="K815" s="235"/>
      <c r="L815" s="235"/>
      <c r="M815" s="235"/>
      <c r="N815" s="164"/>
      <c r="O815" s="235"/>
      <c r="P815" s="235"/>
      <c r="Q815" s="292"/>
      <c r="R815" s="292"/>
      <c r="S815" s="235"/>
      <c r="T815" s="235"/>
      <c r="U815" s="235"/>
      <c r="V815" s="235"/>
      <c r="W815" s="235"/>
      <c r="X815" s="235"/>
      <c r="Y815" s="235"/>
      <c r="Z815" s="235"/>
    </row>
    <row r="816">
      <c r="A816" s="293"/>
      <c r="B816" s="294"/>
      <c r="C816" s="235"/>
      <c r="D816" s="235"/>
      <c r="E816" s="235"/>
      <c r="F816" s="235"/>
      <c r="G816" s="235"/>
      <c r="H816" s="235"/>
      <c r="I816" s="235"/>
      <c r="J816" s="164"/>
      <c r="K816" s="235"/>
      <c r="L816" s="235"/>
      <c r="M816" s="235"/>
      <c r="N816" s="164"/>
      <c r="O816" s="235"/>
      <c r="P816" s="235"/>
      <c r="Q816" s="292"/>
      <c r="R816" s="292"/>
      <c r="S816" s="235"/>
      <c r="T816" s="235"/>
      <c r="U816" s="235"/>
      <c r="V816" s="235"/>
      <c r="W816" s="235"/>
      <c r="X816" s="235"/>
      <c r="Y816" s="235"/>
      <c r="Z816" s="235"/>
    </row>
    <row r="817">
      <c r="A817" s="293"/>
      <c r="B817" s="294"/>
      <c r="C817" s="235"/>
      <c r="D817" s="235"/>
      <c r="E817" s="235"/>
      <c r="F817" s="235"/>
      <c r="G817" s="235"/>
      <c r="H817" s="235"/>
      <c r="I817" s="235"/>
      <c r="J817" s="164"/>
      <c r="K817" s="235"/>
      <c r="L817" s="235"/>
      <c r="M817" s="235"/>
      <c r="N817" s="164"/>
      <c r="O817" s="235"/>
      <c r="P817" s="235"/>
      <c r="Q817" s="292"/>
      <c r="R817" s="292"/>
      <c r="S817" s="235"/>
      <c r="T817" s="235"/>
      <c r="U817" s="235"/>
      <c r="V817" s="235"/>
      <c r="W817" s="235"/>
      <c r="X817" s="235"/>
      <c r="Y817" s="235"/>
      <c r="Z817" s="235"/>
    </row>
    <row r="818">
      <c r="A818" s="293"/>
      <c r="B818" s="294"/>
      <c r="C818" s="235"/>
      <c r="D818" s="235"/>
      <c r="E818" s="235"/>
      <c r="F818" s="235"/>
      <c r="G818" s="235"/>
      <c r="H818" s="235"/>
      <c r="I818" s="235"/>
      <c r="J818" s="164"/>
      <c r="K818" s="235"/>
      <c r="L818" s="235"/>
      <c r="M818" s="235"/>
      <c r="N818" s="164"/>
      <c r="O818" s="235"/>
      <c r="P818" s="235"/>
      <c r="Q818" s="292"/>
      <c r="R818" s="292"/>
      <c r="S818" s="235"/>
      <c r="T818" s="235"/>
      <c r="U818" s="235"/>
      <c r="V818" s="235"/>
      <c r="W818" s="235"/>
      <c r="X818" s="235"/>
      <c r="Y818" s="235"/>
      <c r="Z818" s="235"/>
    </row>
    <row r="819">
      <c r="A819" s="293"/>
      <c r="B819" s="294"/>
      <c r="C819" s="235"/>
      <c r="D819" s="235"/>
      <c r="E819" s="235"/>
      <c r="F819" s="235"/>
      <c r="G819" s="235"/>
      <c r="H819" s="235"/>
      <c r="I819" s="235"/>
      <c r="J819" s="164"/>
      <c r="K819" s="235"/>
      <c r="L819" s="235"/>
      <c r="M819" s="235"/>
      <c r="N819" s="164"/>
      <c r="O819" s="235"/>
      <c r="P819" s="235"/>
      <c r="Q819" s="292"/>
      <c r="R819" s="292"/>
      <c r="S819" s="235"/>
      <c r="T819" s="235"/>
      <c r="U819" s="235"/>
      <c r="V819" s="235"/>
      <c r="W819" s="235"/>
      <c r="X819" s="235"/>
      <c r="Y819" s="235"/>
      <c r="Z819" s="235"/>
    </row>
    <row r="820">
      <c r="A820" s="293"/>
      <c r="B820" s="294"/>
      <c r="C820" s="235"/>
      <c r="D820" s="235"/>
      <c r="E820" s="235"/>
      <c r="F820" s="235"/>
      <c r="G820" s="235"/>
      <c r="H820" s="235"/>
      <c r="I820" s="235"/>
      <c r="J820" s="164"/>
      <c r="K820" s="235"/>
      <c r="L820" s="235"/>
      <c r="M820" s="235"/>
      <c r="N820" s="164"/>
      <c r="O820" s="235"/>
      <c r="P820" s="235"/>
      <c r="Q820" s="292"/>
      <c r="R820" s="292"/>
      <c r="S820" s="235"/>
      <c r="T820" s="235"/>
      <c r="U820" s="235"/>
      <c r="V820" s="235"/>
      <c r="W820" s="235"/>
      <c r="X820" s="235"/>
      <c r="Y820" s="235"/>
      <c r="Z820" s="235"/>
    </row>
    <row r="821">
      <c r="A821" s="293"/>
      <c r="B821" s="294"/>
      <c r="C821" s="235"/>
      <c r="D821" s="235"/>
      <c r="E821" s="235"/>
      <c r="F821" s="235"/>
      <c r="G821" s="235"/>
      <c r="H821" s="235"/>
      <c r="I821" s="235"/>
      <c r="J821" s="164"/>
      <c r="K821" s="235"/>
      <c r="L821" s="235"/>
      <c r="M821" s="235"/>
      <c r="N821" s="164"/>
      <c r="O821" s="235"/>
      <c r="P821" s="235"/>
      <c r="Q821" s="292"/>
      <c r="R821" s="292"/>
      <c r="S821" s="235"/>
      <c r="T821" s="235"/>
      <c r="U821" s="235"/>
      <c r="V821" s="235"/>
      <c r="W821" s="235"/>
      <c r="X821" s="235"/>
      <c r="Y821" s="235"/>
      <c r="Z821" s="235"/>
    </row>
    <row r="822">
      <c r="A822" s="293"/>
      <c r="B822" s="294"/>
      <c r="C822" s="235"/>
      <c r="D822" s="235"/>
      <c r="E822" s="235"/>
      <c r="F822" s="235"/>
      <c r="G822" s="235"/>
      <c r="H822" s="235"/>
      <c r="I822" s="235"/>
      <c r="J822" s="164"/>
      <c r="K822" s="235"/>
      <c r="L822" s="235"/>
      <c r="M822" s="235"/>
      <c r="N822" s="164"/>
      <c r="O822" s="235"/>
      <c r="P822" s="235"/>
      <c r="Q822" s="292"/>
      <c r="R822" s="292"/>
      <c r="S822" s="235"/>
      <c r="T822" s="235"/>
      <c r="U822" s="235"/>
      <c r="V822" s="235"/>
      <c r="W822" s="235"/>
      <c r="X822" s="235"/>
      <c r="Y822" s="235"/>
      <c r="Z822" s="235"/>
    </row>
    <row r="823">
      <c r="A823" s="293"/>
      <c r="B823" s="294"/>
      <c r="C823" s="235"/>
      <c r="D823" s="235"/>
      <c r="E823" s="235"/>
      <c r="F823" s="235"/>
      <c r="G823" s="235"/>
      <c r="H823" s="235"/>
      <c r="I823" s="235"/>
      <c r="J823" s="164"/>
      <c r="K823" s="235"/>
      <c r="L823" s="235"/>
      <c r="M823" s="235"/>
      <c r="N823" s="164"/>
      <c r="O823" s="235"/>
      <c r="P823" s="235"/>
      <c r="Q823" s="292"/>
      <c r="R823" s="292"/>
      <c r="S823" s="235"/>
      <c r="T823" s="235"/>
      <c r="U823" s="235"/>
      <c r="V823" s="235"/>
      <c r="W823" s="235"/>
      <c r="X823" s="235"/>
      <c r="Y823" s="235"/>
      <c r="Z823" s="235"/>
    </row>
    <row r="824">
      <c r="A824" s="293"/>
      <c r="B824" s="294"/>
      <c r="C824" s="235"/>
      <c r="D824" s="235"/>
      <c r="E824" s="235"/>
      <c r="F824" s="235"/>
      <c r="G824" s="235"/>
      <c r="H824" s="235"/>
      <c r="I824" s="235"/>
      <c r="J824" s="164"/>
      <c r="K824" s="235"/>
      <c r="L824" s="235"/>
      <c r="M824" s="235"/>
      <c r="N824" s="164"/>
      <c r="O824" s="235"/>
      <c r="P824" s="235"/>
      <c r="Q824" s="292"/>
      <c r="R824" s="292"/>
      <c r="S824" s="235"/>
      <c r="T824" s="235"/>
      <c r="U824" s="235"/>
      <c r="V824" s="235"/>
      <c r="W824" s="235"/>
      <c r="X824" s="235"/>
      <c r="Y824" s="235"/>
      <c r="Z824" s="235"/>
    </row>
    <row r="825">
      <c r="A825" s="293"/>
      <c r="B825" s="294"/>
      <c r="C825" s="235"/>
      <c r="D825" s="235"/>
      <c r="E825" s="235"/>
      <c r="F825" s="235"/>
      <c r="G825" s="235"/>
      <c r="H825" s="235"/>
      <c r="I825" s="235"/>
      <c r="J825" s="164"/>
      <c r="K825" s="235"/>
      <c r="L825" s="235"/>
      <c r="M825" s="235"/>
      <c r="N825" s="164"/>
      <c r="O825" s="235"/>
      <c r="P825" s="235"/>
      <c r="Q825" s="292"/>
      <c r="R825" s="292"/>
      <c r="S825" s="235"/>
      <c r="T825" s="235"/>
      <c r="U825" s="235"/>
      <c r="V825" s="235"/>
      <c r="W825" s="235"/>
      <c r="X825" s="235"/>
      <c r="Y825" s="235"/>
      <c r="Z825" s="235"/>
    </row>
    <row r="826">
      <c r="A826" s="293"/>
      <c r="B826" s="294"/>
      <c r="C826" s="235"/>
      <c r="D826" s="235"/>
      <c r="E826" s="235"/>
      <c r="F826" s="235"/>
      <c r="G826" s="235"/>
      <c r="H826" s="235"/>
      <c r="I826" s="235"/>
      <c r="J826" s="164"/>
      <c r="K826" s="235"/>
      <c r="L826" s="235"/>
      <c r="M826" s="235"/>
      <c r="N826" s="164"/>
      <c r="O826" s="235"/>
      <c r="P826" s="235"/>
      <c r="Q826" s="292"/>
      <c r="R826" s="292"/>
      <c r="S826" s="235"/>
      <c r="T826" s="235"/>
      <c r="U826" s="235"/>
      <c r="V826" s="235"/>
      <c r="W826" s="235"/>
      <c r="X826" s="235"/>
      <c r="Y826" s="235"/>
      <c r="Z826" s="235"/>
    </row>
    <row r="827">
      <c r="A827" s="293"/>
      <c r="B827" s="294"/>
      <c r="C827" s="235"/>
      <c r="D827" s="235"/>
      <c r="E827" s="235"/>
      <c r="F827" s="235"/>
      <c r="G827" s="235"/>
      <c r="H827" s="235"/>
      <c r="I827" s="235"/>
      <c r="J827" s="164"/>
      <c r="K827" s="235"/>
      <c r="L827" s="235"/>
      <c r="M827" s="235"/>
      <c r="N827" s="164"/>
      <c r="O827" s="235"/>
      <c r="P827" s="235"/>
      <c r="Q827" s="292"/>
      <c r="R827" s="292"/>
      <c r="S827" s="235"/>
      <c r="T827" s="235"/>
      <c r="U827" s="235"/>
      <c r="V827" s="235"/>
      <c r="W827" s="235"/>
      <c r="X827" s="235"/>
      <c r="Y827" s="235"/>
      <c r="Z827" s="235"/>
    </row>
    <row r="828">
      <c r="A828" s="293"/>
      <c r="B828" s="294"/>
      <c r="C828" s="235"/>
      <c r="D828" s="235"/>
      <c r="E828" s="235"/>
      <c r="F828" s="235"/>
      <c r="G828" s="235"/>
      <c r="H828" s="235"/>
      <c r="I828" s="235"/>
      <c r="J828" s="164"/>
      <c r="K828" s="235"/>
      <c r="L828" s="235"/>
      <c r="M828" s="235"/>
      <c r="N828" s="164"/>
      <c r="O828" s="235"/>
      <c r="P828" s="235"/>
      <c r="Q828" s="292"/>
      <c r="R828" s="292"/>
      <c r="S828" s="235"/>
      <c r="T828" s="235"/>
      <c r="U828" s="235"/>
      <c r="V828" s="235"/>
      <c r="W828" s="235"/>
      <c r="X828" s="235"/>
      <c r="Y828" s="235"/>
      <c r="Z828" s="235"/>
    </row>
    <row r="829">
      <c r="A829" s="293"/>
      <c r="B829" s="294"/>
      <c r="C829" s="235"/>
      <c r="D829" s="235"/>
      <c r="E829" s="235"/>
      <c r="F829" s="235"/>
      <c r="G829" s="235"/>
      <c r="H829" s="235"/>
      <c r="I829" s="235"/>
      <c r="J829" s="164"/>
      <c r="K829" s="235"/>
      <c r="L829" s="235"/>
      <c r="M829" s="235"/>
      <c r="N829" s="164"/>
      <c r="O829" s="235"/>
      <c r="P829" s="235"/>
      <c r="Q829" s="292"/>
      <c r="R829" s="292"/>
      <c r="S829" s="235"/>
      <c r="T829" s="235"/>
      <c r="U829" s="235"/>
      <c r="V829" s="235"/>
      <c r="W829" s="235"/>
      <c r="X829" s="235"/>
      <c r="Y829" s="235"/>
      <c r="Z829" s="235"/>
    </row>
    <row r="830">
      <c r="A830" s="293"/>
      <c r="B830" s="294"/>
      <c r="C830" s="235"/>
      <c r="D830" s="235"/>
      <c r="E830" s="235"/>
      <c r="F830" s="235"/>
      <c r="G830" s="235"/>
      <c r="H830" s="235"/>
      <c r="I830" s="235"/>
      <c r="J830" s="164"/>
      <c r="K830" s="235"/>
      <c r="L830" s="235"/>
      <c r="M830" s="235"/>
      <c r="N830" s="164"/>
      <c r="O830" s="235"/>
      <c r="P830" s="235"/>
      <c r="Q830" s="292"/>
      <c r="R830" s="292"/>
      <c r="S830" s="235"/>
      <c r="T830" s="235"/>
      <c r="U830" s="235"/>
      <c r="V830" s="235"/>
      <c r="W830" s="235"/>
      <c r="X830" s="235"/>
      <c r="Y830" s="235"/>
      <c r="Z830" s="235"/>
    </row>
    <row r="831">
      <c r="A831" s="293"/>
      <c r="B831" s="294"/>
      <c r="C831" s="235"/>
      <c r="D831" s="235"/>
      <c r="E831" s="235"/>
      <c r="F831" s="235"/>
      <c r="G831" s="235"/>
      <c r="H831" s="235"/>
      <c r="I831" s="235"/>
      <c r="J831" s="164"/>
      <c r="K831" s="235"/>
      <c r="L831" s="235"/>
      <c r="M831" s="235"/>
      <c r="N831" s="164"/>
      <c r="O831" s="235"/>
      <c r="P831" s="235"/>
      <c r="Q831" s="292"/>
      <c r="R831" s="292"/>
      <c r="S831" s="235"/>
      <c r="T831" s="235"/>
      <c r="U831" s="235"/>
      <c r="V831" s="235"/>
      <c r="W831" s="235"/>
      <c r="X831" s="235"/>
      <c r="Y831" s="235"/>
      <c r="Z831" s="235"/>
    </row>
    <row r="832">
      <c r="A832" s="293"/>
      <c r="B832" s="294"/>
      <c r="C832" s="235"/>
      <c r="D832" s="235"/>
      <c r="E832" s="235"/>
      <c r="F832" s="235"/>
      <c r="G832" s="235"/>
      <c r="H832" s="235"/>
      <c r="I832" s="235"/>
      <c r="J832" s="164"/>
      <c r="K832" s="235"/>
      <c r="L832" s="235"/>
      <c r="M832" s="235"/>
      <c r="N832" s="164"/>
      <c r="O832" s="235"/>
      <c r="P832" s="235"/>
      <c r="Q832" s="292"/>
      <c r="R832" s="292"/>
      <c r="S832" s="235"/>
      <c r="T832" s="235"/>
      <c r="U832" s="235"/>
      <c r="V832" s="235"/>
      <c r="W832" s="235"/>
      <c r="X832" s="235"/>
      <c r="Y832" s="235"/>
      <c r="Z832" s="235"/>
    </row>
    <row r="833">
      <c r="A833" s="293"/>
      <c r="B833" s="294"/>
      <c r="C833" s="235"/>
      <c r="D833" s="235"/>
      <c r="E833" s="235"/>
      <c r="F833" s="235"/>
      <c r="G833" s="235"/>
      <c r="H833" s="235"/>
      <c r="I833" s="235"/>
      <c r="J833" s="164"/>
      <c r="K833" s="235"/>
      <c r="L833" s="235"/>
      <c r="M833" s="235"/>
      <c r="N833" s="164"/>
      <c r="O833" s="235"/>
      <c r="P833" s="235"/>
      <c r="Q833" s="292"/>
      <c r="R833" s="292"/>
      <c r="S833" s="235"/>
      <c r="T833" s="235"/>
      <c r="U833" s="235"/>
      <c r="V833" s="235"/>
      <c r="W833" s="235"/>
      <c r="X833" s="235"/>
      <c r="Y833" s="235"/>
      <c r="Z833" s="235"/>
    </row>
    <row r="834">
      <c r="A834" s="293"/>
      <c r="B834" s="294"/>
      <c r="C834" s="235"/>
      <c r="D834" s="235"/>
      <c r="E834" s="235"/>
      <c r="F834" s="235"/>
      <c r="G834" s="235"/>
      <c r="H834" s="235"/>
      <c r="I834" s="235"/>
      <c r="J834" s="164"/>
      <c r="K834" s="235"/>
      <c r="L834" s="235"/>
      <c r="M834" s="235"/>
      <c r="N834" s="164"/>
      <c r="O834" s="235"/>
      <c r="P834" s="235"/>
      <c r="Q834" s="292"/>
      <c r="R834" s="292"/>
      <c r="S834" s="235"/>
      <c r="T834" s="235"/>
      <c r="U834" s="235"/>
      <c r="V834" s="235"/>
      <c r="W834" s="235"/>
      <c r="X834" s="235"/>
      <c r="Y834" s="235"/>
      <c r="Z834" s="235"/>
    </row>
    <row r="835">
      <c r="A835" s="293"/>
      <c r="B835" s="294"/>
      <c r="C835" s="235"/>
      <c r="D835" s="235"/>
      <c r="E835" s="235"/>
      <c r="F835" s="235"/>
      <c r="G835" s="235"/>
      <c r="H835" s="235"/>
      <c r="I835" s="235"/>
      <c r="J835" s="164"/>
      <c r="K835" s="235"/>
      <c r="L835" s="235"/>
      <c r="M835" s="235"/>
      <c r="N835" s="164"/>
      <c r="O835" s="235"/>
      <c r="P835" s="235"/>
      <c r="Q835" s="292"/>
      <c r="R835" s="292"/>
      <c r="S835" s="235"/>
      <c r="T835" s="235"/>
      <c r="U835" s="235"/>
      <c r="V835" s="235"/>
      <c r="W835" s="235"/>
      <c r="X835" s="235"/>
      <c r="Y835" s="235"/>
      <c r="Z835" s="235"/>
    </row>
    <row r="836">
      <c r="A836" s="293"/>
      <c r="B836" s="294"/>
      <c r="C836" s="235"/>
      <c r="D836" s="235"/>
      <c r="E836" s="235"/>
      <c r="F836" s="235"/>
      <c r="G836" s="235"/>
      <c r="H836" s="235"/>
      <c r="I836" s="235"/>
      <c r="J836" s="164"/>
      <c r="K836" s="235"/>
      <c r="L836" s="235"/>
      <c r="M836" s="235"/>
      <c r="N836" s="164"/>
      <c r="O836" s="235"/>
      <c r="P836" s="235"/>
      <c r="Q836" s="292"/>
      <c r="R836" s="292"/>
      <c r="S836" s="235"/>
      <c r="T836" s="235"/>
      <c r="U836" s="235"/>
      <c r="V836" s="235"/>
      <c r="W836" s="235"/>
      <c r="X836" s="235"/>
      <c r="Y836" s="235"/>
      <c r="Z836" s="235"/>
    </row>
    <row r="837">
      <c r="A837" s="293"/>
      <c r="B837" s="294"/>
      <c r="C837" s="235"/>
      <c r="D837" s="235"/>
      <c r="E837" s="235"/>
      <c r="F837" s="235"/>
      <c r="G837" s="235"/>
      <c r="H837" s="235"/>
      <c r="I837" s="235"/>
      <c r="J837" s="164"/>
      <c r="K837" s="235"/>
      <c r="L837" s="235"/>
      <c r="M837" s="235"/>
      <c r="N837" s="164"/>
      <c r="O837" s="235"/>
      <c r="P837" s="235"/>
      <c r="Q837" s="292"/>
      <c r="R837" s="292"/>
      <c r="S837" s="235"/>
      <c r="T837" s="235"/>
      <c r="U837" s="235"/>
      <c r="V837" s="235"/>
      <c r="W837" s="235"/>
      <c r="X837" s="235"/>
      <c r="Y837" s="235"/>
      <c r="Z837" s="235"/>
    </row>
    <row r="838">
      <c r="A838" s="293"/>
      <c r="B838" s="294"/>
      <c r="C838" s="235"/>
      <c r="D838" s="235"/>
      <c r="E838" s="235"/>
      <c r="F838" s="235"/>
      <c r="G838" s="235"/>
      <c r="H838" s="235"/>
      <c r="I838" s="235"/>
      <c r="J838" s="164"/>
      <c r="K838" s="235"/>
      <c r="L838" s="235"/>
      <c r="M838" s="235"/>
      <c r="N838" s="164"/>
      <c r="O838" s="235"/>
      <c r="P838" s="235"/>
      <c r="Q838" s="292"/>
      <c r="R838" s="292"/>
      <c r="S838" s="235"/>
      <c r="T838" s="235"/>
      <c r="U838" s="235"/>
      <c r="V838" s="235"/>
      <c r="W838" s="235"/>
      <c r="X838" s="235"/>
      <c r="Y838" s="235"/>
      <c r="Z838" s="235"/>
    </row>
    <row r="839">
      <c r="A839" s="293"/>
      <c r="B839" s="294"/>
      <c r="C839" s="235"/>
      <c r="D839" s="235"/>
      <c r="E839" s="235"/>
      <c r="F839" s="235"/>
      <c r="G839" s="235"/>
      <c r="H839" s="235"/>
      <c r="I839" s="235"/>
      <c r="J839" s="164"/>
      <c r="K839" s="235"/>
      <c r="L839" s="235"/>
      <c r="M839" s="235"/>
      <c r="N839" s="164"/>
      <c r="O839" s="235"/>
      <c r="P839" s="235"/>
      <c r="Q839" s="292"/>
      <c r="R839" s="292"/>
      <c r="S839" s="235"/>
      <c r="T839" s="235"/>
      <c r="U839" s="235"/>
      <c r="V839" s="235"/>
      <c r="W839" s="235"/>
      <c r="X839" s="235"/>
      <c r="Y839" s="235"/>
      <c r="Z839" s="235"/>
    </row>
    <row r="840">
      <c r="A840" s="293"/>
      <c r="B840" s="294"/>
      <c r="C840" s="235"/>
      <c r="D840" s="235"/>
      <c r="E840" s="235"/>
      <c r="F840" s="235"/>
      <c r="G840" s="235"/>
      <c r="H840" s="235"/>
      <c r="I840" s="235"/>
      <c r="J840" s="164"/>
      <c r="K840" s="235"/>
      <c r="L840" s="235"/>
      <c r="M840" s="235"/>
      <c r="N840" s="164"/>
      <c r="O840" s="235"/>
      <c r="P840" s="235"/>
      <c r="Q840" s="292"/>
      <c r="R840" s="292"/>
      <c r="S840" s="235"/>
      <c r="T840" s="235"/>
      <c r="U840" s="235"/>
      <c r="V840" s="235"/>
      <c r="W840" s="235"/>
      <c r="X840" s="235"/>
      <c r="Y840" s="235"/>
      <c r="Z840" s="235"/>
    </row>
    <row r="841">
      <c r="A841" s="293"/>
      <c r="B841" s="294"/>
      <c r="C841" s="235"/>
      <c r="D841" s="235"/>
      <c r="E841" s="235"/>
      <c r="F841" s="235"/>
      <c r="G841" s="235"/>
      <c r="H841" s="235"/>
      <c r="I841" s="235"/>
      <c r="J841" s="164"/>
      <c r="K841" s="235"/>
      <c r="L841" s="235"/>
      <c r="M841" s="235"/>
      <c r="N841" s="164"/>
      <c r="O841" s="235"/>
      <c r="P841" s="235"/>
      <c r="Q841" s="292"/>
      <c r="R841" s="292"/>
      <c r="S841" s="235"/>
      <c r="T841" s="235"/>
      <c r="U841" s="235"/>
      <c r="V841" s="235"/>
      <c r="W841" s="235"/>
      <c r="X841" s="235"/>
      <c r="Y841" s="235"/>
      <c r="Z841" s="235"/>
    </row>
    <row r="842">
      <c r="A842" s="293"/>
      <c r="B842" s="294"/>
      <c r="C842" s="235"/>
      <c r="D842" s="235"/>
      <c r="E842" s="235"/>
      <c r="F842" s="235"/>
      <c r="G842" s="235"/>
      <c r="H842" s="235"/>
      <c r="I842" s="235"/>
      <c r="J842" s="164"/>
      <c r="K842" s="235"/>
      <c r="L842" s="235"/>
      <c r="M842" s="235"/>
      <c r="N842" s="164"/>
      <c r="O842" s="235"/>
      <c r="P842" s="235"/>
      <c r="Q842" s="292"/>
      <c r="R842" s="292"/>
      <c r="S842" s="235"/>
      <c r="T842" s="235"/>
      <c r="U842" s="235"/>
      <c r="V842" s="235"/>
      <c r="W842" s="235"/>
      <c r="X842" s="235"/>
      <c r="Y842" s="235"/>
      <c r="Z842" s="235"/>
    </row>
    <row r="843">
      <c r="A843" s="293"/>
      <c r="B843" s="294"/>
      <c r="C843" s="235"/>
      <c r="D843" s="235"/>
      <c r="E843" s="235"/>
      <c r="F843" s="235"/>
      <c r="G843" s="235"/>
      <c r="H843" s="235"/>
      <c r="I843" s="235"/>
      <c r="J843" s="164"/>
      <c r="K843" s="235"/>
      <c r="L843" s="235"/>
      <c r="M843" s="235"/>
      <c r="N843" s="164"/>
      <c r="O843" s="235"/>
      <c r="P843" s="235"/>
      <c r="Q843" s="292"/>
      <c r="R843" s="292"/>
      <c r="S843" s="235"/>
      <c r="T843" s="235"/>
      <c r="U843" s="235"/>
      <c r="V843" s="235"/>
      <c r="W843" s="235"/>
      <c r="X843" s="235"/>
      <c r="Y843" s="235"/>
      <c r="Z843" s="235"/>
    </row>
    <row r="844">
      <c r="A844" s="293"/>
      <c r="B844" s="294"/>
      <c r="C844" s="235"/>
      <c r="D844" s="235"/>
      <c r="E844" s="235"/>
      <c r="F844" s="235"/>
      <c r="G844" s="235"/>
      <c r="H844" s="235"/>
      <c r="I844" s="235"/>
      <c r="J844" s="164"/>
      <c r="K844" s="235"/>
      <c r="L844" s="235"/>
      <c r="M844" s="235"/>
      <c r="N844" s="164"/>
      <c r="O844" s="235"/>
      <c r="P844" s="235"/>
      <c r="Q844" s="292"/>
      <c r="R844" s="292"/>
      <c r="S844" s="235"/>
      <c r="T844" s="235"/>
      <c r="U844" s="235"/>
      <c r="V844" s="235"/>
      <c r="W844" s="235"/>
      <c r="X844" s="235"/>
      <c r="Y844" s="235"/>
      <c r="Z844" s="235"/>
    </row>
    <row r="845">
      <c r="A845" s="293"/>
      <c r="B845" s="294"/>
      <c r="C845" s="235"/>
      <c r="D845" s="235"/>
      <c r="E845" s="235"/>
      <c r="F845" s="235"/>
      <c r="G845" s="235"/>
      <c r="H845" s="235"/>
      <c r="I845" s="235"/>
      <c r="J845" s="164"/>
      <c r="K845" s="235"/>
      <c r="L845" s="235"/>
      <c r="M845" s="235"/>
      <c r="N845" s="164"/>
      <c r="O845" s="235"/>
      <c r="P845" s="235"/>
      <c r="Q845" s="292"/>
      <c r="R845" s="292"/>
      <c r="S845" s="235"/>
      <c r="T845" s="235"/>
      <c r="U845" s="235"/>
      <c r="V845" s="235"/>
      <c r="W845" s="235"/>
      <c r="X845" s="235"/>
      <c r="Y845" s="235"/>
      <c r="Z845" s="235"/>
    </row>
    <row r="846">
      <c r="A846" s="293"/>
      <c r="B846" s="294"/>
      <c r="C846" s="235"/>
      <c r="D846" s="235"/>
      <c r="E846" s="235"/>
      <c r="F846" s="235"/>
      <c r="G846" s="235"/>
      <c r="H846" s="235"/>
      <c r="I846" s="235"/>
      <c r="J846" s="164"/>
      <c r="K846" s="235"/>
      <c r="L846" s="235"/>
      <c r="M846" s="235"/>
      <c r="N846" s="164"/>
      <c r="O846" s="235"/>
      <c r="P846" s="235"/>
      <c r="Q846" s="292"/>
      <c r="R846" s="292"/>
      <c r="S846" s="235"/>
      <c r="T846" s="235"/>
      <c r="U846" s="235"/>
      <c r="V846" s="235"/>
      <c r="W846" s="235"/>
      <c r="X846" s="235"/>
      <c r="Y846" s="235"/>
      <c r="Z846" s="235"/>
    </row>
    <row r="847">
      <c r="A847" s="293"/>
      <c r="B847" s="294"/>
      <c r="C847" s="235"/>
      <c r="D847" s="235"/>
      <c r="E847" s="235"/>
      <c r="F847" s="235"/>
      <c r="G847" s="235"/>
      <c r="H847" s="235"/>
      <c r="I847" s="235"/>
      <c r="J847" s="164"/>
      <c r="K847" s="235"/>
      <c r="L847" s="235"/>
      <c r="M847" s="235"/>
      <c r="N847" s="164"/>
      <c r="O847" s="235"/>
      <c r="P847" s="235"/>
      <c r="Q847" s="292"/>
      <c r="R847" s="292"/>
      <c r="S847" s="235"/>
      <c r="T847" s="235"/>
      <c r="U847" s="235"/>
      <c r="V847" s="235"/>
      <c r="W847" s="235"/>
      <c r="X847" s="235"/>
      <c r="Y847" s="235"/>
      <c r="Z847" s="235"/>
    </row>
    <row r="848">
      <c r="A848" s="293"/>
      <c r="B848" s="294"/>
      <c r="C848" s="235"/>
      <c r="D848" s="235"/>
      <c r="E848" s="235"/>
      <c r="F848" s="235"/>
      <c r="G848" s="235"/>
      <c r="H848" s="235"/>
      <c r="I848" s="235"/>
      <c r="J848" s="164"/>
      <c r="K848" s="235"/>
      <c r="L848" s="235"/>
      <c r="M848" s="235"/>
      <c r="N848" s="164"/>
      <c r="O848" s="235"/>
      <c r="P848" s="235"/>
      <c r="Q848" s="292"/>
      <c r="R848" s="292"/>
      <c r="S848" s="235"/>
      <c r="T848" s="235"/>
      <c r="U848" s="235"/>
      <c r="V848" s="235"/>
      <c r="W848" s="235"/>
      <c r="X848" s="235"/>
      <c r="Y848" s="235"/>
      <c r="Z848" s="235"/>
    </row>
    <row r="849">
      <c r="A849" s="293"/>
      <c r="B849" s="294"/>
      <c r="C849" s="235"/>
      <c r="D849" s="235"/>
      <c r="E849" s="235"/>
      <c r="F849" s="235"/>
      <c r="G849" s="235"/>
      <c r="H849" s="235"/>
      <c r="I849" s="235"/>
      <c r="J849" s="164"/>
      <c r="K849" s="235"/>
      <c r="L849" s="235"/>
      <c r="M849" s="235"/>
      <c r="N849" s="164"/>
      <c r="O849" s="235"/>
      <c r="P849" s="235"/>
      <c r="Q849" s="292"/>
      <c r="R849" s="292"/>
      <c r="S849" s="235"/>
      <c r="T849" s="235"/>
      <c r="U849" s="235"/>
      <c r="V849" s="235"/>
      <c r="W849" s="235"/>
      <c r="X849" s="235"/>
      <c r="Y849" s="235"/>
      <c r="Z849" s="235"/>
    </row>
    <row r="850">
      <c r="A850" s="293"/>
      <c r="B850" s="294"/>
      <c r="C850" s="235"/>
      <c r="D850" s="235"/>
      <c r="E850" s="235"/>
      <c r="F850" s="235"/>
      <c r="G850" s="235"/>
      <c r="H850" s="235"/>
      <c r="I850" s="235"/>
      <c r="J850" s="164"/>
      <c r="K850" s="235"/>
      <c r="L850" s="235"/>
      <c r="M850" s="235"/>
      <c r="N850" s="164"/>
      <c r="O850" s="235"/>
      <c r="P850" s="235"/>
      <c r="Q850" s="292"/>
      <c r="R850" s="292"/>
      <c r="S850" s="235"/>
      <c r="T850" s="235"/>
      <c r="U850" s="235"/>
      <c r="V850" s="235"/>
      <c r="W850" s="235"/>
      <c r="X850" s="235"/>
      <c r="Y850" s="235"/>
      <c r="Z850" s="235"/>
    </row>
    <row r="851">
      <c r="A851" s="293"/>
      <c r="B851" s="294"/>
      <c r="C851" s="235"/>
      <c r="D851" s="235"/>
      <c r="E851" s="235"/>
      <c r="F851" s="235"/>
      <c r="G851" s="235"/>
      <c r="H851" s="235"/>
      <c r="I851" s="235"/>
      <c r="J851" s="164"/>
      <c r="K851" s="235"/>
      <c r="L851" s="235"/>
      <c r="M851" s="235"/>
      <c r="N851" s="164"/>
      <c r="O851" s="235"/>
      <c r="P851" s="235"/>
      <c r="Q851" s="292"/>
      <c r="R851" s="292"/>
      <c r="S851" s="235"/>
      <c r="T851" s="235"/>
      <c r="U851" s="235"/>
      <c r="V851" s="235"/>
      <c r="W851" s="235"/>
      <c r="X851" s="235"/>
      <c r="Y851" s="235"/>
      <c r="Z851" s="235"/>
    </row>
    <row r="852">
      <c r="A852" s="293"/>
      <c r="B852" s="294"/>
      <c r="C852" s="235"/>
      <c r="D852" s="235"/>
      <c r="E852" s="235"/>
      <c r="F852" s="235"/>
      <c r="G852" s="235"/>
      <c r="H852" s="235"/>
      <c r="I852" s="235"/>
      <c r="J852" s="164"/>
      <c r="K852" s="235"/>
      <c r="L852" s="235"/>
      <c r="M852" s="235"/>
      <c r="N852" s="164"/>
      <c r="O852" s="235"/>
      <c r="P852" s="235"/>
      <c r="Q852" s="292"/>
      <c r="R852" s="292"/>
      <c r="S852" s="235"/>
      <c r="T852" s="235"/>
      <c r="U852" s="235"/>
      <c r="V852" s="235"/>
      <c r="W852" s="235"/>
      <c r="X852" s="235"/>
      <c r="Y852" s="235"/>
      <c r="Z852" s="235"/>
    </row>
    <row r="853">
      <c r="A853" s="293"/>
      <c r="B853" s="294"/>
      <c r="C853" s="235"/>
      <c r="D853" s="235"/>
      <c r="E853" s="235"/>
      <c r="F853" s="235"/>
      <c r="G853" s="235"/>
      <c r="H853" s="235"/>
      <c r="I853" s="235"/>
      <c r="J853" s="164"/>
      <c r="K853" s="235"/>
      <c r="L853" s="235"/>
      <c r="M853" s="235"/>
      <c r="N853" s="164"/>
      <c r="O853" s="235"/>
      <c r="P853" s="235"/>
      <c r="Q853" s="292"/>
      <c r="R853" s="292"/>
      <c r="S853" s="235"/>
      <c r="T853" s="235"/>
      <c r="U853" s="235"/>
      <c r="V853" s="235"/>
      <c r="W853" s="235"/>
      <c r="X853" s="235"/>
      <c r="Y853" s="235"/>
      <c r="Z853" s="235"/>
    </row>
    <row r="854">
      <c r="A854" s="235"/>
      <c r="B854" s="294"/>
      <c r="C854" s="235"/>
      <c r="D854" s="235"/>
      <c r="E854" s="235"/>
      <c r="F854" s="235"/>
      <c r="G854" s="235"/>
      <c r="H854" s="235"/>
      <c r="I854" s="235"/>
      <c r="J854" s="164"/>
      <c r="K854" s="235"/>
      <c r="L854" s="235"/>
      <c r="M854" s="235"/>
      <c r="N854" s="164"/>
      <c r="O854" s="235"/>
      <c r="P854" s="235"/>
      <c r="Q854" s="292"/>
      <c r="R854" s="292"/>
      <c r="S854" s="235"/>
      <c r="T854" s="235"/>
      <c r="U854" s="235"/>
      <c r="V854" s="235"/>
      <c r="W854" s="235"/>
      <c r="X854" s="235"/>
      <c r="Y854" s="235"/>
      <c r="Z854" s="235"/>
    </row>
    <row r="855">
      <c r="A855" s="235"/>
      <c r="B855" s="294"/>
      <c r="C855" s="235"/>
      <c r="D855" s="235"/>
      <c r="E855" s="235"/>
      <c r="F855" s="235"/>
      <c r="G855" s="235"/>
      <c r="H855" s="235"/>
      <c r="I855" s="235"/>
      <c r="J855" s="164"/>
      <c r="K855" s="235"/>
      <c r="L855" s="235"/>
      <c r="M855" s="235"/>
      <c r="N855" s="164"/>
      <c r="O855" s="235"/>
      <c r="P855" s="235"/>
      <c r="Q855" s="292"/>
      <c r="R855" s="292"/>
      <c r="S855" s="235"/>
      <c r="T855" s="235"/>
      <c r="U855" s="235"/>
      <c r="V855" s="235"/>
      <c r="W855" s="235"/>
      <c r="X855" s="235"/>
      <c r="Y855" s="235"/>
      <c r="Z855" s="235"/>
    </row>
    <row r="856">
      <c r="A856" s="235"/>
      <c r="B856" s="294"/>
      <c r="C856" s="235"/>
      <c r="D856" s="235"/>
      <c r="E856" s="235"/>
      <c r="F856" s="235"/>
      <c r="G856" s="235"/>
      <c r="H856" s="235"/>
      <c r="I856" s="235"/>
      <c r="J856" s="164"/>
      <c r="K856" s="235"/>
      <c r="L856" s="235"/>
      <c r="M856" s="235"/>
      <c r="N856" s="164"/>
      <c r="O856" s="235"/>
      <c r="P856" s="235"/>
      <c r="Q856" s="292"/>
      <c r="R856" s="292"/>
      <c r="S856" s="235"/>
      <c r="T856" s="235"/>
      <c r="U856" s="235"/>
      <c r="V856" s="235"/>
      <c r="W856" s="235"/>
      <c r="X856" s="235"/>
      <c r="Y856" s="235"/>
      <c r="Z856" s="235"/>
    </row>
    <row r="857">
      <c r="A857" s="235"/>
      <c r="B857" s="294"/>
      <c r="C857" s="235"/>
      <c r="D857" s="235"/>
      <c r="E857" s="235"/>
      <c r="F857" s="235"/>
      <c r="G857" s="235"/>
      <c r="H857" s="235"/>
      <c r="I857" s="235"/>
      <c r="J857" s="164"/>
      <c r="K857" s="235"/>
      <c r="L857" s="235"/>
      <c r="M857" s="235"/>
      <c r="N857" s="164"/>
      <c r="O857" s="235"/>
      <c r="P857" s="235"/>
      <c r="Q857" s="292"/>
      <c r="R857" s="292"/>
      <c r="S857" s="235"/>
      <c r="T857" s="235"/>
      <c r="U857" s="235"/>
      <c r="V857" s="235"/>
      <c r="W857" s="235"/>
      <c r="X857" s="235"/>
      <c r="Y857" s="235"/>
      <c r="Z857" s="235"/>
    </row>
    <row r="858">
      <c r="A858" s="235"/>
      <c r="B858" s="294"/>
      <c r="C858" s="235"/>
      <c r="D858" s="235"/>
      <c r="E858" s="235"/>
      <c r="F858" s="235"/>
      <c r="G858" s="235"/>
      <c r="H858" s="235"/>
      <c r="I858" s="235"/>
      <c r="J858" s="164"/>
      <c r="K858" s="235"/>
      <c r="L858" s="235"/>
      <c r="M858" s="235"/>
      <c r="N858" s="164"/>
      <c r="O858" s="235"/>
      <c r="P858" s="235"/>
      <c r="Q858" s="292"/>
      <c r="R858" s="292"/>
      <c r="S858" s="235"/>
      <c r="T858" s="235"/>
      <c r="U858" s="235"/>
      <c r="V858" s="235"/>
      <c r="W858" s="235"/>
      <c r="X858" s="235"/>
      <c r="Y858" s="235"/>
      <c r="Z858" s="235"/>
    </row>
    <row r="859">
      <c r="A859" s="235"/>
      <c r="B859" s="294"/>
      <c r="C859" s="235"/>
      <c r="D859" s="235"/>
      <c r="E859" s="235"/>
      <c r="F859" s="235"/>
      <c r="G859" s="235"/>
      <c r="H859" s="235"/>
      <c r="I859" s="235"/>
      <c r="J859" s="164"/>
      <c r="K859" s="235"/>
      <c r="L859" s="235"/>
      <c r="M859" s="235"/>
      <c r="N859" s="164"/>
      <c r="O859" s="235"/>
      <c r="P859" s="235"/>
      <c r="Q859" s="292"/>
      <c r="R859" s="292"/>
      <c r="S859" s="235"/>
      <c r="T859" s="235"/>
      <c r="U859" s="235"/>
      <c r="V859" s="235"/>
      <c r="W859" s="235"/>
      <c r="X859" s="235"/>
      <c r="Y859" s="235"/>
      <c r="Z859" s="235"/>
    </row>
    <row r="860">
      <c r="A860" s="235"/>
      <c r="B860" s="294"/>
      <c r="C860" s="235"/>
      <c r="D860" s="235"/>
      <c r="E860" s="235"/>
      <c r="F860" s="235"/>
      <c r="G860" s="235"/>
      <c r="H860" s="235"/>
      <c r="I860" s="235"/>
      <c r="J860" s="164"/>
      <c r="K860" s="235"/>
      <c r="L860" s="235"/>
      <c r="M860" s="235"/>
      <c r="N860" s="164"/>
      <c r="O860" s="235"/>
      <c r="P860" s="235"/>
      <c r="Q860" s="292"/>
      <c r="R860" s="292"/>
      <c r="S860" s="235"/>
      <c r="T860" s="235"/>
      <c r="U860" s="235"/>
      <c r="V860" s="235"/>
      <c r="W860" s="235"/>
      <c r="X860" s="235"/>
      <c r="Y860" s="235"/>
      <c r="Z860" s="235"/>
    </row>
    <row r="861">
      <c r="A861" s="235"/>
      <c r="B861" s="294"/>
      <c r="C861" s="235"/>
      <c r="D861" s="235"/>
      <c r="E861" s="235"/>
      <c r="F861" s="235"/>
      <c r="G861" s="235"/>
      <c r="H861" s="235"/>
      <c r="I861" s="235"/>
      <c r="J861" s="164"/>
      <c r="K861" s="235"/>
      <c r="L861" s="235"/>
      <c r="M861" s="235"/>
      <c r="N861" s="164"/>
      <c r="O861" s="235"/>
      <c r="P861" s="235"/>
      <c r="Q861" s="292"/>
      <c r="R861" s="292"/>
      <c r="S861" s="235"/>
      <c r="T861" s="235"/>
      <c r="U861" s="235"/>
      <c r="V861" s="235"/>
      <c r="W861" s="235"/>
      <c r="X861" s="235"/>
      <c r="Y861" s="235"/>
      <c r="Z861" s="235"/>
    </row>
    <row r="862">
      <c r="A862" s="235"/>
      <c r="B862" s="294"/>
      <c r="C862" s="235"/>
      <c r="D862" s="235"/>
      <c r="E862" s="235"/>
      <c r="F862" s="235"/>
      <c r="G862" s="235"/>
      <c r="H862" s="235"/>
      <c r="I862" s="235"/>
      <c r="J862" s="164"/>
      <c r="K862" s="235"/>
      <c r="L862" s="235"/>
      <c r="M862" s="235"/>
      <c r="N862" s="164"/>
      <c r="O862" s="235"/>
      <c r="P862" s="235"/>
      <c r="Q862" s="292"/>
      <c r="R862" s="292"/>
      <c r="S862" s="235"/>
      <c r="T862" s="235"/>
      <c r="U862" s="235"/>
      <c r="V862" s="235"/>
      <c r="W862" s="235"/>
      <c r="X862" s="235"/>
      <c r="Y862" s="235"/>
      <c r="Z862" s="235"/>
    </row>
    <row r="863">
      <c r="A863" s="235"/>
      <c r="B863" s="294"/>
      <c r="C863" s="235"/>
      <c r="D863" s="235"/>
      <c r="E863" s="235"/>
      <c r="F863" s="235"/>
      <c r="G863" s="235"/>
      <c r="H863" s="235"/>
      <c r="I863" s="235"/>
      <c r="J863" s="164"/>
      <c r="K863" s="235"/>
      <c r="L863" s="235"/>
      <c r="M863" s="235"/>
      <c r="N863" s="164"/>
      <c r="O863" s="235"/>
      <c r="P863" s="235"/>
      <c r="Q863" s="292"/>
      <c r="R863" s="292"/>
      <c r="S863" s="235"/>
      <c r="T863" s="235"/>
      <c r="U863" s="235"/>
      <c r="V863" s="235"/>
      <c r="W863" s="235"/>
      <c r="X863" s="235"/>
      <c r="Y863" s="235"/>
      <c r="Z863" s="235"/>
    </row>
    <row r="864">
      <c r="A864" s="235"/>
      <c r="B864" s="294"/>
      <c r="C864" s="235"/>
      <c r="D864" s="235"/>
      <c r="E864" s="235"/>
      <c r="F864" s="235"/>
      <c r="G864" s="235"/>
      <c r="H864" s="235"/>
      <c r="I864" s="235"/>
      <c r="J864" s="164"/>
      <c r="K864" s="235"/>
      <c r="L864" s="235"/>
      <c r="M864" s="235"/>
      <c r="N864" s="164"/>
      <c r="O864" s="235"/>
      <c r="P864" s="235"/>
      <c r="Q864" s="292"/>
      <c r="R864" s="292"/>
      <c r="S864" s="235"/>
      <c r="T864" s="235"/>
      <c r="U864" s="235"/>
      <c r="V864" s="235"/>
      <c r="W864" s="235"/>
      <c r="X864" s="235"/>
      <c r="Y864" s="235"/>
      <c r="Z864" s="235"/>
    </row>
    <row r="865">
      <c r="A865" s="235"/>
      <c r="B865" s="294"/>
      <c r="C865" s="235"/>
      <c r="D865" s="235"/>
      <c r="E865" s="235"/>
      <c r="F865" s="235"/>
      <c r="G865" s="235"/>
      <c r="H865" s="235"/>
      <c r="I865" s="235"/>
      <c r="J865" s="164"/>
      <c r="K865" s="235"/>
      <c r="L865" s="235"/>
      <c r="M865" s="235"/>
      <c r="N865" s="164"/>
      <c r="O865" s="235"/>
      <c r="P865" s="235"/>
      <c r="Q865" s="292"/>
      <c r="R865" s="292"/>
      <c r="S865" s="235"/>
      <c r="T865" s="235"/>
      <c r="U865" s="235"/>
      <c r="V865" s="235"/>
      <c r="W865" s="235"/>
      <c r="X865" s="235"/>
      <c r="Y865" s="235"/>
      <c r="Z865" s="235"/>
    </row>
    <row r="866">
      <c r="A866" s="235"/>
      <c r="B866" s="294"/>
      <c r="C866" s="235"/>
      <c r="D866" s="235"/>
      <c r="E866" s="235"/>
      <c r="F866" s="235"/>
      <c r="G866" s="235"/>
      <c r="H866" s="235"/>
      <c r="I866" s="235"/>
      <c r="J866" s="164"/>
      <c r="K866" s="235"/>
      <c r="L866" s="235"/>
      <c r="M866" s="235"/>
      <c r="N866" s="164"/>
      <c r="O866" s="235"/>
      <c r="P866" s="235"/>
      <c r="Q866" s="292"/>
      <c r="R866" s="292"/>
      <c r="S866" s="235"/>
      <c r="T866" s="235"/>
      <c r="U866" s="235"/>
      <c r="V866" s="235"/>
      <c r="W866" s="235"/>
      <c r="X866" s="235"/>
      <c r="Y866" s="235"/>
      <c r="Z866" s="235"/>
    </row>
    <row r="867">
      <c r="A867" s="235"/>
      <c r="B867" s="294"/>
      <c r="C867" s="235"/>
      <c r="D867" s="235"/>
      <c r="E867" s="235"/>
      <c r="F867" s="235"/>
      <c r="G867" s="235"/>
      <c r="H867" s="235"/>
      <c r="I867" s="235"/>
      <c r="J867" s="164"/>
      <c r="K867" s="235"/>
      <c r="L867" s="235"/>
      <c r="M867" s="235"/>
      <c r="N867" s="164"/>
      <c r="O867" s="235"/>
      <c r="P867" s="235"/>
      <c r="Q867" s="292"/>
      <c r="R867" s="292"/>
      <c r="S867" s="235"/>
      <c r="T867" s="235"/>
      <c r="U867" s="235"/>
      <c r="V867" s="235"/>
      <c r="W867" s="235"/>
      <c r="X867" s="235"/>
      <c r="Y867" s="235"/>
      <c r="Z867" s="235"/>
    </row>
    <row r="868">
      <c r="A868" s="235"/>
      <c r="B868" s="294"/>
      <c r="C868" s="235"/>
      <c r="D868" s="235"/>
      <c r="E868" s="235"/>
      <c r="F868" s="235"/>
      <c r="G868" s="235"/>
      <c r="H868" s="235"/>
      <c r="I868" s="235"/>
      <c r="J868" s="164"/>
      <c r="K868" s="235"/>
      <c r="L868" s="235"/>
      <c r="M868" s="235"/>
      <c r="N868" s="164"/>
      <c r="O868" s="235"/>
      <c r="P868" s="235"/>
      <c r="Q868" s="292"/>
      <c r="R868" s="292"/>
      <c r="S868" s="235"/>
      <c r="T868" s="235"/>
      <c r="U868" s="235"/>
      <c r="V868" s="235"/>
      <c r="W868" s="235"/>
      <c r="X868" s="235"/>
      <c r="Y868" s="235"/>
      <c r="Z868" s="235"/>
    </row>
    <row r="869">
      <c r="A869" s="235"/>
      <c r="B869" s="294"/>
      <c r="C869" s="235"/>
      <c r="D869" s="235"/>
      <c r="E869" s="235"/>
      <c r="F869" s="235"/>
      <c r="G869" s="235"/>
      <c r="H869" s="235"/>
      <c r="I869" s="235"/>
      <c r="J869" s="164"/>
      <c r="K869" s="235"/>
      <c r="L869" s="235"/>
      <c r="M869" s="235"/>
      <c r="N869" s="164"/>
      <c r="O869" s="235"/>
      <c r="P869" s="235"/>
      <c r="Q869" s="292"/>
      <c r="R869" s="292"/>
      <c r="S869" s="235"/>
      <c r="T869" s="235"/>
      <c r="U869" s="235"/>
      <c r="V869" s="235"/>
      <c r="W869" s="235"/>
      <c r="X869" s="235"/>
      <c r="Y869" s="235"/>
      <c r="Z869" s="235"/>
    </row>
    <row r="870">
      <c r="A870" s="235"/>
      <c r="B870" s="294"/>
      <c r="C870" s="235"/>
      <c r="D870" s="235"/>
      <c r="E870" s="235"/>
      <c r="F870" s="235"/>
      <c r="G870" s="235"/>
      <c r="H870" s="235"/>
      <c r="I870" s="235"/>
      <c r="J870" s="164"/>
      <c r="K870" s="235"/>
      <c r="L870" s="235"/>
      <c r="M870" s="235"/>
      <c r="N870" s="164"/>
      <c r="O870" s="235"/>
      <c r="P870" s="235"/>
      <c r="Q870" s="292"/>
      <c r="R870" s="292"/>
      <c r="S870" s="235"/>
      <c r="T870" s="235"/>
      <c r="U870" s="235"/>
      <c r="V870" s="235"/>
      <c r="W870" s="235"/>
      <c r="X870" s="235"/>
      <c r="Y870" s="235"/>
      <c r="Z870" s="235"/>
    </row>
    <row r="871">
      <c r="A871" s="235"/>
      <c r="B871" s="294"/>
      <c r="C871" s="235"/>
      <c r="D871" s="235"/>
      <c r="E871" s="235"/>
      <c r="F871" s="235"/>
      <c r="G871" s="235"/>
      <c r="H871" s="235"/>
      <c r="I871" s="235"/>
      <c r="J871" s="164"/>
      <c r="K871" s="235"/>
      <c r="L871" s="235"/>
      <c r="M871" s="235"/>
      <c r="N871" s="164"/>
      <c r="O871" s="235"/>
      <c r="P871" s="235"/>
      <c r="Q871" s="292"/>
      <c r="R871" s="292"/>
      <c r="S871" s="235"/>
      <c r="T871" s="235"/>
      <c r="U871" s="235"/>
      <c r="V871" s="235"/>
      <c r="W871" s="235"/>
      <c r="X871" s="235"/>
      <c r="Y871" s="235"/>
      <c r="Z871" s="235"/>
    </row>
    <row r="872">
      <c r="A872" s="235"/>
      <c r="B872" s="294"/>
      <c r="C872" s="235"/>
      <c r="D872" s="235"/>
      <c r="E872" s="235"/>
      <c r="F872" s="235"/>
      <c r="G872" s="235"/>
      <c r="H872" s="235"/>
      <c r="I872" s="235"/>
      <c r="J872" s="164"/>
      <c r="K872" s="235"/>
      <c r="L872" s="235"/>
      <c r="M872" s="235"/>
      <c r="N872" s="164"/>
      <c r="O872" s="235"/>
      <c r="P872" s="235"/>
      <c r="Q872" s="292"/>
      <c r="R872" s="292"/>
      <c r="S872" s="235"/>
      <c r="T872" s="235"/>
      <c r="U872" s="235"/>
      <c r="V872" s="235"/>
      <c r="W872" s="235"/>
      <c r="X872" s="235"/>
      <c r="Y872" s="235"/>
      <c r="Z872" s="235"/>
    </row>
    <row r="873">
      <c r="A873" s="235"/>
      <c r="B873" s="294"/>
      <c r="C873" s="235"/>
      <c r="D873" s="235"/>
      <c r="E873" s="235"/>
      <c r="F873" s="235"/>
      <c r="G873" s="235"/>
      <c r="H873" s="235"/>
      <c r="I873" s="235"/>
      <c r="J873" s="164"/>
      <c r="K873" s="235"/>
      <c r="L873" s="235"/>
      <c r="M873" s="235"/>
      <c r="N873" s="164"/>
      <c r="O873" s="235"/>
      <c r="P873" s="235"/>
      <c r="Q873" s="292"/>
      <c r="R873" s="292"/>
      <c r="S873" s="235"/>
      <c r="T873" s="235"/>
      <c r="U873" s="235"/>
      <c r="V873" s="235"/>
      <c r="W873" s="235"/>
      <c r="X873" s="235"/>
      <c r="Y873" s="235"/>
      <c r="Z873" s="235"/>
    </row>
    <row r="874">
      <c r="A874" s="235"/>
      <c r="B874" s="294"/>
      <c r="C874" s="235"/>
      <c r="D874" s="235"/>
      <c r="E874" s="235"/>
      <c r="F874" s="235"/>
      <c r="G874" s="235"/>
      <c r="H874" s="235"/>
      <c r="I874" s="235"/>
      <c r="J874" s="164"/>
      <c r="K874" s="235"/>
      <c r="L874" s="235"/>
      <c r="M874" s="235"/>
      <c r="N874" s="164"/>
      <c r="O874" s="235"/>
      <c r="P874" s="235"/>
      <c r="Q874" s="292"/>
      <c r="R874" s="292"/>
      <c r="S874" s="235"/>
      <c r="T874" s="235"/>
      <c r="U874" s="235"/>
      <c r="V874" s="235"/>
      <c r="W874" s="235"/>
      <c r="X874" s="235"/>
      <c r="Y874" s="235"/>
      <c r="Z874" s="235"/>
    </row>
    <row r="875">
      <c r="A875" s="235"/>
      <c r="B875" s="294"/>
      <c r="C875" s="235"/>
      <c r="D875" s="235"/>
      <c r="E875" s="235"/>
      <c r="F875" s="235"/>
      <c r="G875" s="235"/>
      <c r="H875" s="235"/>
      <c r="I875" s="235"/>
      <c r="J875" s="164"/>
      <c r="K875" s="235"/>
      <c r="L875" s="235"/>
      <c r="M875" s="235"/>
      <c r="N875" s="164"/>
      <c r="O875" s="235"/>
      <c r="P875" s="235"/>
      <c r="Q875" s="292"/>
      <c r="R875" s="292"/>
      <c r="S875" s="235"/>
      <c r="T875" s="235"/>
      <c r="U875" s="235"/>
      <c r="V875" s="235"/>
      <c r="W875" s="235"/>
      <c r="X875" s="235"/>
      <c r="Y875" s="235"/>
      <c r="Z875" s="235"/>
    </row>
    <row r="876">
      <c r="A876" s="235"/>
      <c r="B876" s="294"/>
      <c r="C876" s="235"/>
      <c r="D876" s="235"/>
      <c r="E876" s="235"/>
      <c r="F876" s="235"/>
      <c r="G876" s="235"/>
      <c r="H876" s="235"/>
      <c r="I876" s="235"/>
      <c r="J876" s="164"/>
      <c r="K876" s="235"/>
      <c r="L876" s="235"/>
      <c r="M876" s="235"/>
      <c r="N876" s="164"/>
      <c r="O876" s="235"/>
      <c r="P876" s="235"/>
      <c r="Q876" s="292"/>
      <c r="R876" s="292"/>
      <c r="S876" s="235"/>
      <c r="T876" s="235"/>
      <c r="U876" s="235"/>
      <c r="V876" s="235"/>
      <c r="W876" s="235"/>
      <c r="X876" s="235"/>
      <c r="Y876" s="235"/>
      <c r="Z876" s="235"/>
    </row>
    <row r="877">
      <c r="A877" s="235"/>
      <c r="B877" s="294"/>
      <c r="C877" s="235"/>
      <c r="D877" s="235"/>
      <c r="E877" s="235"/>
      <c r="F877" s="235"/>
      <c r="G877" s="235"/>
      <c r="H877" s="235"/>
      <c r="I877" s="235"/>
      <c r="J877" s="164"/>
      <c r="K877" s="235"/>
      <c r="L877" s="235"/>
      <c r="M877" s="235"/>
      <c r="N877" s="164"/>
      <c r="O877" s="235"/>
      <c r="P877" s="235"/>
      <c r="Q877" s="292"/>
      <c r="R877" s="292"/>
      <c r="S877" s="235"/>
      <c r="T877" s="235"/>
      <c r="U877" s="235"/>
      <c r="V877" s="235"/>
      <c r="W877" s="235"/>
      <c r="X877" s="235"/>
      <c r="Y877" s="235"/>
      <c r="Z877" s="235"/>
    </row>
    <row r="878">
      <c r="A878" s="235"/>
      <c r="B878" s="294"/>
      <c r="C878" s="235"/>
      <c r="D878" s="235"/>
      <c r="E878" s="235"/>
      <c r="F878" s="235"/>
      <c r="G878" s="235"/>
      <c r="H878" s="235"/>
      <c r="I878" s="235"/>
      <c r="J878" s="164"/>
      <c r="K878" s="235"/>
      <c r="L878" s="235"/>
      <c r="M878" s="235"/>
      <c r="N878" s="164"/>
      <c r="O878" s="235"/>
      <c r="P878" s="235"/>
      <c r="Q878" s="292"/>
      <c r="R878" s="292"/>
      <c r="S878" s="235"/>
      <c r="T878" s="235"/>
      <c r="U878" s="235"/>
      <c r="V878" s="235"/>
      <c r="W878" s="235"/>
      <c r="X878" s="235"/>
      <c r="Y878" s="235"/>
      <c r="Z878" s="235"/>
    </row>
    <row r="879">
      <c r="A879" s="235"/>
      <c r="B879" s="294"/>
      <c r="C879" s="235"/>
      <c r="D879" s="235"/>
      <c r="E879" s="235"/>
      <c r="F879" s="235"/>
      <c r="G879" s="235"/>
      <c r="H879" s="235"/>
      <c r="I879" s="235"/>
      <c r="J879" s="164"/>
      <c r="K879" s="235"/>
      <c r="L879" s="235"/>
      <c r="M879" s="235"/>
      <c r="N879" s="164"/>
      <c r="O879" s="235"/>
      <c r="P879" s="235"/>
      <c r="Q879" s="292"/>
      <c r="R879" s="292"/>
      <c r="S879" s="235"/>
      <c r="T879" s="235"/>
      <c r="U879" s="235"/>
      <c r="V879" s="235"/>
      <c r="W879" s="235"/>
      <c r="X879" s="235"/>
      <c r="Y879" s="235"/>
      <c r="Z879" s="235"/>
    </row>
    <row r="880">
      <c r="A880" s="235"/>
      <c r="B880" s="294"/>
      <c r="C880" s="235"/>
      <c r="D880" s="235"/>
      <c r="E880" s="235"/>
      <c r="F880" s="235"/>
      <c r="G880" s="235"/>
      <c r="H880" s="235"/>
      <c r="I880" s="235"/>
      <c r="J880" s="164"/>
      <c r="K880" s="235"/>
      <c r="L880" s="235"/>
      <c r="M880" s="235"/>
      <c r="N880" s="164"/>
      <c r="O880" s="235"/>
      <c r="P880" s="235"/>
      <c r="Q880" s="292"/>
      <c r="R880" s="292"/>
      <c r="S880" s="235"/>
      <c r="T880" s="235"/>
      <c r="U880" s="235"/>
      <c r="V880" s="235"/>
      <c r="W880" s="235"/>
      <c r="X880" s="235"/>
      <c r="Y880" s="235"/>
      <c r="Z880" s="235"/>
    </row>
    <row r="881">
      <c r="A881" s="235"/>
      <c r="B881" s="294"/>
      <c r="C881" s="235"/>
      <c r="D881" s="235"/>
      <c r="E881" s="235"/>
      <c r="F881" s="235"/>
      <c r="G881" s="235"/>
      <c r="H881" s="235"/>
      <c r="I881" s="235"/>
      <c r="J881" s="164"/>
      <c r="K881" s="235"/>
      <c r="L881" s="235"/>
      <c r="M881" s="235"/>
      <c r="N881" s="164"/>
      <c r="O881" s="235"/>
      <c r="P881" s="235"/>
      <c r="Q881" s="292"/>
      <c r="R881" s="292"/>
      <c r="S881" s="235"/>
      <c r="T881" s="235"/>
      <c r="U881" s="235"/>
      <c r="V881" s="235"/>
      <c r="W881" s="235"/>
      <c r="X881" s="235"/>
      <c r="Y881" s="235"/>
      <c r="Z881" s="235"/>
    </row>
    <row r="882">
      <c r="A882" s="293"/>
      <c r="B882" s="294"/>
      <c r="C882" s="235"/>
      <c r="D882" s="235"/>
      <c r="E882" s="235"/>
      <c r="F882" s="235"/>
      <c r="G882" s="235"/>
      <c r="H882" s="235"/>
      <c r="I882" s="235"/>
      <c r="J882" s="164"/>
      <c r="K882" s="235"/>
      <c r="L882" s="235"/>
      <c r="M882" s="235"/>
      <c r="N882" s="164"/>
      <c r="O882" s="235"/>
      <c r="P882" s="235"/>
      <c r="Q882" s="292"/>
      <c r="R882" s="292"/>
      <c r="S882" s="235"/>
      <c r="T882" s="235"/>
      <c r="U882" s="235"/>
      <c r="V882" s="235"/>
      <c r="W882" s="235"/>
      <c r="X882" s="235"/>
      <c r="Y882" s="235"/>
      <c r="Z882" s="235"/>
    </row>
    <row r="883">
      <c r="A883" s="293"/>
      <c r="B883" s="294"/>
      <c r="C883" s="235"/>
      <c r="D883" s="235"/>
      <c r="E883" s="235"/>
      <c r="F883" s="235"/>
      <c r="G883" s="235"/>
      <c r="H883" s="235"/>
      <c r="I883" s="235"/>
      <c r="J883" s="164"/>
      <c r="K883" s="235"/>
      <c r="L883" s="235"/>
      <c r="M883" s="235"/>
      <c r="N883" s="164"/>
      <c r="O883" s="235"/>
      <c r="P883" s="235"/>
      <c r="Q883" s="292"/>
      <c r="R883" s="292"/>
      <c r="S883" s="235"/>
      <c r="T883" s="235"/>
      <c r="U883" s="235"/>
      <c r="V883" s="235"/>
      <c r="W883" s="235"/>
      <c r="X883" s="235"/>
      <c r="Y883" s="235"/>
      <c r="Z883" s="235"/>
    </row>
    <row r="884">
      <c r="A884" s="293"/>
      <c r="B884" s="294"/>
      <c r="C884" s="235"/>
      <c r="D884" s="235"/>
      <c r="E884" s="235"/>
      <c r="F884" s="235"/>
      <c r="G884" s="235"/>
      <c r="H884" s="235"/>
      <c r="I884" s="235"/>
      <c r="J884" s="164"/>
      <c r="K884" s="235"/>
      <c r="L884" s="235"/>
      <c r="M884" s="235"/>
      <c r="N884" s="164"/>
      <c r="O884" s="235"/>
      <c r="P884" s="235"/>
      <c r="Q884" s="292"/>
      <c r="R884" s="292"/>
      <c r="S884" s="235"/>
      <c r="T884" s="235"/>
      <c r="U884" s="235"/>
      <c r="V884" s="235"/>
      <c r="W884" s="235"/>
      <c r="X884" s="235"/>
      <c r="Y884" s="235"/>
      <c r="Z884" s="235"/>
    </row>
    <row r="885">
      <c r="A885" s="293"/>
      <c r="B885" s="294"/>
      <c r="C885" s="235"/>
      <c r="D885" s="235"/>
      <c r="E885" s="235"/>
      <c r="F885" s="235"/>
      <c r="G885" s="235"/>
      <c r="H885" s="235"/>
      <c r="I885" s="235"/>
      <c r="J885" s="164"/>
      <c r="K885" s="235"/>
      <c r="L885" s="235"/>
      <c r="M885" s="235"/>
      <c r="N885" s="164"/>
      <c r="O885" s="235"/>
      <c r="P885" s="235"/>
      <c r="Q885" s="292"/>
      <c r="R885" s="292"/>
      <c r="S885" s="235"/>
      <c r="T885" s="235"/>
      <c r="U885" s="235"/>
      <c r="V885" s="235"/>
      <c r="W885" s="235"/>
      <c r="X885" s="235"/>
      <c r="Y885" s="235"/>
      <c r="Z885" s="235"/>
    </row>
    <row r="886">
      <c r="A886" s="293"/>
      <c r="B886" s="294"/>
      <c r="C886" s="235"/>
      <c r="D886" s="235"/>
      <c r="E886" s="235"/>
      <c r="F886" s="235"/>
      <c r="G886" s="235"/>
      <c r="H886" s="235"/>
      <c r="I886" s="235"/>
      <c r="J886" s="164"/>
      <c r="K886" s="235"/>
      <c r="L886" s="235"/>
      <c r="M886" s="235"/>
      <c r="N886" s="164"/>
      <c r="O886" s="235"/>
      <c r="P886" s="235"/>
      <c r="Q886" s="292"/>
      <c r="R886" s="292"/>
      <c r="S886" s="235"/>
      <c r="T886" s="235"/>
      <c r="U886" s="235"/>
      <c r="V886" s="235"/>
      <c r="W886" s="235"/>
      <c r="X886" s="235"/>
      <c r="Y886" s="235"/>
      <c r="Z886" s="235"/>
    </row>
    <row r="887">
      <c r="A887" s="293"/>
      <c r="B887" s="294"/>
      <c r="C887" s="235"/>
      <c r="D887" s="235"/>
      <c r="E887" s="235"/>
      <c r="F887" s="235"/>
      <c r="G887" s="235"/>
      <c r="H887" s="235"/>
      <c r="I887" s="235"/>
      <c r="J887" s="164"/>
      <c r="K887" s="235"/>
      <c r="L887" s="235"/>
      <c r="M887" s="235"/>
      <c r="N887" s="164"/>
      <c r="O887" s="235"/>
      <c r="P887" s="235"/>
      <c r="Q887" s="292"/>
      <c r="R887" s="292"/>
      <c r="S887" s="235"/>
      <c r="T887" s="235"/>
      <c r="U887" s="235"/>
      <c r="V887" s="235"/>
      <c r="W887" s="235"/>
      <c r="X887" s="235"/>
      <c r="Y887" s="235"/>
      <c r="Z887" s="235"/>
    </row>
    <row r="888">
      <c r="A888" s="293"/>
      <c r="B888" s="294"/>
      <c r="C888" s="235"/>
      <c r="D888" s="235"/>
      <c r="E888" s="235"/>
      <c r="F888" s="235"/>
      <c r="G888" s="235"/>
      <c r="H888" s="235"/>
      <c r="I888" s="235"/>
      <c r="J888" s="164"/>
      <c r="K888" s="235"/>
      <c r="L888" s="235"/>
      <c r="M888" s="235"/>
      <c r="N888" s="164"/>
      <c r="O888" s="235"/>
      <c r="P888" s="235"/>
      <c r="Q888" s="292"/>
      <c r="R888" s="292"/>
      <c r="S888" s="235"/>
      <c r="T888" s="235"/>
      <c r="U888" s="235"/>
      <c r="V888" s="235"/>
      <c r="W888" s="235"/>
      <c r="X888" s="235"/>
      <c r="Y888" s="235"/>
      <c r="Z888" s="235"/>
    </row>
    <row r="889">
      <c r="A889" s="293"/>
      <c r="B889" s="294"/>
      <c r="C889" s="235"/>
      <c r="D889" s="235"/>
      <c r="E889" s="235"/>
      <c r="F889" s="235"/>
      <c r="G889" s="235"/>
      <c r="H889" s="235"/>
      <c r="I889" s="235"/>
      <c r="J889" s="164"/>
      <c r="K889" s="235"/>
      <c r="L889" s="235"/>
      <c r="M889" s="235"/>
      <c r="N889" s="164"/>
      <c r="O889" s="235"/>
      <c r="P889" s="235"/>
      <c r="Q889" s="292"/>
      <c r="R889" s="292"/>
      <c r="S889" s="235"/>
      <c r="T889" s="235"/>
      <c r="U889" s="235"/>
      <c r="V889" s="235"/>
      <c r="W889" s="235"/>
      <c r="X889" s="235"/>
      <c r="Y889" s="235"/>
      <c r="Z889" s="235"/>
    </row>
    <row r="890">
      <c r="A890" s="235"/>
      <c r="B890" s="294"/>
      <c r="C890" s="235"/>
      <c r="D890" s="235"/>
      <c r="E890" s="235"/>
      <c r="F890" s="235"/>
      <c r="G890" s="235"/>
      <c r="H890" s="235"/>
      <c r="I890" s="235"/>
      <c r="J890" s="164"/>
      <c r="K890" s="235"/>
      <c r="L890" s="235"/>
      <c r="M890" s="235"/>
      <c r="N890" s="164"/>
      <c r="O890" s="235"/>
      <c r="P890" s="235"/>
      <c r="Q890" s="292"/>
      <c r="R890" s="292"/>
      <c r="S890" s="235"/>
      <c r="T890" s="235"/>
      <c r="U890" s="235"/>
      <c r="V890" s="235"/>
      <c r="W890" s="235"/>
      <c r="X890" s="235"/>
      <c r="Y890" s="235"/>
      <c r="Z890" s="235"/>
    </row>
    <row r="891">
      <c r="A891" s="235"/>
      <c r="B891" s="294"/>
      <c r="C891" s="235"/>
      <c r="D891" s="235"/>
      <c r="E891" s="235"/>
      <c r="F891" s="235"/>
      <c r="G891" s="235"/>
      <c r="H891" s="235"/>
      <c r="I891" s="235"/>
      <c r="J891" s="164"/>
      <c r="K891" s="235"/>
      <c r="L891" s="235"/>
      <c r="M891" s="235"/>
      <c r="N891" s="164"/>
      <c r="O891" s="235"/>
      <c r="P891" s="235"/>
      <c r="Q891" s="292"/>
      <c r="R891" s="292"/>
      <c r="S891" s="235"/>
      <c r="T891" s="235"/>
      <c r="U891" s="235"/>
      <c r="V891" s="235"/>
      <c r="W891" s="235"/>
      <c r="X891" s="235"/>
      <c r="Y891" s="235"/>
      <c r="Z891" s="235"/>
    </row>
    <row r="892">
      <c r="A892" s="235"/>
      <c r="B892" s="294"/>
      <c r="C892" s="235"/>
      <c r="D892" s="235"/>
      <c r="E892" s="235"/>
      <c r="F892" s="235"/>
      <c r="G892" s="235"/>
      <c r="H892" s="235"/>
      <c r="I892" s="235"/>
      <c r="J892" s="164"/>
      <c r="K892" s="235"/>
      <c r="L892" s="235"/>
      <c r="M892" s="235"/>
      <c r="N892" s="164"/>
      <c r="O892" s="235"/>
      <c r="P892" s="235"/>
      <c r="Q892" s="292"/>
      <c r="R892" s="292"/>
      <c r="S892" s="235"/>
      <c r="T892" s="235"/>
      <c r="U892" s="235"/>
      <c r="V892" s="235"/>
      <c r="W892" s="235"/>
      <c r="X892" s="235"/>
      <c r="Y892" s="235"/>
      <c r="Z892" s="235"/>
    </row>
    <row r="893">
      <c r="A893" s="235"/>
      <c r="B893" s="294"/>
      <c r="C893" s="235"/>
      <c r="D893" s="235"/>
      <c r="E893" s="235"/>
      <c r="F893" s="235"/>
      <c r="G893" s="235"/>
      <c r="H893" s="235"/>
      <c r="I893" s="235"/>
      <c r="J893" s="164"/>
      <c r="K893" s="235"/>
      <c r="L893" s="235"/>
      <c r="M893" s="235"/>
      <c r="N893" s="164"/>
      <c r="O893" s="235"/>
      <c r="P893" s="235"/>
      <c r="Q893" s="292"/>
      <c r="R893" s="292"/>
      <c r="S893" s="235"/>
      <c r="T893" s="235"/>
      <c r="U893" s="235"/>
      <c r="V893" s="235"/>
      <c r="W893" s="235"/>
      <c r="X893" s="235"/>
      <c r="Y893" s="235"/>
      <c r="Z893" s="235"/>
    </row>
    <row r="894">
      <c r="A894" s="235"/>
      <c r="B894" s="294"/>
      <c r="C894" s="235"/>
      <c r="D894" s="235"/>
      <c r="E894" s="235"/>
      <c r="F894" s="235"/>
      <c r="G894" s="235"/>
      <c r="H894" s="235"/>
      <c r="I894" s="235"/>
      <c r="J894" s="164"/>
      <c r="K894" s="235"/>
      <c r="L894" s="235"/>
      <c r="M894" s="235"/>
      <c r="N894" s="164"/>
      <c r="O894" s="235"/>
      <c r="P894" s="235"/>
      <c r="Q894" s="292"/>
      <c r="R894" s="292"/>
      <c r="S894" s="235"/>
      <c r="T894" s="235"/>
      <c r="U894" s="235"/>
      <c r="V894" s="235"/>
      <c r="W894" s="235"/>
      <c r="X894" s="235"/>
      <c r="Y894" s="235"/>
      <c r="Z894" s="235"/>
    </row>
    <row r="895">
      <c r="A895" s="235"/>
      <c r="B895" s="294"/>
      <c r="C895" s="235"/>
      <c r="D895" s="235"/>
      <c r="E895" s="235"/>
      <c r="F895" s="235"/>
      <c r="G895" s="235"/>
      <c r="H895" s="235"/>
      <c r="I895" s="235"/>
      <c r="J895" s="164"/>
      <c r="K895" s="235"/>
      <c r="L895" s="235"/>
      <c r="M895" s="235"/>
      <c r="N895" s="164"/>
      <c r="O895" s="235"/>
      <c r="P895" s="235"/>
      <c r="Q895" s="292"/>
      <c r="R895" s="292"/>
      <c r="S895" s="235"/>
      <c r="T895" s="235"/>
      <c r="U895" s="235"/>
      <c r="V895" s="235"/>
      <c r="W895" s="235"/>
      <c r="X895" s="235"/>
      <c r="Y895" s="235"/>
      <c r="Z895" s="235"/>
    </row>
    <row r="896">
      <c r="A896" s="235"/>
      <c r="B896" s="294"/>
      <c r="C896" s="235"/>
      <c r="D896" s="235"/>
      <c r="E896" s="235"/>
      <c r="F896" s="235"/>
      <c r="G896" s="235"/>
      <c r="H896" s="235"/>
      <c r="I896" s="235"/>
      <c r="J896" s="164"/>
      <c r="K896" s="235"/>
      <c r="L896" s="235"/>
      <c r="M896" s="235"/>
      <c r="N896" s="164"/>
      <c r="O896" s="235"/>
      <c r="P896" s="235"/>
      <c r="Q896" s="292"/>
      <c r="R896" s="292"/>
      <c r="S896" s="235"/>
      <c r="T896" s="235"/>
      <c r="U896" s="235"/>
      <c r="V896" s="235"/>
      <c r="W896" s="235"/>
      <c r="X896" s="235"/>
      <c r="Y896" s="235"/>
      <c r="Z896" s="235"/>
    </row>
    <row r="897">
      <c r="A897" s="235"/>
      <c r="B897" s="294"/>
      <c r="C897" s="235"/>
      <c r="D897" s="235"/>
      <c r="E897" s="235"/>
      <c r="F897" s="235"/>
      <c r="G897" s="235"/>
      <c r="H897" s="235"/>
      <c r="I897" s="235"/>
      <c r="J897" s="164"/>
      <c r="K897" s="235"/>
      <c r="L897" s="235"/>
      <c r="M897" s="235"/>
      <c r="N897" s="164"/>
      <c r="O897" s="235"/>
      <c r="P897" s="235"/>
      <c r="Q897" s="292"/>
      <c r="R897" s="292"/>
      <c r="S897" s="235"/>
      <c r="T897" s="235"/>
      <c r="U897" s="235"/>
      <c r="V897" s="235"/>
      <c r="W897" s="235"/>
      <c r="X897" s="235"/>
      <c r="Y897" s="235"/>
      <c r="Z897" s="235"/>
    </row>
    <row r="898">
      <c r="A898" s="235"/>
      <c r="B898" s="294"/>
      <c r="C898" s="235"/>
      <c r="D898" s="235"/>
      <c r="E898" s="235"/>
      <c r="F898" s="235"/>
      <c r="G898" s="235"/>
      <c r="H898" s="235"/>
      <c r="I898" s="235"/>
      <c r="J898" s="164"/>
      <c r="K898" s="235"/>
      <c r="L898" s="235"/>
      <c r="M898" s="235"/>
      <c r="N898" s="164"/>
      <c r="O898" s="235"/>
      <c r="P898" s="235"/>
      <c r="Q898" s="292"/>
      <c r="R898" s="292"/>
      <c r="S898" s="235"/>
      <c r="T898" s="235"/>
      <c r="U898" s="235"/>
      <c r="V898" s="235"/>
      <c r="W898" s="235"/>
      <c r="X898" s="235"/>
      <c r="Y898" s="235"/>
      <c r="Z898" s="235"/>
    </row>
    <row r="899">
      <c r="A899" s="235"/>
      <c r="B899" s="294"/>
      <c r="C899" s="235"/>
      <c r="D899" s="235"/>
      <c r="E899" s="235"/>
      <c r="F899" s="235"/>
      <c r="G899" s="235"/>
      <c r="H899" s="235"/>
      <c r="I899" s="235"/>
      <c r="J899" s="164"/>
      <c r="K899" s="235"/>
      <c r="L899" s="235"/>
      <c r="M899" s="235"/>
      <c r="N899" s="164"/>
      <c r="O899" s="235"/>
      <c r="P899" s="235"/>
      <c r="Q899" s="292"/>
      <c r="R899" s="292"/>
      <c r="S899" s="235"/>
      <c r="T899" s="235"/>
      <c r="U899" s="235"/>
      <c r="V899" s="235"/>
      <c r="W899" s="235"/>
      <c r="X899" s="235"/>
      <c r="Y899" s="235"/>
      <c r="Z899" s="235"/>
    </row>
    <row r="900">
      <c r="A900" s="235"/>
      <c r="B900" s="294"/>
      <c r="C900" s="235"/>
      <c r="D900" s="235"/>
      <c r="E900" s="235"/>
      <c r="F900" s="235"/>
      <c r="G900" s="235"/>
      <c r="H900" s="235"/>
      <c r="I900" s="235"/>
      <c r="J900" s="164"/>
      <c r="K900" s="235"/>
      <c r="L900" s="235"/>
      <c r="M900" s="235"/>
      <c r="N900" s="164"/>
      <c r="O900" s="235"/>
      <c r="P900" s="235"/>
      <c r="Q900" s="292"/>
      <c r="R900" s="292"/>
      <c r="S900" s="235"/>
      <c r="T900" s="235"/>
      <c r="U900" s="235"/>
      <c r="V900" s="235"/>
      <c r="W900" s="235"/>
      <c r="X900" s="235"/>
      <c r="Y900" s="235"/>
      <c r="Z900" s="235"/>
    </row>
    <row r="901">
      <c r="A901" s="235"/>
      <c r="B901" s="294"/>
      <c r="C901" s="235"/>
      <c r="D901" s="235"/>
      <c r="E901" s="235"/>
      <c r="F901" s="235"/>
      <c r="G901" s="235"/>
      <c r="H901" s="235"/>
      <c r="I901" s="235"/>
      <c r="J901" s="164"/>
      <c r="K901" s="235"/>
      <c r="L901" s="235"/>
      <c r="M901" s="235"/>
      <c r="N901" s="164"/>
      <c r="O901" s="235"/>
      <c r="P901" s="235"/>
      <c r="Q901" s="292"/>
      <c r="R901" s="292"/>
      <c r="S901" s="235"/>
      <c r="T901" s="235"/>
      <c r="U901" s="235"/>
      <c r="V901" s="235"/>
      <c r="W901" s="235"/>
      <c r="X901" s="235"/>
      <c r="Y901" s="235"/>
      <c r="Z901" s="235"/>
    </row>
    <row r="902">
      <c r="A902" s="235"/>
      <c r="B902" s="294"/>
      <c r="C902" s="235"/>
      <c r="D902" s="235"/>
      <c r="E902" s="235"/>
      <c r="F902" s="235"/>
      <c r="G902" s="235"/>
      <c r="H902" s="235"/>
      <c r="I902" s="235"/>
      <c r="J902" s="164"/>
      <c r="K902" s="235"/>
      <c r="L902" s="235"/>
      <c r="M902" s="235"/>
      <c r="N902" s="164"/>
      <c r="O902" s="235"/>
      <c r="P902" s="235"/>
      <c r="Q902" s="292"/>
      <c r="R902" s="292"/>
      <c r="S902" s="235"/>
      <c r="T902" s="235"/>
      <c r="U902" s="235"/>
      <c r="V902" s="235"/>
      <c r="W902" s="235"/>
      <c r="X902" s="235"/>
      <c r="Y902" s="235"/>
      <c r="Z902" s="235"/>
    </row>
    <row r="903">
      <c r="A903" s="235"/>
      <c r="B903" s="294"/>
      <c r="C903" s="235"/>
      <c r="D903" s="235"/>
      <c r="E903" s="235"/>
      <c r="F903" s="235"/>
      <c r="G903" s="235"/>
      <c r="H903" s="235"/>
      <c r="I903" s="235"/>
      <c r="J903" s="164"/>
      <c r="K903" s="235"/>
      <c r="L903" s="235"/>
      <c r="M903" s="235"/>
      <c r="N903" s="164"/>
      <c r="O903" s="235"/>
      <c r="P903" s="235"/>
      <c r="Q903" s="292"/>
      <c r="R903" s="292"/>
      <c r="S903" s="235"/>
      <c r="T903" s="235"/>
      <c r="U903" s="235"/>
      <c r="V903" s="235"/>
      <c r="W903" s="235"/>
      <c r="X903" s="235"/>
      <c r="Y903" s="235"/>
      <c r="Z903" s="235"/>
    </row>
    <row r="904">
      <c r="A904" s="235"/>
      <c r="B904" s="294"/>
      <c r="C904" s="235"/>
      <c r="D904" s="235"/>
      <c r="E904" s="235"/>
      <c r="F904" s="235"/>
      <c r="G904" s="235"/>
      <c r="H904" s="235"/>
      <c r="I904" s="235"/>
      <c r="J904" s="164"/>
      <c r="K904" s="235"/>
      <c r="L904" s="235"/>
      <c r="M904" s="235"/>
      <c r="N904" s="164"/>
      <c r="O904" s="235"/>
      <c r="P904" s="235"/>
      <c r="Q904" s="292"/>
      <c r="R904" s="292"/>
      <c r="S904" s="235"/>
      <c r="T904" s="235"/>
      <c r="U904" s="235"/>
      <c r="V904" s="235"/>
      <c r="W904" s="235"/>
      <c r="X904" s="235"/>
      <c r="Y904" s="235"/>
      <c r="Z904" s="235"/>
    </row>
    <row r="905">
      <c r="A905" s="235"/>
      <c r="B905" s="294"/>
      <c r="C905" s="235"/>
      <c r="D905" s="235"/>
      <c r="E905" s="235"/>
      <c r="F905" s="235"/>
      <c r="G905" s="235"/>
      <c r="H905" s="235"/>
      <c r="I905" s="235"/>
      <c r="J905" s="164"/>
      <c r="K905" s="235"/>
      <c r="L905" s="235"/>
      <c r="M905" s="235"/>
      <c r="N905" s="164"/>
      <c r="O905" s="235"/>
      <c r="P905" s="235"/>
      <c r="Q905" s="292"/>
      <c r="R905" s="292"/>
      <c r="S905" s="235"/>
      <c r="T905" s="235"/>
      <c r="U905" s="235"/>
      <c r="V905" s="235"/>
      <c r="W905" s="235"/>
      <c r="X905" s="235"/>
      <c r="Y905" s="235"/>
      <c r="Z905" s="235"/>
    </row>
    <row r="906">
      <c r="A906" s="235"/>
      <c r="B906" s="294"/>
      <c r="C906" s="235"/>
      <c r="D906" s="235"/>
      <c r="E906" s="235"/>
      <c r="F906" s="235"/>
      <c r="G906" s="235"/>
      <c r="H906" s="235"/>
      <c r="I906" s="235"/>
      <c r="J906" s="164"/>
      <c r="K906" s="235"/>
      <c r="L906" s="235"/>
      <c r="M906" s="235"/>
      <c r="N906" s="164"/>
      <c r="O906" s="235"/>
      <c r="P906" s="235"/>
      <c r="Q906" s="292"/>
      <c r="R906" s="292"/>
      <c r="S906" s="235"/>
      <c r="T906" s="235"/>
      <c r="U906" s="235"/>
      <c r="V906" s="235"/>
      <c r="W906" s="235"/>
      <c r="X906" s="235"/>
      <c r="Y906" s="235"/>
      <c r="Z906" s="235"/>
    </row>
    <row r="907">
      <c r="A907" s="235"/>
      <c r="B907" s="294"/>
      <c r="C907" s="235"/>
      <c r="D907" s="235"/>
      <c r="E907" s="235"/>
      <c r="F907" s="235"/>
      <c r="G907" s="235"/>
      <c r="H907" s="235"/>
      <c r="I907" s="235"/>
      <c r="J907" s="164"/>
      <c r="K907" s="235"/>
      <c r="L907" s="235"/>
      <c r="M907" s="235"/>
      <c r="N907" s="164"/>
      <c r="O907" s="235"/>
      <c r="P907" s="235"/>
      <c r="Q907" s="292"/>
      <c r="R907" s="292"/>
      <c r="S907" s="235"/>
      <c r="T907" s="235"/>
      <c r="U907" s="235"/>
      <c r="V907" s="235"/>
      <c r="W907" s="235"/>
      <c r="X907" s="235"/>
      <c r="Y907" s="235"/>
      <c r="Z907" s="235"/>
    </row>
    <row r="908">
      <c r="A908" s="235"/>
      <c r="B908" s="294"/>
      <c r="C908" s="235"/>
      <c r="D908" s="235"/>
      <c r="E908" s="235"/>
      <c r="F908" s="235"/>
      <c r="G908" s="235"/>
      <c r="H908" s="235"/>
      <c r="I908" s="235"/>
      <c r="J908" s="164"/>
      <c r="K908" s="235"/>
      <c r="L908" s="235"/>
      <c r="M908" s="235"/>
      <c r="N908" s="164"/>
      <c r="O908" s="235"/>
      <c r="P908" s="235"/>
      <c r="Q908" s="292"/>
      <c r="R908" s="292"/>
      <c r="S908" s="235"/>
      <c r="T908" s="235"/>
      <c r="U908" s="235"/>
      <c r="V908" s="235"/>
      <c r="W908" s="235"/>
      <c r="X908" s="235"/>
      <c r="Y908" s="235"/>
      <c r="Z908" s="235"/>
    </row>
    <row r="909">
      <c r="A909" s="235"/>
      <c r="B909" s="294"/>
      <c r="C909" s="235"/>
      <c r="D909" s="235"/>
      <c r="E909" s="235"/>
      <c r="F909" s="235"/>
      <c r="G909" s="235"/>
      <c r="H909" s="235"/>
      <c r="I909" s="235"/>
      <c r="J909" s="164"/>
      <c r="K909" s="235"/>
      <c r="L909" s="235"/>
      <c r="M909" s="235"/>
      <c r="N909" s="164"/>
      <c r="O909" s="235"/>
      <c r="P909" s="235"/>
      <c r="Q909" s="292"/>
      <c r="R909" s="292"/>
      <c r="S909" s="235"/>
      <c r="T909" s="235"/>
      <c r="U909" s="235"/>
      <c r="V909" s="235"/>
      <c r="W909" s="235"/>
      <c r="X909" s="235"/>
      <c r="Y909" s="235"/>
      <c r="Z909" s="235"/>
    </row>
    <row r="910">
      <c r="A910" s="235"/>
      <c r="B910" s="294"/>
      <c r="C910" s="235"/>
      <c r="D910" s="235"/>
      <c r="E910" s="235"/>
      <c r="F910" s="235"/>
      <c r="G910" s="235"/>
      <c r="H910" s="235"/>
      <c r="I910" s="235"/>
      <c r="J910" s="164"/>
      <c r="K910" s="235"/>
      <c r="L910" s="235"/>
      <c r="M910" s="235"/>
      <c r="N910" s="164"/>
      <c r="O910" s="235"/>
      <c r="P910" s="235"/>
      <c r="Q910" s="292"/>
      <c r="R910" s="292"/>
      <c r="S910" s="235"/>
      <c r="T910" s="235"/>
      <c r="U910" s="235"/>
      <c r="V910" s="235"/>
      <c r="W910" s="235"/>
      <c r="X910" s="235"/>
      <c r="Y910" s="235"/>
      <c r="Z910" s="235"/>
    </row>
    <row r="911">
      <c r="A911" s="235"/>
      <c r="B911" s="294"/>
      <c r="C911" s="235"/>
      <c r="D911" s="235"/>
      <c r="E911" s="235"/>
      <c r="F911" s="235"/>
      <c r="G911" s="235"/>
      <c r="H911" s="235"/>
      <c r="I911" s="235"/>
      <c r="J911" s="164"/>
      <c r="K911" s="235"/>
      <c r="L911" s="235"/>
      <c r="M911" s="235"/>
      <c r="N911" s="164"/>
      <c r="O911" s="235"/>
      <c r="P911" s="235"/>
      <c r="Q911" s="292"/>
      <c r="R911" s="292"/>
      <c r="S911" s="235"/>
      <c r="T911" s="235"/>
      <c r="U911" s="235"/>
      <c r="V911" s="235"/>
      <c r="W911" s="235"/>
      <c r="X911" s="235"/>
      <c r="Y911" s="235"/>
      <c r="Z911" s="235"/>
    </row>
    <row r="912">
      <c r="A912" s="235"/>
      <c r="B912" s="294"/>
      <c r="C912" s="235"/>
      <c r="D912" s="235"/>
      <c r="E912" s="235"/>
      <c r="F912" s="235"/>
      <c r="G912" s="235"/>
      <c r="H912" s="235"/>
      <c r="I912" s="235"/>
      <c r="J912" s="164"/>
      <c r="K912" s="235"/>
      <c r="L912" s="235"/>
      <c r="M912" s="235"/>
      <c r="N912" s="164"/>
      <c r="O912" s="235"/>
      <c r="P912" s="235"/>
      <c r="Q912" s="292"/>
      <c r="R912" s="292"/>
      <c r="S912" s="235"/>
      <c r="T912" s="235"/>
      <c r="U912" s="235"/>
      <c r="V912" s="235"/>
      <c r="W912" s="235"/>
      <c r="X912" s="235"/>
      <c r="Y912" s="235"/>
      <c r="Z912" s="235"/>
    </row>
    <row r="913">
      <c r="A913" s="235"/>
      <c r="B913" s="294"/>
      <c r="C913" s="235"/>
      <c r="D913" s="235"/>
      <c r="E913" s="235"/>
      <c r="F913" s="235"/>
      <c r="G913" s="235"/>
      <c r="H913" s="235"/>
      <c r="I913" s="235"/>
      <c r="J913" s="164"/>
      <c r="K913" s="235"/>
      <c r="L913" s="235"/>
      <c r="M913" s="235"/>
      <c r="N913" s="164"/>
      <c r="O913" s="235"/>
      <c r="P913" s="235"/>
      <c r="Q913" s="292"/>
      <c r="R913" s="292"/>
      <c r="S913" s="235"/>
      <c r="T913" s="235"/>
      <c r="U913" s="235"/>
      <c r="V913" s="235"/>
      <c r="W913" s="235"/>
      <c r="X913" s="235"/>
      <c r="Y913" s="235"/>
      <c r="Z913" s="235"/>
    </row>
    <row r="914">
      <c r="A914" s="235"/>
      <c r="B914" s="294"/>
      <c r="C914" s="235"/>
      <c r="D914" s="235"/>
      <c r="E914" s="235"/>
      <c r="F914" s="235"/>
      <c r="G914" s="235"/>
      <c r="H914" s="235"/>
      <c r="I914" s="235"/>
      <c r="J914" s="164"/>
      <c r="K914" s="235"/>
      <c r="L914" s="235"/>
      <c r="M914" s="235"/>
      <c r="N914" s="164"/>
      <c r="O914" s="235"/>
      <c r="P914" s="235"/>
      <c r="Q914" s="292"/>
      <c r="R914" s="292"/>
      <c r="S914" s="235"/>
      <c r="T914" s="235"/>
      <c r="U914" s="235"/>
      <c r="V914" s="235"/>
      <c r="W914" s="235"/>
      <c r="X914" s="235"/>
      <c r="Y914" s="235"/>
      <c r="Z914" s="235"/>
    </row>
    <row r="915">
      <c r="A915" s="235"/>
      <c r="B915" s="294"/>
      <c r="C915" s="235"/>
      <c r="D915" s="235"/>
      <c r="E915" s="235"/>
      <c r="F915" s="235"/>
      <c r="G915" s="235"/>
      <c r="H915" s="235"/>
      <c r="I915" s="235"/>
      <c r="J915" s="164"/>
      <c r="K915" s="235"/>
      <c r="L915" s="235"/>
      <c r="M915" s="235"/>
      <c r="N915" s="164"/>
      <c r="O915" s="235"/>
      <c r="P915" s="235"/>
      <c r="Q915" s="292"/>
      <c r="R915" s="292"/>
      <c r="S915" s="235"/>
      <c r="T915" s="235"/>
      <c r="U915" s="235"/>
      <c r="V915" s="235"/>
      <c r="W915" s="235"/>
      <c r="X915" s="235"/>
      <c r="Y915" s="235"/>
      <c r="Z915" s="235"/>
    </row>
    <row r="916">
      <c r="A916" s="235"/>
      <c r="B916" s="294"/>
      <c r="C916" s="235"/>
      <c r="D916" s="235"/>
      <c r="E916" s="235"/>
      <c r="F916" s="235"/>
      <c r="G916" s="235"/>
      <c r="H916" s="235"/>
      <c r="I916" s="235"/>
      <c r="J916" s="164"/>
      <c r="K916" s="235"/>
      <c r="L916" s="235"/>
      <c r="M916" s="235"/>
      <c r="N916" s="164"/>
      <c r="O916" s="235"/>
      <c r="P916" s="235"/>
      <c r="Q916" s="292"/>
      <c r="R916" s="292"/>
      <c r="S916" s="235"/>
      <c r="T916" s="235"/>
      <c r="U916" s="235"/>
      <c r="V916" s="235"/>
      <c r="W916" s="235"/>
      <c r="X916" s="235"/>
      <c r="Y916" s="235"/>
      <c r="Z916" s="235"/>
    </row>
    <row r="917">
      <c r="A917" s="235"/>
      <c r="B917" s="294"/>
      <c r="C917" s="235"/>
      <c r="D917" s="235"/>
      <c r="E917" s="235"/>
      <c r="F917" s="235"/>
      <c r="G917" s="235"/>
      <c r="H917" s="235"/>
      <c r="I917" s="235"/>
      <c r="J917" s="164"/>
      <c r="K917" s="235"/>
      <c r="L917" s="235"/>
      <c r="M917" s="235"/>
      <c r="N917" s="164"/>
      <c r="O917" s="235"/>
      <c r="P917" s="235"/>
      <c r="Q917" s="292"/>
      <c r="R917" s="292"/>
      <c r="S917" s="235"/>
      <c r="T917" s="235"/>
      <c r="U917" s="235"/>
      <c r="V917" s="235"/>
      <c r="W917" s="235"/>
      <c r="X917" s="235"/>
      <c r="Y917" s="235"/>
      <c r="Z917" s="235"/>
    </row>
    <row r="918">
      <c r="A918" s="235"/>
      <c r="B918" s="294"/>
      <c r="C918" s="235"/>
      <c r="D918" s="235"/>
      <c r="E918" s="235"/>
      <c r="F918" s="235"/>
      <c r="G918" s="235"/>
      <c r="H918" s="235"/>
      <c r="I918" s="235"/>
      <c r="J918" s="164"/>
      <c r="K918" s="235"/>
      <c r="L918" s="235"/>
      <c r="M918" s="235"/>
      <c r="N918" s="164"/>
      <c r="O918" s="235"/>
      <c r="P918" s="235"/>
      <c r="Q918" s="292"/>
      <c r="R918" s="292"/>
      <c r="S918" s="235"/>
      <c r="T918" s="235"/>
      <c r="U918" s="235"/>
      <c r="V918" s="235"/>
      <c r="W918" s="235"/>
      <c r="X918" s="235"/>
      <c r="Y918" s="235"/>
      <c r="Z918" s="235"/>
    </row>
    <row r="919">
      <c r="A919" s="235"/>
      <c r="B919" s="294"/>
      <c r="C919" s="235"/>
      <c r="D919" s="235"/>
      <c r="E919" s="235"/>
      <c r="F919" s="235"/>
      <c r="G919" s="235"/>
      <c r="H919" s="235"/>
      <c r="I919" s="235"/>
      <c r="J919" s="164"/>
      <c r="K919" s="235"/>
      <c r="L919" s="235"/>
      <c r="M919" s="235"/>
      <c r="N919" s="164"/>
      <c r="O919" s="235"/>
      <c r="P919" s="235"/>
      <c r="Q919" s="292"/>
      <c r="R919" s="292"/>
      <c r="S919" s="235"/>
      <c r="T919" s="235"/>
      <c r="U919" s="235"/>
      <c r="V919" s="235"/>
      <c r="W919" s="235"/>
      <c r="X919" s="235"/>
      <c r="Y919" s="235"/>
      <c r="Z919" s="235"/>
    </row>
    <row r="920">
      <c r="A920" s="235"/>
      <c r="B920" s="294"/>
      <c r="C920" s="235"/>
      <c r="D920" s="235"/>
      <c r="E920" s="235"/>
      <c r="F920" s="235"/>
      <c r="G920" s="235"/>
      <c r="H920" s="235"/>
      <c r="I920" s="235"/>
      <c r="J920" s="164"/>
      <c r="K920" s="235"/>
      <c r="L920" s="235"/>
      <c r="M920" s="235"/>
      <c r="N920" s="164"/>
      <c r="O920" s="235"/>
      <c r="P920" s="235"/>
      <c r="Q920" s="292"/>
      <c r="R920" s="292"/>
      <c r="S920" s="235"/>
      <c r="T920" s="235"/>
      <c r="U920" s="235"/>
      <c r="V920" s="235"/>
      <c r="W920" s="235"/>
      <c r="X920" s="235"/>
      <c r="Y920" s="235"/>
      <c r="Z920" s="235"/>
    </row>
    <row r="921">
      <c r="A921" s="235"/>
      <c r="B921" s="294"/>
      <c r="C921" s="235"/>
      <c r="D921" s="235"/>
      <c r="E921" s="235"/>
      <c r="F921" s="235"/>
      <c r="G921" s="235"/>
      <c r="H921" s="235"/>
      <c r="I921" s="235"/>
      <c r="J921" s="164"/>
      <c r="K921" s="235"/>
      <c r="L921" s="235"/>
      <c r="M921" s="235"/>
      <c r="N921" s="164"/>
      <c r="O921" s="235"/>
      <c r="P921" s="235"/>
      <c r="Q921" s="292"/>
      <c r="R921" s="292"/>
      <c r="S921" s="235"/>
      <c r="T921" s="235"/>
      <c r="U921" s="235"/>
      <c r="V921" s="235"/>
      <c r="W921" s="235"/>
      <c r="X921" s="235"/>
      <c r="Y921" s="235"/>
      <c r="Z921" s="235"/>
    </row>
    <row r="922">
      <c r="A922" s="235"/>
      <c r="B922" s="294"/>
      <c r="C922" s="235"/>
      <c r="D922" s="235"/>
      <c r="E922" s="235"/>
      <c r="F922" s="235"/>
      <c r="G922" s="235"/>
      <c r="H922" s="235"/>
      <c r="I922" s="235"/>
      <c r="J922" s="164"/>
      <c r="K922" s="235"/>
      <c r="L922" s="235"/>
      <c r="M922" s="235"/>
      <c r="N922" s="164"/>
      <c r="O922" s="235"/>
      <c r="P922" s="235"/>
      <c r="Q922" s="292"/>
      <c r="R922" s="292"/>
      <c r="S922" s="235"/>
      <c r="T922" s="235"/>
      <c r="U922" s="235"/>
      <c r="V922" s="235"/>
      <c r="W922" s="235"/>
      <c r="X922" s="235"/>
      <c r="Y922" s="235"/>
      <c r="Z922" s="235"/>
    </row>
    <row r="923">
      <c r="A923" s="235"/>
      <c r="B923" s="294"/>
      <c r="C923" s="235"/>
      <c r="D923" s="235"/>
      <c r="E923" s="235"/>
      <c r="F923" s="235"/>
      <c r="G923" s="235"/>
      <c r="H923" s="235"/>
      <c r="I923" s="235"/>
      <c r="J923" s="164"/>
      <c r="K923" s="235"/>
      <c r="L923" s="235"/>
      <c r="M923" s="235"/>
      <c r="N923" s="164"/>
      <c r="O923" s="235"/>
      <c r="P923" s="235"/>
      <c r="Q923" s="292"/>
      <c r="R923" s="292"/>
      <c r="S923" s="235"/>
      <c r="T923" s="235"/>
      <c r="U923" s="235"/>
      <c r="V923" s="235"/>
      <c r="W923" s="235"/>
      <c r="X923" s="235"/>
      <c r="Y923" s="235"/>
      <c r="Z923" s="235"/>
    </row>
    <row r="924">
      <c r="A924" s="235"/>
      <c r="B924" s="293"/>
      <c r="C924" s="235"/>
      <c r="D924" s="235"/>
      <c r="E924" s="235"/>
      <c r="F924" s="235"/>
      <c r="G924" s="235"/>
      <c r="H924" s="235"/>
      <c r="I924" s="235"/>
      <c r="J924" s="164"/>
      <c r="K924" s="235"/>
      <c r="L924" s="235"/>
      <c r="M924" s="235"/>
      <c r="N924" s="164"/>
      <c r="O924" s="235"/>
      <c r="P924" s="235"/>
      <c r="Q924" s="292"/>
      <c r="R924" s="292"/>
      <c r="S924" s="235"/>
      <c r="T924" s="235"/>
      <c r="U924" s="235"/>
      <c r="V924" s="235"/>
      <c r="W924" s="235"/>
      <c r="X924" s="235"/>
      <c r="Y924" s="235"/>
      <c r="Z924" s="235"/>
    </row>
    <row r="925">
      <c r="A925" s="235"/>
      <c r="B925" s="293"/>
      <c r="C925" s="235"/>
      <c r="D925" s="235"/>
      <c r="E925" s="235"/>
      <c r="F925" s="235"/>
      <c r="G925" s="235"/>
      <c r="H925" s="235"/>
      <c r="I925" s="235"/>
      <c r="J925" s="164"/>
      <c r="K925" s="235"/>
      <c r="L925" s="235"/>
      <c r="M925" s="235"/>
      <c r="N925" s="164"/>
      <c r="O925" s="235"/>
      <c r="P925" s="235"/>
      <c r="Q925" s="292"/>
      <c r="R925" s="292"/>
      <c r="S925" s="235"/>
      <c r="T925" s="235"/>
      <c r="U925" s="235"/>
      <c r="V925" s="235"/>
      <c r="W925" s="235"/>
      <c r="X925" s="235"/>
      <c r="Y925" s="235"/>
      <c r="Z925" s="235"/>
    </row>
    <row r="926">
      <c r="A926" s="235"/>
      <c r="B926" s="293"/>
      <c r="C926" s="235"/>
      <c r="D926" s="235"/>
      <c r="E926" s="235"/>
      <c r="F926" s="235"/>
      <c r="G926" s="235"/>
      <c r="H926" s="235"/>
      <c r="I926" s="235"/>
      <c r="J926" s="164"/>
      <c r="K926" s="235"/>
      <c r="L926" s="235"/>
      <c r="M926" s="235"/>
      <c r="N926" s="164"/>
      <c r="O926" s="235"/>
      <c r="P926" s="235"/>
      <c r="Q926" s="292"/>
      <c r="R926" s="292"/>
      <c r="S926" s="235"/>
      <c r="T926" s="235"/>
      <c r="U926" s="235"/>
      <c r="V926" s="235"/>
      <c r="W926" s="235"/>
      <c r="X926" s="235"/>
      <c r="Y926" s="235"/>
      <c r="Z926" s="235"/>
    </row>
    <row r="927">
      <c r="A927" s="235"/>
      <c r="B927" s="293"/>
      <c r="C927" s="235"/>
      <c r="D927" s="235"/>
      <c r="E927" s="235"/>
      <c r="F927" s="235"/>
      <c r="G927" s="235"/>
      <c r="H927" s="235"/>
      <c r="I927" s="235"/>
      <c r="J927" s="164"/>
      <c r="K927" s="235"/>
      <c r="L927" s="235"/>
      <c r="M927" s="235"/>
      <c r="N927" s="164"/>
      <c r="O927" s="235"/>
      <c r="P927" s="235"/>
      <c r="Q927" s="292"/>
      <c r="R927" s="292"/>
      <c r="S927" s="235"/>
      <c r="T927" s="235"/>
      <c r="U927" s="235"/>
      <c r="V927" s="235"/>
      <c r="W927" s="235"/>
      <c r="X927" s="235"/>
      <c r="Y927" s="235"/>
      <c r="Z927" s="235"/>
    </row>
    <row r="928">
      <c r="A928" s="235"/>
      <c r="B928" s="294"/>
      <c r="C928" s="235"/>
      <c r="D928" s="235"/>
      <c r="E928" s="235"/>
      <c r="F928" s="235"/>
      <c r="G928" s="235"/>
      <c r="H928" s="235"/>
      <c r="I928" s="235"/>
      <c r="J928" s="164"/>
      <c r="K928" s="235"/>
      <c r="L928" s="235"/>
      <c r="M928" s="235"/>
      <c r="N928" s="164"/>
      <c r="O928" s="235"/>
      <c r="P928" s="235"/>
      <c r="Q928" s="292"/>
      <c r="R928" s="292"/>
      <c r="S928" s="235"/>
      <c r="T928" s="235"/>
      <c r="U928" s="235"/>
      <c r="V928" s="235"/>
      <c r="W928" s="235"/>
      <c r="X928" s="235"/>
      <c r="Y928" s="235"/>
      <c r="Z928" s="235"/>
    </row>
    <row r="929">
      <c r="A929" s="235"/>
      <c r="B929" s="294"/>
      <c r="C929" s="235"/>
      <c r="D929" s="235"/>
      <c r="E929" s="235"/>
      <c r="F929" s="235"/>
      <c r="G929" s="235"/>
      <c r="H929" s="235"/>
      <c r="I929" s="235"/>
      <c r="J929" s="164"/>
      <c r="K929" s="235"/>
      <c r="L929" s="235"/>
      <c r="M929" s="235"/>
      <c r="N929" s="164"/>
      <c r="O929" s="235"/>
      <c r="P929" s="235"/>
      <c r="Q929" s="292"/>
      <c r="R929" s="292"/>
      <c r="S929" s="235"/>
      <c r="T929" s="235"/>
      <c r="U929" s="235"/>
      <c r="V929" s="235"/>
      <c r="W929" s="235"/>
      <c r="X929" s="235"/>
      <c r="Y929" s="235"/>
      <c r="Z929" s="235"/>
    </row>
    <row r="930">
      <c r="A930" s="235"/>
      <c r="B930" s="294"/>
      <c r="C930" s="235"/>
      <c r="D930" s="235"/>
      <c r="E930" s="235"/>
      <c r="F930" s="235"/>
      <c r="G930" s="235"/>
      <c r="H930" s="235"/>
      <c r="I930" s="235"/>
      <c r="J930" s="164"/>
      <c r="K930" s="235"/>
      <c r="L930" s="235"/>
      <c r="M930" s="235"/>
      <c r="N930" s="164"/>
      <c r="O930" s="235"/>
      <c r="P930" s="235"/>
      <c r="Q930" s="292"/>
      <c r="R930" s="292"/>
      <c r="S930" s="235"/>
      <c r="T930" s="235"/>
      <c r="U930" s="235"/>
      <c r="V930" s="235"/>
      <c r="W930" s="235"/>
      <c r="X930" s="235"/>
      <c r="Y930" s="235"/>
      <c r="Z930" s="235"/>
    </row>
    <row r="931">
      <c r="A931" s="293"/>
      <c r="B931" s="294"/>
      <c r="C931" s="235"/>
      <c r="D931" s="235"/>
      <c r="E931" s="235"/>
      <c r="F931" s="235"/>
      <c r="G931" s="235"/>
      <c r="H931" s="235"/>
      <c r="I931" s="235"/>
      <c r="J931" s="164"/>
      <c r="K931" s="235"/>
      <c r="L931" s="235"/>
      <c r="M931" s="235"/>
      <c r="N931" s="164"/>
      <c r="O931" s="235"/>
      <c r="P931" s="235"/>
      <c r="Q931" s="292"/>
      <c r="R931" s="292"/>
      <c r="S931" s="235"/>
      <c r="T931" s="235"/>
      <c r="U931" s="235"/>
      <c r="V931" s="235"/>
      <c r="W931" s="235"/>
      <c r="X931" s="235"/>
      <c r="Y931" s="235"/>
      <c r="Z931" s="235"/>
    </row>
    <row r="932">
      <c r="A932" s="293"/>
      <c r="B932" s="294"/>
      <c r="C932" s="235"/>
      <c r="D932" s="235"/>
      <c r="E932" s="235"/>
      <c r="F932" s="235"/>
      <c r="G932" s="235"/>
      <c r="H932" s="235"/>
      <c r="I932" s="235"/>
      <c r="J932" s="164"/>
      <c r="K932" s="235"/>
      <c r="L932" s="235"/>
      <c r="M932" s="235"/>
      <c r="N932" s="164"/>
      <c r="O932" s="235"/>
      <c r="P932" s="235"/>
      <c r="Q932" s="292"/>
      <c r="R932" s="292"/>
      <c r="S932" s="235"/>
      <c r="T932" s="235"/>
      <c r="U932" s="235"/>
      <c r="V932" s="235"/>
      <c r="W932" s="235"/>
      <c r="X932" s="235"/>
      <c r="Y932" s="235"/>
      <c r="Z932" s="235"/>
    </row>
    <row r="933">
      <c r="A933" s="293"/>
      <c r="B933" s="294"/>
      <c r="C933" s="235"/>
      <c r="D933" s="235"/>
      <c r="E933" s="235"/>
      <c r="F933" s="235"/>
      <c r="G933" s="235"/>
      <c r="H933" s="235"/>
      <c r="I933" s="235"/>
      <c r="J933" s="164"/>
      <c r="K933" s="235"/>
      <c r="L933" s="235"/>
      <c r="M933" s="235"/>
      <c r="N933" s="164"/>
      <c r="O933" s="235"/>
      <c r="P933" s="235"/>
      <c r="Q933" s="292"/>
      <c r="R933" s="292"/>
      <c r="S933" s="235"/>
      <c r="T933" s="235"/>
      <c r="U933" s="235"/>
      <c r="V933" s="235"/>
      <c r="W933" s="235"/>
      <c r="X933" s="235"/>
      <c r="Y933" s="235"/>
      <c r="Z933" s="235"/>
    </row>
    <row r="934">
      <c r="A934" s="293"/>
      <c r="B934" s="294"/>
      <c r="C934" s="235"/>
      <c r="D934" s="235"/>
      <c r="E934" s="235"/>
      <c r="F934" s="235"/>
      <c r="G934" s="235"/>
      <c r="H934" s="235"/>
      <c r="I934" s="235"/>
      <c r="J934" s="164"/>
      <c r="K934" s="235"/>
      <c r="L934" s="235"/>
      <c r="M934" s="235"/>
      <c r="N934" s="164"/>
      <c r="O934" s="235"/>
      <c r="P934" s="235"/>
      <c r="Q934" s="292"/>
      <c r="R934" s="292"/>
      <c r="S934" s="235"/>
      <c r="T934" s="235"/>
      <c r="U934" s="235"/>
      <c r="V934" s="235"/>
      <c r="W934" s="235"/>
      <c r="X934" s="235"/>
      <c r="Y934" s="235"/>
      <c r="Z934" s="235"/>
    </row>
    <row r="935">
      <c r="A935" s="293"/>
      <c r="B935" s="294"/>
      <c r="C935" s="235"/>
      <c r="D935" s="235"/>
      <c r="E935" s="235"/>
      <c r="F935" s="235"/>
      <c r="G935" s="235"/>
      <c r="H935" s="235"/>
      <c r="I935" s="235"/>
      <c r="J935" s="164"/>
      <c r="K935" s="235"/>
      <c r="L935" s="235"/>
      <c r="M935" s="235"/>
      <c r="N935" s="164"/>
      <c r="O935" s="235"/>
      <c r="P935" s="235"/>
      <c r="Q935" s="292"/>
      <c r="R935" s="292"/>
      <c r="S935" s="235"/>
      <c r="T935" s="235"/>
      <c r="U935" s="235"/>
      <c r="V935" s="235"/>
      <c r="W935" s="235"/>
      <c r="X935" s="235"/>
      <c r="Y935" s="235"/>
      <c r="Z935" s="235"/>
    </row>
    <row r="936">
      <c r="A936" s="293"/>
      <c r="B936" s="294"/>
      <c r="C936" s="235"/>
      <c r="D936" s="235"/>
      <c r="E936" s="235"/>
      <c r="F936" s="235"/>
      <c r="G936" s="235"/>
      <c r="H936" s="235"/>
      <c r="I936" s="235"/>
      <c r="J936" s="164"/>
      <c r="K936" s="235"/>
      <c r="L936" s="235"/>
      <c r="M936" s="235"/>
      <c r="N936" s="164"/>
      <c r="O936" s="235"/>
      <c r="P936" s="235"/>
      <c r="Q936" s="292"/>
      <c r="R936" s="292"/>
      <c r="S936" s="235"/>
      <c r="T936" s="235"/>
      <c r="U936" s="235"/>
      <c r="V936" s="235"/>
      <c r="W936" s="235"/>
      <c r="X936" s="235"/>
      <c r="Y936" s="235"/>
      <c r="Z936" s="235"/>
    </row>
    <row r="937">
      <c r="A937" s="293"/>
      <c r="B937" s="294"/>
      <c r="C937" s="235"/>
      <c r="D937" s="235"/>
      <c r="E937" s="235"/>
      <c r="F937" s="235"/>
      <c r="G937" s="235"/>
      <c r="H937" s="235"/>
      <c r="I937" s="235"/>
      <c r="J937" s="164"/>
      <c r="K937" s="235"/>
      <c r="L937" s="235"/>
      <c r="M937" s="235"/>
      <c r="N937" s="164"/>
      <c r="O937" s="235"/>
      <c r="P937" s="235"/>
      <c r="Q937" s="292"/>
      <c r="R937" s="292"/>
      <c r="S937" s="235"/>
      <c r="T937" s="235"/>
      <c r="U937" s="235"/>
      <c r="V937" s="235"/>
      <c r="W937" s="235"/>
      <c r="X937" s="235"/>
      <c r="Y937" s="235"/>
      <c r="Z937" s="235"/>
    </row>
    <row r="938">
      <c r="A938" s="293"/>
      <c r="B938" s="294"/>
      <c r="C938" s="235"/>
      <c r="D938" s="235"/>
      <c r="E938" s="235"/>
      <c r="F938" s="235"/>
      <c r="G938" s="235"/>
      <c r="H938" s="235"/>
      <c r="I938" s="235"/>
      <c r="J938" s="164"/>
      <c r="K938" s="235"/>
      <c r="L938" s="235"/>
      <c r="M938" s="235"/>
      <c r="N938" s="164"/>
      <c r="O938" s="235"/>
      <c r="P938" s="235"/>
      <c r="Q938" s="292"/>
      <c r="R938" s="292"/>
      <c r="S938" s="235"/>
      <c r="T938" s="235"/>
      <c r="U938" s="235"/>
      <c r="V938" s="235"/>
      <c r="W938" s="235"/>
      <c r="X938" s="235"/>
      <c r="Y938" s="235"/>
      <c r="Z938" s="235"/>
    </row>
    <row r="939">
      <c r="A939" s="293"/>
      <c r="B939" s="294"/>
      <c r="C939" s="235"/>
      <c r="D939" s="235"/>
      <c r="E939" s="235"/>
      <c r="F939" s="235"/>
      <c r="G939" s="235"/>
      <c r="H939" s="235"/>
      <c r="I939" s="235"/>
      <c r="J939" s="164"/>
      <c r="K939" s="235"/>
      <c r="L939" s="235"/>
      <c r="M939" s="235"/>
      <c r="N939" s="164"/>
      <c r="O939" s="235"/>
      <c r="P939" s="235"/>
      <c r="Q939" s="292"/>
      <c r="R939" s="292"/>
      <c r="S939" s="235"/>
      <c r="T939" s="235"/>
      <c r="U939" s="235"/>
      <c r="V939" s="235"/>
      <c r="W939" s="235"/>
      <c r="X939" s="235"/>
      <c r="Y939" s="235"/>
      <c r="Z939" s="235"/>
    </row>
    <row r="940">
      <c r="A940" s="293"/>
      <c r="B940" s="294"/>
      <c r="C940" s="235"/>
      <c r="D940" s="235"/>
      <c r="E940" s="235"/>
      <c r="F940" s="235"/>
      <c r="G940" s="235"/>
      <c r="H940" s="235"/>
      <c r="I940" s="235"/>
      <c r="J940" s="164"/>
      <c r="K940" s="235"/>
      <c r="L940" s="235"/>
      <c r="M940" s="235"/>
      <c r="N940" s="164"/>
      <c r="O940" s="235"/>
      <c r="P940" s="235"/>
      <c r="Q940" s="292"/>
      <c r="R940" s="292"/>
      <c r="S940" s="235"/>
      <c r="T940" s="235"/>
      <c r="U940" s="235"/>
      <c r="V940" s="235"/>
      <c r="W940" s="235"/>
      <c r="X940" s="235"/>
      <c r="Y940" s="235"/>
      <c r="Z940" s="235"/>
    </row>
    <row r="941">
      <c r="A941" s="293"/>
      <c r="B941" s="294"/>
      <c r="C941" s="235"/>
      <c r="D941" s="235"/>
      <c r="E941" s="235"/>
      <c r="F941" s="235"/>
      <c r="G941" s="235"/>
      <c r="H941" s="235"/>
      <c r="I941" s="235"/>
      <c r="J941" s="164"/>
      <c r="K941" s="235"/>
      <c r="L941" s="235"/>
      <c r="M941" s="235"/>
      <c r="N941" s="164"/>
      <c r="O941" s="235"/>
      <c r="P941" s="235"/>
      <c r="Q941" s="292"/>
      <c r="R941" s="292"/>
      <c r="S941" s="235"/>
      <c r="T941" s="235"/>
      <c r="U941" s="235"/>
      <c r="V941" s="235"/>
      <c r="W941" s="235"/>
      <c r="X941" s="235"/>
      <c r="Y941" s="235"/>
      <c r="Z941" s="235"/>
    </row>
    <row r="942">
      <c r="A942" s="293"/>
      <c r="B942" s="294"/>
      <c r="C942" s="235"/>
      <c r="D942" s="235"/>
      <c r="E942" s="235"/>
      <c r="F942" s="235"/>
      <c r="G942" s="235"/>
      <c r="H942" s="235"/>
      <c r="I942" s="235"/>
      <c r="J942" s="164"/>
      <c r="K942" s="235"/>
      <c r="L942" s="235"/>
      <c r="M942" s="235"/>
      <c r="N942" s="164"/>
      <c r="O942" s="235"/>
      <c r="P942" s="235"/>
      <c r="Q942" s="292"/>
      <c r="R942" s="292"/>
      <c r="S942" s="235"/>
      <c r="T942" s="235"/>
      <c r="U942" s="235"/>
      <c r="V942" s="235"/>
      <c r="W942" s="235"/>
      <c r="X942" s="235"/>
      <c r="Y942" s="235"/>
      <c r="Z942" s="235"/>
    </row>
    <row r="943">
      <c r="A943" s="293"/>
      <c r="B943" s="294"/>
      <c r="C943" s="235"/>
      <c r="D943" s="235"/>
      <c r="E943" s="235"/>
      <c r="F943" s="235"/>
      <c r="G943" s="235"/>
      <c r="H943" s="235"/>
      <c r="I943" s="235"/>
      <c r="J943" s="164"/>
      <c r="K943" s="235"/>
      <c r="L943" s="235"/>
      <c r="M943" s="235"/>
      <c r="N943" s="164"/>
      <c r="O943" s="235"/>
      <c r="P943" s="235"/>
      <c r="Q943" s="292"/>
      <c r="R943" s="292"/>
      <c r="S943" s="235"/>
      <c r="T943" s="235"/>
      <c r="U943" s="235"/>
      <c r="V943" s="235"/>
      <c r="W943" s="235"/>
      <c r="X943" s="235"/>
      <c r="Y943" s="235"/>
      <c r="Z943" s="235"/>
    </row>
    <row r="944">
      <c r="A944" s="293"/>
      <c r="B944" s="294"/>
      <c r="C944" s="235"/>
      <c r="D944" s="235"/>
      <c r="E944" s="235"/>
      <c r="F944" s="235"/>
      <c r="G944" s="235"/>
      <c r="H944" s="235"/>
      <c r="I944" s="235"/>
      <c r="J944" s="164"/>
      <c r="K944" s="235"/>
      <c r="L944" s="235"/>
      <c r="M944" s="235"/>
      <c r="N944" s="164"/>
      <c r="O944" s="235"/>
      <c r="P944" s="235"/>
      <c r="Q944" s="292"/>
      <c r="R944" s="292"/>
      <c r="S944" s="235"/>
      <c r="T944" s="235"/>
      <c r="U944" s="235"/>
      <c r="V944" s="235"/>
      <c r="W944" s="235"/>
      <c r="X944" s="235"/>
      <c r="Y944" s="235"/>
      <c r="Z944" s="235"/>
    </row>
    <row r="945">
      <c r="A945" s="293"/>
      <c r="B945" s="294"/>
      <c r="C945" s="235"/>
      <c r="D945" s="235"/>
      <c r="E945" s="235"/>
      <c r="F945" s="235"/>
      <c r="G945" s="235"/>
      <c r="H945" s="235"/>
      <c r="I945" s="235"/>
      <c r="J945" s="164"/>
      <c r="K945" s="235"/>
      <c r="L945" s="235"/>
      <c r="M945" s="235"/>
      <c r="N945" s="164"/>
      <c r="O945" s="235"/>
      <c r="P945" s="235"/>
      <c r="Q945" s="292"/>
      <c r="R945" s="292"/>
      <c r="S945" s="235"/>
      <c r="T945" s="235"/>
      <c r="U945" s="235"/>
      <c r="V945" s="235"/>
      <c r="W945" s="235"/>
      <c r="X945" s="235"/>
      <c r="Y945" s="235"/>
      <c r="Z945" s="235"/>
    </row>
    <row r="946">
      <c r="A946" s="293"/>
      <c r="B946" s="294"/>
      <c r="C946" s="235"/>
      <c r="D946" s="235"/>
      <c r="E946" s="235"/>
      <c r="F946" s="235"/>
      <c r="G946" s="235"/>
      <c r="H946" s="235"/>
      <c r="I946" s="235"/>
      <c r="J946" s="164"/>
      <c r="K946" s="235"/>
      <c r="L946" s="235"/>
      <c r="M946" s="235"/>
      <c r="N946" s="164"/>
      <c r="O946" s="235"/>
      <c r="P946" s="235"/>
      <c r="Q946" s="292"/>
      <c r="R946" s="292"/>
      <c r="S946" s="235"/>
      <c r="T946" s="235"/>
      <c r="U946" s="235"/>
      <c r="V946" s="235"/>
      <c r="W946" s="235"/>
      <c r="X946" s="235"/>
      <c r="Y946" s="235"/>
      <c r="Z946" s="235"/>
    </row>
    <row r="947">
      <c r="A947" s="293"/>
      <c r="B947" s="294"/>
      <c r="C947" s="235"/>
      <c r="D947" s="235"/>
      <c r="E947" s="235"/>
      <c r="F947" s="235"/>
      <c r="G947" s="235"/>
      <c r="H947" s="235"/>
      <c r="I947" s="235"/>
      <c r="J947" s="164"/>
      <c r="K947" s="235"/>
      <c r="L947" s="235"/>
      <c r="M947" s="235"/>
      <c r="N947" s="164"/>
      <c r="O947" s="235"/>
      <c r="P947" s="235"/>
      <c r="Q947" s="292"/>
      <c r="R947" s="292"/>
      <c r="S947" s="235"/>
      <c r="T947" s="235"/>
      <c r="U947" s="235"/>
      <c r="V947" s="235"/>
      <c r="W947" s="235"/>
      <c r="X947" s="235"/>
      <c r="Y947" s="235"/>
      <c r="Z947" s="235"/>
    </row>
    <row r="948">
      <c r="A948" s="293"/>
      <c r="B948" s="294"/>
      <c r="C948" s="235"/>
      <c r="D948" s="235"/>
      <c r="E948" s="235"/>
      <c r="F948" s="235"/>
      <c r="G948" s="235"/>
      <c r="H948" s="235"/>
      <c r="I948" s="235"/>
      <c r="J948" s="164"/>
      <c r="K948" s="235"/>
      <c r="L948" s="235"/>
      <c r="M948" s="235"/>
      <c r="N948" s="164"/>
      <c r="O948" s="235"/>
      <c r="P948" s="235"/>
      <c r="Q948" s="292"/>
      <c r="R948" s="292"/>
      <c r="S948" s="235"/>
      <c r="T948" s="235"/>
      <c r="U948" s="235"/>
      <c r="V948" s="235"/>
      <c r="W948" s="235"/>
      <c r="X948" s="235"/>
      <c r="Y948" s="235"/>
      <c r="Z948" s="235"/>
    </row>
    <row r="949">
      <c r="A949" s="293"/>
      <c r="B949" s="294"/>
      <c r="C949" s="235"/>
      <c r="D949" s="235"/>
      <c r="E949" s="235"/>
      <c r="F949" s="235"/>
      <c r="G949" s="235"/>
      <c r="H949" s="235"/>
      <c r="I949" s="235"/>
      <c r="J949" s="164"/>
      <c r="K949" s="235"/>
      <c r="L949" s="235"/>
      <c r="M949" s="235"/>
      <c r="N949" s="164"/>
      <c r="O949" s="235"/>
      <c r="P949" s="235"/>
      <c r="Q949" s="292"/>
      <c r="R949" s="292"/>
      <c r="S949" s="235"/>
      <c r="T949" s="235"/>
      <c r="U949" s="235"/>
      <c r="V949" s="235"/>
      <c r="W949" s="235"/>
      <c r="X949" s="235"/>
      <c r="Y949" s="235"/>
      <c r="Z949" s="235"/>
    </row>
    <row r="950">
      <c r="A950" s="293"/>
      <c r="B950" s="294"/>
      <c r="C950" s="235"/>
      <c r="D950" s="235"/>
      <c r="E950" s="235"/>
      <c r="F950" s="235"/>
      <c r="G950" s="235"/>
      <c r="H950" s="235"/>
      <c r="I950" s="235"/>
      <c r="J950" s="164"/>
      <c r="K950" s="235"/>
      <c r="L950" s="235"/>
      <c r="M950" s="235"/>
      <c r="N950" s="164"/>
      <c r="O950" s="235"/>
      <c r="P950" s="235"/>
      <c r="Q950" s="292"/>
      <c r="R950" s="292"/>
      <c r="S950" s="235"/>
      <c r="T950" s="235"/>
      <c r="U950" s="235"/>
      <c r="V950" s="235"/>
      <c r="W950" s="235"/>
      <c r="X950" s="235"/>
      <c r="Y950" s="235"/>
      <c r="Z950" s="235"/>
    </row>
    <row r="951">
      <c r="A951" s="293"/>
      <c r="B951" s="294"/>
      <c r="C951" s="235"/>
      <c r="D951" s="235"/>
      <c r="E951" s="235"/>
      <c r="F951" s="235"/>
      <c r="G951" s="235"/>
      <c r="H951" s="235"/>
      <c r="I951" s="235"/>
      <c r="J951" s="164"/>
      <c r="K951" s="235"/>
      <c r="L951" s="235"/>
      <c r="M951" s="235"/>
      <c r="N951" s="164"/>
      <c r="O951" s="235"/>
      <c r="P951" s="235"/>
      <c r="Q951" s="292"/>
      <c r="R951" s="292"/>
      <c r="S951" s="235"/>
      <c r="T951" s="235"/>
      <c r="U951" s="235"/>
      <c r="V951" s="235"/>
      <c r="W951" s="235"/>
      <c r="X951" s="235"/>
      <c r="Y951" s="235"/>
      <c r="Z951" s="235"/>
    </row>
    <row r="952">
      <c r="A952" s="293"/>
      <c r="B952" s="294"/>
      <c r="C952" s="235"/>
      <c r="D952" s="235"/>
      <c r="E952" s="235"/>
      <c r="F952" s="235"/>
      <c r="G952" s="235"/>
      <c r="H952" s="235"/>
      <c r="I952" s="235"/>
      <c r="J952" s="164"/>
      <c r="K952" s="235"/>
      <c r="L952" s="235"/>
      <c r="M952" s="235"/>
      <c r="N952" s="164"/>
      <c r="O952" s="235"/>
      <c r="P952" s="235"/>
      <c r="Q952" s="292"/>
      <c r="R952" s="292"/>
      <c r="S952" s="235"/>
      <c r="T952" s="235"/>
      <c r="U952" s="235"/>
      <c r="V952" s="235"/>
      <c r="W952" s="235"/>
      <c r="X952" s="235"/>
      <c r="Y952" s="235"/>
      <c r="Z952" s="235"/>
    </row>
    <row r="953">
      <c r="A953" s="235"/>
      <c r="B953" s="293"/>
      <c r="C953" s="235"/>
      <c r="D953" s="235"/>
      <c r="E953" s="235"/>
      <c r="F953" s="235"/>
      <c r="G953" s="235"/>
      <c r="H953" s="235"/>
      <c r="I953" s="235"/>
      <c r="J953" s="164"/>
      <c r="K953" s="235"/>
      <c r="L953" s="235"/>
      <c r="M953" s="235"/>
      <c r="N953" s="164"/>
      <c r="O953" s="235"/>
      <c r="P953" s="235"/>
      <c r="Q953" s="292"/>
      <c r="R953" s="292"/>
      <c r="S953" s="235"/>
      <c r="T953" s="235"/>
      <c r="U953" s="235"/>
      <c r="V953" s="235"/>
      <c r="W953" s="235"/>
      <c r="X953" s="235"/>
      <c r="Y953" s="235"/>
      <c r="Z953" s="235"/>
    </row>
    <row r="954">
      <c r="A954" s="293"/>
      <c r="B954" s="294"/>
      <c r="C954" s="235"/>
      <c r="D954" s="235"/>
      <c r="E954" s="235"/>
      <c r="F954" s="235"/>
      <c r="G954" s="235"/>
      <c r="H954" s="235"/>
      <c r="I954" s="235"/>
      <c r="J954" s="164"/>
      <c r="K954" s="235"/>
      <c r="L954" s="235"/>
      <c r="M954" s="235"/>
      <c r="N954" s="164"/>
      <c r="O954" s="235"/>
      <c r="P954" s="235"/>
      <c r="Q954" s="292"/>
      <c r="R954" s="292"/>
      <c r="S954" s="235"/>
      <c r="T954" s="235"/>
      <c r="U954" s="235"/>
      <c r="V954" s="235"/>
      <c r="W954" s="235"/>
      <c r="X954" s="235"/>
      <c r="Y954" s="235"/>
      <c r="Z954" s="235"/>
    </row>
    <row r="955">
      <c r="A955" s="235"/>
      <c r="B955" s="294"/>
      <c r="C955" s="235"/>
      <c r="D955" s="235"/>
      <c r="E955" s="235"/>
      <c r="F955" s="235"/>
      <c r="G955" s="235"/>
      <c r="H955" s="235"/>
      <c r="I955" s="235"/>
      <c r="J955" s="164"/>
      <c r="K955" s="235"/>
      <c r="L955" s="235"/>
      <c r="M955" s="235"/>
      <c r="N955" s="164"/>
      <c r="O955" s="235"/>
      <c r="P955" s="235"/>
      <c r="Q955" s="292"/>
      <c r="R955" s="292"/>
      <c r="S955" s="235"/>
      <c r="T955" s="235"/>
      <c r="U955" s="235"/>
      <c r="V955" s="235"/>
      <c r="W955" s="235"/>
      <c r="X955" s="235"/>
      <c r="Y955" s="235"/>
      <c r="Z955" s="235"/>
    </row>
    <row r="956">
      <c r="A956" s="235"/>
      <c r="B956" s="294"/>
      <c r="C956" s="235"/>
      <c r="D956" s="235"/>
      <c r="E956" s="235"/>
      <c r="F956" s="235"/>
      <c r="G956" s="235"/>
      <c r="H956" s="235"/>
      <c r="I956" s="235"/>
      <c r="J956" s="164"/>
      <c r="K956" s="235"/>
      <c r="L956" s="235"/>
      <c r="M956" s="235"/>
      <c r="N956" s="164"/>
      <c r="O956" s="235"/>
      <c r="P956" s="235"/>
      <c r="Q956" s="292"/>
      <c r="R956" s="292"/>
      <c r="S956" s="235"/>
      <c r="T956" s="235"/>
      <c r="U956" s="235"/>
      <c r="V956" s="235"/>
      <c r="W956" s="235"/>
      <c r="X956" s="235"/>
      <c r="Y956" s="235"/>
      <c r="Z956" s="235"/>
    </row>
    <row r="957">
      <c r="A957" s="293"/>
      <c r="B957" s="294"/>
      <c r="C957" s="235"/>
      <c r="D957" s="235"/>
      <c r="E957" s="235"/>
      <c r="F957" s="235"/>
      <c r="G957" s="235"/>
      <c r="H957" s="235"/>
      <c r="I957" s="235"/>
      <c r="J957" s="164"/>
      <c r="K957" s="235"/>
      <c r="L957" s="235"/>
      <c r="M957" s="235"/>
      <c r="N957" s="164"/>
      <c r="O957" s="235"/>
      <c r="P957" s="235"/>
      <c r="Q957" s="292"/>
      <c r="R957" s="292"/>
      <c r="S957" s="235"/>
      <c r="T957" s="235"/>
      <c r="U957" s="235"/>
      <c r="V957" s="235"/>
      <c r="W957" s="235"/>
      <c r="X957" s="235"/>
      <c r="Y957" s="235"/>
      <c r="Z957" s="235"/>
    </row>
    <row r="958">
      <c r="A958" s="293"/>
      <c r="B958" s="294"/>
      <c r="C958" s="235"/>
      <c r="D958" s="235"/>
      <c r="E958" s="235"/>
      <c r="F958" s="235"/>
      <c r="G958" s="235"/>
      <c r="H958" s="235"/>
      <c r="I958" s="235"/>
      <c r="J958" s="164"/>
      <c r="K958" s="235"/>
      <c r="L958" s="235"/>
      <c r="M958" s="235"/>
      <c r="N958" s="164"/>
      <c r="O958" s="235"/>
      <c r="P958" s="235"/>
      <c r="Q958" s="292"/>
      <c r="R958" s="292"/>
      <c r="S958" s="235"/>
      <c r="T958" s="235"/>
      <c r="U958" s="235"/>
      <c r="V958" s="235"/>
      <c r="W958" s="235"/>
      <c r="X958" s="235"/>
      <c r="Y958" s="235"/>
      <c r="Z958" s="235"/>
    </row>
    <row r="959">
      <c r="A959" s="293"/>
      <c r="B959" s="294"/>
      <c r="C959" s="235"/>
      <c r="D959" s="235"/>
      <c r="E959" s="235"/>
      <c r="F959" s="235"/>
      <c r="G959" s="235"/>
      <c r="H959" s="235"/>
      <c r="I959" s="235"/>
      <c r="J959" s="164"/>
      <c r="K959" s="235"/>
      <c r="L959" s="235"/>
      <c r="M959" s="235"/>
      <c r="N959" s="164"/>
      <c r="O959" s="235"/>
      <c r="P959" s="235"/>
      <c r="Q959" s="292"/>
      <c r="R959" s="292"/>
      <c r="S959" s="235"/>
      <c r="T959" s="235"/>
      <c r="U959" s="235"/>
      <c r="V959" s="235"/>
      <c r="W959" s="235"/>
      <c r="X959" s="235"/>
      <c r="Y959" s="235"/>
      <c r="Z959" s="235"/>
    </row>
    <row r="960">
      <c r="A960" s="293"/>
      <c r="B960" s="294"/>
      <c r="C960" s="235"/>
      <c r="D960" s="235"/>
      <c r="E960" s="235"/>
      <c r="F960" s="235"/>
      <c r="G960" s="235"/>
      <c r="H960" s="235"/>
      <c r="I960" s="235"/>
      <c r="J960" s="164"/>
      <c r="K960" s="235"/>
      <c r="L960" s="235"/>
      <c r="M960" s="235"/>
      <c r="N960" s="164"/>
      <c r="O960" s="235"/>
      <c r="P960" s="235"/>
      <c r="Q960" s="292"/>
      <c r="R960" s="292"/>
      <c r="S960" s="235"/>
      <c r="T960" s="235"/>
      <c r="U960" s="235"/>
      <c r="V960" s="235"/>
      <c r="W960" s="235"/>
      <c r="X960" s="235"/>
      <c r="Y960" s="235"/>
      <c r="Z960" s="235"/>
    </row>
    <row r="961">
      <c r="A961" s="293"/>
      <c r="B961" s="294"/>
      <c r="C961" s="235"/>
      <c r="D961" s="235"/>
      <c r="E961" s="235"/>
      <c r="F961" s="235"/>
      <c r="G961" s="235"/>
      <c r="H961" s="235"/>
      <c r="I961" s="235"/>
      <c r="J961" s="164"/>
      <c r="K961" s="235"/>
      <c r="L961" s="235"/>
      <c r="M961" s="235"/>
      <c r="N961" s="164"/>
      <c r="O961" s="235"/>
      <c r="P961" s="235"/>
      <c r="Q961" s="292"/>
      <c r="R961" s="292"/>
      <c r="S961" s="235"/>
      <c r="T961" s="235"/>
      <c r="U961" s="235"/>
      <c r="V961" s="235"/>
      <c r="W961" s="235"/>
      <c r="X961" s="235"/>
      <c r="Y961" s="235"/>
      <c r="Z961" s="235"/>
    </row>
    <row r="962">
      <c r="A962" s="235"/>
      <c r="B962" s="293"/>
      <c r="C962" s="235"/>
      <c r="D962" s="235"/>
      <c r="E962" s="235"/>
      <c r="F962" s="235"/>
      <c r="G962" s="235"/>
      <c r="H962" s="235"/>
      <c r="I962" s="235"/>
      <c r="J962" s="164"/>
      <c r="K962" s="235"/>
      <c r="L962" s="235"/>
      <c r="M962" s="235"/>
      <c r="N962" s="164"/>
      <c r="O962" s="235"/>
      <c r="P962" s="235"/>
      <c r="Q962" s="292"/>
      <c r="R962" s="292"/>
      <c r="S962" s="235"/>
      <c r="T962" s="235"/>
      <c r="U962" s="235"/>
      <c r="V962" s="235"/>
      <c r="W962" s="235"/>
      <c r="X962" s="235"/>
      <c r="Y962" s="235"/>
      <c r="Z962" s="235"/>
    </row>
    <row r="963">
      <c r="A963" s="235"/>
      <c r="B963" s="293"/>
      <c r="C963" s="235"/>
      <c r="D963" s="235"/>
      <c r="E963" s="235"/>
      <c r="F963" s="235"/>
      <c r="G963" s="235"/>
      <c r="H963" s="235"/>
      <c r="I963" s="235"/>
      <c r="J963" s="164"/>
      <c r="K963" s="235"/>
      <c r="L963" s="235"/>
      <c r="M963" s="235"/>
      <c r="N963" s="164"/>
      <c r="O963" s="235"/>
      <c r="P963" s="235"/>
      <c r="Q963" s="292"/>
      <c r="R963" s="292"/>
      <c r="S963" s="235"/>
      <c r="T963" s="235"/>
      <c r="U963" s="235"/>
      <c r="V963" s="235"/>
      <c r="W963" s="235"/>
      <c r="X963" s="235"/>
      <c r="Y963" s="235"/>
      <c r="Z963" s="235"/>
    </row>
    <row r="964">
      <c r="A964" s="235"/>
      <c r="B964" s="294"/>
      <c r="C964" s="235"/>
      <c r="D964" s="235"/>
      <c r="E964" s="235"/>
      <c r="F964" s="235"/>
      <c r="G964" s="235"/>
      <c r="H964" s="235"/>
      <c r="I964" s="235"/>
      <c r="J964" s="164"/>
      <c r="K964" s="235"/>
      <c r="L964" s="235"/>
      <c r="M964" s="235"/>
      <c r="N964" s="164"/>
      <c r="O964" s="235"/>
      <c r="P964" s="235"/>
      <c r="Q964" s="292"/>
      <c r="R964" s="292"/>
      <c r="S964" s="235"/>
      <c r="T964" s="235"/>
      <c r="U964" s="235"/>
      <c r="V964" s="235"/>
      <c r="W964" s="235"/>
      <c r="X964" s="235"/>
      <c r="Y964" s="235"/>
      <c r="Z964" s="235"/>
    </row>
    <row r="965">
      <c r="A965" s="235"/>
      <c r="B965" s="294"/>
      <c r="C965" s="235"/>
      <c r="D965" s="235"/>
      <c r="E965" s="235"/>
      <c r="F965" s="235"/>
      <c r="G965" s="235"/>
      <c r="H965" s="235"/>
      <c r="I965" s="235"/>
      <c r="J965" s="164"/>
      <c r="K965" s="235"/>
      <c r="L965" s="235"/>
      <c r="M965" s="235"/>
      <c r="N965" s="164"/>
      <c r="O965" s="235"/>
      <c r="P965" s="235"/>
      <c r="Q965" s="292"/>
      <c r="R965" s="292"/>
      <c r="S965" s="235"/>
      <c r="T965" s="235"/>
      <c r="U965" s="235"/>
      <c r="V965" s="235"/>
      <c r="W965" s="235"/>
      <c r="X965" s="235"/>
      <c r="Y965" s="235"/>
      <c r="Z965" s="235"/>
    </row>
    <row r="966">
      <c r="A966" s="235"/>
      <c r="B966" s="293"/>
      <c r="C966" s="235"/>
      <c r="D966" s="235"/>
      <c r="E966" s="235"/>
      <c r="F966" s="235"/>
      <c r="G966" s="235"/>
      <c r="H966" s="235"/>
      <c r="I966" s="235"/>
      <c r="J966" s="164"/>
      <c r="K966" s="235"/>
      <c r="L966" s="235"/>
      <c r="M966" s="235"/>
      <c r="N966" s="164"/>
      <c r="O966" s="235"/>
      <c r="P966" s="235"/>
      <c r="Q966" s="292"/>
      <c r="R966" s="292"/>
      <c r="S966" s="235"/>
      <c r="T966" s="235"/>
      <c r="U966" s="235"/>
      <c r="V966" s="235"/>
      <c r="W966" s="235"/>
      <c r="X966" s="235"/>
      <c r="Y966" s="235"/>
      <c r="Z966" s="235"/>
    </row>
    <row r="967">
      <c r="A967" s="235"/>
      <c r="B967" s="235"/>
      <c r="C967" s="235"/>
      <c r="D967" s="235"/>
      <c r="E967" s="235"/>
      <c r="F967" s="235"/>
      <c r="G967" s="235"/>
      <c r="H967" s="235"/>
      <c r="I967" s="235"/>
      <c r="J967" s="235"/>
      <c r="K967" s="235"/>
      <c r="L967" s="235"/>
      <c r="M967" s="235"/>
      <c r="N967" s="235"/>
      <c r="O967" s="235"/>
      <c r="P967" s="235"/>
      <c r="Q967" s="292"/>
      <c r="R967" s="292"/>
      <c r="S967" s="235"/>
      <c r="T967" s="235"/>
      <c r="U967" s="235"/>
      <c r="V967" s="235"/>
      <c r="W967" s="235"/>
      <c r="X967" s="235"/>
      <c r="Y967" s="235"/>
      <c r="Z967" s="235"/>
    </row>
    <row r="968">
      <c r="A968" s="235"/>
      <c r="B968" s="235"/>
      <c r="C968" s="235"/>
      <c r="D968" s="235"/>
      <c r="E968" s="235"/>
      <c r="F968" s="235"/>
      <c r="G968" s="235"/>
      <c r="H968" s="235"/>
      <c r="I968" s="235"/>
      <c r="J968" s="235"/>
      <c r="K968" s="235"/>
      <c r="L968" s="235"/>
      <c r="M968" s="235"/>
      <c r="N968" s="235"/>
      <c r="O968" s="235"/>
      <c r="P968" s="235"/>
      <c r="Q968" s="292"/>
      <c r="R968" s="292"/>
      <c r="S968" s="235"/>
      <c r="T968" s="235"/>
      <c r="U968" s="235"/>
      <c r="V968" s="235"/>
      <c r="W968" s="235"/>
      <c r="X968" s="235"/>
      <c r="Y968" s="235"/>
      <c r="Z968" s="235"/>
    </row>
    <row r="969">
      <c r="A969" s="235"/>
      <c r="B969" s="235"/>
      <c r="C969" s="235"/>
      <c r="D969" s="235"/>
      <c r="E969" s="235"/>
      <c r="F969" s="235"/>
      <c r="G969" s="235"/>
      <c r="H969" s="235"/>
      <c r="I969" s="235"/>
      <c r="J969" s="235"/>
      <c r="K969" s="235"/>
      <c r="L969" s="235"/>
      <c r="M969" s="235"/>
      <c r="N969" s="235"/>
      <c r="O969" s="235"/>
      <c r="P969" s="235"/>
      <c r="Q969" s="292"/>
      <c r="R969" s="292"/>
      <c r="S969" s="235"/>
      <c r="T969" s="235"/>
      <c r="U969" s="235"/>
      <c r="V969" s="235"/>
      <c r="W969" s="235"/>
      <c r="X969" s="235"/>
      <c r="Y969" s="235"/>
      <c r="Z969" s="235"/>
    </row>
    <row r="970">
      <c r="A970" s="235"/>
      <c r="B970" s="235"/>
      <c r="C970" s="235"/>
      <c r="D970" s="235"/>
      <c r="E970" s="235"/>
      <c r="F970" s="235"/>
      <c r="G970" s="235"/>
      <c r="H970" s="235"/>
      <c r="I970" s="235"/>
      <c r="J970" s="235"/>
      <c r="K970" s="235"/>
      <c r="L970" s="235"/>
      <c r="M970" s="235"/>
      <c r="N970" s="235"/>
      <c r="O970" s="235"/>
      <c r="P970" s="235"/>
      <c r="Q970" s="292"/>
      <c r="R970" s="292"/>
      <c r="S970" s="235"/>
      <c r="T970" s="235"/>
      <c r="U970" s="235"/>
      <c r="V970" s="235"/>
      <c r="W970" s="235"/>
      <c r="X970" s="235"/>
      <c r="Y970" s="235"/>
      <c r="Z970" s="235"/>
    </row>
    <row r="971">
      <c r="A971" s="235"/>
      <c r="B971" s="235"/>
      <c r="C971" s="235"/>
      <c r="D971" s="235"/>
      <c r="E971" s="235"/>
      <c r="F971" s="235"/>
      <c r="G971" s="235"/>
      <c r="H971" s="235"/>
      <c r="I971" s="235"/>
      <c r="J971" s="235"/>
      <c r="K971" s="235"/>
      <c r="L971" s="235"/>
      <c r="M971" s="235"/>
      <c r="N971" s="235"/>
      <c r="O971" s="235"/>
      <c r="P971" s="235"/>
      <c r="Q971" s="292"/>
      <c r="R971" s="292"/>
      <c r="S971" s="235"/>
      <c r="T971" s="235"/>
      <c r="U971" s="235"/>
      <c r="V971" s="235"/>
      <c r="W971" s="235"/>
      <c r="X971" s="235"/>
      <c r="Y971" s="235"/>
      <c r="Z971" s="235"/>
    </row>
    <row r="972">
      <c r="A972" s="235"/>
      <c r="B972" s="235"/>
      <c r="C972" s="235"/>
      <c r="D972" s="235"/>
      <c r="E972" s="235"/>
      <c r="F972" s="235"/>
      <c r="G972" s="235"/>
      <c r="H972" s="235"/>
      <c r="I972" s="235"/>
      <c r="J972" s="235"/>
      <c r="K972" s="235"/>
      <c r="L972" s="235"/>
      <c r="M972" s="235"/>
      <c r="N972" s="235"/>
      <c r="O972" s="235"/>
      <c r="P972" s="235"/>
      <c r="Q972" s="292"/>
      <c r="R972" s="292"/>
      <c r="S972" s="235"/>
      <c r="T972" s="235"/>
      <c r="U972" s="235"/>
      <c r="V972" s="235"/>
      <c r="W972" s="235"/>
      <c r="X972" s="235"/>
      <c r="Y972" s="235"/>
      <c r="Z972" s="235"/>
    </row>
    <row r="973">
      <c r="A973" s="235"/>
      <c r="B973" s="235"/>
      <c r="C973" s="235"/>
      <c r="D973" s="235"/>
      <c r="E973" s="235"/>
      <c r="F973" s="235"/>
      <c r="G973" s="235"/>
      <c r="H973" s="235"/>
      <c r="I973" s="235"/>
      <c r="J973" s="235"/>
      <c r="K973" s="235"/>
      <c r="L973" s="235"/>
      <c r="M973" s="235"/>
      <c r="N973" s="235"/>
      <c r="O973" s="235"/>
      <c r="P973" s="235"/>
      <c r="Q973" s="292"/>
      <c r="R973" s="292"/>
      <c r="S973" s="235"/>
      <c r="T973" s="235"/>
      <c r="U973" s="235"/>
      <c r="V973" s="235"/>
      <c r="W973" s="235"/>
      <c r="X973" s="235"/>
      <c r="Y973" s="235"/>
      <c r="Z973" s="235"/>
    </row>
    <row r="974">
      <c r="A974" s="235"/>
      <c r="B974" s="235"/>
      <c r="C974" s="235"/>
      <c r="D974" s="235"/>
      <c r="E974" s="235"/>
      <c r="F974" s="235"/>
      <c r="G974" s="235"/>
      <c r="H974" s="235"/>
      <c r="I974" s="235"/>
      <c r="J974" s="235"/>
      <c r="K974" s="235"/>
      <c r="L974" s="235"/>
      <c r="M974" s="235"/>
      <c r="N974" s="235"/>
      <c r="O974" s="235"/>
      <c r="P974" s="235"/>
      <c r="Q974" s="292"/>
      <c r="R974" s="292"/>
      <c r="S974" s="235"/>
      <c r="T974" s="235"/>
      <c r="U974" s="235"/>
      <c r="V974" s="235"/>
      <c r="W974" s="235"/>
      <c r="X974" s="235"/>
      <c r="Y974" s="235"/>
      <c r="Z974" s="235"/>
    </row>
    <row r="975">
      <c r="A975" s="235"/>
      <c r="B975" s="235"/>
      <c r="C975" s="235"/>
      <c r="D975" s="235"/>
      <c r="E975" s="235"/>
      <c r="F975" s="235"/>
      <c r="G975" s="235"/>
      <c r="H975" s="235"/>
      <c r="I975" s="235"/>
      <c r="J975" s="235"/>
      <c r="K975" s="235"/>
      <c r="L975" s="235"/>
      <c r="M975" s="235"/>
      <c r="N975" s="235"/>
      <c r="O975" s="235"/>
      <c r="P975" s="235"/>
      <c r="Q975" s="292"/>
      <c r="R975" s="292"/>
      <c r="S975" s="235"/>
      <c r="T975" s="235"/>
      <c r="U975" s="235"/>
      <c r="V975" s="235"/>
      <c r="W975" s="235"/>
      <c r="X975" s="235"/>
      <c r="Y975" s="235"/>
      <c r="Z975" s="235"/>
    </row>
    <row r="976">
      <c r="A976" s="235"/>
      <c r="B976" s="235"/>
      <c r="C976" s="235"/>
      <c r="D976" s="235"/>
      <c r="E976" s="235"/>
      <c r="F976" s="235"/>
      <c r="G976" s="235"/>
      <c r="H976" s="235"/>
      <c r="I976" s="235"/>
      <c r="J976" s="235"/>
      <c r="K976" s="235"/>
      <c r="L976" s="235"/>
      <c r="M976" s="235"/>
      <c r="N976" s="235"/>
      <c r="O976" s="235"/>
      <c r="P976" s="235"/>
      <c r="Q976" s="292"/>
      <c r="R976" s="292"/>
      <c r="S976" s="235"/>
      <c r="T976" s="235"/>
      <c r="U976" s="235"/>
      <c r="V976" s="235"/>
      <c r="W976" s="235"/>
      <c r="X976" s="235"/>
      <c r="Y976" s="235"/>
      <c r="Z976" s="235"/>
    </row>
    <row r="977">
      <c r="A977" s="235"/>
      <c r="B977" s="235"/>
      <c r="C977" s="235"/>
      <c r="D977" s="235"/>
      <c r="E977" s="235"/>
      <c r="F977" s="235"/>
      <c r="G977" s="235"/>
      <c r="H977" s="235"/>
      <c r="I977" s="235"/>
      <c r="J977" s="235"/>
      <c r="K977" s="235"/>
      <c r="L977" s="235"/>
      <c r="M977" s="235"/>
      <c r="N977" s="235"/>
      <c r="O977" s="235"/>
      <c r="P977" s="235"/>
      <c r="Q977" s="292"/>
      <c r="R977" s="292"/>
      <c r="S977" s="235"/>
      <c r="T977" s="235"/>
      <c r="U977" s="235"/>
      <c r="V977" s="235"/>
      <c r="W977" s="235"/>
      <c r="X977" s="235"/>
      <c r="Y977" s="235"/>
      <c r="Z977" s="235"/>
    </row>
    <row r="978">
      <c r="A978" s="235"/>
      <c r="B978" s="235"/>
      <c r="C978" s="235"/>
      <c r="D978" s="235"/>
      <c r="E978" s="235"/>
      <c r="F978" s="235"/>
      <c r="G978" s="235"/>
      <c r="H978" s="235"/>
      <c r="I978" s="235"/>
      <c r="J978" s="235"/>
      <c r="K978" s="235"/>
      <c r="L978" s="235"/>
      <c r="M978" s="235"/>
      <c r="N978" s="235"/>
      <c r="O978" s="235"/>
      <c r="P978" s="235"/>
      <c r="Q978" s="292"/>
      <c r="R978" s="292"/>
      <c r="S978" s="235"/>
      <c r="T978" s="235"/>
      <c r="U978" s="235"/>
      <c r="V978" s="235"/>
      <c r="W978" s="235"/>
      <c r="X978" s="235"/>
      <c r="Y978" s="235"/>
      <c r="Z978" s="235"/>
    </row>
    <row r="979">
      <c r="A979" s="235"/>
      <c r="B979" s="235"/>
      <c r="C979" s="235"/>
      <c r="D979" s="235"/>
      <c r="E979" s="235"/>
      <c r="F979" s="235"/>
      <c r="G979" s="235"/>
      <c r="H979" s="235"/>
      <c r="I979" s="235"/>
      <c r="J979" s="235"/>
      <c r="K979" s="235"/>
      <c r="L979" s="235"/>
      <c r="M979" s="235"/>
      <c r="N979" s="235"/>
      <c r="O979" s="235"/>
      <c r="P979" s="235"/>
      <c r="Q979" s="292"/>
      <c r="R979" s="292"/>
      <c r="S979" s="235"/>
      <c r="T979" s="235"/>
      <c r="U979" s="235"/>
      <c r="V979" s="235"/>
      <c r="W979" s="235"/>
      <c r="X979" s="235"/>
      <c r="Y979" s="235"/>
      <c r="Z979" s="235"/>
    </row>
    <row r="980">
      <c r="A980" s="235"/>
      <c r="B980" s="235"/>
      <c r="C980" s="235"/>
      <c r="D980" s="235"/>
      <c r="E980" s="235"/>
      <c r="F980" s="235"/>
      <c r="G980" s="235"/>
      <c r="H980" s="235"/>
      <c r="I980" s="235"/>
      <c r="J980" s="235"/>
      <c r="K980" s="235"/>
      <c r="L980" s="235"/>
      <c r="M980" s="235"/>
      <c r="N980" s="235"/>
      <c r="O980" s="235"/>
      <c r="P980" s="235"/>
      <c r="Q980" s="292"/>
      <c r="R980" s="292"/>
      <c r="S980" s="235"/>
      <c r="T980" s="235"/>
      <c r="U980" s="235"/>
      <c r="V980" s="235"/>
      <c r="W980" s="235"/>
      <c r="X980" s="235"/>
      <c r="Y980" s="235"/>
      <c r="Z980" s="235"/>
    </row>
    <row r="981">
      <c r="A981" s="235"/>
      <c r="B981" s="235"/>
      <c r="C981" s="235"/>
      <c r="D981" s="235"/>
      <c r="E981" s="235"/>
      <c r="F981" s="235"/>
      <c r="G981" s="235"/>
      <c r="H981" s="235"/>
      <c r="I981" s="235"/>
      <c r="J981" s="235"/>
      <c r="K981" s="235"/>
      <c r="L981" s="235"/>
      <c r="M981" s="235"/>
      <c r="N981" s="235"/>
      <c r="O981" s="235"/>
      <c r="P981" s="235"/>
      <c r="Q981" s="292"/>
      <c r="R981" s="292"/>
      <c r="S981" s="235"/>
      <c r="T981" s="235"/>
      <c r="U981" s="235"/>
      <c r="V981" s="235"/>
      <c r="W981" s="235"/>
      <c r="X981" s="235"/>
      <c r="Y981" s="235"/>
      <c r="Z981" s="235"/>
    </row>
    <row r="982">
      <c r="A982" s="235"/>
      <c r="B982" s="235"/>
      <c r="C982" s="235"/>
      <c r="D982" s="235"/>
      <c r="E982" s="235"/>
      <c r="F982" s="235"/>
      <c r="G982" s="235"/>
      <c r="H982" s="235"/>
      <c r="I982" s="235"/>
      <c r="J982" s="235"/>
      <c r="K982" s="235"/>
      <c r="L982" s="235"/>
      <c r="M982" s="235"/>
      <c r="N982" s="235"/>
      <c r="O982" s="235"/>
      <c r="P982" s="235"/>
      <c r="Q982" s="292"/>
      <c r="R982" s="292"/>
      <c r="S982" s="235"/>
      <c r="T982" s="235"/>
      <c r="U982" s="235"/>
      <c r="V982" s="235"/>
      <c r="W982" s="235"/>
      <c r="X982" s="235"/>
      <c r="Y982" s="235"/>
      <c r="Z982" s="235"/>
    </row>
    <row r="983">
      <c r="A983" s="235"/>
      <c r="B983" s="235"/>
      <c r="C983" s="235"/>
      <c r="D983" s="235"/>
      <c r="E983" s="235"/>
      <c r="F983" s="235"/>
      <c r="G983" s="235"/>
      <c r="H983" s="235"/>
      <c r="I983" s="235"/>
      <c r="J983" s="235"/>
      <c r="K983" s="235"/>
      <c r="L983" s="235"/>
      <c r="M983" s="235"/>
      <c r="N983" s="235"/>
      <c r="O983" s="235"/>
      <c r="P983" s="235"/>
      <c r="Q983" s="292"/>
      <c r="R983" s="292"/>
      <c r="S983" s="235"/>
      <c r="T983" s="235"/>
      <c r="U983" s="235"/>
      <c r="V983" s="235"/>
      <c r="W983" s="235"/>
      <c r="X983" s="235"/>
      <c r="Y983" s="235"/>
      <c r="Z983" s="235"/>
    </row>
    <row r="984">
      <c r="A984" s="235"/>
      <c r="B984" s="235"/>
      <c r="C984" s="235"/>
      <c r="D984" s="235"/>
      <c r="E984" s="235"/>
      <c r="F984" s="235"/>
      <c r="G984" s="235"/>
      <c r="H984" s="235"/>
      <c r="I984" s="235"/>
      <c r="J984" s="235"/>
      <c r="K984" s="235"/>
      <c r="L984" s="235"/>
      <c r="M984" s="235"/>
      <c r="N984" s="235"/>
      <c r="O984" s="235"/>
      <c r="P984" s="235"/>
      <c r="Q984" s="292"/>
      <c r="R984" s="292"/>
      <c r="S984" s="235"/>
      <c r="T984" s="235"/>
      <c r="U984" s="235"/>
      <c r="V984" s="235"/>
      <c r="W984" s="235"/>
      <c r="X984" s="235"/>
      <c r="Y984" s="235"/>
      <c r="Z984" s="235"/>
    </row>
    <row r="985">
      <c r="A985" s="235"/>
      <c r="B985" s="235"/>
      <c r="C985" s="235"/>
      <c r="D985" s="235"/>
      <c r="E985" s="235"/>
      <c r="F985" s="235"/>
      <c r="G985" s="235"/>
      <c r="H985" s="235"/>
      <c r="I985" s="235"/>
      <c r="J985" s="235"/>
      <c r="K985" s="235"/>
      <c r="L985" s="235"/>
      <c r="M985" s="235"/>
      <c r="N985" s="235"/>
      <c r="O985" s="235"/>
      <c r="P985" s="235"/>
      <c r="Q985" s="292"/>
      <c r="R985" s="292"/>
      <c r="S985" s="235"/>
      <c r="T985" s="235"/>
      <c r="U985" s="235"/>
      <c r="V985" s="235"/>
      <c r="W985" s="235"/>
      <c r="X985" s="235"/>
      <c r="Y985" s="235"/>
      <c r="Z985" s="235"/>
    </row>
    <row r="986">
      <c r="A986" s="235"/>
      <c r="B986" s="235"/>
      <c r="C986" s="235"/>
      <c r="D986" s="235"/>
      <c r="E986" s="235"/>
      <c r="F986" s="235"/>
      <c r="G986" s="235"/>
      <c r="H986" s="235"/>
      <c r="I986" s="235"/>
      <c r="J986" s="235"/>
      <c r="K986" s="235"/>
      <c r="L986" s="235"/>
      <c r="M986" s="235"/>
      <c r="N986" s="235"/>
      <c r="O986" s="235"/>
      <c r="P986" s="235"/>
      <c r="Q986" s="292"/>
      <c r="R986" s="292"/>
      <c r="S986" s="235"/>
      <c r="T986" s="235"/>
      <c r="U986" s="235"/>
      <c r="V986" s="235"/>
      <c r="W986" s="235"/>
      <c r="X986" s="235"/>
      <c r="Y986" s="235"/>
      <c r="Z986" s="235"/>
    </row>
    <row r="987">
      <c r="A987" s="235"/>
      <c r="B987" s="235"/>
      <c r="C987" s="235"/>
      <c r="D987" s="235"/>
      <c r="E987" s="235"/>
      <c r="F987" s="235"/>
      <c r="G987" s="235"/>
      <c r="H987" s="235"/>
      <c r="I987" s="235"/>
      <c r="J987" s="235"/>
      <c r="K987" s="235"/>
      <c r="L987" s="235"/>
      <c r="M987" s="235"/>
      <c r="N987" s="235"/>
      <c r="O987" s="235"/>
      <c r="P987" s="235"/>
      <c r="Q987" s="292"/>
      <c r="R987" s="292"/>
      <c r="S987" s="235"/>
      <c r="T987" s="235"/>
      <c r="U987" s="235"/>
      <c r="V987" s="235"/>
      <c r="W987" s="235"/>
      <c r="X987" s="235"/>
      <c r="Y987" s="235"/>
      <c r="Z987" s="235"/>
    </row>
    <row r="988">
      <c r="A988" s="235"/>
      <c r="B988" s="235"/>
      <c r="C988" s="235"/>
      <c r="D988" s="235"/>
      <c r="E988" s="235"/>
      <c r="F988" s="235"/>
      <c r="G988" s="235"/>
      <c r="H988" s="235"/>
      <c r="I988" s="235"/>
      <c r="J988" s="235"/>
      <c r="K988" s="235"/>
      <c r="L988" s="235"/>
      <c r="M988" s="235"/>
      <c r="N988" s="235"/>
      <c r="O988" s="235"/>
      <c r="P988" s="235"/>
      <c r="Q988" s="292"/>
      <c r="R988" s="292"/>
      <c r="S988" s="235"/>
      <c r="T988" s="235"/>
      <c r="U988" s="235"/>
      <c r="V988" s="235"/>
      <c r="W988" s="235"/>
      <c r="X988" s="235"/>
      <c r="Y988" s="235"/>
      <c r="Z988" s="235"/>
    </row>
    <row r="989">
      <c r="A989" s="235"/>
      <c r="B989" s="235"/>
      <c r="C989" s="235"/>
      <c r="D989" s="235"/>
      <c r="E989" s="235"/>
      <c r="F989" s="235"/>
      <c r="G989" s="235"/>
      <c r="H989" s="235"/>
      <c r="I989" s="235"/>
      <c r="J989" s="235"/>
      <c r="K989" s="235"/>
      <c r="L989" s="235"/>
      <c r="M989" s="235"/>
      <c r="N989" s="235"/>
      <c r="O989" s="235"/>
      <c r="P989" s="235"/>
      <c r="Q989" s="292"/>
      <c r="R989" s="292"/>
      <c r="S989" s="235"/>
      <c r="T989" s="235"/>
      <c r="U989" s="235"/>
      <c r="V989" s="235"/>
      <c r="W989" s="235"/>
      <c r="X989" s="235"/>
      <c r="Y989" s="235"/>
      <c r="Z989" s="235"/>
    </row>
    <row r="990">
      <c r="A990" s="235"/>
      <c r="B990" s="235"/>
      <c r="C990" s="235"/>
      <c r="D990" s="235"/>
      <c r="E990" s="235"/>
      <c r="F990" s="235"/>
      <c r="G990" s="235"/>
      <c r="H990" s="235"/>
      <c r="I990" s="235"/>
      <c r="J990" s="235"/>
      <c r="K990" s="235"/>
      <c r="L990" s="235"/>
      <c r="M990" s="235"/>
      <c r="N990" s="235"/>
      <c r="O990" s="235"/>
      <c r="P990" s="235"/>
      <c r="Q990" s="292"/>
      <c r="R990" s="292"/>
      <c r="S990" s="235"/>
      <c r="T990" s="235"/>
      <c r="U990" s="235"/>
      <c r="V990" s="235"/>
      <c r="W990" s="235"/>
      <c r="X990" s="235"/>
      <c r="Y990" s="235"/>
      <c r="Z990" s="235"/>
    </row>
    <row r="991">
      <c r="A991" s="235"/>
      <c r="B991" s="235"/>
      <c r="C991" s="235"/>
      <c r="D991" s="235"/>
      <c r="E991" s="235"/>
      <c r="F991" s="235"/>
      <c r="G991" s="235"/>
      <c r="H991" s="235"/>
      <c r="I991" s="235"/>
      <c r="J991" s="235"/>
      <c r="K991" s="235"/>
      <c r="L991" s="235"/>
      <c r="M991" s="235"/>
      <c r="N991" s="235"/>
      <c r="O991" s="235"/>
      <c r="P991" s="235"/>
      <c r="Q991" s="292"/>
      <c r="R991" s="292"/>
      <c r="S991" s="235"/>
      <c r="T991" s="235"/>
      <c r="U991" s="235"/>
      <c r="V991" s="235"/>
      <c r="W991" s="235"/>
      <c r="X991" s="235"/>
      <c r="Y991" s="235"/>
      <c r="Z991" s="235"/>
    </row>
    <row r="992">
      <c r="A992" s="235"/>
      <c r="B992" s="235"/>
      <c r="C992" s="235"/>
      <c r="D992" s="235"/>
      <c r="E992" s="235"/>
      <c r="F992" s="235"/>
      <c r="G992" s="235"/>
      <c r="H992" s="235"/>
      <c r="I992" s="235"/>
      <c r="J992" s="235"/>
      <c r="K992" s="235"/>
      <c r="L992" s="235"/>
      <c r="M992" s="235"/>
      <c r="N992" s="235"/>
      <c r="O992" s="235"/>
      <c r="P992" s="235"/>
      <c r="Q992" s="292"/>
      <c r="R992" s="292"/>
      <c r="S992" s="235"/>
      <c r="T992" s="235"/>
      <c r="U992" s="235"/>
      <c r="V992" s="235"/>
      <c r="W992" s="235"/>
      <c r="X992" s="235"/>
      <c r="Y992" s="235"/>
      <c r="Z992" s="235"/>
    </row>
    <row r="993">
      <c r="A993" s="235"/>
      <c r="B993" s="235"/>
      <c r="C993" s="235"/>
      <c r="D993" s="235"/>
      <c r="E993" s="235"/>
      <c r="F993" s="235"/>
      <c r="G993" s="235"/>
      <c r="H993" s="235"/>
      <c r="I993" s="235"/>
      <c r="J993" s="235"/>
      <c r="K993" s="235"/>
      <c r="L993" s="235"/>
      <c r="M993" s="235"/>
      <c r="N993" s="235"/>
      <c r="O993" s="235"/>
      <c r="P993" s="235"/>
      <c r="Q993" s="292"/>
      <c r="R993" s="292"/>
      <c r="S993" s="235"/>
      <c r="T993" s="235"/>
      <c r="U993" s="235"/>
      <c r="V993" s="235"/>
      <c r="W993" s="235"/>
      <c r="X993" s="235"/>
      <c r="Y993" s="235"/>
      <c r="Z993" s="235"/>
    </row>
    <row r="994">
      <c r="A994" s="235"/>
      <c r="B994" s="235"/>
      <c r="C994" s="235"/>
      <c r="D994" s="235"/>
      <c r="E994" s="235"/>
      <c r="F994" s="235"/>
      <c r="G994" s="235"/>
      <c r="H994" s="235"/>
      <c r="I994" s="235"/>
      <c r="J994" s="235"/>
      <c r="K994" s="235"/>
      <c r="L994" s="235"/>
      <c r="M994" s="235"/>
      <c r="N994" s="235"/>
      <c r="O994" s="235"/>
      <c r="P994" s="235"/>
      <c r="Q994" s="292"/>
      <c r="R994" s="292"/>
      <c r="S994" s="235"/>
      <c r="T994" s="235"/>
      <c r="U994" s="235"/>
      <c r="V994" s="235"/>
      <c r="W994" s="235"/>
      <c r="X994" s="235"/>
      <c r="Y994" s="235"/>
      <c r="Z994" s="235"/>
    </row>
    <row r="995">
      <c r="A995" s="235"/>
      <c r="B995" s="235"/>
      <c r="C995" s="235"/>
      <c r="D995" s="235"/>
      <c r="E995" s="235"/>
      <c r="F995" s="235"/>
      <c r="G995" s="235"/>
      <c r="H995" s="235"/>
      <c r="I995" s="235"/>
      <c r="J995" s="235"/>
      <c r="K995" s="235"/>
      <c r="L995" s="235"/>
      <c r="M995" s="235"/>
      <c r="N995" s="235"/>
      <c r="O995" s="235"/>
      <c r="P995" s="235"/>
      <c r="Q995" s="292"/>
      <c r="R995" s="292"/>
      <c r="S995" s="235"/>
      <c r="T995" s="235"/>
      <c r="U995" s="235"/>
      <c r="V995" s="235"/>
      <c r="W995" s="235"/>
      <c r="X995" s="235"/>
      <c r="Y995" s="235"/>
      <c r="Z995" s="235"/>
    </row>
    <row r="996">
      <c r="A996" s="235"/>
      <c r="B996" s="235"/>
      <c r="C996" s="235"/>
      <c r="D996" s="235"/>
      <c r="E996" s="235"/>
      <c r="F996" s="235"/>
      <c r="G996" s="235"/>
      <c r="H996" s="235"/>
      <c r="I996" s="235"/>
      <c r="J996" s="235"/>
      <c r="K996" s="235"/>
      <c r="L996" s="235"/>
      <c r="M996" s="235"/>
      <c r="N996" s="235"/>
      <c r="O996" s="235"/>
      <c r="P996" s="235"/>
      <c r="Q996" s="292"/>
      <c r="R996" s="292"/>
      <c r="S996" s="235"/>
      <c r="T996" s="235"/>
      <c r="U996" s="235"/>
      <c r="V996" s="235"/>
      <c r="W996" s="235"/>
      <c r="X996" s="235"/>
      <c r="Y996" s="235"/>
      <c r="Z996" s="235"/>
    </row>
    <row r="997">
      <c r="A997" s="235"/>
      <c r="B997" s="235"/>
      <c r="C997" s="235"/>
      <c r="D997" s="235"/>
      <c r="E997" s="235"/>
      <c r="F997" s="235"/>
      <c r="G997" s="235"/>
      <c r="H997" s="235"/>
      <c r="I997" s="235"/>
      <c r="J997" s="235"/>
      <c r="K997" s="235"/>
      <c r="L997" s="235"/>
      <c r="M997" s="235"/>
      <c r="N997" s="235"/>
      <c r="O997" s="235"/>
      <c r="P997" s="235"/>
      <c r="Q997" s="292"/>
      <c r="R997" s="292"/>
      <c r="S997" s="235"/>
      <c r="T997" s="235"/>
      <c r="U997" s="235"/>
      <c r="V997" s="235"/>
      <c r="W997" s="235"/>
      <c r="X997" s="235"/>
      <c r="Y997" s="235"/>
      <c r="Z997" s="235"/>
    </row>
    <row r="998">
      <c r="A998" s="235"/>
      <c r="B998" s="235"/>
      <c r="C998" s="235"/>
      <c r="D998" s="235"/>
      <c r="E998" s="235"/>
      <c r="F998" s="235"/>
      <c r="G998" s="235"/>
      <c r="H998" s="235"/>
      <c r="I998" s="235"/>
      <c r="J998" s="235"/>
      <c r="K998" s="235"/>
      <c r="L998" s="235"/>
      <c r="M998" s="235"/>
      <c r="N998" s="235"/>
      <c r="O998" s="235"/>
      <c r="P998" s="235"/>
      <c r="Q998" s="292"/>
      <c r="R998" s="292"/>
      <c r="S998" s="235"/>
      <c r="T998" s="235"/>
      <c r="U998" s="235"/>
      <c r="V998" s="235"/>
      <c r="W998" s="235"/>
      <c r="X998" s="235"/>
      <c r="Y998" s="235"/>
      <c r="Z998" s="235"/>
    </row>
    <row r="999">
      <c r="A999" s="235"/>
      <c r="B999" s="235"/>
      <c r="C999" s="235"/>
      <c r="D999" s="235"/>
      <c r="E999" s="235"/>
      <c r="F999" s="235"/>
      <c r="G999" s="235"/>
      <c r="H999" s="235"/>
      <c r="I999" s="235"/>
      <c r="J999" s="235"/>
      <c r="K999" s="235"/>
      <c r="L999" s="235"/>
      <c r="M999" s="235"/>
      <c r="N999" s="235"/>
      <c r="O999" s="235"/>
      <c r="P999" s="235"/>
      <c r="Q999" s="292"/>
      <c r="R999" s="292"/>
      <c r="S999" s="235"/>
      <c r="T999" s="235"/>
      <c r="U999" s="235"/>
      <c r="V999" s="235"/>
      <c r="W999" s="235"/>
      <c r="X999" s="235"/>
      <c r="Y999" s="235"/>
      <c r="Z999" s="235"/>
    </row>
    <row r="1000">
      <c r="Q1000" s="240"/>
      <c r="R1000" s="240"/>
      <c r="T1000" s="502"/>
    </row>
    <row r="1001">
      <c r="Q1001" s="240"/>
      <c r="R1001" s="240"/>
      <c r="T1001" s="502"/>
    </row>
    <row r="1002">
      <c r="Q1002" s="240"/>
      <c r="R1002" s="240"/>
      <c r="T1002" s="502"/>
    </row>
    <row r="1003">
      <c r="Q1003" s="240"/>
      <c r="R1003" s="240"/>
      <c r="T1003" s="502"/>
    </row>
    <row r="1004">
      <c r="Q1004" s="240"/>
      <c r="R1004" s="240"/>
      <c r="T1004" s="502"/>
    </row>
    <row r="1005">
      <c r="Q1005" s="240"/>
      <c r="R1005" s="240"/>
      <c r="T1005" s="502"/>
    </row>
    <row r="1006">
      <c r="Q1006" s="240"/>
      <c r="R1006" s="240"/>
      <c r="T1006" s="502"/>
    </row>
    <row r="1007">
      <c r="Q1007" s="240"/>
      <c r="R1007" s="240"/>
      <c r="T1007" s="502"/>
    </row>
    <row r="1008">
      <c r="Q1008" s="240"/>
      <c r="R1008" s="240"/>
      <c r="T1008" s="502"/>
    </row>
    <row r="1009">
      <c r="Q1009" s="240"/>
      <c r="R1009" s="240"/>
      <c r="T1009" s="502"/>
    </row>
    <row r="1010">
      <c r="Q1010" s="240"/>
      <c r="R1010" s="240"/>
      <c r="T1010" s="502"/>
    </row>
    <row r="1011">
      <c r="Q1011" s="240"/>
      <c r="R1011" s="240"/>
      <c r="T1011" s="502"/>
    </row>
    <row r="1012">
      <c r="Q1012" s="240"/>
      <c r="R1012" s="240"/>
      <c r="T1012" s="502"/>
    </row>
    <row r="1013">
      <c r="Q1013" s="240"/>
      <c r="R1013" s="240"/>
      <c r="T1013" s="502"/>
    </row>
    <row r="1014">
      <c r="Q1014" s="240"/>
      <c r="R1014" s="240"/>
      <c r="T1014" s="502"/>
    </row>
    <row r="1015">
      <c r="Q1015" s="240"/>
      <c r="R1015" s="240"/>
      <c r="T1015" s="502"/>
    </row>
    <row r="1016">
      <c r="Q1016" s="240"/>
      <c r="R1016" s="240"/>
      <c r="T1016" s="502"/>
    </row>
    <row r="1017">
      <c r="Q1017" s="240"/>
      <c r="R1017" s="240"/>
      <c r="T1017" s="502"/>
    </row>
    <row r="1018">
      <c r="Q1018" s="240"/>
      <c r="R1018" s="240"/>
      <c r="T1018" s="502"/>
    </row>
    <row r="1019">
      <c r="Q1019" s="240"/>
      <c r="R1019" s="240"/>
      <c r="T1019" s="502"/>
    </row>
    <row r="1020">
      <c r="Q1020" s="240"/>
      <c r="R1020" s="240"/>
      <c r="T1020" s="502"/>
    </row>
    <row r="1021">
      <c r="Q1021" s="240"/>
      <c r="R1021" s="240"/>
      <c r="T1021" s="502"/>
    </row>
    <row r="1022">
      <c r="Q1022" s="240"/>
      <c r="R1022" s="240"/>
      <c r="T1022" s="502"/>
    </row>
    <row r="1023">
      <c r="Q1023" s="240"/>
      <c r="R1023" s="240"/>
      <c r="T1023" s="502"/>
    </row>
    <row r="1024">
      <c r="Q1024" s="240"/>
      <c r="R1024" s="240"/>
      <c r="T1024" s="502"/>
    </row>
    <row r="1025">
      <c r="Q1025" s="240"/>
      <c r="R1025" s="240"/>
      <c r="T1025" s="502"/>
    </row>
    <row r="1026">
      <c r="Q1026" s="240"/>
      <c r="R1026" s="240"/>
      <c r="T1026" s="502"/>
    </row>
    <row r="1027">
      <c r="Q1027" s="240"/>
      <c r="R1027" s="240"/>
      <c r="T1027" s="502"/>
    </row>
    <row r="1028">
      <c r="Q1028" s="240"/>
      <c r="R1028" s="240"/>
      <c r="T1028" s="502"/>
    </row>
    <row r="1029">
      <c r="Q1029" s="240"/>
      <c r="R1029" s="240"/>
      <c r="T1029" s="502"/>
    </row>
    <row r="1030">
      <c r="Q1030" s="240"/>
      <c r="R1030" s="240"/>
      <c r="T1030" s="502"/>
    </row>
    <row r="1031">
      <c r="Q1031" s="240"/>
      <c r="R1031" s="240"/>
      <c r="T1031" s="502"/>
    </row>
    <row r="1032">
      <c r="Q1032" s="240"/>
      <c r="R1032" s="240"/>
      <c r="T1032" s="502"/>
    </row>
    <row r="1033">
      <c r="Q1033" s="240"/>
      <c r="R1033" s="240"/>
      <c r="T1033" s="502"/>
    </row>
    <row r="1034">
      <c r="Q1034" s="240"/>
      <c r="R1034" s="240"/>
      <c r="T1034" s="502"/>
    </row>
    <row r="1035">
      <c r="Q1035" s="240"/>
      <c r="R1035" s="240"/>
      <c r="T1035" s="502"/>
    </row>
    <row r="1036">
      <c r="Q1036" s="240"/>
      <c r="R1036" s="240"/>
      <c r="T1036" s="502"/>
    </row>
    <row r="1037">
      <c r="Q1037" s="240"/>
      <c r="R1037" s="240"/>
      <c r="T1037" s="502"/>
    </row>
    <row r="1038">
      <c r="Q1038" s="240"/>
      <c r="R1038" s="240"/>
      <c r="T1038" s="502"/>
    </row>
    <row r="1039">
      <c r="Q1039" s="240"/>
      <c r="R1039" s="240"/>
      <c r="T1039" s="502"/>
    </row>
    <row r="1040">
      <c r="Q1040" s="240"/>
      <c r="R1040" s="240"/>
      <c r="T1040" s="502"/>
    </row>
    <row r="1041">
      <c r="Q1041" s="240"/>
      <c r="R1041" s="240"/>
      <c r="T1041" s="502"/>
    </row>
    <row r="1042">
      <c r="Q1042" s="240"/>
      <c r="R1042" s="240"/>
      <c r="T1042" s="502"/>
    </row>
    <row r="1043">
      <c r="Q1043" s="240"/>
      <c r="R1043" s="240"/>
      <c r="T1043" s="502"/>
    </row>
    <row r="1044">
      <c r="Q1044" s="240"/>
      <c r="R1044" s="240"/>
      <c r="T1044" s="502"/>
    </row>
    <row r="1045">
      <c r="Q1045" s="240"/>
      <c r="R1045" s="240"/>
      <c r="T1045" s="502"/>
    </row>
    <row r="1046">
      <c r="Q1046" s="240"/>
      <c r="R1046" s="240"/>
      <c r="T1046" s="502"/>
    </row>
    <row r="1047">
      <c r="Q1047" s="240"/>
      <c r="R1047" s="240"/>
      <c r="T1047" s="502"/>
    </row>
    <row r="1048">
      <c r="Q1048" s="240"/>
      <c r="R1048" s="240"/>
      <c r="T1048" s="502"/>
    </row>
    <row r="1049">
      <c r="Q1049" s="240"/>
      <c r="R1049" s="240"/>
      <c r="T1049" s="502"/>
    </row>
    <row r="1050">
      <c r="Q1050" s="240"/>
      <c r="R1050" s="240"/>
      <c r="T1050" s="502"/>
    </row>
    <row r="1051">
      <c r="Q1051" s="240"/>
      <c r="R1051" s="240"/>
      <c r="T1051" s="502"/>
    </row>
    <row r="1052">
      <c r="Q1052" s="240"/>
      <c r="R1052" s="240"/>
      <c r="T1052" s="502"/>
    </row>
    <row r="1053">
      <c r="Q1053" s="240"/>
      <c r="R1053" s="240"/>
      <c r="T1053" s="502"/>
    </row>
    <row r="1054">
      <c r="Q1054" s="240"/>
      <c r="R1054" s="240"/>
      <c r="T1054" s="502"/>
    </row>
    <row r="1055">
      <c r="Q1055" s="240"/>
      <c r="R1055" s="240"/>
      <c r="T1055" s="502"/>
    </row>
    <row r="1056">
      <c r="Q1056" s="240"/>
      <c r="R1056" s="240"/>
      <c r="T1056" s="502"/>
    </row>
    <row r="1057">
      <c r="Q1057" s="240"/>
      <c r="R1057" s="240"/>
      <c r="T1057" s="502"/>
    </row>
    <row r="1058">
      <c r="Q1058" s="240"/>
      <c r="R1058" s="240"/>
      <c r="T1058" s="502"/>
    </row>
    <row r="1059">
      <c r="Q1059" s="240"/>
      <c r="R1059" s="240"/>
      <c r="T1059" s="502"/>
    </row>
    <row r="1060">
      <c r="Q1060" s="240"/>
      <c r="R1060" s="240"/>
      <c r="T1060" s="502"/>
    </row>
    <row r="1061">
      <c r="Q1061" s="240"/>
      <c r="R1061" s="240"/>
      <c r="T1061" s="502"/>
    </row>
    <row r="1062">
      <c r="Q1062" s="240"/>
      <c r="R1062" s="240"/>
      <c r="T1062" s="502"/>
    </row>
    <row r="1063">
      <c r="Q1063" s="240"/>
      <c r="R1063" s="240"/>
      <c r="T1063" s="502"/>
    </row>
    <row r="1064">
      <c r="Q1064" s="240"/>
      <c r="R1064" s="240"/>
      <c r="T1064" s="502"/>
    </row>
    <row r="1065">
      <c r="Q1065" s="240"/>
      <c r="R1065" s="240"/>
      <c r="T1065" s="502"/>
    </row>
    <row r="1066">
      <c r="Q1066" s="240"/>
      <c r="R1066" s="240"/>
      <c r="T1066" s="502"/>
    </row>
    <row r="1067">
      <c r="Q1067" s="240"/>
      <c r="R1067" s="240"/>
      <c r="T1067" s="502"/>
    </row>
    <row r="1068">
      <c r="Q1068" s="240"/>
      <c r="R1068" s="240"/>
      <c r="T1068" s="502"/>
    </row>
    <row r="1069">
      <c r="Q1069" s="240"/>
      <c r="R1069" s="240"/>
      <c r="T1069" s="502"/>
    </row>
    <row r="1070">
      <c r="Q1070" s="240"/>
      <c r="R1070" s="240"/>
      <c r="T1070" s="502"/>
    </row>
    <row r="1071">
      <c r="Q1071" s="240"/>
      <c r="R1071" s="240"/>
      <c r="T1071" s="502"/>
    </row>
    <row r="1072">
      <c r="Q1072" s="240"/>
      <c r="R1072" s="240"/>
      <c r="T1072" s="502"/>
    </row>
    <row r="1073">
      <c r="Q1073" s="240"/>
      <c r="R1073" s="240"/>
      <c r="T1073" s="502"/>
    </row>
    <row r="1074">
      <c r="Q1074" s="240"/>
      <c r="R1074" s="240"/>
      <c r="T1074" s="502"/>
    </row>
    <row r="1075">
      <c r="Q1075" s="240"/>
      <c r="R1075" s="240"/>
      <c r="T1075" s="502"/>
    </row>
    <row r="1076">
      <c r="Q1076" s="240"/>
      <c r="R1076" s="240"/>
      <c r="T1076" s="502"/>
    </row>
    <row r="1077">
      <c r="Q1077" s="240"/>
      <c r="R1077" s="240"/>
      <c r="T1077" s="502"/>
    </row>
    <row r="1078">
      <c r="Q1078" s="240"/>
      <c r="R1078" s="240"/>
      <c r="T1078" s="502"/>
    </row>
    <row r="1079">
      <c r="Q1079" s="240"/>
      <c r="R1079" s="240"/>
      <c r="T1079" s="502"/>
    </row>
    <row r="1080">
      <c r="Q1080" s="240"/>
      <c r="R1080" s="240"/>
      <c r="T1080" s="502"/>
    </row>
    <row r="1081">
      <c r="Q1081" s="240"/>
      <c r="R1081" s="240"/>
      <c r="T1081" s="502"/>
    </row>
    <row r="1082">
      <c r="Q1082" s="240"/>
      <c r="R1082" s="240"/>
      <c r="T1082" s="502"/>
    </row>
    <row r="1083">
      <c r="Q1083" s="240"/>
      <c r="R1083" s="240"/>
      <c r="T1083" s="502"/>
    </row>
    <row r="1084">
      <c r="Q1084" s="240"/>
      <c r="R1084" s="240"/>
      <c r="T1084" s="502"/>
    </row>
    <row r="1085">
      <c r="Q1085" s="240"/>
      <c r="R1085" s="240"/>
      <c r="T1085" s="502"/>
    </row>
    <row r="1086">
      <c r="Q1086" s="240"/>
      <c r="R1086" s="240"/>
      <c r="T1086" s="502"/>
    </row>
    <row r="1087">
      <c r="Q1087" s="240"/>
      <c r="R1087" s="240"/>
      <c r="T1087" s="502"/>
    </row>
    <row r="1088">
      <c r="Q1088" s="240"/>
      <c r="R1088" s="240"/>
      <c r="T1088" s="502"/>
    </row>
    <row r="1089">
      <c r="Q1089" s="240"/>
      <c r="R1089" s="240"/>
      <c r="T1089" s="502"/>
    </row>
    <row r="1090">
      <c r="Q1090" s="240"/>
      <c r="R1090" s="240"/>
      <c r="T1090" s="502"/>
    </row>
    <row r="1091">
      <c r="Q1091" s="240"/>
      <c r="R1091" s="240"/>
      <c r="T1091" s="502"/>
    </row>
    <row r="1092">
      <c r="Q1092" s="240"/>
      <c r="R1092" s="240"/>
      <c r="T1092" s="502"/>
    </row>
    <row r="1093">
      <c r="Q1093" s="240"/>
      <c r="R1093" s="240"/>
      <c r="T1093" s="502"/>
    </row>
    <row r="1094">
      <c r="Q1094" s="240"/>
      <c r="R1094" s="240"/>
      <c r="T1094" s="502"/>
    </row>
    <row r="1095">
      <c r="Q1095" s="240"/>
      <c r="R1095" s="240"/>
      <c r="T1095" s="502"/>
    </row>
    <row r="1096">
      <c r="Q1096" s="240"/>
      <c r="R1096" s="240"/>
      <c r="T1096" s="502"/>
    </row>
    <row r="1097">
      <c r="Q1097" s="240"/>
      <c r="R1097" s="240"/>
      <c r="T1097" s="502"/>
    </row>
    <row r="1098">
      <c r="Q1098" s="240"/>
      <c r="R1098" s="240"/>
      <c r="T1098" s="502"/>
    </row>
    <row r="1099">
      <c r="Q1099" s="240"/>
      <c r="R1099" s="240"/>
      <c r="T1099" s="502"/>
    </row>
    <row r="1100">
      <c r="Q1100" s="240"/>
      <c r="R1100" s="240"/>
      <c r="T1100" s="502"/>
    </row>
    <row r="1101">
      <c r="Q1101" s="240"/>
      <c r="R1101" s="240"/>
      <c r="T1101" s="502"/>
    </row>
    <row r="1102">
      <c r="Q1102" s="240"/>
      <c r="R1102" s="240"/>
      <c r="T1102" s="502"/>
    </row>
    <row r="1103">
      <c r="Q1103" s="240"/>
      <c r="R1103" s="240"/>
      <c r="T1103" s="502"/>
    </row>
    <row r="1104">
      <c r="Q1104" s="240"/>
      <c r="R1104" s="240"/>
      <c r="T1104" s="502"/>
    </row>
    <row r="1105">
      <c r="Q1105" s="240"/>
      <c r="R1105" s="240"/>
      <c r="T1105" s="502"/>
    </row>
    <row r="1106">
      <c r="Q1106" s="240"/>
      <c r="R1106" s="240"/>
      <c r="T1106" s="502"/>
    </row>
    <row r="1107">
      <c r="Q1107" s="240"/>
      <c r="R1107" s="240"/>
      <c r="T1107" s="502"/>
    </row>
    <row r="1108">
      <c r="Q1108" s="240"/>
      <c r="R1108" s="240"/>
      <c r="T1108" s="502"/>
    </row>
    <row r="1109">
      <c r="Q1109" s="240"/>
      <c r="R1109" s="240"/>
      <c r="T1109" s="502"/>
    </row>
    <row r="1110">
      <c r="Q1110" s="240"/>
      <c r="R1110" s="240"/>
      <c r="T1110" s="502"/>
    </row>
    <row r="1111">
      <c r="Q1111" s="240"/>
      <c r="R1111" s="240"/>
      <c r="T1111" s="502"/>
    </row>
    <row r="1112">
      <c r="Q1112" s="240"/>
      <c r="R1112" s="240"/>
      <c r="T1112" s="502"/>
    </row>
    <row r="1113">
      <c r="Q1113" s="240"/>
      <c r="R1113" s="240"/>
      <c r="T1113" s="502"/>
    </row>
    <row r="1114">
      <c r="Q1114" s="240"/>
      <c r="R1114" s="240"/>
      <c r="T1114" s="502"/>
    </row>
    <row r="1115">
      <c r="Q1115" s="240"/>
      <c r="R1115" s="240"/>
      <c r="T1115" s="502"/>
    </row>
    <row r="1116">
      <c r="Q1116" s="240"/>
      <c r="R1116" s="240"/>
      <c r="T1116" s="502"/>
    </row>
    <row r="1117">
      <c r="Q1117" s="240"/>
      <c r="R1117" s="240"/>
      <c r="T1117" s="502"/>
    </row>
    <row r="1118">
      <c r="Q1118" s="240"/>
      <c r="R1118" s="240"/>
      <c r="T1118" s="502"/>
    </row>
    <row r="1119">
      <c r="Q1119" s="240"/>
      <c r="R1119" s="240"/>
      <c r="T1119" s="502"/>
    </row>
    <row r="1120">
      <c r="Q1120" s="240"/>
      <c r="R1120" s="240"/>
      <c r="T1120" s="502"/>
    </row>
    <row r="1121">
      <c r="Q1121" s="240"/>
      <c r="R1121" s="240"/>
      <c r="T1121" s="502"/>
    </row>
    <row r="1122">
      <c r="Q1122" s="240"/>
      <c r="R1122" s="240"/>
      <c r="T1122" s="502"/>
    </row>
    <row r="1123">
      <c r="Q1123" s="240"/>
      <c r="R1123" s="240"/>
      <c r="T1123" s="502"/>
    </row>
    <row r="1124">
      <c r="Q1124" s="240"/>
      <c r="R1124" s="240"/>
      <c r="T1124" s="502"/>
    </row>
    <row r="1125">
      <c r="Q1125" s="240"/>
      <c r="R1125" s="240"/>
      <c r="T1125" s="502"/>
    </row>
    <row r="1126">
      <c r="Q1126" s="240"/>
      <c r="R1126" s="240"/>
      <c r="T1126" s="502"/>
    </row>
    <row r="1127">
      <c r="Q1127" s="240"/>
      <c r="R1127" s="240"/>
      <c r="T1127" s="502"/>
    </row>
    <row r="1128">
      <c r="Q1128" s="240"/>
      <c r="R1128" s="240"/>
      <c r="T1128" s="502"/>
    </row>
    <row r="1129">
      <c r="Q1129" s="240"/>
      <c r="R1129" s="240"/>
      <c r="T1129" s="502"/>
    </row>
    <row r="1130">
      <c r="Q1130" s="240"/>
      <c r="R1130" s="240"/>
      <c r="T1130" s="502"/>
    </row>
    <row r="1131">
      <c r="Q1131" s="240"/>
      <c r="R1131" s="240"/>
      <c r="T1131" s="502"/>
    </row>
    <row r="1132">
      <c r="Q1132" s="240"/>
      <c r="R1132" s="240"/>
      <c r="T1132" s="502"/>
    </row>
    <row r="1133">
      <c r="Q1133" s="240"/>
      <c r="R1133" s="240"/>
      <c r="T1133" s="502"/>
    </row>
    <row r="1134">
      <c r="Q1134" s="240"/>
      <c r="R1134" s="240"/>
      <c r="T1134" s="502"/>
    </row>
    <row r="1135">
      <c r="Q1135" s="240"/>
      <c r="R1135" s="240"/>
      <c r="T1135" s="502"/>
    </row>
    <row r="1136">
      <c r="Q1136" s="240"/>
      <c r="R1136" s="240"/>
      <c r="T1136" s="502"/>
    </row>
    <row r="1137">
      <c r="Q1137" s="240"/>
      <c r="R1137" s="240"/>
      <c r="T1137" s="502"/>
    </row>
    <row r="1138">
      <c r="Q1138" s="240"/>
      <c r="R1138" s="240"/>
      <c r="T1138" s="502"/>
    </row>
    <row r="1139">
      <c r="Q1139" s="240"/>
      <c r="R1139" s="240"/>
      <c r="T1139" s="502"/>
    </row>
    <row r="1140">
      <c r="Q1140" s="240"/>
      <c r="R1140" s="240"/>
      <c r="T1140" s="502"/>
    </row>
    <row r="1141">
      <c r="Q1141" s="240"/>
      <c r="R1141" s="240"/>
      <c r="T1141" s="502"/>
    </row>
    <row r="1142">
      <c r="Q1142" s="240"/>
      <c r="R1142" s="240"/>
      <c r="T1142" s="502"/>
    </row>
    <row r="1143">
      <c r="Q1143" s="240"/>
      <c r="R1143" s="240"/>
      <c r="T1143" s="502"/>
    </row>
    <row r="1144">
      <c r="Q1144" s="240"/>
      <c r="R1144" s="240"/>
      <c r="T1144" s="502"/>
    </row>
    <row r="1145">
      <c r="Q1145" s="240"/>
      <c r="R1145" s="240"/>
      <c r="T1145" s="502"/>
    </row>
    <row r="1146">
      <c r="Q1146" s="240"/>
      <c r="R1146" s="240"/>
      <c r="T1146" s="502"/>
    </row>
    <row r="1147">
      <c r="Q1147" s="240"/>
      <c r="R1147" s="240"/>
      <c r="T1147" s="502"/>
    </row>
    <row r="1148">
      <c r="Q1148" s="240"/>
      <c r="R1148" s="240"/>
      <c r="T1148" s="502"/>
    </row>
    <row r="1149">
      <c r="Q1149" s="240"/>
      <c r="R1149" s="240"/>
      <c r="T1149" s="502"/>
    </row>
    <row r="1150">
      <c r="Q1150" s="240"/>
      <c r="R1150" s="240"/>
      <c r="T1150" s="502"/>
    </row>
    <row r="1151">
      <c r="Q1151" s="240"/>
      <c r="R1151" s="240"/>
      <c r="T1151" s="502"/>
    </row>
    <row r="1152">
      <c r="Q1152" s="240"/>
      <c r="R1152" s="240"/>
      <c r="T1152" s="502"/>
    </row>
    <row r="1153">
      <c r="Q1153" s="240"/>
      <c r="R1153" s="240"/>
      <c r="T1153" s="502"/>
    </row>
    <row r="1154">
      <c r="Q1154" s="240"/>
      <c r="R1154" s="240"/>
      <c r="T1154" s="502"/>
    </row>
    <row r="1155">
      <c r="Q1155" s="240"/>
      <c r="R1155" s="240"/>
      <c r="T1155" s="502"/>
    </row>
    <row r="1156">
      <c r="Q1156" s="240"/>
      <c r="R1156" s="240"/>
      <c r="T1156" s="502"/>
    </row>
    <row r="1157">
      <c r="Q1157" s="240"/>
      <c r="R1157" s="240"/>
      <c r="T1157" s="502"/>
    </row>
    <row r="1158">
      <c r="Q1158" s="240"/>
      <c r="R1158" s="240"/>
      <c r="T1158" s="502"/>
    </row>
    <row r="1159">
      <c r="Q1159" s="240"/>
      <c r="R1159" s="240"/>
      <c r="T1159" s="502"/>
    </row>
    <row r="1160">
      <c r="Q1160" s="240"/>
      <c r="R1160" s="240"/>
      <c r="T1160" s="502"/>
    </row>
    <row r="1161">
      <c r="Q1161" s="240"/>
      <c r="R1161" s="240"/>
      <c r="T1161" s="502"/>
    </row>
    <row r="1162">
      <c r="Q1162" s="240"/>
      <c r="R1162" s="240"/>
      <c r="T1162" s="502"/>
    </row>
    <row r="1163">
      <c r="Q1163" s="240"/>
      <c r="R1163" s="240"/>
      <c r="T1163" s="502"/>
    </row>
    <row r="1164">
      <c r="Q1164" s="240"/>
      <c r="R1164" s="240"/>
      <c r="T1164" s="502"/>
    </row>
    <row r="1165">
      <c r="Q1165" s="240"/>
      <c r="R1165" s="240"/>
      <c r="T1165" s="502"/>
    </row>
    <row r="1166">
      <c r="Q1166" s="240"/>
      <c r="R1166" s="240"/>
      <c r="T1166" s="502"/>
    </row>
    <row r="1167">
      <c r="Q1167" s="240"/>
      <c r="R1167" s="240"/>
      <c r="T1167" s="502"/>
    </row>
    <row r="1168">
      <c r="Q1168" s="240"/>
      <c r="R1168" s="240"/>
      <c r="T1168" s="502"/>
    </row>
    <row r="1169">
      <c r="Q1169" s="240"/>
      <c r="R1169" s="240"/>
      <c r="T1169" s="502"/>
    </row>
    <row r="1170">
      <c r="Q1170" s="240"/>
      <c r="R1170" s="240"/>
      <c r="T1170" s="502"/>
    </row>
    <row r="1171">
      <c r="Q1171" s="240"/>
      <c r="R1171" s="240"/>
      <c r="T1171" s="502"/>
    </row>
    <row r="1172">
      <c r="Q1172" s="240"/>
      <c r="R1172" s="240"/>
      <c r="T1172" s="502"/>
    </row>
    <row r="1173">
      <c r="Q1173" s="240"/>
      <c r="R1173" s="240"/>
      <c r="T1173" s="502"/>
    </row>
    <row r="1174">
      <c r="Q1174" s="240"/>
      <c r="R1174" s="240"/>
      <c r="T1174" s="502"/>
    </row>
    <row r="1175">
      <c r="Q1175" s="240"/>
      <c r="R1175" s="240"/>
      <c r="T1175" s="502"/>
    </row>
    <row r="1176">
      <c r="Q1176" s="240"/>
      <c r="R1176" s="240"/>
      <c r="T1176" s="502"/>
    </row>
    <row r="1177">
      <c r="Q1177" s="240"/>
      <c r="R1177" s="240"/>
      <c r="T1177" s="502"/>
    </row>
    <row r="1178">
      <c r="Q1178" s="240"/>
      <c r="R1178" s="240"/>
      <c r="T1178" s="502"/>
    </row>
    <row r="1179">
      <c r="Q1179" s="240"/>
      <c r="R1179" s="240"/>
      <c r="T1179" s="502"/>
    </row>
    <row r="1180">
      <c r="Q1180" s="240"/>
      <c r="R1180" s="240"/>
      <c r="T1180" s="502"/>
    </row>
    <row r="1181">
      <c r="Q1181" s="240"/>
      <c r="R1181" s="240"/>
      <c r="T1181" s="502"/>
    </row>
    <row r="1182">
      <c r="Q1182" s="240"/>
      <c r="R1182" s="240"/>
      <c r="T1182" s="502"/>
    </row>
    <row r="1183">
      <c r="Q1183" s="240"/>
      <c r="R1183" s="240"/>
      <c r="T1183" s="502"/>
    </row>
    <row r="1184">
      <c r="Q1184" s="240"/>
      <c r="R1184" s="240"/>
      <c r="T1184" s="502"/>
    </row>
    <row r="1185">
      <c r="Q1185" s="240"/>
      <c r="R1185" s="240"/>
      <c r="T1185" s="502"/>
    </row>
    <row r="1186">
      <c r="Q1186" s="240"/>
      <c r="R1186" s="240"/>
      <c r="T1186" s="502"/>
    </row>
    <row r="1187">
      <c r="Q1187" s="240"/>
      <c r="R1187" s="240"/>
      <c r="T1187" s="502"/>
    </row>
    <row r="1188">
      <c r="Q1188" s="240"/>
      <c r="R1188" s="240"/>
      <c r="T1188" s="502"/>
    </row>
    <row r="1189">
      <c r="Q1189" s="240"/>
      <c r="R1189" s="240"/>
      <c r="T1189" s="502"/>
    </row>
    <row r="1190">
      <c r="Q1190" s="240"/>
      <c r="R1190" s="240"/>
      <c r="T1190" s="502"/>
    </row>
    <row r="1191">
      <c r="Q1191" s="240"/>
      <c r="R1191" s="240"/>
      <c r="T1191" s="502"/>
    </row>
    <row r="1192">
      <c r="Q1192" s="240"/>
      <c r="R1192" s="240"/>
      <c r="T1192" s="502"/>
    </row>
    <row r="1193">
      <c r="Q1193" s="240"/>
      <c r="R1193" s="240"/>
      <c r="T1193" s="502"/>
    </row>
    <row r="1194">
      <c r="Q1194" s="240"/>
      <c r="R1194" s="240"/>
      <c r="T1194" s="502"/>
    </row>
    <row r="1195">
      <c r="Q1195" s="240"/>
      <c r="R1195" s="240"/>
      <c r="T1195" s="502"/>
    </row>
    <row r="1196">
      <c r="Q1196" s="240"/>
      <c r="R1196" s="240"/>
      <c r="T1196" s="502"/>
    </row>
    <row r="1197">
      <c r="Q1197" s="240"/>
      <c r="R1197" s="240"/>
      <c r="T1197" s="502"/>
    </row>
    <row r="1198">
      <c r="Q1198" s="240"/>
      <c r="R1198" s="240"/>
      <c r="T1198" s="502"/>
    </row>
    <row r="1199">
      <c r="Q1199" s="240"/>
      <c r="R1199" s="240"/>
      <c r="T1199" s="502"/>
    </row>
    <row r="1200">
      <c r="Q1200" s="240"/>
      <c r="R1200" s="240"/>
      <c r="T1200" s="502"/>
    </row>
    <row r="1201">
      <c r="Q1201" s="240"/>
      <c r="R1201" s="240"/>
      <c r="T1201" s="502"/>
    </row>
    <row r="1202">
      <c r="Q1202" s="240"/>
      <c r="R1202" s="240"/>
      <c r="T1202" s="502"/>
    </row>
    <row r="1203">
      <c r="Q1203" s="240"/>
      <c r="R1203" s="240"/>
      <c r="T1203" s="502"/>
    </row>
    <row r="1204">
      <c r="Q1204" s="240"/>
      <c r="R1204" s="240"/>
      <c r="T1204" s="502"/>
    </row>
    <row r="1205">
      <c r="Q1205" s="240"/>
      <c r="R1205" s="240"/>
      <c r="T1205" s="502"/>
    </row>
    <row r="1206">
      <c r="Q1206" s="240"/>
      <c r="R1206" s="240"/>
      <c r="T1206" s="502"/>
    </row>
    <row r="1207">
      <c r="Q1207" s="240"/>
      <c r="R1207" s="240"/>
      <c r="T1207" s="502"/>
    </row>
    <row r="1208">
      <c r="Q1208" s="240"/>
      <c r="R1208" s="240"/>
      <c r="T1208" s="502"/>
    </row>
    <row r="1209">
      <c r="Q1209" s="240"/>
      <c r="R1209" s="240"/>
      <c r="T1209" s="502"/>
    </row>
    <row r="1210">
      <c r="Q1210" s="240"/>
      <c r="R1210" s="240"/>
      <c r="T1210" s="502"/>
    </row>
    <row r="1211">
      <c r="Q1211" s="240"/>
      <c r="R1211" s="240"/>
      <c r="T1211" s="502"/>
    </row>
    <row r="1212">
      <c r="Q1212" s="240"/>
      <c r="R1212" s="240"/>
      <c r="T1212" s="502"/>
    </row>
    <row r="1213">
      <c r="Q1213" s="240"/>
      <c r="R1213" s="240"/>
      <c r="T1213" s="502"/>
    </row>
    <row r="1214">
      <c r="Q1214" s="240"/>
      <c r="R1214" s="240"/>
      <c r="T1214" s="502"/>
    </row>
    <row r="1215">
      <c r="Q1215" s="240"/>
      <c r="R1215" s="240"/>
      <c r="T1215" s="502"/>
    </row>
    <row r="1216">
      <c r="Q1216" s="240"/>
      <c r="R1216" s="240"/>
      <c r="T1216" s="502"/>
    </row>
    <row r="1217">
      <c r="Q1217" s="240"/>
      <c r="R1217" s="240"/>
      <c r="T1217" s="502"/>
    </row>
    <row r="1218">
      <c r="Q1218" s="240"/>
      <c r="R1218" s="240"/>
      <c r="T1218" s="502"/>
    </row>
    <row r="1219">
      <c r="Q1219" s="240"/>
      <c r="R1219" s="240"/>
      <c r="T1219" s="502"/>
    </row>
    <row r="1220">
      <c r="Q1220" s="240"/>
      <c r="R1220" s="240"/>
      <c r="T1220" s="502"/>
    </row>
    <row r="1221">
      <c r="Q1221" s="240"/>
      <c r="R1221" s="240"/>
      <c r="T1221" s="502"/>
    </row>
    <row r="1222">
      <c r="Q1222" s="240"/>
      <c r="R1222" s="240"/>
      <c r="T1222" s="502"/>
    </row>
    <row r="1223">
      <c r="Q1223" s="240"/>
      <c r="R1223" s="240"/>
      <c r="T1223" s="502"/>
    </row>
    <row r="1224">
      <c r="Q1224" s="240"/>
      <c r="R1224" s="240"/>
      <c r="T1224" s="502"/>
    </row>
    <row r="1225">
      <c r="Q1225" s="240"/>
      <c r="R1225" s="240"/>
      <c r="T1225" s="502"/>
    </row>
    <row r="1226">
      <c r="Q1226" s="240"/>
      <c r="R1226" s="240"/>
      <c r="T1226" s="502"/>
    </row>
    <row r="1227">
      <c r="Q1227" s="240"/>
      <c r="R1227" s="240"/>
      <c r="T1227" s="502"/>
    </row>
    <row r="1228">
      <c r="Q1228" s="240"/>
      <c r="R1228" s="240"/>
      <c r="T1228" s="502"/>
    </row>
    <row r="1229">
      <c r="Q1229" s="240"/>
      <c r="R1229" s="240"/>
      <c r="T1229" s="502"/>
    </row>
    <row r="1230">
      <c r="Q1230" s="240"/>
      <c r="R1230" s="240"/>
      <c r="T1230" s="502"/>
    </row>
    <row r="1231">
      <c r="Q1231" s="240"/>
      <c r="R1231" s="240"/>
      <c r="T1231" s="502"/>
    </row>
    <row r="1232">
      <c r="Q1232" s="240"/>
      <c r="R1232" s="240"/>
      <c r="T1232" s="502"/>
    </row>
    <row r="1233">
      <c r="Q1233" s="240"/>
      <c r="R1233" s="240"/>
      <c r="T1233" s="502"/>
    </row>
    <row r="1234">
      <c r="Q1234" s="240"/>
      <c r="R1234" s="240"/>
      <c r="T1234" s="502"/>
    </row>
    <row r="1235">
      <c r="Q1235" s="240"/>
      <c r="R1235" s="240"/>
      <c r="T1235" s="502"/>
    </row>
    <row r="1236">
      <c r="Q1236" s="240"/>
      <c r="R1236" s="240"/>
      <c r="T1236" s="502"/>
    </row>
    <row r="1237">
      <c r="Q1237" s="240"/>
      <c r="R1237" s="240"/>
      <c r="T1237" s="502"/>
    </row>
    <row r="1238">
      <c r="Q1238" s="240"/>
      <c r="R1238" s="240"/>
      <c r="T1238" s="502"/>
    </row>
    <row r="1239">
      <c r="Q1239" s="240"/>
      <c r="R1239" s="240"/>
      <c r="T1239" s="502"/>
    </row>
    <row r="1240">
      <c r="Q1240" s="240"/>
      <c r="R1240" s="240"/>
      <c r="T1240" s="502"/>
    </row>
    <row r="1241">
      <c r="Q1241" s="240"/>
      <c r="R1241" s="240"/>
      <c r="T1241" s="502"/>
    </row>
    <row r="1242">
      <c r="Q1242" s="240"/>
      <c r="R1242" s="240"/>
      <c r="T1242" s="502"/>
    </row>
    <row r="1243">
      <c r="Q1243" s="240"/>
      <c r="R1243" s="240"/>
      <c r="T1243" s="502"/>
    </row>
    <row r="1244">
      <c r="Q1244" s="240"/>
      <c r="R1244" s="240"/>
      <c r="T1244" s="502"/>
    </row>
    <row r="1245">
      <c r="Q1245" s="240"/>
      <c r="R1245" s="240"/>
      <c r="T1245" s="502"/>
    </row>
    <row r="1246">
      <c r="Q1246" s="240"/>
      <c r="R1246" s="240"/>
      <c r="T1246" s="502"/>
    </row>
    <row r="1247">
      <c r="Q1247" s="240"/>
      <c r="R1247" s="240"/>
      <c r="T1247" s="502"/>
    </row>
    <row r="1248">
      <c r="Q1248" s="240"/>
      <c r="R1248" s="240"/>
      <c r="T1248" s="502"/>
    </row>
    <row r="1249">
      <c r="Q1249" s="240"/>
      <c r="R1249" s="240"/>
      <c r="T1249" s="502"/>
    </row>
    <row r="1250">
      <c r="Q1250" s="240"/>
      <c r="R1250" s="240"/>
      <c r="T1250" s="502"/>
    </row>
    <row r="1251">
      <c r="Q1251" s="240"/>
      <c r="R1251" s="240"/>
      <c r="T1251" s="502"/>
    </row>
    <row r="1252">
      <c r="Q1252" s="240"/>
      <c r="R1252" s="240"/>
      <c r="T1252" s="502"/>
    </row>
    <row r="1253">
      <c r="Q1253" s="240"/>
      <c r="R1253" s="240"/>
      <c r="T1253" s="502"/>
    </row>
    <row r="1254">
      <c r="Q1254" s="240"/>
      <c r="R1254" s="240"/>
      <c r="T1254" s="502"/>
    </row>
    <row r="1255">
      <c r="Q1255" s="240"/>
      <c r="R1255" s="240"/>
      <c r="T1255" s="502"/>
    </row>
    <row r="1256">
      <c r="Q1256" s="240"/>
      <c r="R1256" s="240"/>
      <c r="T1256" s="502"/>
    </row>
    <row r="1257">
      <c r="Q1257" s="240"/>
      <c r="R1257" s="240"/>
      <c r="T1257" s="502"/>
    </row>
    <row r="1258">
      <c r="Q1258" s="240"/>
      <c r="R1258" s="240"/>
      <c r="T1258" s="502"/>
    </row>
    <row r="1259">
      <c r="Q1259" s="240"/>
      <c r="R1259" s="240"/>
      <c r="T1259" s="502"/>
    </row>
    <row r="1260">
      <c r="Q1260" s="240"/>
      <c r="R1260" s="240"/>
      <c r="T1260" s="502"/>
    </row>
    <row r="1261">
      <c r="Q1261" s="240"/>
      <c r="R1261" s="240"/>
      <c r="T1261" s="502"/>
    </row>
    <row r="1262">
      <c r="Q1262" s="240"/>
      <c r="R1262" s="240"/>
      <c r="T1262" s="502"/>
    </row>
    <row r="1263">
      <c r="Q1263" s="240"/>
      <c r="R1263" s="240"/>
      <c r="T1263" s="502"/>
    </row>
    <row r="1264">
      <c r="Q1264" s="240"/>
      <c r="R1264" s="240"/>
      <c r="T1264" s="502"/>
    </row>
    <row r="1265">
      <c r="Q1265" s="240"/>
      <c r="R1265" s="240"/>
      <c r="T1265" s="502"/>
    </row>
    <row r="1266">
      <c r="Q1266" s="240"/>
      <c r="R1266" s="240"/>
      <c r="T1266" s="502"/>
    </row>
    <row r="1267">
      <c r="Q1267" s="240"/>
      <c r="R1267" s="240"/>
      <c r="T1267" s="502"/>
    </row>
    <row r="1268">
      <c r="Q1268" s="240"/>
      <c r="R1268" s="240"/>
      <c r="T1268" s="502"/>
    </row>
    <row r="1269">
      <c r="Q1269" s="240"/>
      <c r="R1269" s="240"/>
      <c r="T1269" s="502"/>
    </row>
    <row r="1270">
      <c r="Q1270" s="240"/>
      <c r="R1270" s="240"/>
      <c r="T1270" s="502"/>
    </row>
    <row r="1271">
      <c r="Q1271" s="240"/>
      <c r="R1271" s="240"/>
      <c r="T1271" s="502"/>
    </row>
    <row r="1272">
      <c r="Q1272" s="240"/>
      <c r="R1272" s="240"/>
      <c r="T1272" s="502"/>
    </row>
    <row r="1273">
      <c r="Q1273" s="240"/>
      <c r="R1273" s="240"/>
      <c r="T1273" s="502"/>
    </row>
    <row r="1274">
      <c r="Q1274" s="240"/>
      <c r="R1274" s="240"/>
      <c r="T1274" s="502"/>
    </row>
    <row r="1275">
      <c r="Q1275" s="240"/>
      <c r="R1275" s="240"/>
      <c r="T1275" s="502"/>
    </row>
    <row r="1276">
      <c r="Q1276" s="240"/>
      <c r="R1276" s="240"/>
      <c r="T1276" s="502"/>
    </row>
    <row r="1277">
      <c r="Q1277" s="240"/>
      <c r="R1277" s="240"/>
      <c r="T1277" s="502"/>
    </row>
    <row r="1278">
      <c r="Q1278" s="240"/>
      <c r="R1278" s="240"/>
      <c r="T1278" s="502"/>
    </row>
    <row r="1279">
      <c r="Q1279" s="240"/>
      <c r="R1279" s="240"/>
      <c r="T1279" s="502"/>
    </row>
    <row r="1280">
      <c r="Q1280" s="240"/>
      <c r="R1280" s="240"/>
      <c r="T1280" s="502"/>
    </row>
    <row r="1281">
      <c r="Q1281" s="240"/>
      <c r="R1281" s="240"/>
      <c r="T1281" s="502"/>
    </row>
    <row r="1282">
      <c r="Q1282" s="240"/>
      <c r="R1282" s="240"/>
      <c r="T1282" s="502"/>
    </row>
    <row r="1283">
      <c r="Q1283" s="240"/>
      <c r="R1283" s="240"/>
      <c r="T1283" s="502"/>
    </row>
    <row r="1284">
      <c r="Q1284" s="240"/>
      <c r="R1284" s="240"/>
      <c r="T1284" s="502"/>
    </row>
    <row r="1285">
      <c r="Q1285" s="240"/>
      <c r="R1285" s="240"/>
      <c r="T1285" s="502"/>
    </row>
    <row r="1286">
      <c r="Q1286" s="240"/>
      <c r="R1286" s="240"/>
      <c r="T1286" s="502"/>
    </row>
    <row r="1287">
      <c r="Q1287" s="240"/>
      <c r="R1287" s="240"/>
      <c r="T1287" s="502"/>
    </row>
    <row r="1288">
      <c r="Q1288" s="240"/>
      <c r="R1288" s="240"/>
      <c r="T1288" s="502"/>
    </row>
    <row r="1289">
      <c r="Q1289" s="240"/>
      <c r="R1289" s="240"/>
      <c r="T1289" s="502"/>
    </row>
    <row r="1290">
      <c r="Q1290" s="240"/>
      <c r="R1290" s="240"/>
      <c r="T1290" s="502"/>
    </row>
    <row r="1291">
      <c r="Q1291" s="240"/>
      <c r="R1291" s="240"/>
      <c r="T1291" s="502"/>
    </row>
    <row r="1292">
      <c r="Q1292" s="240"/>
      <c r="R1292" s="240"/>
      <c r="T1292" s="502"/>
    </row>
    <row r="1293">
      <c r="Q1293" s="240"/>
      <c r="R1293" s="240"/>
      <c r="T1293" s="502"/>
    </row>
    <row r="1294">
      <c r="Q1294" s="240"/>
      <c r="R1294" s="240"/>
      <c r="T1294" s="502"/>
    </row>
    <row r="1295">
      <c r="Q1295" s="240"/>
      <c r="R1295" s="240"/>
      <c r="T1295" s="502"/>
    </row>
    <row r="1296">
      <c r="Q1296" s="240"/>
      <c r="R1296" s="240"/>
      <c r="T1296" s="502"/>
    </row>
    <row r="1297">
      <c r="Q1297" s="240"/>
      <c r="R1297" s="240"/>
      <c r="T1297" s="502"/>
    </row>
    <row r="1298">
      <c r="Q1298" s="240"/>
      <c r="R1298" s="240"/>
      <c r="T1298" s="502"/>
    </row>
    <row r="1299">
      <c r="Q1299" s="240"/>
      <c r="R1299" s="240"/>
      <c r="T1299" s="502"/>
    </row>
    <row r="1300">
      <c r="Q1300" s="240"/>
      <c r="R1300" s="240"/>
      <c r="T1300" s="502"/>
    </row>
    <row r="1301">
      <c r="Q1301" s="240"/>
      <c r="R1301" s="240"/>
      <c r="T1301" s="502"/>
    </row>
    <row r="1302">
      <c r="Q1302" s="240"/>
      <c r="R1302" s="240"/>
      <c r="T1302" s="502"/>
    </row>
    <row r="1303">
      <c r="Q1303" s="240"/>
      <c r="R1303" s="240"/>
      <c r="T1303" s="502"/>
    </row>
    <row r="1304">
      <c r="Q1304" s="240"/>
      <c r="R1304" s="240"/>
      <c r="T1304" s="502"/>
    </row>
    <row r="1305">
      <c r="Q1305" s="240"/>
      <c r="R1305" s="240"/>
      <c r="T1305" s="502"/>
    </row>
    <row r="1306">
      <c r="Q1306" s="240"/>
      <c r="R1306" s="240"/>
      <c r="T1306" s="502"/>
    </row>
    <row r="1307">
      <c r="Q1307" s="240"/>
      <c r="R1307" s="240"/>
      <c r="T1307" s="502"/>
    </row>
    <row r="1308">
      <c r="Q1308" s="240"/>
      <c r="R1308" s="240"/>
      <c r="T1308" s="502"/>
    </row>
    <row r="1309">
      <c r="Q1309" s="240"/>
      <c r="R1309" s="240"/>
      <c r="T1309" s="502"/>
    </row>
    <row r="1310">
      <c r="Q1310" s="240"/>
      <c r="R1310" s="240"/>
      <c r="T1310" s="502"/>
    </row>
    <row r="1311">
      <c r="Q1311" s="240"/>
      <c r="R1311" s="240"/>
      <c r="T1311" s="502"/>
    </row>
    <row r="1312">
      <c r="Q1312" s="240"/>
      <c r="R1312" s="240"/>
      <c r="T1312" s="502"/>
    </row>
    <row r="1313">
      <c r="Q1313" s="240"/>
      <c r="R1313" s="240"/>
      <c r="T1313" s="502"/>
    </row>
    <row r="1314">
      <c r="Q1314" s="240"/>
      <c r="R1314" s="240"/>
      <c r="T1314" s="502"/>
    </row>
    <row r="1315">
      <c r="Q1315" s="240"/>
      <c r="R1315" s="240"/>
      <c r="T1315" s="502"/>
    </row>
    <row r="1316">
      <c r="Q1316" s="240"/>
      <c r="R1316" s="240"/>
      <c r="T1316" s="502"/>
    </row>
    <row r="1317">
      <c r="Q1317" s="240"/>
      <c r="R1317" s="240"/>
      <c r="T1317" s="502"/>
    </row>
    <row r="1318">
      <c r="Q1318" s="240"/>
      <c r="R1318" s="240"/>
      <c r="T1318" s="502"/>
    </row>
    <row r="1319">
      <c r="Q1319" s="240"/>
      <c r="R1319" s="240"/>
      <c r="T1319" s="502"/>
    </row>
    <row r="1320">
      <c r="Q1320" s="240"/>
      <c r="R1320" s="240"/>
      <c r="T1320" s="502"/>
    </row>
    <row r="1321">
      <c r="Q1321" s="240"/>
      <c r="R1321" s="240"/>
      <c r="T1321" s="502"/>
    </row>
    <row r="1322">
      <c r="Q1322" s="240"/>
      <c r="R1322" s="240"/>
      <c r="T1322" s="502"/>
    </row>
    <row r="1323">
      <c r="Q1323" s="240"/>
      <c r="R1323" s="240"/>
      <c r="T1323" s="502"/>
    </row>
    <row r="1324">
      <c r="Q1324" s="240"/>
      <c r="R1324" s="240"/>
      <c r="T1324" s="502"/>
    </row>
    <row r="1325">
      <c r="Q1325" s="240"/>
      <c r="R1325" s="240"/>
      <c r="T1325" s="502"/>
    </row>
    <row r="1326">
      <c r="Q1326" s="240"/>
      <c r="R1326" s="240"/>
      <c r="T1326" s="502"/>
    </row>
    <row r="1327">
      <c r="Q1327" s="240"/>
      <c r="R1327" s="240"/>
      <c r="T1327" s="502"/>
    </row>
    <row r="1328">
      <c r="Q1328" s="240"/>
      <c r="R1328" s="240"/>
      <c r="T1328" s="502"/>
    </row>
    <row r="1329">
      <c r="Q1329" s="240"/>
      <c r="R1329" s="240"/>
      <c r="T1329" s="502"/>
    </row>
    <row r="1330">
      <c r="Q1330" s="240"/>
      <c r="R1330" s="240"/>
      <c r="T1330" s="502"/>
    </row>
    <row r="1331">
      <c r="Q1331" s="240"/>
      <c r="R1331" s="240"/>
      <c r="T1331" s="502"/>
    </row>
    <row r="1332">
      <c r="Q1332" s="240"/>
      <c r="R1332" s="240"/>
      <c r="T1332" s="502"/>
    </row>
    <row r="1333">
      <c r="Q1333" s="240"/>
      <c r="R1333" s="240"/>
      <c r="T1333" s="502"/>
    </row>
    <row r="1334">
      <c r="Q1334" s="240"/>
      <c r="R1334" s="240"/>
      <c r="T1334" s="502"/>
    </row>
    <row r="1335">
      <c r="Q1335" s="240"/>
      <c r="R1335" s="240"/>
      <c r="T1335" s="502"/>
    </row>
    <row r="1336">
      <c r="Q1336" s="240"/>
      <c r="R1336" s="240"/>
      <c r="T1336" s="502"/>
    </row>
    <row r="1337">
      <c r="Q1337" s="240"/>
      <c r="R1337" s="240"/>
      <c r="T1337" s="502"/>
    </row>
    <row r="1338">
      <c r="Q1338" s="240"/>
      <c r="R1338" s="240"/>
      <c r="T1338" s="502"/>
    </row>
    <row r="1339">
      <c r="Q1339" s="240"/>
      <c r="R1339" s="240"/>
      <c r="T1339" s="502"/>
    </row>
    <row r="1340">
      <c r="Q1340" s="240"/>
      <c r="R1340" s="240"/>
      <c r="T1340" s="502"/>
    </row>
    <row r="1341">
      <c r="Q1341" s="240"/>
      <c r="R1341" s="240"/>
      <c r="T1341" s="502"/>
    </row>
    <row r="1342">
      <c r="Q1342" s="240"/>
      <c r="R1342" s="240"/>
      <c r="T1342" s="502"/>
    </row>
    <row r="1343">
      <c r="Q1343" s="240"/>
      <c r="R1343" s="240"/>
      <c r="T1343" s="502"/>
    </row>
    <row r="1344">
      <c r="Q1344" s="240"/>
      <c r="R1344" s="240"/>
      <c r="T1344" s="502"/>
    </row>
    <row r="1345">
      <c r="Q1345" s="240"/>
      <c r="R1345" s="240"/>
      <c r="T1345" s="502"/>
    </row>
    <row r="1346">
      <c r="Q1346" s="240"/>
      <c r="R1346" s="240"/>
      <c r="T1346" s="502"/>
    </row>
    <row r="1347">
      <c r="Q1347" s="240"/>
      <c r="R1347" s="240"/>
      <c r="T1347" s="502"/>
    </row>
    <row r="1348">
      <c r="Q1348" s="240"/>
      <c r="R1348" s="240"/>
      <c r="T1348" s="502"/>
    </row>
    <row r="1349">
      <c r="Q1349" s="240"/>
      <c r="R1349" s="240"/>
      <c r="T1349" s="502"/>
    </row>
    <row r="1350">
      <c r="Q1350" s="240"/>
      <c r="R1350" s="240"/>
      <c r="T1350" s="502"/>
    </row>
    <row r="1351">
      <c r="Q1351" s="240"/>
      <c r="R1351" s="240"/>
      <c r="T1351" s="502"/>
    </row>
    <row r="1352">
      <c r="Q1352" s="240"/>
      <c r="R1352" s="240"/>
      <c r="T1352" s="502"/>
    </row>
    <row r="1353">
      <c r="Q1353" s="240"/>
      <c r="R1353" s="240"/>
      <c r="T1353" s="502"/>
    </row>
    <row r="1354">
      <c r="Q1354" s="240"/>
      <c r="R1354" s="240"/>
      <c r="T1354" s="502"/>
    </row>
    <row r="1355">
      <c r="Q1355" s="240"/>
      <c r="R1355" s="240"/>
      <c r="T1355" s="502"/>
    </row>
    <row r="1356">
      <c r="Q1356" s="240"/>
      <c r="R1356" s="240"/>
      <c r="T1356" s="502"/>
    </row>
    <row r="1357">
      <c r="Q1357" s="240"/>
      <c r="R1357" s="240"/>
      <c r="T1357" s="502"/>
    </row>
    <row r="1358">
      <c r="Q1358" s="240"/>
      <c r="R1358" s="240"/>
      <c r="T1358" s="502"/>
    </row>
    <row r="1359">
      <c r="Q1359" s="240"/>
      <c r="R1359" s="240"/>
      <c r="T1359" s="502"/>
    </row>
    <row r="1360">
      <c r="Q1360" s="240"/>
      <c r="R1360" s="240"/>
      <c r="T1360" s="502"/>
    </row>
    <row r="1361">
      <c r="Q1361" s="240"/>
      <c r="R1361" s="240"/>
      <c r="T1361" s="502"/>
    </row>
    <row r="1362">
      <c r="Q1362" s="240"/>
      <c r="R1362" s="240"/>
      <c r="T1362" s="502"/>
    </row>
    <row r="1363">
      <c r="Q1363" s="240"/>
      <c r="R1363" s="240"/>
      <c r="T1363" s="502"/>
    </row>
    <row r="1364">
      <c r="Q1364" s="240"/>
      <c r="R1364" s="240"/>
      <c r="T1364" s="502"/>
    </row>
    <row r="1365">
      <c r="Q1365" s="240"/>
      <c r="R1365" s="240"/>
      <c r="T1365" s="502"/>
    </row>
    <row r="1366">
      <c r="Q1366" s="240"/>
      <c r="R1366" s="240"/>
      <c r="T1366" s="502"/>
    </row>
    <row r="1367">
      <c r="Q1367" s="240"/>
      <c r="R1367" s="240"/>
      <c r="T1367" s="502"/>
    </row>
    <row r="1368">
      <c r="Q1368" s="240"/>
      <c r="R1368" s="240"/>
      <c r="T1368" s="502"/>
    </row>
    <row r="1369">
      <c r="Q1369" s="240"/>
      <c r="R1369" s="240"/>
      <c r="T1369" s="502"/>
    </row>
    <row r="1370">
      <c r="Q1370" s="240"/>
      <c r="R1370" s="240"/>
      <c r="T1370" s="502"/>
    </row>
    <row r="1371">
      <c r="Q1371" s="240"/>
      <c r="R1371" s="240"/>
      <c r="T1371" s="502"/>
    </row>
    <row r="1372">
      <c r="Q1372" s="240"/>
      <c r="R1372" s="240"/>
      <c r="T1372" s="502"/>
    </row>
    <row r="1373">
      <c r="Q1373" s="240"/>
      <c r="R1373" s="240"/>
      <c r="T1373" s="502"/>
    </row>
    <row r="1374">
      <c r="Q1374" s="240"/>
      <c r="R1374" s="240"/>
      <c r="T1374" s="502"/>
    </row>
    <row r="1375">
      <c r="Q1375" s="240"/>
      <c r="R1375" s="240"/>
      <c r="T1375" s="502"/>
    </row>
    <row r="1376">
      <c r="Q1376" s="240"/>
      <c r="R1376" s="240"/>
      <c r="T1376" s="502"/>
    </row>
    <row r="1377">
      <c r="Q1377" s="240"/>
      <c r="R1377" s="240"/>
      <c r="T1377" s="502"/>
    </row>
    <row r="1378">
      <c r="Q1378" s="240"/>
      <c r="R1378" s="240"/>
      <c r="T1378" s="502"/>
    </row>
    <row r="1379">
      <c r="Q1379" s="240"/>
      <c r="R1379" s="240"/>
      <c r="T1379" s="502"/>
    </row>
    <row r="1380">
      <c r="Q1380" s="240"/>
      <c r="R1380" s="240"/>
      <c r="T1380" s="502"/>
    </row>
    <row r="1381">
      <c r="Q1381" s="240"/>
      <c r="R1381" s="240"/>
      <c r="T1381" s="502"/>
    </row>
    <row r="1382">
      <c r="Q1382" s="240"/>
      <c r="R1382" s="240"/>
      <c r="T1382" s="502"/>
    </row>
    <row r="1383">
      <c r="Q1383" s="240"/>
      <c r="R1383" s="240"/>
      <c r="T1383" s="502"/>
    </row>
    <row r="1384">
      <c r="Q1384" s="240"/>
      <c r="R1384" s="240"/>
      <c r="T1384" s="502"/>
    </row>
    <row r="1385">
      <c r="Q1385" s="240"/>
      <c r="R1385" s="240"/>
      <c r="T1385" s="502"/>
    </row>
    <row r="1386">
      <c r="Q1386" s="240"/>
      <c r="R1386" s="240"/>
      <c r="T1386" s="502"/>
    </row>
    <row r="1387">
      <c r="Q1387" s="240"/>
      <c r="R1387" s="240"/>
      <c r="T1387" s="502"/>
    </row>
    <row r="1388">
      <c r="Q1388" s="240"/>
      <c r="R1388" s="240"/>
      <c r="T1388" s="502"/>
    </row>
    <row r="1389">
      <c r="Q1389" s="240"/>
      <c r="R1389" s="240"/>
      <c r="T1389" s="502"/>
    </row>
    <row r="1390">
      <c r="Q1390" s="240"/>
      <c r="R1390" s="240"/>
      <c r="T1390" s="502"/>
    </row>
    <row r="1391">
      <c r="Q1391" s="240"/>
      <c r="R1391" s="240"/>
      <c r="T1391" s="502"/>
    </row>
    <row r="1392">
      <c r="Q1392" s="240"/>
      <c r="R1392" s="240"/>
      <c r="T1392" s="502"/>
    </row>
    <row r="1393">
      <c r="Q1393" s="240"/>
      <c r="R1393" s="240"/>
      <c r="T1393" s="502"/>
    </row>
    <row r="1394">
      <c r="Q1394" s="240"/>
      <c r="R1394" s="240"/>
      <c r="T1394" s="502"/>
    </row>
    <row r="1395">
      <c r="Q1395" s="240"/>
      <c r="R1395" s="240"/>
      <c r="T1395" s="502"/>
    </row>
    <row r="1396">
      <c r="Q1396" s="240"/>
      <c r="R1396" s="240"/>
      <c r="T1396" s="502"/>
    </row>
    <row r="1397">
      <c r="Q1397" s="240"/>
      <c r="R1397" s="240"/>
      <c r="T1397" s="502"/>
    </row>
    <row r="1398">
      <c r="Q1398" s="240"/>
      <c r="R1398" s="240"/>
      <c r="T1398" s="502"/>
    </row>
    <row r="1399">
      <c r="Q1399" s="240"/>
      <c r="R1399" s="240"/>
      <c r="T1399" s="502"/>
    </row>
    <row r="1400">
      <c r="Q1400" s="240"/>
      <c r="R1400" s="240"/>
      <c r="T1400" s="502"/>
    </row>
    <row r="1401">
      <c r="Q1401" s="240"/>
      <c r="R1401" s="240"/>
      <c r="T1401" s="502"/>
    </row>
    <row r="1402">
      <c r="Q1402" s="240"/>
      <c r="R1402" s="240"/>
      <c r="T1402" s="502"/>
    </row>
    <row r="1403">
      <c r="Q1403" s="240"/>
      <c r="R1403" s="240"/>
      <c r="T1403" s="502"/>
    </row>
    <row r="1404">
      <c r="Q1404" s="240"/>
      <c r="R1404" s="240"/>
      <c r="T1404" s="502"/>
    </row>
    <row r="1405">
      <c r="Q1405" s="240"/>
      <c r="R1405" s="240"/>
      <c r="T1405" s="502"/>
    </row>
    <row r="1406">
      <c r="Q1406" s="240"/>
      <c r="R1406" s="240"/>
      <c r="T1406" s="502"/>
    </row>
    <row r="1407">
      <c r="Q1407" s="240"/>
      <c r="R1407" s="240"/>
      <c r="T1407" s="502"/>
    </row>
    <row r="1408">
      <c r="Q1408" s="240"/>
      <c r="R1408" s="240"/>
      <c r="T1408" s="502"/>
    </row>
    <row r="1409">
      <c r="Q1409" s="240"/>
      <c r="R1409" s="240"/>
      <c r="T1409" s="502"/>
    </row>
    <row r="1410">
      <c r="Q1410" s="240"/>
      <c r="R1410" s="240"/>
      <c r="T1410" s="502"/>
    </row>
    <row r="1411">
      <c r="Q1411" s="240"/>
      <c r="R1411" s="240"/>
      <c r="T1411" s="502"/>
    </row>
    <row r="1412">
      <c r="Q1412" s="240"/>
      <c r="R1412" s="240"/>
      <c r="T1412" s="502"/>
    </row>
    <row r="1413">
      <c r="Q1413" s="240"/>
      <c r="R1413" s="240"/>
      <c r="T1413" s="502"/>
    </row>
    <row r="1414">
      <c r="Q1414" s="240"/>
      <c r="R1414" s="240"/>
      <c r="T1414" s="502"/>
    </row>
    <row r="1415">
      <c r="Q1415" s="240"/>
      <c r="R1415" s="240"/>
      <c r="T1415" s="502"/>
    </row>
    <row r="1416">
      <c r="Q1416" s="240"/>
      <c r="R1416" s="240"/>
      <c r="T1416" s="502"/>
    </row>
    <row r="1417">
      <c r="Q1417" s="240"/>
      <c r="R1417" s="240"/>
      <c r="T1417" s="502"/>
    </row>
    <row r="1418">
      <c r="Q1418" s="240"/>
      <c r="R1418" s="240"/>
      <c r="T1418" s="502"/>
    </row>
    <row r="1419">
      <c r="Q1419" s="240"/>
      <c r="R1419" s="240"/>
      <c r="T1419" s="502"/>
    </row>
    <row r="1420">
      <c r="Q1420" s="240"/>
      <c r="R1420" s="240"/>
      <c r="T1420" s="502"/>
    </row>
    <row r="1421">
      <c r="Q1421" s="240"/>
      <c r="R1421" s="240"/>
      <c r="T1421" s="502"/>
    </row>
    <row r="1422">
      <c r="Q1422" s="240"/>
      <c r="R1422" s="240"/>
      <c r="T1422" s="502"/>
    </row>
    <row r="1423">
      <c r="Q1423" s="240"/>
      <c r="R1423" s="240"/>
      <c r="T1423" s="502"/>
    </row>
    <row r="1424">
      <c r="Q1424" s="240"/>
      <c r="R1424" s="240"/>
      <c r="T1424" s="502"/>
    </row>
    <row r="1425">
      <c r="Q1425" s="240"/>
      <c r="R1425" s="240"/>
      <c r="T1425" s="502"/>
    </row>
    <row r="1426">
      <c r="Q1426" s="240"/>
      <c r="R1426" s="240"/>
      <c r="T1426" s="502"/>
    </row>
    <row r="1427">
      <c r="Q1427" s="240"/>
      <c r="R1427" s="240"/>
      <c r="T1427" s="502"/>
    </row>
    <row r="1428">
      <c r="Q1428" s="240"/>
      <c r="R1428" s="240"/>
      <c r="T1428" s="502"/>
    </row>
    <row r="1429">
      <c r="Q1429" s="240"/>
      <c r="R1429" s="240"/>
      <c r="T1429" s="502"/>
    </row>
    <row r="1430">
      <c r="Q1430" s="240"/>
      <c r="R1430" s="240"/>
      <c r="T1430" s="502"/>
    </row>
    <row r="1431">
      <c r="Q1431" s="240"/>
      <c r="R1431" s="240"/>
      <c r="T1431" s="502"/>
    </row>
    <row r="1432">
      <c r="Q1432" s="240"/>
      <c r="R1432" s="240"/>
      <c r="T1432" s="502"/>
    </row>
    <row r="1433">
      <c r="Q1433" s="240"/>
      <c r="R1433" s="240"/>
      <c r="T1433" s="502"/>
    </row>
    <row r="1434">
      <c r="Q1434" s="240"/>
      <c r="R1434" s="240"/>
      <c r="T1434" s="502"/>
    </row>
    <row r="1435">
      <c r="Q1435" s="240"/>
      <c r="R1435" s="240"/>
      <c r="T1435" s="502"/>
    </row>
    <row r="1436">
      <c r="Q1436" s="240"/>
      <c r="R1436" s="240"/>
      <c r="T1436" s="502"/>
    </row>
    <row r="1437">
      <c r="Q1437" s="240"/>
      <c r="R1437" s="240"/>
      <c r="T1437" s="502"/>
    </row>
    <row r="1438">
      <c r="Q1438" s="240"/>
      <c r="R1438" s="240"/>
      <c r="T1438" s="502"/>
    </row>
    <row r="1439">
      <c r="Q1439" s="240"/>
      <c r="R1439" s="240"/>
      <c r="T1439" s="502"/>
    </row>
    <row r="1440">
      <c r="Q1440" s="240"/>
      <c r="R1440" s="240"/>
      <c r="T1440" s="502"/>
    </row>
    <row r="1441">
      <c r="Q1441" s="240"/>
      <c r="R1441" s="240"/>
      <c r="T1441" s="502"/>
    </row>
    <row r="1442">
      <c r="Q1442" s="240"/>
      <c r="R1442" s="240"/>
      <c r="T1442" s="502"/>
    </row>
    <row r="1443">
      <c r="Q1443" s="240"/>
      <c r="R1443" s="240"/>
      <c r="T1443" s="502"/>
    </row>
    <row r="1444">
      <c r="Q1444" s="240"/>
      <c r="R1444" s="240"/>
      <c r="T1444" s="502"/>
    </row>
    <row r="1445">
      <c r="Q1445" s="240"/>
      <c r="R1445" s="240"/>
      <c r="T1445" s="502"/>
    </row>
    <row r="1446">
      <c r="Q1446" s="240"/>
      <c r="R1446" s="240"/>
      <c r="T1446" s="502"/>
    </row>
    <row r="1447">
      <c r="Q1447" s="240"/>
      <c r="R1447" s="240"/>
      <c r="T1447" s="502"/>
    </row>
    <row r="1448">
      <c r="Q1448" s="240"/>
      <c r="R1448" s="240"/>
      <c r="T1448" s="502"/>
    </row>
    <row r="1449">
      <c r="Q1449" s="240"/>
      <c r="R1449" s="240"/>
      <c r="T1449" s="502"/>
    </row>
    <row r="1450">
      <c r="Q1450" s="240"/>
      <c r="R1450" s="240"/>
      <c r="T1450" s="502"/>
    </row>
    <row r="1451">
      <c r="Q1451" s="240"/>
      <c r="R1451" s="240"/>
      <c r="T1451" s="502"/>
    </row>
    <row r="1452">
      <c r="Q1452" s="240"/>
      <c r="R1452" s="240"/>
      <c r="T1452" s="502"/>
    </row>
    <row r="1453">
      <c r="Q1453" s="240"/>
      <c r="R1453" s="240"/>
      <c r="T1453" s="502"/>
    </row>
    <row r="1454">
      <c r="Q1454" s="240"/>
      <c r="R1454" s="240"/>
      <c r="T1454" s="502"/>
    </row>
    <row r="1455">
      <c r="Q1455" s="240"/>
      <c r="R1455" s="240"/>
      <c r="T1455" s="502"/>
    </row>
    <row r="1456">
      <c r="Q1456" s="240"/>
      <c r="R1456" s="240"/>
      <c r="T1456" s="502"/>
    </row>
    <row r="1457">
      <c r="Q1457" s="240"/>
      <c r="R1457" s="240"/>
      <c r="T1457" s="502"/>
    </row>
    <row r="1458">
      <c r="Q1458" s="240"/>
      <c r="R1458" s="240"/>
      <c r="T1458" s="502"/>
    </row>
    <row r="1459">
      <c r="Q1459" s="240"/>
      <c r="R1459" s="240"/>
      <c r="T1459" s="502"/>
    </row>
    <row r="1460">
      <c r="Q1460" s="240"/>
      <c r="R1460" s="240"/>
      <c r="T1460" s="502"/>
    </row>
    <row r="1461">
      <c r="Q1461" s="240"/>
      <c r="R1461" s="240"/>
      <c r="T1461" s="502"/>
    </row>
    <row r="1462">
      <c r="Q1462" s="240"/>
      <c r="R1462" s="240"/>
      <c r="T1462" s="502"/>
    </row>
    <row r="1463">
      <c r="Q1463" s="240"/>
      <c r="R1463" s="240"/>
      <c r="T1463" s="502"/>
    </row>
    <row r="1464">
      <c r="Q1464" s="240"/>
      <c r="R1464" s="240"/>
      <c r="T1464" s="502"/>
    </row>
    <row r="1465">
      <c r="Q1465" s="240"/>
      <c r="R1465" s="240"/>
      <c r="T1465" s="502"/>
    </row>
    <row r="1466">
      <c r="Q1466" s="240"/>
      <c r="R1466" s="240"/>
      <c r="T1466" s="502"/>
    </row>
    <row r="1467">
      <c r="Q1467" s="240"/>
      <c r="R1467" s="240"/>
      <c r="T1467" s="502"/>
    </row>
    <row r="1468">
      <c r="Q1468" s="240"/>
      <c r="R1468" s="240"/>
      <c r="T1468" s="502"/>
    </row>
    <row r="1469">
      <c r="Q1469" s="240"/>
      <c r="R1469" s="240"/>
      <c r="T1469" s="502"/>
    </row>
    <row r="1470">
      <c r="Q1470" s="240"/>
      <c r="R1470" s="240"/>
      <c r="T1470" s="502"/>
    </row>
    <row r="1471">
      <c r="Q1471" s="240"/>
      <c r="R1471" s="240"/>
      <c r="T1471" s="502"/>
    </row>
    <row r="1472">
      <c r="Q1472" s="240"/>
      <c r="R1472" s="240"/>
      <c r="T1472" s="502"/>
    </row>
    <row r="1473">
      <c r="Q1473" s="240"/>
      <c r="R1473" s="240"/>
      <c r="T1473" s="502"/>
    </row>
    <row r="1474">
      <c r="Q1474" s="240"/>
      <c r="R1474" s="240"/>
      <c r="T1474" s="502"/>
    </row>
    <row r="1475">
      <c r="Q1475" s="240"/>
      <c r="R1475" s="240"/>
      <c r="T1475" s="502"/>
    </row>
    <row r="1476">
      <c r="Q1476" s="240"/>
      <c r="R1476" s="240"/>
      <c r="T1476" s="502"/>
    </row>
    <row r="1477">
      <c r="Q1477" s="240"/>
      <c r="R1477" s="240"/>
      <c r="T1477" s="502"/>
    </row>
    <row r="1478">
      <c r="Q1478" s="240"/>
      <c r="R1478" s="240"/>
      <c r="T1478" s="502"/>
    </row>
    <row r="1479">
      <c r="Q1479" s="240"/>
      <c r="R1479" s="240"/>
      <c r="T1479" s="502"/>
    </row>
    <row r="1480">
      <c r="Q1480" s="240"/>
      <c r="R1480" s="240"/>
      <c r="T1480" s="502"/>
    </row>
    <row r="1481">
      <c r="Q1481" s="240"/>
      <c r="R1481" s="240"/>
      <c r="T1481" s="502"/>
    </row>
    <row r="1482">
      <c r="Q1482" s="240"/>
      <c r="R1482" s="240"/>
      <c r="T1482" s="502"/>
    </row>
    <row r="1483">
      <c r="Q1483" s="240"/>
      <c r="R1483" s="240"/>
      <c r="T1483" s="502"/>
    </row>
    <row r="1484">
      <c r="Q1484" s="240"/>
      <c r="R1484" s="240"/>
      <c r="T1484" s="502"/>
    </row>
    <row r="1485">
      <c r="Q1485" s="240"/>
      <c r="R1485" s="240"/>
      <c r="T1485" s="502"/>
    </row>
    <row r="1486">
      <c r="Q1486" s="240"/>
      <c r="R1486" s="240"/>
      <c r="T1486" s="502"/>
    </row>
    <row r="1487">
      <c r="Q1487" s="240"/>
      <c r="R1487" s="240"/>
      <c r="T1487" s="502"/>
    </row>
    <row r="1488">
      <c r="Q1488" s="240"/>
      <c r="R1488" s="240"/>
      <c r="T1488" s="502"/>
    </row>
    <row r="1489">
      <c r="Q1489" s="240"/>
      <c r="R1489" s="240"/>
      <c r="T1489" s="502"/>
    </row>
    <row r="1490">
      <c r="Q1490" s="240"/>
      <c r="R1490" s="240"/>
      <c r="T1490" s="502"/>
    </row>
    <row r="1491">
      <c r="Q1491" s="240"/>
      <c r="R1491" s="240"/>
      <c r="T1491" s="502"/>
    </row>
    <row r="1492">
      <c r="Q1492" s="240"/>
      <c r="R1492" s="240"/>
      <c r="T1492" s="502"/>
    </row>
    <row r="1493">
      <c r="Q1493" s="240"/>
      <c r="R1493" s="240"/>
      <c r="T1493" s="502"/>
    </row>
    <row r="1494">
      <c r="Q1494" s="240"/>
      <c r="R1494" s="240"/>
      <c r="T1494" s="502"/>
    </row>
    <row r="1495">
      <c r="Q1495" s="240"/>
      <c r="R1495" s="240"/>
      <c r="T1495" s="502"/>
    </row>
    <row r="1496">
      <c r="Q1496" s="240"/>
      <c r="R1496" s="240"/>
      <c r="T1496" s="502"/>
    </row>
    <row r="1497">
      <c r="Q1497" s="240"/>
      <c r="R1497" s="240"/>
      <c r="T1497" s="502"/>
    </row>
    <row r="1498">
      <c r="Q1498" s="240"/>
      <c r="R1498" s="240"/>
      <c r="T1498" s="502"/>
    </row>
    <row r="1499">
      <c r="Q1499" s="240"/>
      <c r="R1499" s="240"/>
      <c r="T1499" s="502"/>
    </row>
    <row r="1500">
      <c r="Q1500" s="240"/>
      <c r="R1500" s="240"/>
      <c r="T1500" s="502"/>
    </row>
    <row r="1501">
      <c r="Q1501" s="240"/>
      <c r="R1501" s="240"/>
      <c r="T1501" s="502"/>
    </row>
    <row r="1502">
      <c r="Q1502" s="240"/>
      <c r="R1502" s="240"/>
      <c r="T1502" s="502"/>
    </row>
    <row r="1503">
      <c r="Q1503" s="240"/>
      <c r="R1503" s="240"/>
      <c r="T1503" s="502"/>
    </row>
    <row r="1504">
      <c r="Q1504" s="240"/>
      <c r="R1504" s="240"/>
      <c r="T1504" s="502"/>
    </row>
    <row r="1505">
      <c r="Q1505" s="240"/>
      <c r="R1505" s="240"/>
      <c r="T1505" s="502"/>
    </row>
    <row r="1506">
      <c r="Q1506" s="240"/>
      <c r="R1506" s="240"/>
      <c r="T1506" s="502"/>
    </row>
    <row r="1507">
      <c r="Q1507" s="240"/>
      <c r="R1507" s="240"/>
      <c r="T1507" s="502"/>
    </row>
    <row r="1508">
      <c r="Q1508" s="240"/>
      <c r="R1508" s="240"/>
      <c r="T1508" s="502"/>
    </row>
    <row r="1509">
      <c r="Q1509" s="240"/>
      <c r="R1509" s="240"/>
      <c r="T1509" s="502"/>
    </row>
    <row r="1510">
      <c r="Q1510" s="240"/>
      <c r="R1510" s="240"/>
      <c r="T1510" s="502"/>
    </row>
    <row r="1511">
      <c r="Q1511" s="240"/>
      <c r="R1511" s="240"/>
      <c r="T1511" s="502"/>
    </row>
    <row r="1512">
      <c r="Q1512" s="240"/>
      <c r="R1512" s="240"/>
      <c r="T1512" s="502"/>
    </row>
    <row r="1513">
      <c r="Q1513" s="240"/>
      <c r="R1513" s="240"/>
      <c r="T1513" s="502"/>
    </row>
    <row r="1514">
      <c r="Q1514" s="240"/>
      <c r="R1514" s="240"/>
      <c r="T1514" s="502"/>
    </row>
    <row r="1515">
      <c r="Q1515" s="240"/>
      <c r="R1515" s="240"/>
      <c r="T1515" s="502"/>
    </row>
    <row r="1516">
      <c r="Q1516" s="240"/>
      <c r="R1516" s="240"/>
      <c r="T1516" s="502"/>
    </row>
    <row r="1517">
      <c r="Q1517" s="240"/>
      <c r="R1517" s="240"/>
      <c r="T1517" s="502"/>
    </row>
    <row r="1518">
      <c r="Q1518" s="240"/>
      <c r="R1518" s="240"/>
      <c r="T1518" s="502"/>
    </row>
    <row r="1519">
      <c r="Q1519" s="240"/>
      <c r="R1519" s="240"/>
      <c r="T1519" s="502"/>
    </row>
    <row r="1520">
      <c r="Q1520" s="240"/>
      <c r="R1520" s="240"/>
      <c r="T1520" s="502"/>
    </row>
    <row r="1521">
      <c r="Q1521" s="240"/>
      <c r="R1521" s="240"/>
      <c r="T1521" s="502"/>
    </row>
    <row r="1522">
      <c r="Q1522" s="240"/>
      <c r="R1522" s="240"/>
      <c r="T1522" s="502"/>
    </row>
    <row r="1523">
      <c r="Q1523" s="240"/>
      <c r="R1523" s="240"/>
      <c r="T1523" s="502"/>
    </row>
    <row r="1524">
      <c r="Q1524" s="240"/>
      <c r="R1524" s="240"/>
      <c r="T1524" s="502"/>
    </row>
    <row r="1525">
      <c r="Q1525" s="240"/>
      <c r="R1525" s="240"/>
      <c r="T1525" s="502"/>
    </row>
    <row r="1526">
      <c r="Q1526" s="240"/>
      <c r="R1526" s="240"/>
      <c r="T1526" s="502"/>
    </row>
    <row r="1527">
      <c r="Q1527" s="240"/>
      <c r="R1527" s="240"/>
      <c r="T1527" s="502"/>
    </row>
    <row r="1528">
      <c r="Q1528" s="240"/>
      <c r="R1528" s="240"/>
      <c r="T1528" s="502"/>
    </row>
    <row r="1529">
      <c r="Q1529" s="240"/>
      <c r="R1529" s="240"/>
      <c r="T1529" s="502"/>
    </row>
    <row r="1530">
      <c r="Q1530" s="240"/>
      <c r="R1530" s="240"/>
      <c r="T1530" s="502"/>
    </row>
    <row r="1531">
      <c r="Q1531" s="240"/>
      <c r="R1531" s="240"/>
      <c r="T1531" s="502"/>
    </row>
    <row r="1532">
      <c r="Q1532" s="240"/>
      <c r="R1532" s="240"/>
      <c r="T1532" s="502"/>
    </row>
    <row r="1533">
      <c r="Q1533" s="240"/>
      <c r="R1533" s="240"/>
      <c r="T1533" s="502"/>
    </row>
    <row r="1534">
      <c r="Q1534" s="240"/>
      <c r="R1534" s="240"/>
      <c r="T1534" s="502"/>
    </row>
    <row r="1535">
      <c r="Q1535" s="240"/>
      <c r="R1535" s="240"/>
      <c r="T1535" s="502"/>
    </row>
    <row r="1536">
      <c r="Q1536" s="240"/>
      <c r="R1536" s="240"/>
      <c r="T1536" s="502"/>
    </row>
    <row r="1537">
      <c r="Q1537" s="240"/>
      <c r="R1537" s="240"/>
      <c r="T1537" s="502"/>
    </row>
    <row r="1538">
      <c r="Q1538" s="240"/>
      <c r="R1538" s="240"/>
      <c r="T1538" s="502"/>
    </row>
    <row r="1539">
      <c r="Q1539" s="240"/>
      <c r="R1539" s="240"/>
      <c r="T1539" s="502"/>
    </row>
    <row r="1540">
      <c r="Q1540" s="240"/>
      <c r="R1540" s="240"/>
      <c r="T1540" s="502"/>
    </row>
    <row r="1541">
      <c r="Q1541" s="240"/>
      <c r="R1541" s="240"/>
      <c r="T1541" s="502"/>
    </row>
    <row r="1542">
      <c r="Q1542" s="240"/>
      <c r="R1542" s="240"/>
      <c r="T1542" s="502"/>
    </row>
    <row r="1543">
      <c r="Q1543" s="240"/>
      <c r="R1543" s="240"/>
      <c r="T1543" s="502"/>
    </row>
    <row r="1544">
      <c r="Q1544" s="240"/>
      <c r="R1544" s="240"/>
      <c r="T1544" s="502"/>
    </row>
    <row r="1545">
      <c r="Q1545" s="240"/>
      <c r="R1545" s="240"/>
      <c r="T1545" s="502"/>
    </row>
    <row r="1546">
      <c r="Q1546" s="240"/>
      <c r="R1546" s="240"/>
      <c r="T1546" s="502"/>
    </row>
    <row r="1547">
      <c r="Q1547" s="240"/>
      <c r="R1547" s="240"/>
      <c r="T1547" s="502"/>
    </row>
    <row r="1548">
      <c r="Q1548" s="240"/>
      <c r="R1548" s="240"/>
      <c r="T1548" s="502"/>
    </row>
    <row r="1549">
      <c r="Q1549" s="240"/>
      <c r="R1549" s="240"/>
      <c r="T1549" s="502"/>
    </row>
    <row r="1550">
      <c r="Q1550" s="240"/>
      <c r="R1550" s="240"/>
      <c r="T1550" s="502"/>
    </row>
    <row r="1551">
      <c r="Q1551" s="240"/>
      <c r="R1551" s="240"/>
      <c r="T1551" s="502"/>
    </row>
    <row r="1552">
      <c r="Q1552" s="240"/>
      <c r="R1552" s="240"/>
      <c r="T1552" s="502"/>
    </row>
    <row r="1553">
      <c r="Q1553" s="240"/>
      <c r="R1553" s="240"/>
      <c r="T1553" s="502"/>
    </row>
    <row r="1554">
      <c r="Q1554" s="240"/>
      <c r="R1554" s="240"/>
      <c r="T1554" s="502"/>
    </row>
    <row r="1555">
      <c r="Q1555" s="240"/>
      <c r="R1555" s="240"/>
      <c r="T1555" s="502"/>
    </row>
    <row r="1556">
      <c r="Q1556" s="240"/>
      <c r="R1556" s="240"/>
      <c r="T1556" s="502"/>
    </row>
    <row r="1557">
      <c r="Q1557" s="240"/>
      <c r="R1557" s="240"/>
      <c r="T1557" s="502"/>
    </row>
    <row r="1558">
      <c r="Q1558" s="240"/>
      <c r="R1558" s="240"/>
      <c r="T1558" s="502"/>
    </row>
    <row r="1559">
      <c r="Q1559" s="240"/>
      <c r="R1559" s="240"/>
      <c r="T1559" s="502"/>
    </row>
    <row r="1560">
      <c r="Q1560" s="240"/>
      <c r="R1560" s="240"/>
      <c r="T1560" s="502"/>
    </row>
    <row r="1561">
      <c r="Q1561" s="240"/>
      <c r="R1561" s="240"/>
      <c r="T1561" s="502"/>
    </row>
    <row r="1562">
      <c r="Q1562" s="240"/>
      <c r="R1562" s="240"/>
      <c r="T1562" s="502"/>
    </row>
    <row r="1563">
      <c r="Q1563" s="240"/>
      <c r="R1563" s="240"/>
      <c r="T1563" s="502"/>
    </row>
    <row r="1564">
      <c r="Q1564" s="240"/>
      <c r="R1564" s="240"/>
      <c r="T1564" s="502"/>
    </row>
    <row r="1565">
      <c r="Q1565" s="240"/>
      <c r="R1565" s="240"/>
      <c r="T1565" s="502"/>
    </row>
    <row r="1566">
      <c r="Q1566" s="240"/>
      <c r="R1566" s="240"/>
      <c r="T1566" s="502"/>
    </row>
    <row r="1567">
      <c r="Q1567" s="240"/>
      <c r="R1567" s="240"/>
      <c r="T1567" s="502"/>
    </row>
    <row r="1568">
      <c r="Q1568" s="240"/>
      <c r="R1568" s="240"/>
      <c r="T1568" s="502"/>
    </row>
    <row r="1569">
      <c r="Q1569" s="240"/>
      <c r="R1569" s="240"/>
      <c r="T1569" s="502"/>
    </row>
    <row r="1570">
      <c r="Q1570" s="240"/>
      <c r="R1570" s="240"/>
      <c r="T1570" s="502"/>
    </row>
    <row r="1571">
      <c r="Q1571" s="240"/>
      <c r="R1571" s="240"/>
      <c r="T1571" s="502"/>
    </row>
    <row r="1572">
      <c r="Q1572" s="240"/>
      <c r="R1572" s="240"/>
      <c r="T1572" s="502"/>
    </row>
    <row r="1573">
      <c r="Q1573" s="240"/>
      <c r="R1573" s="240"/>
      <c r="T1573" s="502"/>
    </row>
    <row r="1574">
      <c r="Q1574" s="240"/>
      <c r="R1574" s="240"/>
      <c r="T1574" s="502"/>
    </row>
    <row r="1575">
      <c r="Q1575" s="240"/>
      <c r="R1575" s="240"/>
      <c r="T1575" s="502"/>
    </row>
    <row r="1576">
      <c r="Q1576" s="240"/>
      <c r="R1576" s="240"/>
      <c r="T1576" s="502"/>
    </row>
    <row r="1577">
      <c r="Q1577" s="240"/>
      <c r="R1577" s="240"/>
      <c r="T1577" s="502"/>
    </row>
    <row r="1578">
      <c r="Q1578" s="240"/>
      <c r="R1578" s="240"/>
      <c r="T1578" s="502"/>
    </row>
    <row r="1579">
      <c r="Q1579" s="240"/>
      <c r="R1579" s="240"/>
      <c r="T1579" s="502"/>
    </row>
    <row r="1580">
      <c r="Q1580" s="240"/>
      <c r="R1580" s="240"/>
      <c r="T1580" s="502"/>
    </row>
    <row r="1581">
      <c r="Q1581" s="240"/>
      <c r="R1581" s="240"/>
      <c r="T1581" s="502"/>
    </row>
    <row r="1582">
      <c r="Q1582" s="240"/>
      <c r="R1582" s="240"/>
      <c r="T1582" s="502"/>
    </row>
    <row r="1583">
      <c r="Q1583" s="240"/>
      <c r="R1583" s="240"/>
      <c r="T1583" s="502"/>
    </row>
    <row r="1584">
      <c r="Q1584" s="240"/>
      <c r="R1584" s="240"/>
      <c r="T1584" s="502"/>
    </row>
    <row r="1585">
      <c r="Q1585" s="240"/>
      <c r="R1585" s="240"/>
      <c r="T1585" s="502"/>
    </row>
    <row r="1586">
      <c r="Q1586" s="240"/>
      <c r="R1586" s="240"/>
      <c r="T1586" s="502"/>
    </row>
    <row r="1587">
      <c r="Q1587" s="240"/>
      <c r="R1587" s="240"/>
      <c r="T1587" s="502"/>
    </row>
    <row r="1588">
      <c r="Q1588" s="240"/>
      <c r="R1588" s="240"/>
      <c r="T1588" s="502"/>
    </row>
    <row r="1589">
      <c r="Q1589" s="240"/>
      <c r="R1589" s="240"/>
      <c r="T1589" s="502"/>
    </row>
    <row r="1590">
      <c r="Q1590" s="240"/>
      <c r="R1590" s="240"/>
      <c r="T1590" s="502"/>
    </row>
    <row r="1591">
      <c r="Q1591" s="240"/>
      <c r="R1591" s="240"/>
      <c r="T1591" s="502"/>
    </row>
    <row r="1592">
      <c r="Q1592" s="240"/>
      <c r="R1592" s="240"/>
      <c r="T1592" s="502"/>
    </row>
    <row r="1593">
      <c r="Q1593" s="240"/>
      <c r="R1593" s="240"/>
      <c r="T1593" s="502"/>
    </row>
    <row r="1594">
      <c r="Q1594" s="240"/>
      <c r="R1594" s="240"/>
      <c r="T1594" s="502"/>
    </row>
    <row r="1595">
      <c r="Q1595" s="240"/>
      <c r="R1595" s="240"/>
      <c r="T1595" s="502"/>
    </row>
    <row r="1596">
      <c r="Q1596" s="240"/>
      <c r="R1596" s="240"/>
      <c r="T1596" s="502"/>
    </row>
    <row r="1597">
      <c r="Q1597" s="240"/>
      <c r="R1597" s="240"/>
      <c r="T1597" s="502"/>
    </row>
    <row r="1598">
      <c r="Q1598" s="240"/>
      <c r="R1598" s="240"/>
      <c r="T1598" s="502"/>
    </row>
    <row r="1599">
      <c r="Q1599" s="240"/>
      <c r="R1599" s="240"/>
      <c r="T1599" s="502"/>
    </row>
    <row r="1600">
      <c r="Q1600" s="240"/>
      <c r="R1600" s="240"/>
      <c r="T1600" s="502"/>
    </row>
    <row r="1601">
      <c r="Q1601" s="240"/>
      <c r="R1601" s="240"/>
      <c r="T1601" s="502"/>
    </row>
    <row r="1602">
      <c r="Q1602" s="240"/>
      <c r="R1602" s="240"/>
      <c r="T1602" s="502"/>
    </row>
    <row r="1603">
      <c r="Q1603" s="240"/>
      <c r="R1603" s="240"/>
      <c r="T1603" s="502"/>
    </row>
    <row r="1604">
      <c r="Q1604" s="240"/>
      <c r="R1604" s="240"/>
      <c r="T1604" s="502"/>
    </row>
    <row r="1605">
      <c r="Q1605" s="240"/>
      <c r="R1605" s="240"/>
      <c r="T1605" s="502"/>
    </row>
    <row r="1606">
      <c r="Q1606" s="240"/>
      <c r="R1606" s="240"/>
      <c r="T1606" s="502"/>
    </row>
    <row r="1607">
      <c r="Q1607" s="240"/>
      <c r="R1607" s="240"/>
      <c r="T1607" s="502"/>
    </row>
    <row r="1608">
      <c r="Q1608" s="240"/>
      <c r="R1608" s="240"/>
      <c r="T1608" s="502"/>
    </row>
    <row r="1609">
      <c r="Q1609" s="240"/>
      <c r="R1609" s="240"/>
      <c r="T1609" s="502"/>
    </row>
    <row r="1610">
      <c r="Q1610" s="240"/>
      <c r="R1610" s="240"/>
      <c r="T1610" s="502"/>
    </row>
    <row r="1611">
      <c r="Q1611" s="240"/>
      <c r="R1611" s="240"/>
      <c r="T1611" s="502"/>
    </row>
    <row r="1612">
      <c r="Q1612" s="240"/>
      <c r="R1612" s="240"/>
      <c r="T1612" s="502"/>
    </row>
    <row r="1613">
      <c r="Q1613" s="240"/>
      <c r="R1613" s="240"/>
      <c r="T1613" s="502"/>
    </row>
    <row r="1614">
      <c r="Q1614" s="240"/>
      <c r="R1614" s="240"/>
      <c r="T1614" s="502"/>
    </row>
    <row r="1615">
      <c r="Q1615" s="240"/>
      <c r="R1615" s="240"/>
      <c r="T1615" s="502"/>
    </row>
    <row r="1616">
      <c r="Q1616" s="240"/>
      <c r="R1616" s="240"/>
      <c r="T1616" s="502"/>
    </row>
    <row r="1617">
      <c r="Q1617" s="240"/>
      <c r="R1617" s="240"/>
      <c r="T1617" s="502"/>
    </row>
    <row r="1618">
      <c r="Q1618" s="240"/>
      <c r="R1618" s="240"/>
      <c r="T1618" s="502"/>
    </row>
    <row r="1619">
      <c r="Q1619" s="240"/>
      <c r="R1619" s="240"/>
      <c r="T1619" s="502"/>
    </row>
    <row r="1620">
      <c r="Q1620" s="240"/>
      <c r="R1620" s="240"/>
      <c r="T1620" s="502"/>
    </row>
    <row r="1621">
      <c r="Q1621" s="240"/>
      <c r="R1621" s="240"/>
      <c r="T1621" s="502"/>
    </row>
    <row r="1622">
      <c r="Q1622" s="240"/>
      <c r="R1622" s="240"/>
      <c r="T1622" s="502"/>
    </row>
    <row r="1623">
      <c r="Q1623" s="240"/>
      <c r="R1623" s="240"/>
      <c r="T1623" s="502"/>
    </row>
    <row r="1624">
      <c r="Q1624" s="240"/>
      <c r="R1624" s="240"/>
      <c r="T1624" s="502"/>
    </row>
    <row r="1625">
      <c r="Q1625" s="240"/>
      <c r="R1625" s="240"/>
      <c r="T1625" s="502"/>
    </row>
    <row r="1626">
      <c r="Q1626" s="240"/>
      <c r="R1626" s="240"/>
      <c r="T1626" s="502"/>
    </row>
    <row r="1627">
      <c r="Q1627" s="240"/>
      <c r="R1627" s="240"/>
      <c r="T1627" s="502"/>
    </row>
    <row r="1628">
      <c r="Q1628" s="240"/>
      <c r="R1628" s="240"/>
      <c r="T1628" s="502"/>
    </row>
    <row r="1629">
      <c r="Q1629" s="240"/>
      <c r="R1629" s="240"/>
      <c r="T1629" s="502"/>
    </row>
    <row r="1630">
      <c r="Q1630" s="240"/>
      <c r="R1630" s="240"/>
      <c r="T1630" s="502"/>
    </row>
    <row r="1631">
      <c r="Q1631" s="240"/>
      <c r="R1631" s="240"/>
      <c r="T1631" s="502"/>
    </row>
    <row r="1632">
      <c r="Q1632" s="240"/>
      <c r="R1632" s="240"/>
      <c r="T1632" s="502"/>
    </row>
    <row r="1633">
      <c r="Q1633" s="240"/>
      <c r="R1633" s="240"/>
      <c r="T1633" s="502"/>
    </row>
    <row r="1634">
      <c r="Q1634" s="240"/>
      <c r="R1634" s="240"/>
      <c r="T1634" s="502"/>
    </row>
    <row r="1635">
      <c r="Q1635" s="240"/>
      <c r="R1635" s="240"/>
      <c r="T1635" s="502"/>
    </row>
    <row r="1636">
      <c r="Q1636" s="240"/>
      <c r="R1636" s="240"/>
      <c r="T1636" s="502"/>
    </row>
    <row r="1637">
      <c r="Q1637" s="240"/>
      <c r="R1637" s="240"/>
      <c r="T1637" s="502"/>
    </row>
    <row r="1638">
      <c r="Q1638" s="240"/>
      <c r="R1638" s="240"/>
      <c r="T1638" s="502"/>
    </row>
    <row r="1639">
      <c r="Q1639" s="240"/>
      <c r="R1639" s="240"/>
      <c r="T1639" s="502"/>
    </row>
    <row r="1640">
      <c r="Q1640" s="240"/>
      <c r="R1640" s="240"/>
      <c r="T1640" s="502"/>
    </row>
    <row r="1641">
      <c r="Q1641" s="240"/>
      <c r="R1641" s="240"/>
      <c r="T1641" s="502"/>
    </row>
    <row r="1642">
      <c r="Q1642" s="240"/>
      <c r="R1642" s="240"/>
      <c r="T1642" s="502"/>
    </row>
    <row r="1643">
      <c r="Q1643" s="240"/>
      <c r="R1643" s="240"/>
      <c r="T1643" s="502"/>
    </row>
    <row r="1644">
      <c r="Q1644" s="240"/>
      <c r="R1644" s="240"/>
      <c r="T1644" s="502"/>
    </row>
    <row r="1645">
      <c r="Q1645" s="240"/>
      <c r="R1645" s="240"/>
      <c r="T1645" s="502"/>
    </row>
    <row r="1646">
      <c r="Q1646" s="240"/>
      <c r="R1646" s="240"/>
      <c r="T1646" s="502"/>
    </row>
    <row r="1647">
      <c r="Q1647" s="240"/>
      <c r="R1647" s="240"/>
      <c r="T1647" s="502"/>
    </row>
    <row r="1648">
      <c r="Q1648" s="240"/>
      <c r="R1648" s="240"/>
      <c r="T1648" s="502"/>
    </row>
    <row r="1649">
      <c r="Q1649" s="240"/>
      <c r="R1649" s="240"/>
      <c r="T1649" s="502"/>
    </row>
    <row r="1650">
      <c r="Q1650" s="240"/>
      <c r="R1650" s="240"/>
      <c r="T1650" s="502"/>
    </row>
    <row r="1651">
      <c r="Q1651" s="240"/>
      <c r="R1651" s="240"/>
      <c r="T1651" s="502"/>
    </row>
    <row r="1652">
      <c r="Q1652" s="240"/>
      <c r="R1652" s="240"/>
      <c r="T1652" s="502"/>
    </row>
    <row r="1653">
      <c r="Q1653" s="240"/>
      <c r="R1653" s="240"/>
      <c r="T1653" s="502"/>
    </row>
    <row r="1654">
      <c r="Q1654" s="240"/>
      <c r="R1654" s="240"/>
      <c r="T1654" s="502"/>
    </row>
    <row r="1655">
      <c r="Q1655" s="240"/>
      <c r="R1655" s="240"/>
      <c r="T1655" s="502"/>
    </row>
    <row r="1656">
      <c r="Q1656" s="240"/>
      <c r="R1656" s="240"/>
      <c r="T1656" s="502"/>
    </row>
    <row r="1657">
      <c r="Q1657" s="240"/>
      <c r="R1657" s="240"/>
      <c r="T1657" s="502"/>
    </row>
    <row r="1658">
      <c r="Q1658" s="240"/>
      <c r="R1658" s="240"/>
      <c r="T1658" s="502"/>
    </row>
    <row r="1659">
      <c r="Q1659" s="240"/>
      <c r="R1659" s="240"/>
      <c r="T1659" s="502"/>
    </row>
    <row r="1660">
      <c r="Q1660" s="240"/>
      <c r="R1660" s="240"/>
      <c r="T1660" s="502"/>
    </row>
    <row r="1661">
      <c r="Q1661" s="240"/>
      <c r="R1661" s="240"/>
      <c r="T1661" s="502"/>
    </row>
    <row r="1662">
      <c r="Q1662" s="240"/>
      <c r="R1662" s="240"/>
      <c r="T1662" s="502"/>
    </row>
    <row r="1663">
      <c r="Q1663" s="240"/>
      <c r="R1663" s="240"/>
      <c r="T1663" s="502"/>
    </row>
    <row r="1664">
      <c r="Q1664" s="240"/>
      <c r="R1664" s="240"/>
      <c r="T1664" s="502"/>
    </row>
    <row r="1665">
      <c r="Q1665" s="240"/>
      <c r="R1665" s="240"/>
      <c r="T1665" s="502"/>
    </row>
    <row r="1666">
      <c r="Q1666" s="240"/>
      <c r="R1666" s="240"/>
      <c r="T1666" s="502"/>
    </row>
    <row r="1667">
      <c r="Q1667" s="240"/>
      <c r="R1667" s="240"/>
      <c r="T1667" s="502"/>
    </row>
    <row r="1668">
      <c r="Q1668" s="240"/>
      <c r="R1668" s="240"/>
      <c r="T1668" s="502"/>
    </row>
    <row r="1669">
      <c r="Q1669" s="240"/>
      <c r="R1669" s="240"/>
      <c r="T1669" s="502"/>
    </row>
    <row r="1670">
      <c r="Q1670" s="240"/>
      <c r="R1670" s="240"/>
      <c r="T1670" s="502"/>
    </row>
    <row r="1671">
      <c r="Q1671" s="240"/>
      <c r="R1671" s="240"/>
      <c r="T1671" s="502"/>
    </row>
    <row r="1672">
      <c r="Q1672" s="240"/>
      <c r="R1672" s="240"/>
      <c r="T1672" s="502"/>
    </row>
    <row r="1673">
      <c r="Q1673" s="240"/>
      <c r="R1673" s="240"/>
      <c r="T1673" s="502"/>
    </row>
    <row r="1674">
      <c r="Q1674" s="240"/>
      <c r="R1674" s="240"/>
      <c r="T1674" s="502"/>
    </row>
    <row r="1675">
      <c r="Q1675" s="240"/>
      <c r="R1675" s="240"/>
      <c r="T1675" s="502"/>
    </row>
    <row r="1676">
      <c r="Q1676" s="240"/>
      <c r="R1676" s="240"/>
      <c r="T1676" s="502"/>
    </row>
    <row r="1677">
      <c r="Q1677" s="240"/>
      <c r="R1677" s="240"/>
      <c r="T1677" s="502"/>
    </row>
    <row r="1678">
      <c r="Q1678" s="240"/>
      <c r="R1678" s="240"/>
      <c r="T1678" s="502"/>
    </row>
    <row r="1679">
      <c r="Q1679" s="240"/>
      <c r="R1679" s="240"/>
      <c r="T1679" s="502"/>
    </row>
    <row r="1680">
      <c r="Q1680" s="240"/>
      <c r="R1680" s="240"/>
      <c r="T1680" s="502"/>
    </row>
    <row r="1681">
      <c r="Q1681" s="240"/>
      <c r="R1681" s="240"/>
      <c r="T1681" s="502"/>
    </row>
    <row r="1682">
      <c r="Q1682" s="240"/>
      <c r="R1682" s="240"/>
      <c r="T1682" s="502"/>
    </row>
    <row r="1683">
      <c r="Q1683" s="240"/>
      <c r="R1683" s="240"/>
      <c r="T1683" s="502"/>
    </row>
    <row r="1684">
      <c r="Q1684" s="240"/>
      <c r="R1684" s="240"/>
      <c r="T1684" s="502"/>
    </row>
    <row r="1685">
      <c r="Q1685" s="240"/>
      <c r="R1685" s="240"/>
      <c r="T1685" s="502"/>
    </row>
    <row r="1686">
      <c r="Q1686" s="240"/>
      <c r="R1686" s="240"/>
      <c r="T1686" s="502"/>
    </row>
    <row r="1687">
      <c r="Q1687" s="240"/>
      <c r="R1687" s="240"/>
      <c r="T1687" s="502"/>
    </row>
    <row r="1688">
      <c r="Q1688" s="240"/>
      <c r="R1688" s="240"/>
      <c r="T1688" s="502"/>
    </row>
    <row r="1689">
      <c r="Q1689" s="240"/>
      <c r="R1689" s="240"/>
      <c r="T1689" s="502"/>
    </row>
    <row r="1690">
      <c r="Q1690" s="240"/>
      <c r="R1690" s="240"/>
      <c r="T1690" s="502"/>
    </row>
    <row r="1691">
      <c r="Q1691" s="240"/>
      <c r="R1691" s="240"/>
      <c r="T1691" s="502"/>
    </row>
    <row r="1692">
      <c r="Q1692" s="240"/>
      <c r="R1692" s="240"/>
      <c r="T1692" s="502"/>
    </row>
    <row r="1693">
      <c r="Q1693" s="240"/>
      <c r="R1693" s="240"/>
      <c r="T1693" s="502"/>
    </row>
    <row r="1694">
      <c r="Q1694" s="240"/>
      <c r="R1694" s="240"/>
      <c r="T1694" s="502"/>
    </row>
    <row r="1695">
      <c r="Q1695" s="240"/>
      <c r="R1695" s="240"/>
      <c r="T1695" s="502"/>
    </row>
    <row r="1696">
      <c r="Q1696" s="240"/>
      <c r="R1696" s="240"/>
      <c r="T1696" s="502"/>
    </row>
    <row r="1697">
      <c r="Q1697" s="240"/>
      <c r="R1697" s="240"/>
      <c r="T1697" s="502"/>
    </row>
    <row r="1698">
      <c r="Q1698" s="240"/>
      <c r="R1698" s="240"/>
      <c r="T1698" s="502"/>
    </row>
    <row r="1699">
      <c r="Q1699" s="240"/>
      <c r="R1699" s="240"/>
      <c r="T1699" s="502"/>
    </row>
    <row r="1700">
      <c r="Q1700" s="240"/>
      <c r="R1700" s="240"/>
      <c r="T1700" s="502"/>
    </row>
    <row r="1701">
      <c r="Q1701" s="240"/>
      <c r="R1701" s="240"/>
      <c r="T1701" s="502"/>
    </row>
    <row r="1702">
      <c r="Q1702" s="240"/>
      <c r="R1702" s="240"/>
      <c r="T1702" s="502"/>
    </row>
    <row r="1703">
      <c r="Q1703" s="240"/>
      <c r="R1703" s="240"/>
      <c r="T1703" s="502"/>
    </row>
    <row r="1704">
      <c r="Q1704" s="240"/>
      <c r="R1704" s="240"/>
      <c r="T1704" s="502"/>
    </row>
    <row r="1705">
      <c r="Q1705" s="240"/>
      <c r="R1705" s="240"/>
      <c r="T1705" s="502"/>
    </row>
    <row r="1706">
      <c r="Q1706" s="240"/>
      <c r="R1706" s="240"/>
      <c r="T1706" s="502"/>
    </row>
    <row r="1707">
      <c r="Q1707" s="240"/>
      <c r="R1707" s="240"/>
      <c r="T1707" s="502"/>
    </row>
    <row r="1708">
      <c r="Q1708" s="240"/>
      <c r="R1708" s="240"/>
      <c r="T1708" s="502"/>
    </row>
    <row r="1709">
      <c r="Q1709" s="240"/>
      <c r="R1709" s="240"/>
      <c r="T1709" s="502"/>
    </row>
    <row r="1710">
      <c r="Q1710" s="240"/>
      <c r="R1710" s="240"/>
      <c r="T1710" s="502"/>
    </row>
    <row r="1711">
      <c r="Q1711" s="240"/>
      <c r="R1711" s="240"/>
      <c r="T1711" s="502"/>
    </row>
    <row r="1712">
      <c r="Q1712" s="240"/>
      <c r="R1712" s="240"/>
      <c r="T1712" s="502"/>
    </row>
    <row r="1713">
      <c r="Q1713" s="240"/>
      <c r="R1713" s="240"/>
      <c r="T1713" s="502"/>
    </row>
    <row r="1714">
      <c r="Q1714" s="240"/>
      <c r="R1714" s="240"/>
      <c r="T1714" s="502"/>
    </row>
    <row r="1715">
      <c r="Q1715" s="240"/>
      <c r="R1715" s="240"/>
      <c r="T1715" s="502"/>
    </row>
    <row r="1716">
      <c r="Q1716" s="240"/>
      <c r="R1716" s="240"/>
      <c r="T1716" s="502"/>
    </row>
    <row r="1717">
      <c r="Q1717" s="240"/>
      <c r="R1717" s="240"/>
      <c r="T1717" s="502"/>
    </row>
    <row r="1718">
      <c r="Q1718" s="240"/>
      <c r="R1718" s="240"/>
      <c r="T1718" s="502"/>
    </row>
    <row r="1719">
      <c r="Q1719" s="240"/>
      <c r="R1719" s="240"/>
      <c r="T1719" s="502"/>
    </row>
    <row r="1720">
      <c r="Q1720" s="240"/>
      <c r="R1720" s="240"/>
      <c r="T1720" s="502"/>
    </row>
    <row r="1721">
      <c r="Q1721" s="240"/>
      <c r="R1721" s="240"/>
      <c r="T1721" s="502"/>
    </row>
    <row r="1722">
      <c r="Q1722" s="240"/>
      <c r="R1722" s="240"/>
      <c r="T1722" s="502"/>
    </row>
    <row r="1723">
      <c r="Q1723" s="240"/>
      <c r="R1723" s="240"/>
      <c r="T1723" s="502"/>
    </row>
    <row r="1724">
      <c r="Q1724" s="240"/>
      <c r="R1724" s="240"/>
      <c r="T1724" s="502"/>
    </row>
    <row r="1725">
      <c r="Q1725" s="240"/>
      <c r="R1725" s="240"/>
      <c r="T1725" s="502"/>
    </row>
    <row r="1726">
      <c r="Q1726" s="240"/>
      <c r="R1726" s="240"/>
      <c r="T1726" s="502"/>
    </row>
    <row r="1727">
      <c r="Q1727" s="240"/>
      <c r="R1727" s="240"/>
      <c r="T1727" s="502"/>
    </row>
    <row r="1728">
      <c r="Q1728" s="240"/>
      <c r="R1728" s="240"/>
      <c r="T1728" s="502"/>
    </row>
    <row r="1729">
      <c r="Q1729" s="240"/>
      <c r="R1729" s="240"/>
      <c r="T1729" s="502"/>
    </row>
    <row r="1730">
      <c r="Q1730" s="240"/>
      <c r="R1730" s="240"/>
      <c r="T1730" s="502"/>
    </row>
    <row r="1731">
      <c r="Q1731" s="240"/>
      <c r="R1731" s="240"/>
      <c r="T1731" s="502"/>
    </row>
    <row r="1732">
      <c r="Q1732" s="240"/>
      <c r="R1732" s="240"/>
      <c r="T1732" s="502"/>
    </row>
    <row r="1733">
      <c r="Q1733" s="240"/>
      <c r="R1733" s="240"/>
      <c r="T1733" s="502"/>
    </row>
    <row r="1734">
      <c r="Q1734" s="240"/>
      <c r="R1734" s="240"/>
      <c r="T1734" s="502"/>
    </row>
    <row r="1735">
      <c r="Q1735" s="240"/>
      <c r="R1735" s="240"/>
      <c r="T1735" s="502"/>
    </row>
    <row r="1736">
      <c r="Q1736" s="240"/>
      <c r="R1736" s="240"/>
      <c r="T1736" s="502"/>
    </row>
    <row r="1737">
      <c r="Q1737" s="240"/>
      <c r="R1737" s="240"/>
      <c r="T1737" s="502"/>
    </row>
    <row r="1738">
      <c r="Q1738" s="240"/>
      <c r="R1738" s="240"/>
      <c r="T1738" s="502"/>
    </row>
    <row r="1739">
      <c r="Q1739" s="240"/>
      <c r="R1739" s="240"/>
      <c r="T1739" s="502"/>
    </row>
    <row r="1740">
      <c r="Q1740" s="240"/>
      <c r="R1740" s="240"/>
      <c r="T1740" s="502"/>
    </row>
    <row r="1741">
      <c r="Q1741" s="240"/>
      <c r="R1741" s="240"/>
      <c r="T1741" s="502"/>
    </row>
    <row r="1742">
      <c r="Q1742" s="240"/>
      <c r="R1742" s="240"/>
      <c r="T1742" s="502"/>
    </row>
    <row r="1743">
      <c r="Q1743" s="240"/>
      <c r="R1743" s="240"/>
      <c r="T1743" s="502"/>
    </row>
    <row r="1744">
      <c r="Q1744" s="240"/>
      <c r="R1744" s="240"/>
      <c r="T1744" s="502"/>
    </row>
    <row r="1745">
      <c r="Q1745" s="240"/>
      <c r="R1745" s="240"/>
      <c r="T1745" s="502"/>
    </row>
    <row r="1746">
      <c r="Q1746" s="240"/>
      <c r="R1746" s="240"/>
      <c r="T1746" s="502"/>
    </row>
    <row r="1747">
      <c r="Q1747" s="240"/>
      <c r="R1747" s="240"/>
      <c r="T1747" s="502"/>
    </row>
    <row r="1748">
      <c r="Q1748" s="240"/>
      <c r="R1748" s="240"/>
      <c r="T1748" s="502"/>
    </row>
    <row r="1749">
      <c r="Q1749" s="240"/>
      <c r="R1749" s="240"/>
      <c r="T1749" s="502"/>
    </row>
    <row r="1750">
      <c r="Q1750" s="240"/>
      <c r="R1750" s="240"/>
      <c r="T1750" s="502"/>
    </row>
    <row r="1751">
      <c r="Q1751" s="240"/>
      <c r="R1751" s="240"/>
      <c r="T1751" s="502"/>
    </row>
    <row r="1752">
      <c r="Q1752" s="240"/>
      <c r="R1752" s="240"/>
      <c r="T1752" s="502"/>
    </row>
    <row r="1753">
      <c r="Q1753" s="240"/>
      <c r="R1753" s="240"/>
      <c r="T1753" s="502"/>
    </row>
    <row r="1754">
      <c r="Q1754" s="240"/>
      <c r="R1754" s="240"/>
      <c r="T1754" s="502"/>
    </row>
    <row r="1755">
      <c r="Q1755" s="240"/>
      <c r="R1755" s="240"/>
      <c r="T1755" s="502"/>
    </row>
    <row r="1756">
      <c r="Q1756" s="240"/>
      <c r="R1756" s="240"/>
      <c r="T1756" s="502"/>
    </row>
    <row r="1757">
      <c r="Q1757" s="240"/>
      <c r="R1757" s="240"/>
      <c r="T1757" s="502"/>
    </row>
    <row r="1758">
      <c r="Q1758" s="240"/>
      <c r="R1758" s="240"/>
      <c r="T1758" s="502"/>
    </row>
    <row r="1759">
      <c r="Q1759" s="240"/>
      <c r="R1759" s="240"/>
      <c r="T1759" s="502"/>
    </row>
    <row r="1760">
      <c r="Q1760" s="240"/>
      <c r="R1760" s="240"/>
      <c r="T1760" s="502"/>
    </row>
    <row r="1761">
      <c r="Q1761" s="240"/>
      <c r="R1761" s="240"/>
      <c r="T1761" s="502"/>
    </row>
    <row r="1762">
      <c r="Q1762" s="240"/>
      <c r="R1762" s="240"/>
      <c r="T1762" s="502"/>
    </row>
    <row r="1763">
      <c r="Q1763" s="240"/>
      <c r="R1763" s="240"/>
      <c r="T1763" s="502"/>
    </row>
    <row r="1764">
      <c r="Q1764" s="240"/>
      <c r="R1764" s="240"/>
      <c r="T1764" s="502"/>
    </row>
    <row r="1765">
      <c r="Q1765" s="240"/>
      <c r="R1765" s="240"/>
      <c r="T1765" s="502"/>
    </row>
    <row r="1766">
      <c r="Q1766" s="240"/>
      <c r="R1766" s="240"/>
      <c r="T1766" s="502"/>
    </row>
    <row r="1767">
      <c r="Q1767" s="240"/>
      <c r="R1767" s="240"/>
      <c r="T1767" s="502"/>
    </row>
    <row r="1768">
      <c r="Q1768" s="240"/>
      <c r="R1768" s="240"/>
      <c r="T1768" s="502"/>
    </row>
    <row r="1769">
      <c r="Q1769" s="240"/>
      <c r="R1769" s="240"/>
      <c r="T1769" s="502"/>
    </row>
    <row r="1770">
      <c r="Q1770" s="240"/>
      <c r="R1770" s="240"/>
      <c r="T1770" s="502"/>
    </row>
    <row r="1771">
      <c r="Q1771" s="240"/>
      <c r="R1771" s="240"/>
      <c r="T1771" s="502"/>
    </row>
    <row r="1772">
      <c r="Q1772" s="240"/>
      <c r="R1772" s="240"/>
      <c r="T1772" s="502"/>
    </row>
    <row r="1773">
      <c r="Q1773" s="240"/>
      <c r="R1773" s="240"/>
      <c r="T1773" s="502"/>
    </row>
    <row r="1774">
      <c r="Q1774" s="240"/>
      <c r="R1774" s="240"/>
      <c r="T1774" s="502"/>
    </row>
    <row r="1775">
      <c r="Q1775" s="240"/>
      <c r="R1775" s="240"/>
      <c r="T1775" s="502"/>
    </row>
    <row r="1776">
      <c r="Q1776" s="240"/>
      <c r="R1776" s="240"/>
      <c r="T1776" s="502"/>
    </row>
    <row r="1777">
      <c r="Q1777" s="240"/>
      <c r="R1777" s="240"/>
      <c r="T1777" s="502"/>
    </row>
    <row r="1778">
      <c r="Q1778" s="240"/>
      <c r="R1778" s="240"/>
      <c r="T1778" s="502"/>
    </row>
    <row r="1779">
      <c r="Q1779" s="240"/>
      <c r="R1779" s="240"/>
      <c r="T1779" s="502"/>
    </row>
    <row r="1780">
      <c r="Q1780" s="240"/>
      <c r="R1780" s="240"/>
      <c r="T1780" s="502"/>
    </row>
    <row r="1781">
      <c r="Q1781" s="240"/>
      <c r="R1781" s="240"/>
      <c r="T1781" s="502"/>
    </row>
    <row r="1782">
      <c r="Q1782" s="240"/>
      <c r="R1782" s="240"/>
      <c r="T1782" s="502"/>
    </row>
    <row r="1783">
      <c r="Q1783" s="240"/>
      <c r="R1783" s="240"/>
      <c r="T1783" s="502"/>
    </row>
    <row r="1784">
      <c r="Q1784" s="240"/>
      <c r="R1784" s="240"/>
      <c r="T1784" s="502"/>
    </row>
    <row r="1785">
      <c r="Q1785" s="240"/>
      <c r="R1785" s="240"/>
      <c r="T1785" s="502"/>
    </row>
    <row r="1786">
      <c r="Q1786" s="240"/>
      <c r="R1786" s="240"/>
      <c r="T1786" s="502"/>
    </row>
    <row r="1787">
      <c r="Q1787" s="240"/>
      <c r="R1787" s="240"/>
      <c r="T1787" s="502"/>
    </row>
    <row r="1788">
      <c r="Q1788" s="240"/>
      <c r="R1788" s="240"/>
      <c r="T1788" s="502"/>
    </row>
    <row r="1789">
      <c r="Q1789" s="240"/>
      <c r="R1789" s="240"/>
      <c r="T1789" s="502"/>
    </row>
    <row r="1790">
      <c r="Q1790" s="240"/>
      <c r="R1790" s="240"/>
      <c r="T1790" s="502"/>
    </row>
    <row r="1791">
      <c r="Q1791" s="240"/>
      <c r="R1791" s="240"/>
      <c r="T1791" s="502"/>
    </row>
    <row r="1792">
      <c r="Q1792" s="240"/>
      <c r="R1792" s="240"/>
      <c r="T1792" s="502"/>
    </row>
    <row r="1793">
      <c r="Q1793" s="240"/>
      <c r="R1793" s="240"/>
      <c r="T1793" s="502"/>
    </row>
    <row r="1794">
      <c r="Q1794" s="240"/>
      <c r="R1794" s="240"/>
      <c r="T1794" s="502"/>
    </row>
    <row r="1795">
      <c r="Q1795" s="240"/>
      <c r="R1795" s="240"/>
      <c r="T1795" s="502"/>
    </row>
    <row r="1796">
      <c r="Q1796" s="240"/>
      <c r="R1796" s="240"/>
      <c r="T1796" s="502"/>
    </row>
    <row r="1797">
      <c r="Q1797" s="240"/>
      <c r="R1797" s="240"/>
      <c r="T1797" s="502"/>
    </row>
    <row r="1798">
      <c r="Q1798" s="240"/>
      <c r="R1798" s="240"/>
      <c r="T1798" s="502"/>
    </row>
    <row r="1799">
      <c r="Q1799" s="240"/>
      <c r="R1799" s="240"/>
      <c r="T1799" s="502"/>
    </row>
    <row r="1800">
      <c r="Q1800" s="240"/>
      <c r="R1800" s="240"/>
      <c r="T1800" s="502"/>
    </row>
    <row r="1801">
      <c r="Q1801" s="240"/>
      <c r="R1801" s="240"/>
      <c r="T1801" s="502"/>
    </row>
    <row r="1802">
      <c r="Q1802" s="240"/>
      <c r="R1802" s="240"/>
      <c r="T1802" s="502"/>
    </row>
    <row r="1803">
      <c r="Q1803" s="240"/>
      <c r="R1803" s="240"/>
      <c r="T1803" s="502"/>
    </row>
    <row r="1804">
      <c r="Q1804" s="240"/>
      <c r="R1804" s="240"/>
      <c r="T1804" s="502"/>
    </row>
    <row r="1805">
      <c r="Q1805" s="240"/>
      <c r="R1805" s="240"/>
      <c r="T1805" s="502"/>
    </row>
    <row r="1806">
      <c r="Q1806" s="240"/>
      <c r="R1806" s="240"/>
      <c r="T1806" s="502"/>
    </row>
    <row r="1807">
      <c r="Q1807" s="240"/>
      <c r="R1807" s="240"/>
      <c r="T1807" s="502"/>
    </row>
    <row r="1808">
      <c r="Q1808" s="240"/>
      <c r="R1808" s="240"/>
      <c r="T1808" s="502"/>
    </row>
    <row r="1809">
      <c r="Q1809" s="240"/>
      <c r="R1809" s="240"/>
      <c r="T1809" s="502"/>
    </row>
    <row r="1810">
      <c r="Q1810" s="240"/>
      <c r="R1810" s="240"/>
      <c r="T1810" s="502"/>
    </row>
    <row r="1811">
      <c r="Q1811" s="240"/>
      <c r="R1811" s="240"/>
      <c r="T1811" s="502"/>
    </row>
    <row r="1812">
      <c r="Q1812" s="240"/>
      <c r="R1812" s="240"/>
      <c r="T1812" s="502"/>
    </row>
    <row r="1813">
      <c r="Q1813" s="240"/>
      <c r="R1813" s="240"/>
      <c r="T1813" s="502"/>
    </row>
    <row r="1814">
      <c r="Q1814" s="240"/>
      <c r="R1814" s="240"/>
      <c r="T1814" s="502"/>
    </row>
    <row r="1815">
      <c r="Q1815" s="240"/>
      <c r="R1815" s="240"/>
      <c r="T1815" s="502"/>
    </row>
    <row r="1816">
      <c r="Q1816" s="240"/>
      <c r="R1816" s="240"/>
      <c r="T1816" s="502"/>
    </row>
    <row r="1817">
      <c r="Q1817" s="240"/>
      <c r="R1817" s="240"/>
      <c r="T1817" s="502"/>
    </row>
    <row r="1818">
      <c r="Q1818" s="240"/>
      <c r="R1818" s="240"/>
      <c r="T1818" s="502"/>
    </row>
    <row r="1819">
      <c r="Q1819" s="240"/>
      <c r="R1819" s="240"/>
      <c r="T1819" s="502"/>
    </row>
    <row r="1820">
      <c r="Q1820" s="240"/>
      <c r="R1820" s="240"/>
      <c r="T1820" s="502"/>
    </row>
    <row r="1821">
      <c r="Q1821" s="240"/>
      <c r="R1821" s="240"/>
      <c r="T1821" s="502"/>
    </row>
    <row r="1822">
      <c r="Q1822" s="240"/>
      <c r="R1822" s="240"/>
      <c r="T1822" s="502"/>
    </row>
    <row r="1823">
      <c r="Q1823" s="240"/>
      <c r="R1823" s="240"/>
      <c r="T1823" s="502"/>
    </row>
    <row r="1824">
      <c r="Q1824" s="240"/>
      <c r="R1824" s="240"/>
      <c r="T1824" s="502"/>
    </row>
    <row r="1825">
      <c r="Q1825" s="240"/>
      <c r="R1825" s="240"/>
      <c r="T1825" s="502"/>
    </row>
    <row r="1826">
      <c r="Q1826" s="240"/>
      <c r="R1826" s="240"/>
      <c r="T1826" s="502"/>
    </row>
    <row r="1827">
      <c r="Q1827" s="240"/>
      <c r="R1827" s="240"/>
      <c r="T1827" s="502"/>
    </row>
    <row r="1828">
      <c r="Q1828" s="240"/>
      <c r="R1828" s="240"/>
      <c r="T1828" s="502"/>
    </row>
    <row r="1829">
      <c r="Q1829" s="240"/>
      <c r="R1829" s="240"/>
      <c r="T1829" s="502"/>
    </row>
    <row r="1830">
      <c r="Q1830" s="240"/>
      <c r="R1830" s="240"/>
      <c r="T1830" s="502"/>
    </row>
    <row r="1831">
      <c r="Q1831" s="240"/>
      <c r="R1831" s="240"/>
      <c r="T1831" s="502"/>
    </row>
    <row r="1832">
      <c r="Q1832" s="240"/>
      <c r="R1832" s="240"/>
      <c r="T1832" s="502"/>
    </row>
    <row r="1833">
      <c r="Q1833" s="240"/>
      <c r="R1833" s="240"/>
      <c r="T1833" s="502"/>
    </row>
    <row r="1834">
      <c r="Q1834" s="240"/>
      <c r="R1834" s="240"/>
      <c r="T1834" s="502"/>
    </row>
    <row r="1835">
      <c r="Q1835" s="240"/>
      <c r="R1835" s="240"/>
      <c r="T1835" s="502"/>
    </row>
    <row r="1836">
      <c r="Q1836" s="240"/>
      <c r="R1836" s="240"/>
      <c r="T1836" s="502"/>
    </row>
    <row r="1837">
      <c r="Q1837" s="240"/>
      <c r="R1837" s="240"/>
      <c r="T1837" s="502"/>
    </row>
    <row r="1838">
      <c r="Q1838" s="240"/>
      <c r="R1838" s="240"/>
      <c r="T1838" s="502"/>
    </row>
    <row r="1839">
      <c r="Q1839" s="240"/>
      <c r="R1839" s="240"/>
      <c r="T1839" s="502"/>
    </row>
    <row r="1840">
      <c r="Q1840" s="240"/>
      <c r="R1840" s="240"/>
      <c r="T1840" s="502"/>
    </row>
    <row r="1841">
      <c r="Q1841" s="240"/>
      <c r="R1841" s="240"/>
      <c r="T1841" s="502"/>
    </row>
    <row r="1842">
      <c r="Q1842" s="240"/>
      <c r="R1842" s="240"/>
      <c r="T1842" s="502"/>
    </row>
    <row r="1843">
      <c r="Q1843" s="240"/>
      <c r="R1843" s="240"/>
      <c r="T1843" s="502"/>
    </row>
    <row r="1844">
      <c r="Q1844" s="240"/>
      <c r="R1844" s="240"/>
      <c r="T1844" s="502"/>
    </row>
    <row r="1845">
      <c r="Q1845" s="240"/>
      <c r="R1845" s="240"/>
      <c r="T1845" s="502"/>
    </row>
    <row r="1846">
      <c r="Q1846" s="240"/>
      <c r="R1846" s="240"/>
      <c r="T1846" s="502"/>
    </row>
    <row r="1847">
      <c r="Q1847" s="240"/>
      <c r="R1847" s="240"/>
      <c r="T1847" s="502"/>
    </row>
    <row r="1848">
      <c r="Q1848" s="240"/>
      <c r="R1848" s="240"/>
      <c r="T1848" s="502"/>
    </row>
    <row r="1849">
      <c r="Q1849" s="240"/>
      <c r="R1849" s="240"/>
      <c r="T1849" s="502"/>
    </row>
    <row r="1850">
      <c r="Q1850" s="240"/>
      <c r="R1850" s="240"/>
      <c r="T1850" s="502"/>
    </row>
    <row r="1851">
      <c r="Q1851" s="240"/>
      <c r="R1851" s="240"/>
      <c r="T1851" s="502"/>
    </row>
    <row r="1852">
      <c r="Q1852" s="240"/>
      <c r="R1852" s="240"/>
      <c r="T1852" s="502"/>
    </row>
    <row r="1853">
      <c r="Q1853" s="240"/>
      <c r="R1853" s="240"/>
      <c r="T1853" s="502"/>
    </row>
    <row r="1854">
      <c r="Q1854" s="240"/>
      <c r="R1854" s="240"/>
      <c r="T1854" s="502"/>
    </row>
    <row r="1855">
      <c r="Q1855" s="240"/>
      <c r="R1855" s="240"/>
      <c r="T1855" s="502"/>
    </row>
    <row r="1856">
      <c r="Q1856" s="240"/>
      <c r="R1856" s="240"/>
      <c r="T1856" s="502"/>
    </row>
    <row r="1857">
      <c r="Q1857" s="240"/>
      <c r="R1857" s="240"/>
      <c r="T1857" s="502"/>
    </row>
    <row r="1858">
      <c r="Q1858" s="240"/>
      <c r="R1858" s="240"/>
      <c r="T1858" s="502"/>
    </row>
    <row r="1859">
      <c r="Q1859" s="240"/>
      <c r="R1859" s="240"/>
      <c r="T1859" s="502"/>
    </row>
    <row r="1860">
      <c r="Q1860" s="240"/>
      <c r="R1860" s="240"/>
      <c r="T1860" s="502"/>
    </row>
    <row r="1861">
      <c r="Q1861" s="240"/>
      <c r="R1861" s="240"/>
      <c r="T1861" s="502"/>
    </row>
    <row r="1862">
      <c r="Q1862" s="240"/>
      <c r="R1862" s="240"/>
      <c r="T1862" s="502"/>
    </row>
    <row r="1863">
      <c r="Q1863" s="240"/>
      <c r="R1863" s="240"/>
      <c r="T1863" s="502"/>
    </row>
    <row r="1864">
      <c r="Q1864" s="240"/>
      <c r="R1864" s="240"/>
      <c r="T1864" s="502"/>
    </row>
    <row r="1865">
      <c r="Q1865" s="240"/>
      <c r="R1865" s="240"/>
      <c r="T1865" s="502"/>
    </row>
    <row r="1866">
      <c r="Q1866" s="240"/>
      <c r="R1866" s="240"/>
      <c r="T1866" s="502"/>
    </row>
    <row r="1867">
      <c r="Q1867" s="240"/>
      <c r="R1867" s="240"/>
      <c r="T1867" s="502"/>
    </row>
    <row r="1868">
      <c r="Q1868" s="240"/>
      <c r="R1868" s="240"/>
      <c r="T1868" s="502"/>
    </row>
    <row r="1869">
      <c r="Q1869" s="240"/>
      <c r="R1869" s="240"/>
      <c r="T1869" s="502"/>
    </row>
    <row r="1870">
      <c r="Q1870" s="240"/>
      <c r="R1870" s="240"/>
      <c r="T1870" s="502"/>
    </row>
    <row r="1871">
      <c r="Q1871" s="240"/>
      <c r="R1871" s="240"/>
      <c r="T1871" s="502"/>
    </row>
    <row r="1872">
      <c r="Q1872" s="240"/>
      <c r="R1872" s="240"/>
      <c r="T1872" s="502"/>
    </row>
    <row r="1873">
      <c r="Q1873" s="240"/>
      <c r="R1873" s="240"/>
      <c r="T1873" s="502"/>
    </row>
    <row r="1874">
      <c r="Q1874" s="240"/>
      <c r="R1874" s="240"/>
      <c r="T1874" s="502"/>
    </row>
    <row r="1875">
      <c r="Q1875" s="240"/>
      <c r="R1875" s="240"/>
      <c r="T1875" s="502"/>
    </row>
    <row r="1876">
      <c r="Q1876" s="240"/>
      <c r="R1876" s="240"/>
      <c r="T1876" s="502"/>
    </row>
    <row r="1877">
      <c r="Q1877" s="240"/>
      <c r="R1877" s="240"/>
      <c r="T1877" s="502"/>
    </row>
    <row r="1878">
      <c r="Q1878" s="240"/>
      <c r="R1878" s="240"/>
      <c r="T1878" s="502"/>
    </row>
    <row r="1879">
      <c r="Q1879" s="240"/>
      <c r="R1879" s="240"/>
      <c r="T1879" s="502"/>
    </row>
    <row r="1880">
      <c r="Q1880" s="240"/>
      <c r="R1880" s="240"/>
      <c r="T1880" s="502"/>
    </row>
    <row r="1881">
      <c r="Q1881" s="240"/>
      <c r="R1881" s="240"/>
      <c r="T1881" s="502"/>
    </row>
    <row r="1882">
      <c r="Q1882" s="240"/>
      <c r="R1882" s="240"/>
      <c r="T1882" s="502"/>
    </row>
    <row r="1883">
      <c r="Q1883" s="240"/>
      <c r="R1883" s="240"/>
      <c r="T1883" s="502"/>
    </row>
    <row r="1884">
      <c r="Q1884" s="240"/>
      <c r="R1884" s="240"/>
      <c r="T1884" s="502"/>
    </row>
    <row r="1885">
      <c r="Q1885" s="240"/>
      <c r="R1885" s="240"/>
      <c r="T1885" s="502"/>
    </row>
    <row r="1886">
      <c r="Q1886" s="240"/>
      <c r="R1886" s="240"/>
      <c r="T1886" s="502"/>
    </row>
    <row r="1887">
      <c r="Q1887" s="240"/>
      <c r="R1887" s="240"/>
      <c r="T1887" s="502"/>
    </row>
    <row r="1888">
      <c r="Q1888" s="240"/>
      <c r="R1888" s="240"/>
      <c r="T1888" s="502"/>
    </row>
    <row r="1889">
      <c r="Q1889" s="240"/>
      <c r="R1889" s="240"/>
      <c r="T1889" s="502"/>
    </row>
    <row r="1890">
      <c r="Q1890" s="240"/>
      <c r="R1890" s="240"/>
      <c r="T1890" s="502"/>
    </row>
    <row r="1891">
      <c r="Q1891" s="240"/>
      <c r="R1891" s="240"/>
      <c r="T1891" s="502"/>
    </row>
    <row r="1892">
      <c r="Q1892" s="240"/>
      <c r="R1892" s="240"/>
      <c r="T1892" s="502"/>
    </row>
    <row r="1893">
      <c r="Q1893" s="240"/>
      <c r="R1893" s="240"/>
      <c r="T1893" s="502"/>
    </row>
    <row r="1894">
      <c r="Q1894" s="240"/>
      <c r="R1894" s="240"/>
      <c r="T1894" s="502"/>
    </row>
    <row r="1895">
      <c r="Q1895" s="240"/>
      <c r="R1895" s="240"/>
      <c r="T1895" s="502"/>
    </row>
    <row r="1896">
      <c r="Q1896" s="240"/>
      <c r="R1896" s="240"/>
      <c r="T1896" s="502"/>
    </row>
    <row r="1897">
      <c r="Q1897" s="240"/>
      <c r="R1897" s="240"/>
      <c r="T1897" s="502"/>
    </row>
    <row r="1898">
      <c r="Q1898" s="240"/>
      <c r="R1898" s="240"/>
      <c r="T1898" s="502"/>
    </row>
    <row r="1899">
      <c r="Q1899" s="240"/>
      <c r="R1899" s="240"/>
      <c r="T1899" s="502"/>
    </row>
    <row r="1900">
      <c r="Q1900" s="240"/>
      <c r="R1900" s="240"/>
      <c r="T1900" s="502"/>
    </row>
    <row r="1901">
      <c r="Q1901" s="240"/>
      <c r="R1901" s="240"/>
      <c r="T1901" s="502"/>
    </row>
    <row r="1902">
      <c r="Q1902" s="240"/>
      <c r="R1902" s="240"/>
      <c r="T1902" s="502"/>
    </row>
    <row r="1903">
      <c r="Q1903" s="240"/>
      <c r="R1903" s="240"/>
      <c r="T1903" s="502"/>
    </row>
    <row r="1904">
      <c r="Q1904" s="240"/>
      <c r="R1904" s="240"/>
      <c r="T1904" s="502"/>
    </row>
    <row r="1905">
      <c r="Q1905" s="240"/>
      <c r="R1905" s="240"/>
      <c r="T1905" s="502"/>
    </row>
    <row r="1906">
      <c r="Q1906" s="240"/>
      <c r="R1906" s="240"/>
      <c r="T1906" s="502"/>
    </row>
    <row r="1907">
      <c r="Q1907" s="240"/>
      <c r="R1907" s="240"/>
      <c r="T1907" s="502"/>
    </row>
    <row r="1908">
      <c r="Q1908" s="240"/>
      <c r="R1908" s="240"/>
      <c r="T1908" s="502"/>
    </row>
    <row r="1909">
      <c r="Q1909" s="240"/>
      <c r="R1909" s="240"/>
      <c r="T1909" s="502"/>
    </row>
    <row r="1910">
      <c r="Q1910" s="240"/>
      <c r="R1910" s="240"/>
      <c r="T1910" s="502"/>
    </row>
    <row r="1911">
      <c r="Q1911" s="240"/>
      <c r="R1911" s="240"/>
      <c r="T1911" s="502"/>
    </row>
    <row r="1912">
      <c r="Q1912" s="240"/>
      <c r="R1912" s="240"/>
      <c r="T1912" s="502"/>
    </row>
    <row r="1913">
      <c r="Q1913" s="240"/>
      <c r="R1913" s="240"/>
      <c r="T1913" s="502"/>
    </row>
    <row r="1914">
      <c r="Q1914" s="240"/>
      <c r="R1914" s="240"/>
      <c r="T1914" s="502"/>
    </row>
    <row r="1915">
      <c r="Q1915" s="240"/>
      <c r="R1915" s="240"/>
      <c r="T1915" s="502"/>
    </row>
    <row r="1916">
      <c r="Q1916" s="240"/>
      <c r="R1916" s="240"/>
      <c r="T1916" s="502"/>
    </row>
    <row r="1917">
      <c r="Q1917" s="240"/>
      <c r="R1917" s="240"/>
      <c r="T1917" s="502"/>
    </row>
    <row r="1918">
      <c r="Q1918" s="240"/>
      <c r="R1918" s="240"/>
      <c r="T1918" s="502"/>
    </row>
    <row r="1919">
      <c r="Q1919" s="240"/>
      <c r="R1919" s="240"/>
      <c r="T1919" s="502"/>
    </row>
    <row r="1920">
      <c r="Q1920" s="240"/>
      <c r="R1920" s="240"/>
      <c r="T1920" s="502"/>
    </row>
    <row r="1921">
      <c r="Q1921" s="240"/>
      <c r="R1921" s="240"/>
      <c r="T1921" s="502"/>
    </row>
    <row r="1922">
      <c r="Q1922" s="240"/>
      <c r="R1922" s="240"/>
      <c r="T1922" s="502"/>
    </row>
    <row r="1923">
      <c r="Q1923" s="240"/>
      <c r="R1923" s="240"/>
      <c r="T1923" s="502"/>
    </row>
    <row r="1924">
      <c r="Q1924" s="240"/>
      <c r="R1924" s="240"/>
      <c r="T1924" s="502"/>
    </row>
    <row r="1925">
      <c r="Q1925" s="240"/>
      <c r="R1925" s="240"/>
      <c r="T1925" s="502"/>
    </row>
    <row r="1926">
      <c r="Q1926" s="240"/>
      <c r="R1926" s="240"/>
      <c r="T1926" s="502"/>
    </row>
    <row r="1927">
      <c r="Q1927" s="240"/>
      <c r="R1927" s="240"/>
      <c r="T1927" s="502"/>
    </row>
    <row r="1928">
      <c r="Q1928" s="240"/>
      <c r="R1928" s="240"/>
      <c r="T1928" s="502"/>
    </row>
    <row r="1929">
      <c r="Q1929" s="240"/>
      <c r="R1929" s="240"/>
      <c r="T1929" s="502"/>
    </row>
    <row r="1930">
      <c r="Q1930" s="240"/>
      <c r="R1930" s="240"/>
      <c r="T1930" s="502"/>
    </row>
    <row r="1931">
      <c r="Q1931" s="240"/>
      <c r="R1931" s="240"/>
      <c r="T1931" s="502"/>
    </row>
    <row r="1932">
      <c r="Q1932" s="240"/>
      <c r="R1932" s="240"/>
      <c r="T1932" s="502"/>
    </row>
    <row r="1933">
      <c r="Q1933" s="240"/>
      <c r="R1933" s="240"/>
      <c r="T1933" s="502"/>
    </row>
    <row r="1934">
      <c r="Q1934" s="240"/>
      <c r="R1934" s="240"/>
      <c r="T1934" s="502"/>
    </row>
    <row r="1935">
      <c r="Q1935" s="240"/>
      <c r="R1935" s="240"/>
      <c r="T1935" s="502"/>
    </row>
    <row r="1936">
      <c r="Q1936" s="240"/>
      <c r="R1936" s="240"/>
      <c r="T1936" s="502"/>
    </row>
    <row r="1937">
      <c r="Q1937" s="240"/>
      <c r="R1937" s="240"/>
      <c r="T1937" s="502"/>
    </row>
    <row r="1938">
      <c r="Q1938" s="240"/>
      <c r="R1938" s="240"/>
      <c r="T1938" s="502"/>
    </row>
    <row r="1939">
      <c r="Q1939" s="240"/>
      <c r="R1939" s="240"/>
      <c r="T1939" s="502"/>
    </row>
    <row r="1940">
      <c r="Q1940" s="240"/>
      <c r="R1940" s="240"/>
      <c r="T1940" s="502"/>
    </row>
    <row r="1941">
      <c r="Q1941" s="240"/>
      <c r="R1941" s="240"/>
      <c r="T1941" s="502"/>
    </row>
    <row r="1942">
      <c r="Q1942" s="240"/>
      <c r="R1942" s="240"/>
      <c r="T1942" s="502"/>
    </row>
    <row r="1943">
      <c r="Q1943" s="240"/>
      <c r="R1943" s="240"/>
      <c r="T1943" s="502"/>
    </row>
    <row r="1944">
      <c r="Q1944" s="240"/>
      <c r="R1944" s="240"/>
      <c r="T1944" s="502"/>
    </row>
    <row r="1945">
      <c r="Q1945" s="240"/>
      <c r="R1945" s="240"/>
      <c r="T1945" s="502"/>
    </row>
    <row r="1946">
      <c r="Q1946" s="240"/>
      <c r="R1946" s="240"/>
      <c r="T1946" s="502"/>
    </row>
    <row r="1947">
      <c r="Q1947" s="240"/>
      <c r="R1947" s="240"/>
      <c r="T1947" s="502"/>
    </row>
    <row r="1948">
      <c r="Q1948" s="240"/>
      <c r="R1948" s="240"/>
      <c r="T1948" s="502"/>
    </row>
    <row r="1949">
      <c r="Q1949" s="240"/>
      <c r="R1949" s="240"/>
      <c r="T1949" s="502"/>
    </row>
    <row r="1950">
      <c r="Q1950" s="240"/>
      <c r="R1950" s="240"/>
      <c r="T1950" s="502"/>
    </row>
    <row r="1951">
      <c r="Q1951" s="240"/>
      <c r="R1951" s="240"/>
      <c r="T1951" s="502"/>
    </row>
    <row r="1952">
      <c r="Q1952" s="240"/>
      <c r="R1952" s="240"/>
      <c r="T1952" s="502"/>
    </row>
    <row r="1953">
      <c r="Q1953" s="240"/>
      <c r="R1953" s="240"/>
      <c r="T1953" s="502"/>
    </row>
    <row r="1954">
      <c r="Q1954" s="240"/>
      <c r="R1954" s="240"/>
      <c r="T1954" s="502"/>
    </row>
    <row r="1955">
      <c r="Q1955" s="240"/>
      <c r="R1955" s="240"/>
      <c r="T1955" s="502"/>
    </row>
    <row r="1956">
      <c r="Q1956" s="240"/>
      <c r="R1956" s="240"/>
      <c r="T1956" s="502"/>
    </row>
    <row r="1957">
      <c r="Q1957" s="240"/>
      <c r="R1957" s="240"/>
      <c r="T1957" s="502"/>
    </row>
    <row r="1958">
      <c r="Q1958" s="240"/>
      <c r="R1958" s="240"/>
      <c r="T1958" s="502"/>
    </row>
    <row r="1959">
      <c r="Q1959" s="240"/>
      <c r="R1959" s="240"/>
      <c r="T1959" s="502"/>
    </row>
    <row r="1960">
      <c r="Q1960" s="240"/>
      <c r="R1960" s="240"/>
      <c r="T1960" s="502"/>
    </row>
    <row r="1961">
      <c r="Q1961" s="240"/>
      <c r="R1961" s="240"/>
      <c r="T1961" s="502"/>
    </row>
    <row r="1962">
      <c r="Q1962" s="240"/>
      <c r="R1962" s="240"/>
      <c r="T1962" s="502"/>
    </row>
    <row r="1963">
      <c r="Q1963" s="240"/>
      <c r="R1963" s="240"/>
      <c r="T1963" s="502"/>
    </row>
    <row r="1964">
      <c r="Q1964" s="240"/>
      <c r="R1964" s="240"/>
      <c r="T1964" s="502"/>
    </row>
    <row r="1965">
      <c r="Q1965" s="240"/>
      <c r="R1965" s="240"/>
      <c r="T1965" s="502"/>
    </row>
    <row r="1966">
      <c r="Q1966" s="240"/>
      <c r="R1966" s="240"/>
      <c r="T1966" s="502"/>
    </row>
    <row r="1967">
      <c r="Q1967" s="240"/>
      <c r="R1967" s="240"/>
      <c r="T1967" s="502"/>
    </row>
    <row r="1968">
      <c r="Q1968" s="240"/>
      <c r="R1968" s="240"/>
      <c r="T1968" s="502"/>
    </row>
    <row r="1969">
      <c r="Q1969" s="240"/>
      <c r="R1969" s="240"/>
      <c r="T1969" s="502"/>
    </row>
    <row r="1970">
      <c r="Q1970" s="240"/>
      <c r="R1970" s="240"/>
      <c r="T1970" s="502"/>
    </row>
    <row r="1971">
      <c r="Q1971" s="240"/>
      <c r="R1971" s="240"/>
      <c r="T1971" s="502"/>
    </row>
    <row r="1972">
      <c r="Q1972" s="240"/>
      <c r="R1972" s="240"/>
      <c r="T1972" s="502"/>
    </row>
    <row r="1973">
      <c r="Q1973" s="240"/>
      <c r="R1973" s="240"/>
      <c r="T1973" s="502"/>
    </row>
    <row r="1974">
      <c r="Q1974" s="240"/>
      <c r="R1974" s="240"/>
      <c r="T1974" s="502"/>
    </row>
    <row r="1975">
      <c r="Q1975" s="240"/>
      <c r="R1975" s="240"/>
      <c r="T1975" s="502"/>
    </row>
    <row r="1976">
      <c r="Q1976" s="240"/>
      <c r="R1976" s="240"/>
      <c r="T1976" s="502"/>
    </row>
    <row r="1977">
      <c r="Q1977" s="240"/>
      <c r="R1977" s="240"/>
      <c r="T1977" s="502"/>
    </row>
    <row r="1978">
      <c r="Q1978" s="240"/>
      <c r="R1978" s="240"/>
      <c r="T1978" s="502"/>
    </row>
    <row r="1979">
      <c r="Q1979" s="240"/>
      <c r="R1979" s="240"/>
      <c r="T1979" s="502"/>
    </row>
    <row r="1980">
      <c r="Q1980" s="240"/>
      <c r="R1980" s="240"/>
      <c r="T1980" s="502"/>
    </row>
    <row r="1981">
      <c r="Q1981" s="240"/>
      <c r="R1981" s="240"/>
      <c r="T1981" s="502"/>
    </row>
    <row r="1982">
      <c r="Q1982" s="240"/>
      <c r="R1982" s="240"/>
      <c r="T1982" s="502"/>
    </row>
    <row r="1983">
      <c r="Q1983" s="240"/>
      <c r="R1983" s="240"/>
      <c r="T1983" s="502"/>
    </row>
    <row r="1984">
      <c r="Q1984" s="240"/>
      <c r="R1984" s="240"/>
      <c r="T1984" s="502"/>
    </row>
    <row r="1985">
      <c r="Q1985" s="240"/>
      <c r="R1985" s="240"/>
      <c r="T1985" s="502"/>
    </row>
    <row r="1986">
      <c r="Q1986" s="240"/>
      <c r="R1986" s="240"/>
      <c r="T1986" s="502"/>
    </row>
    <row r="1987">
      <c r="Q1987" s="240"/>
      <c r="R1987" s="240"/>
      <c r="T1987" s="502"/>
    </row>
    <row r="1988">
      <c r="Q1988" s="240"/>
      <c r="R1988" s="240"/>
      <c r="T1988" s="502"/>
    </row>
    <row r="1989">
      <c r="Q1989" s="240"/>
      <c r="R1989" s="240"/>
      <c r="T1989" s="502"/>
    </row>
    <row r="1990">
      <c r="Q1990" s="240"/>
      <c r="R1990" s="240"/>
      <c r="T1990" s="502"/>
    </row>
    <row r="1991">
      <c r="Q1991" s="240"/>
      <c r="R1991" s="240"/>
      <c r="T1991" s="502"/>
    </row>
    <row r="1992">
      <c r="Q1992" s="240"/>
      <c r="R1992" s="240"/>
      <c r="T1992" s="502"/>
    </row>
    <row r="1993">
      <c r="Q1993" s="240"/>
      <c r="R1993" s="240"/>
      <c r="T1993" s="502"/>
    </row>
    <row r="1994">
      <c r="Q1994" s="240"/>
      <c r="R1994" s="240"/>
      <c r="T1994" s="502"/>
    </row>
    <row r="1995">
      <c r="Q1995" s="240"/>
      <c r="R1995" s="240"/>
      <c r="T1995" s="502"/>
    </row>
    <row r="1996">
      <c r="Q1996" s="240"/>
      <c r="R1996" s="240"/>
      <c r="T1996" s="502"/>
    </row>
    <row r="1997">
      <c r="Q1997" s="240"/>
      <c r="R1997" s="240"/>
      <c r="T1997" s="502"/>
    </row>
    <row r="1998">
      <c r="Q1998" s="240"/>
      <c r="R1998" s="240"/>
      <c r="T1998" s="502"/>
    </row>
    <row r="1999">
      <c r="Q1999" s="240"/>
      <c r="R1999" s="240"/>
      <c r="T1999" s="502"/>
    </row>
    <row r="2000">
      <c r="Q2000" s="240"/>
      <c r="R2000" s="240"/>
      <c r="T2000" s="502"/>
    </row>
    <row r="2001">
      <c r="Q2001" s="240"/>
      <c r="R2001" s="240"/>
      <c r="T2001" s="502"/>
    </row>
    <row r="2002">
      <c r="Q2002" s="240"/>
      <c r="R2002" s="240"/>
      <c r="T2002" s="502"/>
    </row>
    <row r="2003">
      <c r="Q2003" s="240"/>
      <c r="R2003" s="240"/>
      <c r="T2003" s="502"/>
    </row>
    <row r="2004">
      <c r="Q2004" s="240"/>
      <c r="R2004" s="240"/>
      <c r="T2004" s="502"/>
    </row>
    <row r="2005">
      <c r="Q2005" s="240"/>
      <c r="R2005" s="240"/>
      <c r="T2005" s="502"/>
    </row>
    <row r="2006">
      <c r="Q2006" s="240"/>
      <c r="R2006" s="240"/>
      <c r="T2006" s="502"/>
    </row>
    <row r="2007">
      <c r="Q2007" s="240"/>
      <c r="R2007" s="240"/>
      <c r="T2007" s="502"/>
    </row>
    <row r="2008">
      <c r="Q2008" s="240"/>
      <c r="R2008" s="240"/>
      <c r="T2008" s="502"/>
    </row>
    <row r="2009">
      <c r="Q2009" s="240"/>
      <c r="R2009" s="240"/>
      <c r="T2009" s="502"/>
    </row>
    <row r="2010">
      <c r="Q2010" s="240"/>
      <c r="R2010" s="240"/>
      <c r="T2010" s="502"/>
    </row>
    <row r="2011">
      <c r="Q2011" s="240"/>
      <c r="R2011" s="240"/>
      <c r="T2011" s="502"/>
    </row>
    <row r="2012">
      <c r="Q2012" s="240"/>
      <c r="R2012" s="240"/>
      <c r="T2012" s="502"/>
    </row>
    <row r="2013">
      <c r="Q2013" s="240"/>
      <c r="R2013" s="240"/>
      <c r="T2013" s="502"/>
    </row>
    <row r="2014">
      <c r="Q2014" s="240"/>
      <c r="R2014" s="240"/>
      <c r="T2014" s="502"/>
    </row>
    <row r="2015">
      <c r="Q2015" s="240"/>
      <c r="R2015" s="240"/>
      <c r="T2015" s="502"/>
    </row>
    <row r="2016">
      <c r="Q2016" s="240"/>
      <c r="R2016" s="240"/>
      <c r="T2016" s="502"/>
    </row>
    <row r="2017">
      <c r="Q2017" s="240"/>
      <c r="R2017" s="240"/>
      <c r="T2017" s="502"/>
    </row>
    <row r="2018">
      <c r="Q2018" s="240"/>
      <c r="R2018" s="240"/>
      <c r="T2018" s="502"/>
    </row>
    <row r="2019">
      <c r="Q2019" s="240"/>
      <c r="R2019" s="240"/>
      <c r="T2019" s="502"/>
    </row>
    <row r="2020">
      <c r="Q2020" s="240"/>
      <c r="R2020" s="240"/>
      <c r="T2020" s="502"/>
    </row>
    <row r="2021">
      <c r="Q2021" s="240"/>
      <c r="R2021" s="240"/>
      <c r="T2021" s="502"/>
    </row>
    <row r="2022">
      <c r="Q2022" s="240"/>
      <c r="R2022" s="240"/>
      <c r="T2022" s="502"/>
    </row>
    <row r="2023">
      <c r="Q2023" s="240"/>
      <c r="R2023" s="240"/>
      <c r="T2023" s="502"/>
    </row>
    <row r="2024">
      <c r="Q2024" s="240"/>
      <c r="R2024" s="240"/>
      <c r="T2024" s="502"/>
    </row>
    <row r="2025">
      <c r="Q2025" s="240"/>
      <c r="R2025" s="240"/>
      <c r="T2025" s="502"/>
    </row>
    <row r="2026">
      <c r="Q2026" s="240"/>
      <c r="R2026" s="240"/>
      <c r="T2026" s="502"/>
    </row>
    <row r="2027">
      <c r="Q2027" s="240"/>
      <c r="R2027" s="240"/>
      <c r="T2027" s="502"/>
    </row>
    <row r="2028">
      <c r="Q2028" s="240"/>
      <c r="R2028" s="240"/>
      <c r="T2028" s="502"/>
    </row>
    <row r="2029">
      <c r="Q2029" s="240"/>
      <c r="R2029" s="240"/>
      <c r="T2029" s="502"/>
    </row>
    <row r="2030">
      <c r="Q2030" s="240"/>
      <c r="R2030" s="240"/>
      <c r="T2030" s="502"/>
    </row>
    <row r="2031">
      <c r="Q2031" s="240"/>
      <c r="R2031" s="240"/>
      <c r="T2031" s="502"/>
    </row>
    <row r="2032">
      <c r="Q2032" s="240"/>
      <c r="R2032" s="240"/>
      <c r="T2032" s="502"/>
    </row>
    <row r="2033">
      <c r="Q2033" s="240"/>
      <c r="R2033" s="240"/>
      <c r="T2033" s="502"/>
    </row>
    <row r="2034">
      <c r="Q2034" s="240"/>
      <c r="R2034" s="240"/>
      <c r="T2034" s="502"/>
    </row>
    <row r="2035">
      <c r="Q2035" s="240"/>
      <c r="R2035" s="240"/>
      <c r="T2035" s="502"/>
    </row>
    <row r="2036">
      <c r="Q2036" s="240"/>
      <c r="R2036" s="240"/>
      <c r="T2036" s="502"/>
    </row>
    <row r="2037">
      <c r="Q2037" s="240"/>
      <c r="R2037" s="240"/>
      <c r="T2037" s="502"/>
    </row>
    <row r="2038">
      <c r="Q2038" s="240"/>
      <c r="R2038" s="240"/>
      <c r="T2038" s="502"/>
    </row>
    <row r="2039">
      <c r="Q2039" s="240"/>
      <c r="R2039" s="240"/>
      <c r="T2039" s="502"/>
    </row>
    <row r="2040">
      <c r="Q2040" s="240"/>
      <c r="R2040" s="240"/>
      <c r="T2040" s="502"/>
    </row>
    <row r="2041">
      <c r="Q2041" s="240"/>
      <c r="R2041" s="240"/>
      <c r="T2041" s="502"/>
    </row>
    <row r="2042">
      <c r="Q2042" s="240"/>
      <c r="R2042" s="240"/>
      <c r="T2042" s="502"/>
    </row>
    <row r="2043">
      <c r="Q2043" s="240"/>
      <c r="R2043" s="240"/>
      <c r="T2043" s="502"/>
    </row>
    <row r="2044">
      <c r="Q2044" s="240"/>
      <c r="R2044" s="240"/>
      <c r="T2044" s="502"/>
    </row>
    <row r="2045">
      <c r="Q2045" s="240"/>
      <c r="R2045" s="240"/>
      <c r="T2045" s="502"/>
    </row>
    <row r="2046">
      <c r="Q2046" s="240"/>
      <c r="R2046" s="240"/>
      <c r="T2046" s="502"/>
    </row>
    <row r="2047">
      <c r="Q2047" s="240"/>
      <c r="R2047" s="240"/>
      <c r="T2047" s="502"/>
    </row>
    <row r="2048">
      <c r="Q2048" s="240"/>
      <c r="R2048" s="240"/>
      <c r="T2048" s="502"/>
    </row>
    <row r="2049">
      <c r="Q2049" s="240"/>
      <c r="R2049" s="240"/>
      <c r="T2049" s="502"/>
    </row>
    <row r="2050">
      <c r="Q2050" s="240"/>
      <c r="R2050" s="240"/>
      <c r="T2050" s="502"/>
    </row>
    <row r="2051">
      <c r="Q2051" s="240"/>
      <c r="R2051" s="240"/>
      <c r="T2051" s="502"/>
    </row>
    <row r="2052">
      <c r="Q2052" s="240"/>
      <c r="R2052" s="240"/>
      <c r="T2052" s="502"/>
    </row>
    <row r="2053">
      <c r="Q2053" s="240"/>
      <c r="R2053" s="240"/>
      <c r="T2053" s="502"/>
    </row>
    <row r="2054">
      <c r="Q2054" s="240"/>
      <c r="R2054" s="240"/>
      <c r="T2054" s="502"/>
    </row>
    <row r="2055">
      <c r="Q2055" s="240"/>
      <c r="R2055" s="240"/>
      <c r="T2055" s="502"/>
    </row>
    <row r="2056">
      <c r="Q2056" s="240"/>
      <c r="R2056" s="240"/>
      <c r="T2056" s="502"/>
    </row>
    <row r="2057">
      <c r="Q2057" s="240"/>
      <c r="R2057" s="240"/>
      <c r="T2057" s="502"/>
    </row>
    <row r="2058">
      <c r="Q2058" s="240"/>
      <c r="R2058" s="240"/>
      <c r="T2058" s="502"/>
    </row>
    <row r="2059">
      <c r="Q2059" s="240"/>
      <c r="R2059" s="240"/>
      <c r="T2059" s="502"/>
    </row>
    <row r="2060">
      <c r="Q2060" s="240"/>
      <c r="R2060" s="240"/>
      <c r="T2060" s="502"/>
    </row>
    <row r="2061">
      <c r="Q2061" s="240"/>
      <c r="R2061" s="240"/>
      <c r="T2061" s="502"/>
    </row>
    <row r="2062">
      <c r="Q2062" s="240"/>
      <c r="R2062" s="240"/>
      <c r="T2062" s="502"/>
    </row>
    <row r="2063">
      <c r="Q2063" s="240"/>
      <c r="R2063" s="240"/>
      <c r="T2063" s="502"/>
    </row>
    <row r="2064">
      <c r="Q2064" s="240"/>
      <c r="R2064" s="240"/>
      <c r="T2064" s="502"/>
    </row>
    <row r="2065">
      <c r="Q2065" s="240"/>
      <c r="R2065" s="240"/>
      <c r="T2065" s="502"/>
    </row>
    <row r="2066">
      <c r="Q2066" s="240"/>
      <c r="R2066" s="240"/>
      <c r="T2066" s="502"/>
    </row>
    <row r="2067">
      <c r="Q2067" s="240"/>
      <c r="R2067" s="240"/>
      <c r="T2067" s="502"/>
    </row>
    <row r="2068">
      <c r="Q2068" s="240"/>
      <c r="R2068" s="240"/>
      <c r="T2068" s="502"/>
    </row>
    <row r="2069">
      <c r="Q2069" s="240"/>
      <c r="R2069" s="240"/>
      <c r="T2069" s="502"/>
    </row>
    <row r="2070">
      <c r="Q2070" s="240"/>
      <c r="R2070" s="240"/>
      <c r="T2070" s="502"/>
    </row>
    <row r="2071">
      <c r="Q2071" s="240"/>
      <c r="R2071" s="240"/>
      <c r="T2071" s="502"/>
    </row>
    <row r="2072">
      <c r="Q2072" s="240"/>
      <c r="R2072" s="240"/>
      <c r="T2072" s="502"/>
    </row>
    <row r="2073">
      <c r="Q2073" s="240"/>
      <c r="R2073" s="240"/>
      <c r="T2073" s="502"/>
    </row>
    <row r="2074">
      <c r="Q2074" s="240"/>
      <c r="R2074" s="240"/>
      <c r="T2074" s="502"/>
    </row>
    <row r="2075">
      <c r="Q2075" s="240"/>
      <c r="R2075" s="240"/>
      <c r="T2075" s="502"/>
    </row>
    <row r="2076">
      <c r="Q2076" s="240"/>
      <c r="R2076" s="240"/>
      <c r="T2076" s="502"/>
    </row>
    <row r="2077">
      <c r="Q2077" s="240"/>
      <c r="R2077" s="240"/>
      <c r="T2077" s="502"/>
    </row>
    <row r="2078">
      <c r="Q2078" s="240"/>
      <c r="R2078" s="240"/>
      <c r="T2078" s="502"/>
    </row>
    <row r="2079">
      <c r="Q2079" s="240"/>
      <c r="R2079" s="240"/>
      <c r="T2079" s="502"/>
    </row>
    <row r="2080">
      <c r="Q2080" s="240"/>
      <c r="R2080" s="240"/>
      <c r="T2080" s="502"/>
    </row>
    <row r="2081">
      <c r="Q2081" s="240"/>
      <c r="R2081" s="240"/>
      <c r="T2081" s="502"/>
    </row>
    <row r="2082">
      <c r="Q2082" s="240"/>
      <c r="R2082" s="240"/>
      <c r="T2082" s="502"/>
    </row>
    <row r="2083">
      <c r="Q2083" s="240"/>
      <c r="R2083" s="240"/>
      <c r="T2083" s="502"/>
    </row>
    <row r="2084">
      <c r="Q2084" s="240"/>
      <c r="R2084" s="240"/>
      <c r="T2084" s="502"/>
    </row>
    <row r="2085">
      <c r="Q2085" s="240"/>
      <c r="R2085" s="240"/>
      <c r="T2085" s="502"/>
    </row>
    <row r="2086">
      <c r="Q2086" s="240"/>
      <c r="R2086" s="240"/>
      <c r="T2086" s="502"/>
    </row>
    <row r="2087">
      <c r="Q2087" s="240"/>
      <c r="R2087" s="240"/>
      <c r="T2087" s="502"/>
    </row>
    <row r="2088">
      <c r="Q2088" s="240"/>
      <c r="R2088" s="240"/>
      <c r="T2088" s="502"/>
    </row>
    <row r="2089">
      <c r="Q2089" s="240"/>
      <c r="R2089" s="240"/>
      <c r="T2089" s="502"/>
    </row>
    <row r="2090">
      <c r="Q2090" s="240"/>
      <c r="R2090" s="240"/>
      <c r="T2090" s="502"/>
    </row>
    <row r="2091">
      <c r="Q2091" s="240"/>
      <c r="R2091" s="240"/>
      <c r="T2091" s="502"/>
    </row>
    <row r="2092">
      <c r="Q2092" s="240"/>
      <c r="R2092" s="240"/>
      <c r="T2092" s="502"/>
    </row>
    <row r="2093">
      <c r="Q2093" s="240"/>
      <c r="R2093" s="240"/>
      <c r="T2093" s="502"/>
    </row>
    <row r="2094">
      <c r="Q2094" s="240"/>
      <c r="R2094" s="240"/>
      <c r="T2094" s="502"/>
    </row>
    <row r="2095">
      <c r="Q2095" s="240"/>
      <c r="R2095" s="240"/>
      <c r="T2095" s="502"/>
    </row>
    <row r="2096">
      <c r="Q2096" s="240"/>
      <c r="R2096" s="240"/>
      <c r="T2096" s="502"/>
    </row>
    <row r="2097">
      <c r="Q2097" s="240"/>
      <c r="R2097" s="240"/>
      <c r="T2097" s="502"/>
    </row>
    <row r="2098">
      <c r="Q2098" s="240"/>
      <c r="R2098" s="240"/>
      <c r="T2098" s="502"/>
    </row>
    <row r="2099">
      <c r="Q2099" s="240"/>
      <c r="R2099" s="240"/>
      <c r="T2099" s="502"/>
    </row>
    <row r="2100">
      <c r="Q2100" s="240"/>
      <c r="R2100" s="240"/>
      <c r="T2100" s="502"/>
    </row>
    <row r="2101">
      <c r="Q2101" s="240"/>
      <c r="R2101" s="240"/>
      <c r="T2101" s="502"/>
    </row>
    <row r="2102">
      <c r="Q2102" s="240"/>
      <c r="R2102" s="240"/>
      <c r="T2102" s="502"/>
    </row>
    <row r="2103">
      <c r="Q2103" s="240"/>
      <c r="R2103" s="240"/>
      <c r="T2103" s="502"/>
    </row>
    <row r="2104">
      <c r="Q2104" s="240"/>
      <c r="R2104" s="240"/>
      <c r="T2104" s="502"/>
    </row>
    <row r="2105">
      <c r="Q2105" s="240"/>
      <c r="R2105" s="240"/>
      <c r="T2105" s="502"/>
    </row>
    <row r="2106">
      <c r="Q2106" s="240"/>
      <c r="R2106" s="240"/>
      <c r="T2106" s="502"/>
    </row>
    <row r="2107">
      <c r="Q2107" s="240"/>
      <c r="R2107" s="240"/>
      <c r="T2107" s="502"/>
    </row>
    <row r="2108">
      <c r="Q2108" s="240"/>
      <c r="R2108" s="240"/>
      <c r="T2108" s="502"/>
    </row>
    <row r="2109">
      <c r="Q2109" s="240"/>
      <c r="R2109" s="240"/>
      <c r="T2109" s="502"/>
    </row>
    <row r="2110">
      <c r="Q2110" s="240"/>
      <c r="R2110" s="240"/>
      <c r="T2110" s="502"/>
    </row>
    <row r="2111">
      <c r="Q2111" s="240"/>
      <c r="R2111" s="240"/>
      <c r="T2111" s="502"/>
    </row>
    <row r="2112">
      <c r="Q2112" s="240"/>
      <c r="R2112" s="240"/>
      <c r="T2112" s="502"/>
    </row>
    <row r="2113">
      <c r="Q2113" s="240"/>
      <c r="R2113" s="240"/>
      <c r="T2113" s="502"/>
    </row>
    <row r="2114">
      <c r="Q2114" s="240"/>
      <c r="R2114" s="240"/>
      <c r="T2114" s="502"/>
    </row>
    <row r="2115">
      <c r="Q2115" s="240"/>
      <c r="R2115" s="240"/>
      <c r="T2115" s="502"/>
    </row>
    <row r="2116">
      <c r="Q2116" s="240"/>
      <c r="R2116" s="240"/>
      <c r="T2116" s="502"/>
    </row>
    <row r="2117">
      <c r="Q2117" s="240"/>
      <c r="R2117" s="240"/>
      <c r="T2117" s="502"/>
    </row>
    <row r="2118">
      <c r="Q2118" s="240"/>
      <c r="R2118" s="240"/>
      <c r="T2118" s="502"/>
    </row>
    <row r="2119">
      <c r="Q2119" s="240"/>
      <c r="R2119" s="240"/>
      <c r="T2119" s="502"/>
    </row>
    <row r="2120">
      <c r="Q2120" s="240"/>
      <c r="R2120" s="240"/>
      <c r="T2120" s="502"/>
    </row>
    <row r="2121">
      <c r="Q2121" s="240"/>
      <c r="R2121" s="240"/>
      <c r="T2121" s="502"/>
    </row>
    <row r="2122">
      <c r="Q2122" s="240"/>
      <c r="R2122" s="240"/>
      <c r="T2122" s="502"/>
    </row>
    <row r="2123">
      <c r="Q2123" s="240"/>
      <c r="R2123" s="240"/>
      <c r="T2123" s="502"/>
    </row>
    <row r="2124">
      <c r="Q2124" s="240"/>
      <c r="R2124" s="240"/>
      <c r="T2124" s="502"/>
    </row>
    <row r="2125">
      <c r="Q2125" s="240"/>
      <c r="R2125" s="240"/>
      <c r="T2125" s="502"/>
    </row>
    <row r="2126">
      <c r="Q2126" s="240"/>
      <c r="R2126" s="240"/>
      <c r="T2126" s="502"/>
    </row>
    <row r="2127">
      <c r="Q2127" s="240"/>
      <c r="R2127" s="240"/>
      <c r="T2127" s="502"/>
    </row>
    <row r="2128">
      <c r="Q2128" s="240"/>
      <c r="R2128" s="240"/>
      <c r="T2128" s="502"/>
    </row>
    <row r="2129">
      <c r="Q2129" s="240"/>
      <c r="R2129" s="240"/>
      <c r="T2129" s="502"/>
    </row>
    <row r="2130">
      <c r="Q2130" s="240"/>
      <c r="R2130" s="240"/>
      <c r="T2130" s="502"/>
    </row>
    <row r="2131">
      <c r="Q2131" s="240"/>
      <c r="R2131" s="240"/>
      <c r="T2131" s="502"/>
    </row>
    <row r="2132">
      <c r="Q2132" s="240"/>
      <c r="R2132" s="240"/>
      <c r="T2132" s="502"/>
    </row>
    <row r="2133">
      <c r="Q2133" s="240"/>
      <c r="R2133" s="240"/>
      <c r="T2133" s="502"/>
    </row>
    <row r="2134">
      <c r="Q2134" s="240"/>
      <c r="R2134" s="240"/>
      <c r="T2134" s="502"/>
    </row>
    <row r="2135">
      <c r="Q2135" s="240"/>
      <c r="R2135" s="240"/>
      <c r="T2135" s="502"/>
    </row>
    <row r="2136">
      <c r="Q2136" s="240"/>
      <c r="R2136" s="240"/>
      <c r="T2136" s="502"/>
    </row>
    <row r="2137">
      <c r="Q2137" s="240"/>
      <c r="R2137" s="240"/>
      <c r="T2137" s="502"/>
    </row>
    <row r="2138">
      <c r="Q2138" s="240"/>
      <c r="R2138" s="240"/>
      <c r="T2138" s="502"/>
    </row>
    <row r="2139">
      <c r="Q2139" s="240"/>
      <c r="R2139" s="240"/>
      <c r="T2139" s="502"/>
    </row>
    <row r="2140">
      <c r="Q2140" s="240"/>
      <c r="R2140" s="240"/>
      <c r="T2140" s="502"/>
    </row>
    <row r="2141">
      <c r="Q2141" s="240"/>
      <c r="R2141" s="240"/>
      <c r="T2141" s="502"/>
    </row>
    <row r="2142">
      <c r="Q2142" s="240"/>
      <c r="R2142" s="240"/>
      <c r="T2142" s="502"/>
    </row>
    <row r="2143">
      <c r="Q2143" s="240"/>
      <c r="R2143" s="240"/>
      <c r="T2143" s="502"/>
    </row>
    <row r="2144">
      <c r="Q2144" s="240"/>
      <c r="R2144" s="240"/>
      <c r="T2144" s="502"/>
    </row>
    <row r="2145">
      <c r="Q2145" s="240"/>
      <c r="R2145" s="240"/>
      <c r="T2145" s="502"/>
    </row>
    <row r="2146">
      <c r="Q2146" s="240"/>
      <c r="R2146" s="240"/>
      <c r="T2146" s="502"/>
    </row>
    <row r="2147">
      <c r="Q2147" s="240"/>
      <c r="R2147" s="240"/>
      <c r="T2147" s="502"/>
    </row>
    <row r="2148">
      <c r="Q2148" s="240"/>
      <c r="R2148" s="240"/>
      <c r="T2148" s="502"/>
    </row>
    <row r="2149">
      <c r="Q2149" s="240"/>
      <c r="R2149" s="240"/>
      <c r="T2149" s="502"/>
    </row>
    <row r="2150">
      <c r="Q2150" s="240"/>
      <c r="R2150" s="240"/>
      <c r="T2150" s="502"/>
    </row>
    <row r="2151">
      <c r="Q2151" s="240"/>
      <c r="R2151" s="240"/>
      <c r="T2151" s="502"/>
    </row>
    <row r="2152">
      <c r="Q2152" s="240"/>
      <c r="R2152" s="240"/>
      <c r="T2152" s="502"/>
    </row>
    <row r="2153">
      <c r="Q2153" s="240"/>
      <c r="R2153" s="240"/>
      <c r="T2153" s="502"/>
    </row>
    <row r="2154">
      <c r="Q2154" s="240"/>
      <c r="R2154" s="240"/>
      <c r="T2154" s="502"/>
    </row>
    <row r="2155">
      <c r="Q2155" s="240"/>
      <c r="R2155" s="240"/>
      <c r="T2155" s="502"/>
    </row>
    <row r="2156">
      <c r="Q2156" s="240"/>
      <c r="R2156" s="240"/>
      <c r="T2156" s="502"/>
    </row>
    <row r="2157">
      <c r="Q2157" s="240"/>
      <c r="R2157" s="240"/>
      <c r="T2157" s="502"/>
    </row>
    <row r="2158">
      <c r="Q2158" s="240"/>
      <c r="R2158" s="240"/>
      <c r="T2158" s="502"/>
    </row>
    <row r="2159">
      <c r="Q2159" s="240"/>
      <c r="R2159" s="240"/>
      <c r="T2159" s="502"/>
    </row>
    <row r="2160">
      <c r="Q2160" s="240"/>
      <c r="R2160" s="240"/>
      <c r="T2160" s="502"/>
    </row>
    <row r="2161">
      <c r="Q2161" s="240"/>
      <c r="R2161" s="240"/>
      <c r="T2161" s="502"/>
    </row>
    <row r="2162">
      <c r="Q2162" s="240"/>
      <c r="R2162" s="240"/>
      <c r="T2162" s="502"/>
    </row>
    <row r="2163">
      <c r="Q2163" s="240"/>
      <c r="R2163" s="240"/>
      <c r="T2163" s="502"/>
    </row>
    <row r="2164">
      <c r="Q2164" s="240"/>
      <c r="R2164" s="240"/>
      <c r="T2164" s="502"/>
    </row>
    <row r="2165">
      <c r="Q2165" s="240"/>
      <c r="R2165" s="240"/>
      <c r="T2165" s="502"/>
    </row>
    <row r="2166">
      <c r="Q2166" s="240"/>
      <c r="R2166" s="240"/>
      <c r="T2166" s="502"/>
    </row>
    <row r="2167">
      <c r="Q2167" s="240"/>
      <c r="R2167" s="240"/>
      <c r="T2167" s="502"/>
    </row>
    <row r="2168">
      <c r="Q2168" s="240"/>
      <c r="R2168" s="240"/>
      <c r="T2168" s="502"/>
    </row>
    <row r="2169">
      <c r="Q2169" s="240"/>
      <c r="R2169" s="240"/>
      <c r="T2169" s="502"/>
    </row>
    <row r="2170">
      <c r="Q2170" s="240"/>
      <c r="R2170" s="240"/>
      <c r="T2170" s="502"/>
    </row>
    <row r="2171">
      <c r="Q2171" s="240"/>
      <c r="R2171" s="240"/>
      <c r="T2171" s="502"/>
    </row>
    <row r="2172">
      <c r="Q2172" s="240"/>
      <c r="R2172" s="240"/>
      <c r="T2172" s="502"/>
    </row>
    <row r="2173">
      <c r="Q2173" s="240"/>
      <c r="R2173" s="240"/>
      <c r="T2173" s="502"/>
    </row>
    <row r="2174">
      <c r="Q2174" s="240"/>
      <c r="R2174" s="240"/>
      <c r="T2174" s="502"/>
    </row>
    <row r="2175">
      <c r="Q2175" s="240"/>
      <c r="R2175" s="240"/>
      <c r="T2175" s="502"/>
    </row>
    <row r="2176">
      <c r="Q2176" s="240"/>
      <c r="R2176" s="240"/>
      <c r="T2176" s="502"/>
    </row>
    <row r="2177">
      <c r="Q2177" s="240"/>
      <c r="R2177" s="240"/>
      <c r="T2177" s="502"/>
    </row>
    <row r="2178">
      <c r="Q2178" s="240"/>
      <c r="R2178" s="240"/>
      <c r="T2178" s="502"/>
    </row>
    <row r="2179">
      <c r="Q2179" s="240"/>
      <c r="R2179" s="240"/>
      <c r="T2179" s="502"/>
    </row>
    <row r="2180">
      <c r="Q2180" s="240"/>
      <c r="R2180" s="240"/>
      <c r="T2180" s="502"/>
    </row>
    <row r="2181">
      <c r="Q2181" s="240"/>
      <c r="R2181" s="240"/>
      <c r="T2181" s="502"/>
    </row>
    <row r="2182">
      <c r="Q2182" s="240"/>
      <c r="R2182" s="240"/>
      <c r="T2182" s="502"/>
    </row>
    <row r="2183">
      <c r="Q2183" s="240"/>
      <c r="R2183" s="240"/>
      <c r="T2183" s="502"/>
    </row>
    <row r="2184">
      <c r="Q2184" s="240"/>
      <c r="R2184" s="240"/>
      <c r="T2184" s="502"/>
    </row>
    <row r="2185">
      <c r="Q2185" s="240"/>
      <c r="R2185" s="240"/>
      <c r="T2185" s="502"/>
    </row>
    <row r="2186">
      <c r="Q2186" s="240"/>
      <c r="R2186" s="240"/>
      <c r="T2186" s="502"/>
    </row>
    <row r="2187">
      <c r="Q2187" s="240"/>
      <c r="R2187" s="240"/>
      <c r="T2187" s="502"/>
    </row>
    <row r="2188">
      <c r="Q2188" s="240"/>
      <c r="R2188" s="240"/>
      <c r="T2188" s="502"/>
    </row>
    <row r="2189">
      <c r="Q2189" s="240"/>
      <c r="R2189" s="240"/>
      <c r="T2189" s="502"/>
    </row>
    <row r="2190">
      <c r="Q2190" s="240"/>
      <c r="R2190" s="240"/>
      <c r="T2190" s="502"/>
    </row>
    <row r="2191">
      <c r="Q2191" s="240"/>
      <c r="R2191" s="240"/>
      <c r="T2191" s="502"/>
    </row>
    <row r="2192">
      <c r="Q2192" s="240"/>
      <c r="R2192" s="240"/>
      <c r="T2192" s="502"/>
    </row>
    <row r="2193">
      <c r="Q2193" s="240"/>
      <c r="R2193" s="240"/>
      <c r="T2193" s="502"/>
    </row>
    <row r="2194">
      <c r="Q2194" s="240"/>
      <c r="R2194" s="240"/>
      <c r="T2194" s="502"/>
    </row>
    <row r="2195">
      <c r="Q2195" s="240"/>
      <c r="R2195" s="240"/>
      <c r="T2195" s="502"/>
    </row>
    <row r="2196">
      <c r="Q2196" s="240"/>
      <c r="R2196" s="240"/>
      <c r="T2196" s="502"/>
    </row>
    <row r="2197">
      <c r="Q2197" s="240"/>
      <c r="R2197" s="240"/>
      <c r="T2197" s="502"/>
    </row>
    <row r="2198">
      <c r="Q2198" s="240"/>
      <c r="R2198" s="240"/>
      <c r="T2198" s="502"/>
    </row>
    <row r="2199">
      <c r="Q2199" s="240"/>
      <c r="R2199" s="240"/>
      <c r="T2199" s="502"/>
    </row>
    <row r="2200">
      <c r="Q2200" s="240"/>
      <c r="R2200" s="240"/>
      <c r="T2200" s="502"/>
    </row>
    <row r="2201">
      <c r="Q2201" s="240"/>
      <c r="R2201" s="240"/>
      <c r="T2201" s="502"/>
    </row>
    <row r="2202">
      <c r="Q2202" s="240"/>
      <c r="R2202" s="240"/>
      <c r="T2202" s="502"/>
    </row>
    <row r="2203">
      <c r="Q2203" s="240"/>
      <c r="R2203" s="240"/>
      <c r="T2203" s="502"/>
    </row>
    <row r="2204">
      <c r="Q2204" s="240"/>
      <c r="R2204" s="240"/>
      <c r="T2204" s="502"/>
    </row>
    <row r="2205">
      <c r="Q2205" s="240"/>
      <c r="R2205" s="240"/>
      <c r="T2205" s="502"/>
    </row>
    <row r="2206">
      <c r="Q2206" s="240"/>
      <c r="R2206" s="240"/>
      <c r="T2206" s="502"/>
    </row>
    <row r="2207">
      <c r="Q2207" s="240"/>
      <c r="R2207" s="240"/>
      <c r="T2207" s="502"/>
    </row>
    <row r="2208">
      <c r="Q2208" s="240"/>
      <c r="R2208" s="240"/>
      <c r="T2208" s="502"/>
    </row>
    <row r="2209">
      <c r="Q2209" s="240"/>
      <c r="R2209" s="240"/>
      <c r="T2209" s="502"/>
    </row>
    <row r="2210">
      <c r="Q2210" s="240"/>
      <c r="R2210" s="240"/>
      <c r="T2210" s="502"/>
    </row>
    <row r="2211">
      <c r="Q2211" s="240"/>
      <c r="R2211" s="240"/>
      <c r="T2211" s="502"/>
    </row>
    <row r="2212">
      <c r="Q2212" s="240"/>
      <c r="R2212" s="240"/>
      <c r="T2212" s="502"/>
    </row>
    <row r="2213">
      <c r="Q2213" s="240"/>
      <c r="R2213" s="240"/>
      <c r="T2213" s="502"/>
    </row>
    <row r="2214">
      <c r="Q2214" s="240"/>
      <c r="R2214" s="240"/>
      <c r="T2214" s="502"/>
    </row>
    <row r="2215">
      <c r="Q2215" s="240"/>
      <c r="R2215" s="240"/>
      <c r="T2215" s="502"/>
    </row>
    <row r="2216">
      <c r="Q2216" s="240"/>
      <c r="R2216" s="240"/>
      <c r="T2216" s="502"/>
    </row>
    <row r="2217">
      <c r="Q2217" s="240"/>
      <c r="R2217" s="240"/>
      <c r="T2217" s="502"/>
    </row>
    <row r="2218">
      <c r="Q2218" s="240"/>
      <c r="R2218" s="240"/>
      <c r="T2218" s="502"/>
    </row>
    <row r="2219">
      <c r="Q2219" s="240"/>
      <c r="R2219" s="240"/>
      <c r="T2219" s="502"/>
    </row>
    <row r="2220">
      <c r="Q2220" s="240"/>
      <c r="R2220" s="240"/>
      <c r="T2220" s="502"/>
    </row>
    <row r="2221">
      <c r="Q2221" s="240"/>
      <c r="R2221" s="240"/>
      <c r="T2221" s="502"/>
    </row>
    <row r="2222">
      <c r="Q2222" s="240"/>
      <c r="R2222" s="240"/>
      <c r="T2222" s="502"/>
    </row>
    <row r="2223">
      <c r="Q2223" s="240"/>
      <c r="R2223" s="240"/>
      <c r="T2223" s="502"/>
    </row>
    <row r="2224">
      <c r="Q2224" s="240"/>
      <c r="R2224" s="240"/>
      <c r="T2224" s="502"/>
    </row>
    <row r="2225">
      <c r="Q2225" s="240"/>
      <c r="R2225" s="240"/>
      <c r="T2225" s="502"/>
    </row>
    <row r="2226">
      <c r="Q2226" s="240"/>
      <c r="R2226" s="240"/>
      <c r="T2226" s="502"/>
    </row>
    <row r="2227">
      <c r="Q2227" s="240"/>
      <c r="R2227" s="240"/>
      <c r="T2227" s="502"/>
    </row>
    <row r="2228">
      <c r="Q2228" s="240"/>
      <c r="R2228" s="240"/>
      <c r="T2228" s="502"/>
    </row>
    <row r="2229">
      <c r="Q2229" s="240"/>
      <c r="R2229" s="240"/>
      <c r="T2229" s="502"/>
    </row>
    <row r="2230">
      <c r="Q2230" s="240"/>
      <c r="R2230" s="240"/>
      <c r="T2230" s="502"/>
    </row>
    <row r="2231">
      <c r="Q2231" s="240"/>
      <c r="R2231" s="240"/>
      <c r="T2231" s="502"/>
    </row>
    <row r="2232">
      <c r="Q2232" s="240"/>
      <c r="R2232" s="240"/>
      <c r="T2232" s="502"/>
    </row>
    <row r="2233">
      <c r="Q2233" s="240"/>
      <c r="R2233" s="240"/>
      <c r="T2233" s="502"/>
    </row>
    <row r="2234">
      <c r="Q2234" s="240"/>
      <c r="R2234" s="240"/>
      <c r="T2234" s="502"/>
    </row>
    <row r="2235">
      <c r="Q2235" s="240"/>
      <c r="R2235" s="240"/>
      <c r="T2235" s="502"/>
    </row>
    <row r="2236">
      <c r="Q2236" s="240"/>
      <c r="R2236" s="240"/>
      <c r="T2236" s="502"/>
    </row>
    <row r="2237">
      <c r="Q2237" s="240"/>
      <c r="R2237" s="240"/>
      <c r="T2237" s="502"/>
    </row>
    <row r="2238">
      <c r="Q2238" s="240"/>
      <c r="R2238" s="240"/>
      <c r="T2238" s="502"/>
    </row>
    <row r="2239">
      <c r="Q2239" s="240"/>
      <c r="R2239" s="240"/>
      <c r="T2239" s="502"/>
    </row>
    <row r="2240">
      <c r="Q2240" s="240"/>
      <c r="R2240" s="240"/>
      <c r="T2240" s="502"/>
    </row>
    <row r="2241">
      <c r="Q2241" s="240"/>
      <c r="R2241" s="240"/>
      <c r="T2241" s="502"/>
    </row>
    <row r="2242">
      <c r="Q2242" s="240"/>
      <c r="R2242" s="240"/>
      <c r="T2242" s="502"/>
    </row>
    <row r="2243">
      <c r="Q2243" s="240"/>
      <c r="R2243" s="240"/>
      <c r="T2243" s="502"/>
    </row>
    <row r="2244">
      <c r="Q2244" s="240"/>
      <c r="R2244" s="240"/>
      <c r="T2244" s="502"/>
    </row>
    <row r="2245">
      <c r="Q2245" s="240"/>
      <c r="R2245" s="240"/>
      <c r="T2245" s="502"/>
    </row>
    <row r="2246">
      <c r="Q2246" s="240"/>
      <c r="R2246" s="240"/>
      <c r="T2246" s="502"/>
    </row>
    <row r="2247">
      <c r="Q2247" s="240"/>
      <c r="R2247" s="240"/>
      <c r="T2247" s="502"/>
    </row>
    <row r="2248">
      <c r="Q2248" s="240"/>
      <c r="R2248" s="240"/>
      <c r="T2248" s="502"/>
    </row>
    <row r="2249">
      <c r="Q2249" s="240"/>
      <c r="R2249" s="240"/>
      <c r="T2249" s="502"/>
    </row>
    <row r="2250">
      <c r="Q2250" s="240"/>
      <c r="R2250" s="240"/>
      <c r="T2250" s="502"/>
    </row>
    <row r="2251">
      <c r="Q2251" s="240"/>
      <c r="R2251" s="240"/>
      <c r="T2251" s="502"/>
    </row>
    <row r="2252">
      <c r="Q2252" s="240"/>
      <c r="R2252" s="240"/>
      <c r="T2252" s="502"/>
    </row>
    <row r="2253">
      <c r="Q2253" s="240"/>
      <c r="R2253" s="240"/>
      <c r="T2253" s="502"/>
    </row>
    <row r="2254">
      <c r="Q2254" s="240"/>
      <c r="R2254" s="240"/>
      <c r="T2254" s="502"/>
    </row>
    <row r="2255">
      <c r="Q2255" s="240"/>
      <c r="R2255" s="240"/>
      <c r="T2255" s="502"/>
    </row>
    <row r="2256">
      <c r="Q2256" s="240"/>
      <c r="R2256" s="240"/>
      <c r="T2256" s="502"/>
    </row>
    <row r="2257">
      <c r="Q2257" s="240"/>
      <c r="R2257" s="240"/>
      <c r="T2257" s="502"/>
    </row>
    <row r="2258">
      <c r="Q2258" s="240"/>
      <c r="R2258" s="240"/>
      <c r="T2258" s="502"/>
    </row>
    <row r="2259">
      <c r="Q2259" s="240"/>
      <c r="R2259" s="240"/>
      <c r="T2259" s="502"/>
    </row>
    <row r="2260">
      <c r="Q2260" s="240"/>
      <c r="R2260" s="240"/>
      <c r="T2260" s="502"/>
    </row>
    <row r="2261">
      <c r="Q2261" s="240"/>
      <c r="R2261" s="240"/>
      <c r="T2261" s="502"/>
    </row>
    <row r="2262">
      <c r="Q2262" s="240"/>
      <c r="R2262" s="240"/>
      <c r="T2262" s="502"/>
    </row>
    <row r="2263">
      <c r="Q2263" s="240"/>
      <c r="R2263" s="240"/>
      <c r="T2263" s="502"/>
    </row>
    <row r="2264">
      <c r="Q2264" s="240"/>
      <c r="R2264" s="240"/>
      <c r="T2264" s="502"/>
    </row>
    <row r="2265">
      <c r="Q2265" s="240"/>
      <c r="R2265" s="240"/>
      <c r="T2265" s="502"/>
    </row>
    <row r="2266">
      <c r="Q2266" s="240"/>
      <c r="R2266" s="240"/>
      <c r="T2266" s="502"/>
    </row>
    <row r="2267">
      <c r="Q2267" s="240"/>
      <c r="R2267" s="240"/>
      <c r="T2267" s="502"/>
    </row>
    <row r="2268">
      <c r="Q2268" s="240"/>
      <c r="R2268" s="240"/>
      <c r="T2268" s="502"/>
    </row>
    <row r="2269">
      <c r="Q2269" s="240"/>
      <c r="R2269" s="240"/>
      <c r="T2269" s="502"/>
    </row>
    <row r="2270">
      <c r="Q2270" s="240"/>
      <c r="R2270" s="240"/>
      <c r="T2270" s="502"/>
    </row>
    <row r="2271">
      <c r="Q2271" s="240"/>
      <c r="R2271" s="240"/>
      <c r="T2271" s="502"/>
    </row>
    <row r="2272">
      <c r="Q2272" s="240"/>
      <c r="R2272" s="240"/>
      <c r="T2272" s="502"/>
    </row>
    <row r="2273">
      <c r="Q2273" s="240"/>
      <c r="R2273" s="240"/>
      <c r="T2273" s="502"/>
    </row>
    <row r="2274">
      <c r="Q2274" s="240"/>
      <c r="R2274" s="240"/>
      <c r="T2274" s="502"/>
    </row>
    <row r="2275">
      <c r="Q2275" s="240"/>
      <c r="R2275" s="240"/>
      <c r="T2275" s="502"/>
    </row>
    <row r="2276">
      <c r="Q2276" s="240"/>
      <c r="R2276" s="240"/>
      <c r="T2276" s="502"/>
    </row>
    <row r="2277">
      <c r="Q2277" s="240"/>
      <c r="R2277" s="240"/>
      <c r="T2277" s="502"/>
    </row>
    <row r="2278">
      <c r="Q2278" s="240"/>
      <c r="R2278" s="240"/>
      <c r="T2278" s="502"/>
    </row>
    <row r="2279">
      <c r="Q2279" s="240"/>
      <c r="R2279" s="240"/>
      <c r="T2279" s="502"/>
    </row>
    <row r="2280">
      <c r="Q2280" s="240"/>
      <c r="R2280" s="240"/>
      <c r="T2280" s="502"/>
    </row>
    <row r="2281">
      <c r="Q2281" s="240"/>
      <c r="R2281" s="240"/>
      <c r="T2281" s="502"/>
    </row>
    <row r="2282">
      <c r="Q2282" s="240"/>
      <c r="R2282" s="240"/>
      <c r="T2282" s="502"/>
    </row>
    <row r="2283">
      <c r="Q2283" s="240"/>
      <c r="R2283" s="240"/>
      <c r="T2283" s="502"/>
    </row>
    <row r="2284">
      <c r="Q2284" s="240"/>
      <c r="R2284" s="240"/>
      <c r="T2284" s="502"/>
    </row>
    <row r="2285">
      <c r="Q2285" s="240"/>
      <c r="R2285" s="240"/>
      <c r="T2285" s="502"/>
    </row>
    <row r="2286">
      <c r="Q2286" s="240"/>
      <c r="R2286" s="240"/>
      <c r="T2286" s="502"/>
    </row>
    <row r="2287">
      <c r="Q2287" s="240"/>
      <c r="R2287" s="240"/>
      <c r="T2287" s="502"/>
    </row>
    <row r="2288">
      <c r="Q2288" s="240"/>
      <c r="R2288" s="240"/>
      <c r="T2288" s="502"/>
    </row>
    <row r="2289">
      <c r="Q2289" s="240"/>
      <c r="R2289" s="240"/>
      <c r="T2289" s="502"/>
    </row>
    <row r="2290">
      <c r="Q2290" s="240"/>
      <c r="R2290" s="240"/>
      <c r="T2290" s="502"/>
    </row>
    <row r="2291">
      <c r="Q2291" s="240"/>
      <c r="R2291" s="240"/>
      <c r="T2291" s="502"/>
    </row>
    <row r="2292">
      <c r="Q2292" s="240"/>
      <c r="R2292" s="240"/>
      <c r="T2292" s="502"/>
    </row>
    <row r="2293">
      <c r="Q2293" s="240"/>
      <c r="R2293" s="240"/>
      <c r="T2293" s="502"/>
    </row>
    <row r="2294">
      <c r="Q2294" s="240"/>
      <c r="R2294" s="240"/>
      <c r="T2294" s="502"/>
    </row>
    <row r="2295">
      <c r="Q2295" s="240"/>
      <c r="R2295" s="240"/>
      <c r="T2295" s="502"/>
    </row>
    <row r="2296">
      <c r="Q2296" s="240"/>
      <c r="R2296" s="240"/>
      <c r="T2296" s="502"/>
    </row>
    <row r="2297">
      <c r="Q2297" s="240"/>
      <c r="R2297" s="240"/>
      <c r="T2297" s="502"/>
    </row>
    <row r="2298">
      <c r="Q2298" s="240"/>
      <c r="R2298" s="240"/>
      <c r="T2298" s="502"/>
    </row>
    <row r="2299">
      <c r="Q2299" s="240"/>
      <c r="R2299" s="240"/>
      <c r="T2299" s="502"/>
    </row>
    <row r="2300">
      <c r="Q2300" s="240"/>
      <c r="R2300" s="240"/>
      <c r="T2300" s="502"/>
    </row>
    <row r="2301">
      <c r="Q2301" s="240"/>
      <c r="R2301" s="240"/>
      <c r="T2301" s="502"/>
    </row>
    <row r="2302">
      <c r="Q2302" s="240"/>
      <c r="R2302" s="240"/>
      <c r="T2302" s="502"/>
    </row>
    <row r="2303">
      <c r="Q2303" s="240"/>
      <c r="R2303" s="240"/>
      <c r="T2303" s="502"/>
    </row>
    <row r="2304">
      <c r="Q2304" s="240"/>
      <c r="R2304" s="240"/>
      <c r="T2304" s="502"/>
    </row>
    <row r="2305">
      <c r="Q2305" s="240"/>
      <c r="R2305" s="240"/>
      <c r="T2305" s="502"/>
    </row>
    <row r="2306">
      <c r="Q2306" s="240"/>
      <c r="R2306" s="240"/>
      <c r="T2306" s="502"/>
    </row>
    <row r="2307">
      <c r="Q2307" s="240"/>
      <c r="R2307" s="240"/>
      <c r="T2307" s="502"/>
    </row>
    <row r="2308">
      <c r="Q2308" s="240"/>
      <c r="R2308" s="240"/>
      <c r="T2308" s="502"/>
    </row>
    <row r="2309">
      <c r="Q2309" s="240"/>
      <c r="R2309" s="240"/>
      <c r="T2309" s="502"/>
    </row>
    <row r="2310">
      <c r="Q2310" s="240"/>
      <c r="R2310" s="240"/>
      <c r="T2310" s="502"/>
    </row>
    <row r="2311">
      <c r="Q2311" s="240"/>
      <c r="R2311" s="240"/>
      <c r="T2311" s="502"/>
    </row>
    <row r="2312">
      <c r="Q2312" s="240"/>
      <c r="R2312" s="240"/>
      <c r="T2312" s="502"/>
    </row>
    <row r="2313">
      <c r="Q2313" s="240"/>
      <c r="R2313" s="240"/>
      <c r="T2313" s="502"/>
    </row>
    <row r="2314">
      <c r="Q2314" s="240"/>
      <c r="R2314" s="240"/>
      <c r="T2314" s="502"/>
    </row>
    <row r="2315">
      <c r="Q2315" s="240"/>
      <c r="R2315" s="240"/>
      <c r="T2315" s="502"/>
    </row>
    <row r="2316">
      <c r="Q2316" s="240"/>
      <c r="R2316" s="240"/>
      <c r="T2316" s="502"/>
    </row>
    <row r="2317">
      <c r="Q2317" s="240"/>
      <c r="R2317" s="240"/>
      <c r="T2317" s="502"/>
    </row>
    <row r="2318">
      <c r="Q2318" s="240"/>
      <c r="R2318" s="240"/>
      <c r="T2318" s="502"/>
    </row>
    <row r="2319">
      <c r="Q2319" s="240"/>
      <c r="R2319" s="240"/>
      <c r="T2319" s="502"/>
    </row>
    <row r="2320">
      <c r="Q2320" s="240"/>
      <c r="R2320" s="240"/>
      <c r="T2320" s="502"/>
    </row>
    <row r="2321">
      <c r="Q2321" s="240"/>
      <c r="R2321" s="240"/>
      <c r="T2321" s="502"/>
    </row>
    <row r="2322">
      <c r="Q2322" s="240"/>
      <c r="R2322" s="240"/>
      <c r="T2322" s="502"/>
    </row>
    <row r="2323">
      <c r="Q2323" s="240"/>
      <c r="R2323" s="240"/>
      <c r="T2323" s="502"/>
    </row>
    <row r="2324">
      <c r="Q2324" s="240"/>
      <c r="R2324" s="240"/>
      <c r="T2324" s="502"/>
    </row>
    <row r="2325">
      <c r="Q2325" s="240"/>
      <c r="R2325" s="240"/>
      <c r="T2325" s="502"/>
    </row>
    <row r="2326">
      <c r="Q2326" s="240"/>
      <c r="R2326" s="240"/>
      <c r="T2326" s="502"/>
    </row>
    <row r="2327">
      <c r="Q2327" s="240"/>
      <c r="R2327" s="240"/>
      <c r="T2327" s="502"/>
    </row>
    <row r="2328">
      <c r="Q2328" s="240"/>
      <c r="R2328" s="240"/>
      <c r="T2328" s="502"/>
    </row>
    <row r="2329">
      <c r="Q2329" s="240"/>
      <c r="R2329" s="240"/>
      <c r="T2329" s="502"/>
    </row>
    <row r="2330">
      <c r="Q2330" s="240"/>
      <c r="R2330" s="240"/>
      <c r="T2330" s="502"/>
    </row>
    <row r="2331">
      <c r="Q2331" s="240"/>
      <c r="R2331" s="240"/>
      <c r="T2331" s="502"/>
    </row>
    <row r="2332">
      <c r="Q2332" s="240"/>
      <c r="R2332" s="240"/>
      <c r="T2332" s="502"/>
    </row>
    <row r="2333">
      <c r="Q2333" s="240"/>
      <c r="R2333" s="240"/>
      <c r="T2333" s="502"/>
    </row>
    <row r="2334">
      <c r="Q2334" s="240"/>
      <c r="R2334" s="240"/>
      <c r="T2334" s="502"/>
    </row>
    <row r="2335">
      <c r="Q2335" s="240"/>
      <c r="R2335" s="240"/>
      <c r="T2335" s="502"/>
    </row>
    <row r="2336">
      <c r="Q2336" s="240"/>
      <c r="R2336" s="240"/>
      <c r="T2336" s="502"/>
    </row>
    <row r="2337">
      <c r="Q2337" s="240"/>
      <c r="R2337" s="240"/>
      <c r="T2337" s="502"/>
    </row>
    <row r="2338">
      <c r="Q2338" s="240"/>
      <c r="R2338" s="240"/>
      <c r="T2338" s="502"/>
    </row>
    <row r="2339">
      <c r="Q2339" s="240"/>
      <c r="R2339" s="240"/>
      <c r="T2339" s="502"/>
    </row>
    <row r="2340">
      <c r="Q2340" s="240"/>
      <c r="R2340" s="240"/>
      <c r="T2340" s="502"/>
    </row>
    <row r="2341">
      <c r="Q2341" s="240"/>
      <c r="R2341" s="240"/>
      <c r="T2341" s="502"/>
    </row>
    <row r="2342">
      <c r="Q2342" s="240"/>
      <c r="R2342" s="240"/>
      <c r="T2342" s="502"/>
    </row>
    <row r="2343">
      <c r="Q2343" s="240"/>
      <c r="R2343" s="240"/>
      <c r="T2343" s="502"/>
    </row>
    <row r="2344">
      <c r="Q2344" s="240"/>
      <c r="R2344" s="240"/>
      <c r="T2344" s="502"/>
    </row>
    <row r="2345">
      <c r="Q2345" s="240"/>
      <c r="R2345" s="240"/>
      <c r="T2345" s="502"/>
    </row>
    <row r="2346">
      <c r="Q2346" s="240"/>
      <c r="R2346" s="240"/>
      <c r="T2346" s="502"/>
    </row>
    <row r="2347">
      <c r="Q2347" s="240"/>
      <c r="R2347" s="240"/>
      <c r="T2347" s="502"/>
    </row>
    <row r="2348">
      <c r="Q2348" s="240"/>
      <c r="R2348" s="240"/>
      <c r="T2348" s="502"/>
    </row>
    <row r="2349">
      <c r="Q2349" s="240"/>
      <c r="R2349" s="240"/>
      <c r="T2349" s="502"/>
    </row>
    <row r="2350">
      <c r="Q2350" s="240"/>
      <c r="R2350" s="240"/>
      <c r="T2350" s="502"/>
    </row>
    <row r="2351">
      <c r="Q2351" s="240"/>
      <c r="R2351" s="240"/>
      <c r="T2351" s="502"/>
    </row>
    <row r="2352">
      <c r="Q2352" s="240"/>
      <c r="R2352" s="240"/>
      <c r="T2352" s="502"/>
    </row>
    <row r="2353">
      <c r="Q2353" s="240"/>
      <c r="R2353" s="240"/>
      <c r="T2353" s="502"/>
    </row>
    <row r="2354">
      <c r="Q2354" s="240"/>
      <c r="R2354" s="240"/>
      <c r="T2354" s="502"/>
    </row>
    <row r="2355">
      <c r="Q2355" s="240"/>
      <c r="R2355" s="240"/>
      <c r="T2355" s="502"/>
    </row>
    <row r="2356">
      <c r="Q2356" s="240"/>
      <c r="R2356" s="240"/>
      <c r="T2356" s="502"/>
    </row>
    <row r="2357">
      <c r="Q2357" s="240"/>
      <c r="R2357" s="240"/>
      <c r="T2357" s="502"/>
    </row>
    <row r="2358">
      <c r="Q2358" s="240"/>
      <c r="R2358" s="240"/>
      <c r="T2358" s="502"/>
    </row>
    <row r="2359">
      <c r="Q2359" s="240"/>
      <c r="R2359" s="240"/>
      <c r="T2359" s="502"/>
    </row>
    <row r="2360">
      <c r="Q2360" s="240"/>
      <c r="R2360" s="240"/>
      <c r="T2360" s="502"/>
    </row>
    <row r="2361">
      <c r="Q2361" s="240"/>
      <c r="R2361" s="240"/>
      <c r="T2361" s="502"/>
    </row>
    <row r="2362">
      <c r="Q2362" s="240"/>
      <c r="R2362" s="240"/>
      <c r="T2362" s="502"/>
    </row>
    <row r="2363">
      <c r="Q2363" s="240"/>
      <c r="R2363" s="240"/>
      <c r="T2363" s="502"/>
    </row>
    <row r="2364">
      <c r="Q2364" s="240"/>
      <c r="R2364" s="240"/>
      <c r="T2364" s="502"/>
    </row>
    <row r="2365">
      <c r="Q2365" s="240"/>
      <c r="R2365" s="240"/>
      <c r="T2365" s="502"/>
    </row>
    <row r="2366">
      <c r="Q2366" s="240"/>
      <c r="R2366" s="240"/>
      <c r="T2366" s="502"/>
    </row>
    <row r="2367">
      <c r="Q2367" s="240"/>
      <c r="R2367" s="240"/>
      <c r="T2367" s="502"/>
    </row>
    <row r="2368">
      <c r="Q2368" s="240"/>
      <c r="R2368" s="240"/>
      <c r="T2368" s="502"/>
    </row>
    <row r="2369">
      <c r="Q2369" s="240"/>
      <c r="R2369" s="240"/>
      <c r="T2369" s="502"/>
    </row>
    <row r="2370">
      <c r="Q2370" s="240"/>
      <c r="R2370" s="240"/>
      <c r="T2370" s="502"/>
    </row>
    <row r="2371">
      <c r="Q2371" s="240"/>
      <c r="R2371" s="240"/>
      <c r="T2371" s="502"/>
    </row>
    <row r="2372">
      <c r="Q2372" s="240"/>
      <c r="R2372" s="240"/>
      <c r="T2372" s="502"/>
    </row>
    <row r="2373">
      <c r="Q2373" s="240"/>
      <c r="R2373" s="240"/>
      <c r="T2373" s="502"/>
    </row>
    <row r="2374">
      <c r="Q2374" s="240"/>
      <c r="R2374" s="240"/>
      <c r="T2374" s="502"/>
    </row>
    <row r="2375">
      <c r="Q2375" s="240"/>
      <c r="R2375" s="240"/>
      <c r="T2375" s="502"/>
    </row>
    <row r="2376">
      <c r="Q2376" s="240"/>
      <c r="R2376" s="240"/>
      <c r="T2376" s="502"/>
    </row>
    <row r="2377">
      <c r="Q2377" s="240"/>
      <c r="R2377" s="240"/>
      <c r="T2377" s="502"/>
    </row>
    <row r="2378">
      <c r="Q2378" s="240"/>
      <c r="R2378" s="240"/>
      <c r="T2378" s="502"/>
    </row>
    <row r="2379">
      <c r="Q2379" s="240"/>
      <c r="R2379" s="240"/>
      <c r="T2379" s="502"/>
    </row>
    <row r="2380">
      <c r="Q2380" s="240"/>
      <c r="R2380" s="240"/>
      <c r="T2380" s="502"/>
    </row>
    <row r="2381">
      <c r="Q2381" s="240"/>
      <c r="R2381" s="240"/>
      <c r="T2381" s="502"/>
    </row>
    <row r="2382">
      <c r="Q2382" s="240"/>
      <c r="R2382" s="240"/>
      <c r="T2382" s="502"/>
    </row>
    <row r="2383">
      <c r="Q2383" s="240"/>
      <c r="R2383" s="240"/>
      <c r="T2383" s="502"/>
    </row>
    <row r="2384">
      <c r="Q2384" s="240"/>
      <c r="R2384" s="240"/>
      <c r="T2384" s="502"/>
    </row>
    <row r="2385">
      <c r="Q2385" s="240"/>
      <c r="R2385" s="240"/>
      <c r="T2385" s="502"/>
    </row>
    <row r="2386">
      <c r="Q2386" s="240"/>
      <c r="R2386" s="240"/>
      <c r="T2386" s="502"/>
    </row>
    <row r="2387">
      <c r="Q2387" s="240"/>
      <c r="R2387" s="240"/>
      <c r="T2387" s="502"/>
    </row>
    <row r="2388">
      <c r="Q2388" s="240"/>
      <c r="R2388" s="240"/>
      <c r="T2388" s="502"/>
    </row>
    <row r="2389">
      <c r="Q2389" s="240"/>
      <c r="R2389" s="240"/>
      <c r="T2389" s="502"/>
    </row>
    <row r="2390">
      <c r="Q2390" s="240"/>
      <c r="R2390" s="240"/>
      <c r="T2390" s="502"/>
    </row>
    <row r="2391">
      <c r="Q2391" s="240"/>
      <c r="R2391" s="240"/>
      <c r="T2391" s="502"/>
    </row>
    <row r="2392">
      <c r="Q2392" s="240"/>
      <c r="R2392" s="240"/>
      <c r="T2392" s="502"/>
    </row>
    <row r="2393">
      <c r="Q2393" s="240"/>
      <c r="R2393" s="240"/>
      <c r="T2393" s="502"/>
    </row>
    <row r="2394">
      <c r="Q2394" s="240"/>
      <c r="R2394" s="240"/>
      <c r="T2394" s="502"/>
    </row>
    <row r="2395">
      <c r="Q2395" s="240"/>
      <c r="R2395" s="240"/>
      <c r="T2395" s="502"/>
    </row>
    <row r="2396">
      <c r="Q2396" s="240"/>
      <c r="R2396" s="240"/>
      <c r="T2396" s="502"/>
    </row>
    <row r="2397">
      <c r="Q2397" s="240"/>
      <c r="R2397" s="240"/>
      <c r="T2397" s="502"/>
    </row>
    <row r="2398">
      <c r="Q2398" s="240"/>
      <c r="R2398" s="240"/>
      <c r="T2398" s="502"/>
    </row>
    <row r="2399">
      <c r="Q2399" s="240"/>
      <c r="R2399" s="240"/>
      <c r="T2399" s="502"/>
    </row>
    <row r="2400">
      <c r="Q2400" s="240"/>
      <c r="R2400" s="240"/>
      <c r="T2400" s="502"/>
    </row>
    <row r="2401">
      <c r="Q2401" s="240"/>
      <c r="R2401" s="240"/>
      <c r="T2401" s="502"/>
    </row>
    <row r="2402">
      <c r="Q2402" s="240"/>
      <c r="R2402" s="240"/>
      <c r="T2402" s="502"/>
    </row>
    <row r="2403">
      <c r="Q2403" s="240"/>
      <c r="R2403" s="240"/>
      <c r="T2403" s="502"/>
    </row>
    <row r="2404">
      <c r="Q2404" s="240"/>
      <c r="R2404" s="240"/>
      <c r="T2404" s="502"/>
    </row>
    <row r="2405">
      <c r="Q2405" s="240"/>
      <c r="R2405" s="240"/>
      <c r="T2405" s="502"/>
    </row>
    <row r="2406">
      <c r="Q2406" s="240"/>
      <c r="R2406" s="240"/>
      <c r="T2406" s="502"/>
    </row>
    <row r="2407">
      <c r="Q2407" s="240"/>
      <c r="R2407" s="240"/>
      <c r="T2407" s="502"/>
    </row>
    <row r="2408">
      <c r="Q2408" s="240"/>
      <c r="R2408" s="240"/>
      <c r="T2408" s="502"/>
    </row>
    <row r="2409">
      <c r="Q2409" s="240"/>
      <c r="R2409" s="240"/>
      <c r="T2409" s="502"/>
    </row>
    <row r="2410">
      <c r="Q2410" s="240"/>
      <c r="R2410" s="240"/>
      <c r="T2410" s="502"/>
    </row>
    <row r="2411">
      <c r="Q2411" s="240"/>
      <c r="R2411" s="240"/>
      <c r="T2411" s="502"/>
    </row>
    <row r="2412">
      <c r="Q2412" s="240"/>
      <c r="R2412" s="240"/>
      <c r="T2412" s="502"/>
    </row>
    <row r="2413">
      <c r="Q2413" s="240"/>
      <c r="R2413" s="240"/>
      <c r="T2413" s="502"/>
    </row>
    <row r="2414">
      <c r="Q2414" s="240"/>
      <c r="R2414" s="240"/>
      <c r="T2414" s="502"/>
    </row>
    <row r="2415">
      <c r="Q2415" s="240"/>
      <c r="R2415" s="240"/>
      <c r="T2415" s="502"/>
    </row>
    <row r="2416">
      <c r="Q2416" s="240"/>
      <c r="R2416" s="240"/>
      <c r="T2416" s="502"/>
    </row>
    <row r="2417">
      <c r="Q2417" s="240"/>
      <c r="R2417" s="240"/>
      <c r="T2417" s="502"/>
    </row>
    <row r="2418">
      <c r="Q2418" s="240"/>
      <c r="R2418" s="240"/>
      <c r="T2418" s="502"/>
    </row>
    <row r="2419">
      <c r="Q2419" s="240"/>
      <c r="R2419" s="240"/>
      <c r="T2419" s="502"/>
    </row>
    <row r="2420">
      <c r="Q2420" s="240"/>
      <c r="R2420" s="240"/>
      <c r="T2420" s="502"/>
    </row>
    <row r="2421">
      <c r="Q2421" s="240"/>
      <c r="R2421" s="240"/>
      <c r="T2421" s="502"/>
    </row>
    <row r="2422">
      <c r="Q2422" s="240"/>
      <c r="R2422" s="240"/>
      <c r="T2422" s="502"/>
    </row>
    <row r="2423">
      <c r="Q2423" s="240"/>
      <c r="R2423" s="240"/>
      <c r="T2423" s="502"/>
    </row>
    <row r="2424">
      <c r="Q2424" s="240"/>
      <c r="R2424" s="240"/>
      <c r="T2424" s="502"/>
    </row>
    <row r="2425">
      <c r="Q2425" s="240"/>
      <c r="R2425" s="240"/>
      <c r="T2425" s="502"/>
    </row>
    <row r="2426">
      <c r="Q2426" s="240"/>
      <c r="R2426" s="240"/>
      <c r="T2426" s="502"/>
    </row>
    <row r="2427">
      <c r="Q2427" s="240"/>
      <c r="R2427" s="240"/>
      <c r="T2427" s="502"/>
    </row>
    <row r="2428">
      <c r="Q2428" s="240"/>
      <c r="R2428" s="240"/>
      <c r="T2428" s="502"/>
    </row>
    <row r="2429">
      <c r="Q2429" s="240"/>
      <c r="R2429" s="240"/>
      <c r="T2429" s="502"/>
    </row>
    <row r="2430">
      <c r="Q2430" s="240"/>
      <c r="R2430" s="240"/>
      <c r="T2430" s="502"/>
    </row>
    <row r="2431">
      <c r="Q2431" s="240"/>
      <c r="R2431" s="240"/>
      <c r="T2431" s="502"/>
    </row>
    <row r="2432">
      <c r="Q2432" s="240"/>
      <c r="R2432" s="240"/>
      <c r="T2432" s="502"/>
    </row>
    <row r="2433">
      <c r="Q2433" s="240"/>
      <c r="R2433" s="240"/>
      <c r="T2433" s="502"/>
    </row>
    <row r="2434">
      <c r="Q2434" s="240"/>
      <c r="R2434" s="240"/>
      <c r="T2434" s="502"/>
    </row>
    <row r="2435">
      <c r="Q2435" s="240"/>
      <c r="R2435" s="240"/>
      <c r="T2435" s="502"/>
    </row>
    <row r="2436">
      <c r="Q2436" s="240"/>
      <c r="R2436" s="240"/>
      <c r="T2436" s="502"/>
    </row>
    <row r="2437">
      <c r="Q2437" s="240"/>
      <c r="R2437" s="240"/>
      <c r="T2437" s="502"/>
    </row>
    <row r="2438">
      <c r="Q2438" s="240"/>
      <c r="R2438" s="240"/>
      <c r="T2438" s="502"/>
    </row>
    <row r="2439">
      <c r="Q2439" s="240"/>
      <c r="R2439" s="240"/>
      <c r="T2439" s="502"/>
    </row>
    <row r="2440">
      <c r="Q2440" s="240"/>
      <c r="R2440" s="240"/>
      <c r="T2440" s="502"/>
    </row>
    <row r="2441">
      <c r="Q2441" s="240"/>
      <c r="R2441" s="240"/>
      <c r="T2441" s="502"/>
    </row>
    <row r="2442">
      <c r="Q2442" s="240"/>
      <c r="R2442" s="240"/>
      <c r="T2442" s="502"/>
    </row>
    <row r="2443">
      <c r="Q2443" s="240"/>
      <c r="R2443" s="240"/>
      <c r="T2443" s="502"/>
    </row>
    <row r="2444">
      <c r="Q2444" s="240"/>
      <c r="R2444" s="240"/>
      <c r="T2444" s="502"/>
    </row>
    <row r="2445">
      <c r="Q2445" s="240"/>
      <c r="R2445" s="240"/>
      <c r="T2445" s="502"/>
    </row>
    <row r="2446">
      <c r="Q2446" s="240"/>
      <c r="R2446" s="240"/>
      <c r="T2446" s="502"/>
    </row>
    <row r="2447">
      <c r="Q2447" s="240"/>
      <c r="R2447" s="240"/>
      <c r="T2447" s="502"/>
    </row>
    <row r="2448">
      <c r="Q2448" s="240"/>
      <c r="R2448" s="240"/>
      <c r="T2448" s="502"/>
    </row>
    <row r="2449">
      <c r="Q2449" s="240"/>
      <c r="R2449" s="240"/>
      <c r="T2449" s="502"/>
    </row>
    <row r="2450">
      <c r="Q2450" s="240"/>
      <c r="R2450" s="240"/>
      <c r="T2450" s="502"/>
    </row>
    <row r="2451">
      <c r="Q2451" s="240"/>
      <c r="R2451" s="240"/>
      <c r="T2451" s="502"/>
    </row>
    <row r="2452">
      <c r="Q2452" s="240"/>
      <c r="R2452" s="240"/>
      <c r="T2452" s="502"/>
    </row>
    <row r="2453">
      <c r="Q2453" s="240"/>
      <c r="R2453" s="240"/>
      <c r="T2453" s="502"/>
    </row>
    <row r="2454">
      <c r="Q2454" s="240"/>
      <c r="R2454" s="240"/>
      <c r="T2454" s="502"/>
    </row>
    <row r="2455">
      <c r="Q2455" s="240"/>
      <c r="R2455" s="240"/>
      <c r="T2455" s="502"/>
    </row>
    <row r="2456">
      <c r="Q2456" s="240"/>
      <c r="R2456" s="240"/>
      <c r="T2456" s="502"/>
    </row>
    <row r="2457">
      <c r="Q2457" s="240"/>
      <c r="R2457" s="240"/>
      <c r="T2457" s="502"/>
    </row>
    <row r="2458">
      <c r="Q2458" s="240"/>
      <c r="R2458" s="240"/>
      <c r="T2458" s="502"/>
    </row>
    <row r="2459">
      <c r="Q2459" s="240"/>
      <c r="R2459" s="240"/>
      <c r="T2459" s="502"/>
    </row>
    <row r="2460">
      <c r="Q2460" s="240"/>
      <c r="R2460" s="240"/>
      <c r="T2460" s="502"/>
    </row>
    <row r="2461">
      <c r="Q2461" s="240"/>
      <c r="R2461" s="240"/>
      <c r="T2461" s="502"/>
    </row>
    <row r="2462">
      <c r="Q2462" s="240"/>
      <c r="R2462" s="240"/>
      <c r="T2462" s="502"/>
    </row>
    <row r="2463">
      <c r="Q2463" s="240"/>
      <c r="R2463" s="240"/>
      <c r="T2463" s="502"/>
    </row>
    <row r="2464">
      <c r="Q2464" s="240"/>
      <c r="R2464" s="240"/>
      <c r="T2464" s="502"/>
    </row>
    <row r="2465">
      <c r="Q2465" s="240"/>
      <c r="R2465" s="240"/>
      <c r="T2465" s="502"/>
    </row>
    <row r="2466">
      <c r="Q2466" s="240"/>
      <c r="R2466" s="240"/>
      <c r="T2466" s="502"/>
    </row>
    <row r="2467">
      <c r="Q2467" s="240"/>
      <c r="R2467" s="240"/>
      <c r="T2467" s="502"/>
    </row>
    <row r="2468">
      <c r="Q2468" s="240"/>
      <c r="R2468" s="240"/>
      <c r="T2468" s="502"/>
    </row>
    <row r="2469">
      <c r="Q2469" s="240"/>
      <c r="R2469" s="240"/>
      <c r="T2469" s="502"/>
    </row>
    <row r="2470">
      <c r="Q2470" s="240"/>
      <c r="R2470" s="240"/>
      <c r="T2470" s="502"/>
    </row>
    <row r="2471">
      <c r="Q2471" s="240"/>
      <c r="R2471" s="240"/>
      <c r="T2471" s="502"/>
    </row>
    <row r="2472">
      <c r="Q2472" s="240"/>
      <c r="R2472" s="240"/>
      <c r="T2472" s="502"/>
    </row>
    <row r="2473">
      <c r="Q2473" s="240"/>
      <c r="R2473" s="240"/>
      <c r="T2473" s="502"/>
    </row>
    <row r="2474">
      <c r="Q2474" s="240"/>
      <c r="R2474" s="240"/>
      <c r="T2474" s="502"/>
    </row>
    <row r="2475">
      <c r="Q2475" s="240"/>
      <c r="R2475" s="240"/>
      <c r="T2475" s="502"/>
    </row>
    <row r="2476">
      <c r="Q2476" s="240"/>
      <c r="R2476" s="240"/>
      <c r="T2476" s="502"/>
    </row>
    <row r="2477">
      <c r="Q2477" s="240"/>
      <c r="R2477" s="240"/>
      <c r="T2477" s="502"/>
    </row>
    <row r="2478">
      <c r="Q2478" s="240"/>
      <c r="R2478" s="240"/>
      <c r="T2478" s="502"/>
    </row>
    <row r="2479">
      <c r="Q2479" s="240"/>
      <c r="R2479" s="240"/>
      <c r="T2479" s="502"/>
    </row>
    <row r="2480">
      <c r="Q2480" s="240"/>
      <c r="R2480" s="240"/>
      <c r="T2480" s="502"/>
    </row>
    <row r="2481">
      <c r="Q2481" s="240"/>
      <c r="R2481" s="240"/>
      <c r="T2481" s="502"/>
    </row>
    <row r="2482">
      <c r="Q2482" s="240"/>
      <c r="R2482" s="240"/>
      <c r="T2482" s="502"/>
    </row>
    <row r="2483">
      <c r="Q2483" s="240"/>
      <c r="R2483" s="240"/>
      <c r="T2483" s="502"/>
    </row>
    <row r="2484">
      <c r="Q2484" s="240"/>
      <c r="R2484" s="240"/>
      <c r="T2484" s="502"/>
    </row>
    <row r="2485">
      <c r="Q2485" s="240"/>
      <c r="R2485" s="240"/>
      <c r="T2485" s="502"/>
    </row>
    <row r="2486">
      <c r="Q2486" s="240"/>
      <c r="R2486" s="240"/>
      <c r="T2486" s="502"/>
    </row>
    <row r="2487">
      <c r="Q2487" s="240"/>
      <c r="R2487" s="240"/>
      <c r="T2487" s="502"/>
    </row>
    <row r="2488">
      <c r="Q2488" s="240"/>
      <c r="R2488" s="240"/>
      <c r="T2488" s="502"/>
    </row>
    <row r="2489">
      <c r="Q2489" s="240"/>
      <c r="R2489" s="240"/>
      <c r="T2489" s="502"/>
    </row>
    <row r="2490">
      <c r="Q2490" s="240"/>
      <c r="R2490" s="240"/>
      <c r="T2490" s="502"/>
    </row>
    <row r="2491">
      <c r="Q2491" s="240"/>
      <c r="R2491" s="240"/>
      <c r="T2491" s="502"/>
    </row>
    <row r="2492">
      <c r="Q2492" s="240"/>
      <c r="R2492" s="240"/>
      <c r="T2492" s="502"/>
    </row>
    <row r="2493">
      <c r="Q2493" s="240"/>
      <c r="R2493" s="240"/>
      <c r="T2493" s="502"/>
    </row>
    <row r="2494">
      <c r="Q2494" s="240"/>
      <c r="R2494" s="240"/>
      <c r="T2494" s="502"/>
    </row>
    <row r="2495">
      <c r="Q2495" s="240"/>
      <c r="R2495" s="240"/>
      <c r="T2495" s="502"/>
    </row>
    <row r="2496">
      <c r="Q2496" s="240"/>
      <c r="R2496" s="240"/>
      <c r="T2496" s="502"/>
    </row>
    <row r="2497">
      <c r="Q2497" s="240"/>
      <c r="R2497" s="240"/>
      <c r="T2497" s="502"/>
    </row>
    <row r="2498">
      <c r="Q2498" s="240"/>
      <c r="R2498" s="240"/>
      <c r="T2498" s="502"/>
    </row>
    <row r="2499">
      <c r="Q2499" s="240"/>
      <c r="R2499" s="240"/>
      <c r="T2499" s="502"/>
    </row>
    <row r="2500">
      <c r="Q2500" s="240"/>
      <c r="R2500" s="240"/>
      <c r="T2500" s="502"/>
    </row>
    <row r="2501">
      <c r="Q2501" s="240"/>
      <c r="R2501" s="240"/>
      <c r="T2501" s="502"/>
    </row>
    <row r="2502">
      <c r="Q2502" s="240"/>
      <c r="R2502" s="240"/>
      <c r="T2502" s="502"/>
    </row>
    <row r="2503">
      <c r="Q2503" s="240"/>
      <c r="R2503" s="240"/>
      <c r="T2503" s="502"/>
    </row>
    <row r="2504">
      <c r="Q2504" s="240"/>
      <c r="R2504" s="240"/>
      <c r="T2504" s="502"/>
    </row>
    <row r="2505">
      <c r="Q2505" s="240"/>
      <c r="R2505" s="240"/>
      <c r="T2505" s="502"/>
    </row>
    <row r="2506">
      <c r="Q2506" s="240"/>
      <c r="R2506" s="240"/>
      <c r="T2506" s="502"/>
    </row>
    <row r="2507">
      <c r="Q2507" s="240"/>
      <c r="R2507" s="240"/>
      <c r="T2507" s="502"/>
    </row>
    <row r="2508">
      <c r="Q2508" s="240"/>
      <c r="R2508" s="240"/>
      <c r="T2508" s="502"/>
    </row>
    <row r="2509">
      <c r="Q2509" s="240"/>
      <c r="R2509" s="240"/>
      <c r="T2509" s="502"/>
    </row>
    <row r="2510">
      <c r="Q2510" s="240"/>
      <c r="R2510" s="240"/>
      <c r="T2510" s="502"/>
    </row>
    <row r="2511">
      <c r="Q2511" s="240"/>
      <c r="R2511" s="240"/>
      <c r="T2511" s="502"/>
    </row>
    <row r="2512">
      <c r="Q2512" s="240"/>
      <c r="R2512" s="240"/>
      <c r="T2512" s="502"/>
    </row>
    <row r="2513">
      <c r="Q2513" s="240"/>
      <c r="R2513" s="240"/>
      <c r="T2513" s="502"/>
    </row>
    <row r="2514">
      <c r="Q2514" s="240"/>
      <c r="R2514" s="240"/>
      <c r="T2514" s="502"/>
    </row>
    <row r="2515">
      <c r="Q2515" s="240"/>
      <c r="R2515" s="240"/>
      <c r="T2515" s="502"/>
    </row>
    <row r="2516">
      <c r="Q2516" s="240"/>
      <c r="R2516" s="240"/>
      <c r="T2516" s="502"/>
    </row>
    <row r="2517">
      <c r="Q2517" s="240"/>
      <c r="R2517" s="240"/>
      <c r="T2517" s="502"/>
    </row>
    <row r="2518">
      <c r="Q2518" s="240"/>
      <c r="R2518" s="240"/>
      <c r="T2518" s="502"/>
    </row>
    <row r="2519">
      <c r="Q2519" s="240"/>
      <c r="R2519" s="240"/>
      <c r="T2519" s="502"/>
    </row>
    <row r="2520">
      <c r="Q2520" s="240"/>
      <c r="R2520" s="240"/>
      <c r="T2520" s="502"/>
    </row>
    <row r="2521">
      <c r="Q2521" s="240"/>
      <c r="R2521" s="240"/>
      <c r="T2521" s="502"/>
    </row>
    <row r="2522">
      <c r="Q2522" s="240"/>
      <c r="R2522" s="240"/>
      <c r="T2522" s="502"/>
    </row>
    <row r="2523">
      <c r="Q2523" s="240"/>
      <c r="R2523" s="240"/>
      <c r="T2523" s="502"/>
    </row>
    <row r="2524">
      <c r="Q2524" s="240"/>
      <c r="R2524" s="240"/>
      <c r="T2524" s="502"/>
    </row>
    <row r="2525">
      <c r="Q2525" s="240"/>
      <c r="R2525" s="240"/>
      <c r="T2525" s="502"/>
    </row>
    <row r="2526">
      <c r="Q2526" s="240"/>
      <c r="R2526" s="240"/>
      <c r="T2526" s="502"/>
    </row>
    <row r="2527">
      <c r="Q2527" s="240"/>
      <c r="R2527" s="240"/>
      <c r="T2527" s="502"/>
    </row>
    <row r="2528">
      <c r="Q2528" s="240"/>
      <c r="R2528" s="240"/>
      <c r="T2528" s="502"/>
    </row>
    <row r="2529">
      <c r="Q2529" s="240"/>
      <c r="R2529" s="240"/>
      <c r="T2529" s="502"/>
    </row>
    <row r="2530">
      <c r="Q2530" s="240"/>
      <c r="R2530" s="240"/>
      <c r="T2530" s="502"/>
    </row>
    <row r="2531">
      <c r="Q2531" s="240"/>
      <c r="R2531" s="240"/>
      <c r="T2531" s="502"/>
    </row>
    <row r="2532">
      <c r="Q2532" s="240"/>
      <c r="R2532" s="240"/>
      <c r="T2532" s="502"/>
    </row>
    <row r="2533">
      <c r="Q2533" s="240"/>
      <c r="R2533" s="240"/>
      <c r="T2533" s="502"/>
    </row>
    <row r="2534">
      <c r="Q2534" s="240"/>
      <c r="R2534" s="240"/>
      <c r="T2534" s="502"/>
    </row>
    <row r="2535">
      <c r="Q2535" s="240"/>
      <c r="R2535" s="240"/>
      <c r="T2535" s="502"/>
    </row>
    <row r="2536">
      <c r="Q2536" s="240"/>
      <c r="R2536" s="240"/>
      <c r="T2536" s="502"/>
    </row>
    <row r="2537">
      <c r="Q2537" s="240"/>
      <c r="R2537" s="240"/>
      <c r="T2537" s="502"/>
    </row>
    <row r="2538">
      <c r="Q2538" s="240"/>
      <c r="R2538" s="240"/>
      <c r="T2538" s="502"/>
    </row>
    <row r="2539">
      <c r="Q2539" s="240"/>
      <c r="R2539" s="240"/>
      <c r="T2539" s="502"/>
    </row>
    <row r="2540">
      <c r="Q2540" s="240"/>
      <c r="R2540" s="240"/>
      <c r="T2540" s="502"/>
    </row>
    <row r="2541">
      <c r="Q2541" s="240"/>
      <c r="R2541" s="240"/>
      <c r="T2541" s="502"/>
    </row>
    <row r="2542">
      <c r="Q2542" s="240"/>
      <c r="R2542" s="240"/>
      <c r="T2542" s="502"/>
    </row>
    <row r="2543">
      <c r="Q2543" s="240"/>
      <c r="R2543" s="240"/>
      <c r="T2543" s="502"/>
    </row>
    <row r="2544">
      <c r="Q2544" s="240"/>
      <c r="R2544" s="240"/>
      <c r="T2544" s="502"/>
    </row>
    <row r="2545">
      <c r="Q2545" s="240"/>
      <c r="R2545" s="240"/>
      <c r="T2545" s="502"/>
    </row>
    <row r="2546">
      <c r="Q2546" s="240"/>
      <c r="R2546" s="240"/>
      <c r="T2546" s="502"/>
    </row>
    <row r="2547">
      <c r="Q2547" s="240"/>
      <c r="R2547" s="240"/>
      <c r="T2547" s="502"/>
    </row>
    <row r="2548">
      <c r="Q2548" s="240"/>
      <c r="R2548" s="240"/>
      <c r="T2548" s="502"/>
    </row>
    <row r="2549">
      <c r="Q2549" s="240"/>
      <c r="R2549" s="240"/>
      <c r="T2549" s="502"/>
    </row>
    <row r="2550">
      <c r="Q2550" s="240"/>
      <c r="R2550" s="240"/>
      <c r="T2550" s="502"/>
    </row>
    <row r="2551">
      <c r="Q2551" s="240"/>
      <c r="R2551" s="240"/>
      <c r="T2551" s="502"/>
    </row>
    <row r="2552">
      <c r="Q2552" s="240"/>
      <c r="R2552" s="240"/>
      <c r="T2552" s="502"/>
    </row>
    <row r="2553">
      <c r="Q2553" s="240"/>
      <c r="R2553" s="240"/>
      <c r="T2553" s="502"/>
    </row>
    <row r="2554">
      <c r="Q2554" s="240"/>
      <c r="R2554" s="240"/>
      <c r="T2554" s="502"/>
    </row>
    <row r="2555">
      <c r="Q2555" s="240"/>
      <c r="R2555" s="240"/>
      <c r="T2555" s="502"/>
    </row>
    <row r="2556">
      <c r="Q2556" s="240"/>
      <c r="R2556" s="240"/>
      <c r="T2556" s="502"/>
    </row>
    <row r="2557">
      <c r="Q2557" s="240"/>
      <c r="R2557" s="240"/>
      <c r="T2557" s="502"/>
    </row>
    <row r="2558">
      <c r="Q2558" s="240"/>
      <c r="R2558" s="240"/>
      <c r="T2558" s="502"/>
    </row>
    <row r="2559">
      <c r="Q2559" s="240"/>
      <c r="R2559" s="240"/>
      <c r="T2559" s="502"/>
    </row>
    <row r="2560">
      <c r="Q2560" s="240"/>
      <c r="R2560" s="240"/>
      <c r="T2560" s="502"/>
    </row>
    <row r="2561">
      <c r="Q2561" s="240"/>
      <c r="R2561" s="240"/>
      <c r="T2561" s="502"/>
    </row>
    <row r="2562">
      <c r="Q2562" s="240"/>
      <c r="R2562" s="240"/>
      <c r="T2562" s="502"/>
    </row>
    <row r="2563">
      <c r="Q2563" s="240"/>
      <c r="R2563" s="240"/>
      <c r="T2563" s="502"/>
    </row>
    <row r="2564">
      <c r="Q2564" s="240"/>
      <c r="R2564" s="240"/>
      <c r="T2564" s="502"/>
    </row>
    <row r="2565">
      <c r="Q2565" s="240"/>
      <c r="R2565" s="240"/>
      <c r="T2565" s="502"/>
    </row>
    <row r="2566">
      <c r="Q2566" s="240"/>
      <c r="R2566" s="240"/>
      <c r="T2566" s="502"/>
    </row>
    <row r="2567">
      <c r="Q2567" s="240"/>
      <c r="R2567" s="240"/>
      <c r="T2567" s="502"/>
    </row>
    <row r="2568">
      <c r="Q2568" s="240"/>
      <c r="R2568" s="240"/>
      <c r="T2568" s="502"/>
    </row>
    <row r="2569">
      <c r="Q2569" s="240"/>
      <c r="R2569" s="240"/>
      <c r="T2569" s="502"/>
    </row>
    <row r="2570">
      <c r="Q2570" s="240"/>
      <c r="R2570" s="240"/>
      <c r="T2570" s="502"/>
    </row>
    <row r="2571">
      <c r="Q2571" s="240"/>
      <c r="R2571" s="240"/>
      <c r="T2571" s="502"/>
    </row>
    <row r="2572">
      <c r="Q2572" s="240"/>
      <c r="R2572" s="240"/>
      <c r="T2572" s="502"/>
    </row>
    <row r="2573">
      <c r="Q2573" s="240"/>
      <c r="R2573" s="240"/>
      <c r="T2573" s="502"/>
    </row>
    <row r="2574">
      <c r="Q2574" s="240"/>
      <c r="R2574" s="240"/>
      <c r="T2574" s="502"/>
    </row>
    <row r="2575">
      <c r="Q2575" s="240"/>
      <c r="R2575" s="240"/>
      <c r="T2575" s="502"/>
    </row>
    <row r="2576">
      <c r="Q2576" s="240"/>
      <c r="R2576" s="240"/>
      <c r="T2576" s="502"/>
    </row>
    <row r="2577">
      <c r="Q2577" s="240"/>
      <c r="R2577" s="240"/>
      <c r="T2577" s="502"/>
    </row>
    <row r="2578">
      <c r="Q2578" s="240"/>
      <c r="R2578" s="240"/>
      <c r="T2578" s="502"/>
    </row>
    <row r="2579">
      <c r="Q2579" s="240"/>
      <c r="R2579" s="240"/>
      <c r="T2579" s="502"/>
    </row>
    <row r="2580">
      <c r="Q2580" s="240"/>
      <c r="R2580" s="240"/>
      <c r="T2580" s="502"/>
    </row>
    <row r="2581">
      <c r="Q2581" s="240"/>
      <c r="R2581" s="240"/>
      <c r="T2581" s="502"/>
    </row>
    <row r="2582">
      <c r="Q2582" s="240"/>
      <c r="R2582" s="240"/>
      <c r="T2582" s="502"/>
    </row>
    <row r="2583">
      <c r="Q2583" s="240"/>
      <c r="R2583" s="240"/>
      <c r="T2583" s="502"/>
    </row>
    <row r="2584">
      <c r="Q2584" s="240"/>
      <c r="R2584" s="240"/>
      <c r="T2584" s="502"/>
    </row>
    <row r="2585">
      <c r="Q2585" s="240"/>
      <c r="R2585" s="240"/>
      <c r="T2585" s="502"/>
    </row>
    <row r="2586">
      <c r="Q2586" s="240"/>
      <c r="R2586" s="240"/>
      <c r="T2586" s="502"/>
    </row>
    <row r="2587">
      <c r="Q2587" s="240"/>
      <c r="R2587" s="240"/>
      <c r="T2587" s="502"/>
    </row>
    <row r="2588">
      <c r="Q2588" s="240"/>
      <c r="R2588" s="240"/>
      <c r="T2588" s="502"/>
    </row>
    <row r="2589">
      <c r="Q2589" s="240"/>
      <c r="R2589" s="240"/>
      <c r="T2589" s="502"/>
    </row>
    <row r="2590">
      <c r="Q2590" s="240"/>
      <c r="R2590" s="240"/>
      <c r="T2590" s="502"/>
    </row>
    <row r="2591">
      <c r="Q2591" s="240"/>
      <c r="R2591" s="240"/>
      <c r="T2591" s="502"/>
    </row>
    <row r="2592">
      <c r="Q2592" s="240"/>
      <c r="R2592" s="240"/>
      <c r="T2592" s="502"/>
    </row>
    <row r="2593">
      <c r="Q2593" s="240"/>
      <c r="R2593" s="240"/>
      <c r="T2593" s="502"/>
    </row>
    <row r="2594">
      <c r="Q2594" s="240"/>
      <c r="R2594" s="240"/>
      <c r="T2594" s="502"/>
    </row>
    <row r="2595">
      <c r="Q2595" s="240"/>
      <c r="R2595" s="240"/>
      <c r="T2595" s="502"/>
    </row>
    <row r="2596">
      <c r="Q2596" s="240"/>
      <c r="R2596" s="240"/>
      <c r="T2596" s="502"/>
    </row>
    <row r="2597">
      <c r="Q2597" s="240"/>
      <c r="R2597" s="240"/>
      <c r="T2597" s="502"/>
    </row>
    <row r="2598">
      <c r="Q2598" s="240"/>
      <c r="R2598" s="240"/>
      <c r="T2598" s="502"/>
    </row>
    <row r="2599">
      <c r="Q2599" s="240"/>
      <c r="R2599" s="240"/>
      <c r="T2599" s="502"/>
    </row>
    <row r="2600">
      <c r="Q2600" s="240"/>
      <c r="R2600" s="240"/>
      <c r="T2600" s="502"/>
    </row>
    <row r="2601">
      <c r="Q2601" s="240"/>
      <c r="R2601" s="240"/>
      <c r="T2601" s="502"/>
    </row>
    <row r="2602">
      <c r="Q2602" s="240"/>
      <c r="R2602" s="240"/>
      <c r="T2602" s="502"/>
    </row>
    <row r="2603">
      <c r="Q2603" s="240"/>
      <c r="R2603" s="240"/>
      <c r="T2603" s="502"/>
    </row>
    <row r="2604">
      <c r="Q2604" s="240"/>
      <c r="R2604" s="240"/>
      <c r="T2604" s="502"/>
    </row>
    <row r="2605">
      <c r="Q2605" s="240"/>
      <c r="R2605" s="240"/>
      <c r="T2605" s="502"/>
    </row>
    <row r="2606">
      <c r="Q2606" s="240"/>
      <c r="R2606" s="240"/>
      <c r="T2606" s="502"/>
    </row>
    <row r="2607">
      <c r="Q2607" s="240"/>
      <c r="R2607" s="240"/>
      <c r="T2607" s="502"/>
    </row>
    <row r="2608">
      <c r="Q2608" s="240"/>
      <c r="R2608" s="240"/>
      <c r="T2608" s="502"/>
    </row>
    <row r="2609">
      <c r="Q2609" s="240"/>
      <c r="R2609" s="240"/>
      <c r="T2609" s="502"/>
    </row>
    <row r="2610">
      <c r="Q2610" s="240"/>
      <c r="R2610" s="240"/>
      <c r="T2610" s="502"/>
    </row>
    <row r="2611">
      <c r="Q2611" s="240"/>
      <c r="R2611" s="240"/>
      <c r="T2611" s="502"/>
    </row>
    <row r="2612">
      <c r="Q2612" s="240"/>
      <c r="R2612" s="240"/>
      <c r="T2612" s="502"/>
    </row>
    <row r="2613">
      <c r="Q2613" s="240"/>
      <c r="R2613" s="240"/>
      <c r="T2613" s="502"/>
    </row>
    <row r="2614">
      <c r="Q2614" s="240"/>
      <c r="R2614" s="240"/>
      <c r="T2614" s="502"/>
    </row>
    <row r="2615">
      <c r="Q2615" s="240"/>
      <c r="R2615" s="240"/>
      <c r="T2615" s="502"/>
    </row>
    <row r="2616">
      <c r="Q2616" s="240"/>
      <c r="R2616" s="240"/>
      <c r="T2616" s="502"/>
    </row>
    <row r="2617">
      <c r="Q2617" s="240"/>
      <c r="R2617" s="240"/>
      <c r="T2617" s="502"/>
    </row>
    <row r="2618">
      <c r="Q2618" s="240"/>
      <c r="R2618" s="240"/>
      <c r="T2618" s="502"/>
    </row>
    <row r="2619">
      <c r="Q2619" s="240"/>
      <c r="R2619" s="240"/>
      <c r="T2619" s="502"/>
    </row>
    <row r="2620">
      <c r="Q2620" s="240"/>
      <c r="R2620" s="240"/>
      <c r="T2620" s="502"/>
    </row>
    <row r="2621">
      <c r="Q2621" s="240"/>
      <c r="R2621" s="240"/>
      <c r="T2621" s="502"/>
    </row>
    <row r="2622">
      <c r="Q2622" s="240"/>
      <c r="R2622" s="240"/>
      <c r="T2622" s="502"/>
    </row>
    <row r="2623">
      <c r="Q2623" s="240"/>
      <c r="R2623" s="240"/>
      <c r="T2623" s="502"/>
    </row>
    <row r="2624">
      <c r="Q2624" s="240"/>
      <c r="R2624" s="240"/>
      <c r="T2624" s="502"/>
    </row>
    <row r="2625">
      <c r="Q2625" s="240"/>
      <c r="R2625" s="240"/>
      <c r="T2625" s="502"/>
    </row>
    <row r="2626">
      <c r="Q2626" s="240"/>
      <c r="R2626" s="240"/>
      <c r="T2626" s="502"/>
    </row>
    <row r="2627">
      <c r="Q2627" s="240"/>
      <c r="R2627" s="240"/>
      <c r="T2627" s="502"/>
    </row>
    <row r="2628">
      <c r="Q2628" s="240"/>
      <c r="R2628" s="240"/>
      <c r="T2628" s="502"/>
    </row>
    <row r="2629">
      <c r="Q2629" s="240"/>
      <c r="R2629" s="240"/>
      <c r="T2629" s="502"/>
    </row>
    <row r="2630">
      <c r="Q2630" s="240"/>
      <c r="R2630" s="240"/>
      <c r="T2630" s="502"/>
    </row>
    <row r="2631">
      <c r="Q2631" s="240"/>
      <c r="R2631" s="240"/>
      <c r="T2631" s="502"/>
    </row>
    <row r="2632">
      <c r="Q2632" s="240"/>
      <c r="R2632" s="240"/>
      <c r="T2632" s="502"/>
    </row>
    <row r="2633">
      <c r="Q2633" s="240"/>
      <c r="R2633" s="240"/>
      <c r="T2633" s="502"/>
    </row>
    <row r="2634">
      <c r="Q2634" s="240"/>
      <c r="R2634" s="240"/>
      <c r="T2634" s="502"/>
    </row>
    <row r="2635">
      <c r="Q2635" s="240"/>
      <c r="R2635" s="240"/>
      <c r="T2635" s="502"/>
    </row>
    <row r="2636">
      <c r="Q2636" s="240"/>
      <c r="R2636" s="240"/>
      <c r="T2636" s="502"/>
    </row>
    <row r="2637">
      <c r="Q2637" s="240"/>
      <c r="R2637" s="240"/>
      <c r="T2637" s="502"/>
    </row>
    <row r="2638">
      <c r="Q2638" s="240"/>
      <c r="R2638" s="240"/>
      <c r="T2638" s="502"/>
    </row>
    <row r="2639">
      <c r="Q2639" s="240"/>
      <c r="R2639" s="240"/>
      <c r="T2639" s="502"/>
    </row>
    <row r="2640">
      <c r="Q2640" s="240"/>
      <c r="R2640" s="240"/>
      <c r="T2640" s="502"/>
    </row>
    <row r="2641">
      <c r="Q2641" s="240"/>
      <c r="R2641" s="240"/>
      <c r="T2641" s="502"/>
    </row>
    <row r="2642">
      <c r="Q2642" s="240"/>
      <c r="R2642" s="240"/>
      <c r="T2642" s="502"/>
    </row>
    <row r="2643">
      <c r="Q2643" s="240"/>
      <c r="R2643" s="240"/>
      <c r="T2643" s="502"/>
    </row>
    <row r="2644">
      <c r="Q2644" s="240"/>
      <c r="R2644" s="240"/>
      <c r="T2644" s="502"/>
    </row>
    <row r="2645">
      <c r="Q2645" s="240"/>
      <c r="R2645" s="240"/>
      <c r="T2645" s="502"/>
    </row>
    <row r="2646">
      <c r="Q2646" s="240"/>
      <c r="R2646" s="240"/>
      <c r="T2646" s="502"/>
    </row>
    <row r="2647">
      <c r="Q2647" s="240"/>
      <c r="R2647" s="240"/>
      <c r="T2647" s="502"/>
    </row>
    <row r="2648">
      <c r="Q2648" s="240"/>
      <c r="R2648" s="240"/>
      <c r="T2648" s="502"/>
    </row>
    <row r="2649">
      <c r="Q2649" s="240"/>
      <c r="R2649" s="240"/>
      <c r="T2649" s="502"/>
    </row>
    <row r="2650">
      <c r="Q2650" s="240"/>
      <c r="R2650" s="240"/>
      <c r="T2650" s="502"/>
    </row>
    <row r="2651">
      <c r="Q2651" s="240"/>
      <c r="R2651" s="240"/>
      <c r="T2651" s="502"/>
    </row>
    <row r="2652">
      <c r="Q2652" s="240"/>
      <c r="R2652" s="240"/>
      <c r="T2652" s="502"/>
    </row>
    <row r="2653">
      <c r="Q2653" s="240"/>
      <c r="R2653" s="240"/>
      <c r="T2653" s="502"/>
    </row>
    <row r="2654">
      <c r="Q2654" s="240"/>
      <c r="R2654" s="240"/>
      <c r="T2654" s="502"/>
    </row>
    <row r="2655">
      <c r="Q2655" s="240"/>
      <c r="R2655" s="240"/>
      <c r="T2655" s="502"/>
    </row>
    <row r="2656">
      <c r="Q2656" s="240"/>
      <c r="R2656" s="240"/>
      <c r="T2656" s="502"/>
    </row>
    <row r="2657">
      <c r="Q2657" s="240"/>
      <c r="R2657" s="240"/>
      <c r="T2657" s="502"/>
    </row>
    <row r="2658">
      <c r="Q2658" s="240"/>
      <c r="R2658" s="240"/>
      <c r="T2658" s="502"/>
    </row>
    <row r="2659">
      <c r="Q2659" s="240"/>
      <c r="R2659" s="240"/>
      <c r="T2659" s="502"/>
    </row>
    <row r="2660">
      <c r="Q2660" s="240"/>
      <c r="R2660" s="240"/>
      <c r="T2660" s="502"/>
    </row>
    <row r="2661">
      <c r="Q2661" s="240"/>
      <c r="R2661" s="240"/>
      <c r="T2661" s="502"/>
    </row>
    <row r="2662">
      <c r="Q2662" s="240"/>
      <c r="R2662" s="240"/>
      <c r="T2662" s="502"/>
    </row>
    <row r="2663">
      <c r="Q2663" s="240"/>
      <c r="R2663" s="240"/>
      <c r="T2663" s="502"/>
    </row>
    <row r="2664">
      <c r="Q2664" s="240"/>
      <c r="R2664" s="240"/>
      <c r="T2664" s="502"/>
    </row>
    <row r="2665">
      <c r="Q2665" s="240"/>
      <c r="R2665" s="240"/>
      <c r="T2665" s="502"/>
    </row>
    <row r="2666">
      <c r="Q2666" s="240"/>
      <c r="R2666" s="240"/>
      <c r="T2666" s="502"/>
    </row>
    <row r="2667">
      <c r="Q2667" s="240"/>
      <c r="R2667" s="240"/>
      <c r="T2667" s="502"/>
    </row>
    <row r="2668">
      <c r="Q2668" s="240"/>
      <c r="R2668" s="240"/>
      <c r="T2668" s="502"/>
    </row>
    <row r="2669">
      <c r="Q2669" s="240"/>
      <c r="R2669" s="240"/>
      <c r="T2669" s="502"/>
    </row>
    <row r="2670">
      <c r="Q2670" s="240"/>
      <c r="R2670" s="240"/>
      <c r="T2670" s="502"/>
    </row>
    <row r="2671">
      <c r="Q2671" s="240"/>
      <c r="R2671" s="240"/>
      <c r="T2671" s="502"/>
    </row>
    <row r="2672">
      <c r="Q2672" s="240"/>
      <c r="R2672" s="240"/>
      <c r="T2672" s="502"/>
    </row>
    <row r="2673">
      <c r="Q2673" s="240"/>
      <c r="R2673" s="240"/>
      <c r="T2673" s="502"/>
    </row>
    <row r="2674">
      <c r="Q2674" s="240"/>
      <c r="R2674" s="240"/>
      <c r="T2674" s="502"/>
    </row>
    <row r="2675">
      <c r="Q2675" s="240"/>
      <c r="R2675" s="240"/>
      <c r="T2675" s="502"/>
    </row>
    <row r="2676">
      <c r="Q2676" s="240"/>
      <c r="R2676" s="240"/>
      <c r="T2676" s="502"/>
    </row>
    <row r="2677">
      <c r="Q2677" s="240"/>
      <c r="R2677" s="240"/>
      <c r="T2677" s="502"/>
    </row>
    <row r="2678">
      <c r="Q2678" s="240"/>
      <c r="R2678" s="240"/>
      <c r="T2678" s="502"/>
    </row>
    <row r="2679">
      <c r="Q2679" s="240"/>
      <c r="R2679" s="240"/>
      <c r="T2679" s="502"/>
    </row>
    <row r="2680">
      <c r="Q2680" s="240"/>
      <c r="R2680" s="240"/>
      <c r="T2680" s="502"/>
    </row>
    <row r="2681">
      <c r="Q2681" s="240"/>
      <c r="R2681" s="240"/>
      <c r="T2681" s="502"/>
    </row>
    <row r="2682">
      <c r="Q2682" s="240"/>
      <c r="R2682" s="240"/>
      <c r="T2682" s="502"/>
    </row>
    <row r="2683">
      <c r="Q2683" s="240"/>
      <c r="R2683" s="240"/>
      <c r="T2683" s="502"/>
    </row>
    <row r="2684">
      <c r="Q2684" s="240"/>
      <c r="R2684" s="240"/>
      <c r="T2684" s="502"/>
    </row>
    <row r="2685">
      <c r="Q2685" s="240"/>
      <c r="R2685" s="240"/>
      <c r="T2685" s="502"/>
    </row>
    <row r="2686">
      <c r="Q2686" s="240"/>
      <c r="R2686" s="240"/>
      <c r="T2686" s="502"/>
    </row>
    <row r="2687">
      <c r="Q2687" s="240"/>
      <c r="R2687" s="240"/>
      <c r="T2687" s="502"/>
    </row>
    <row r="2688">
      <c r="Q2688" s="240"/>
      <c r="R2688" s="240"/>
      <c r="T2688" s="502"/>
    </row>
    <row r="2689">
      <c r="Q2689" s="240"/>
      <c r="R2689" s="240"/>
      <c r="T2689" s="502"/>
    </row>
    <row r="2690">
      <c r="Q2690" s="240"/>
      <c r="R2690" s="240"/>
      <c r="T2690" s="502"/>
    </row>
    <row r="2691">
      <c r="Q2691" s="240"/>
      <c r="R2691" s="240"/>
      <c r="T2691" s="502"/>
    </row>
    <row r="2692">
      <c r="Q2692" s="240"/>
      <c r="R2692" s="240"/>
      <c r="T2692" s="502"/>
    </row>
    <row r="2693">
      <c r="Q2693" s="240"/>
      <c r="R2693" s="240"/>
      <c r="T2693" s="502"/>
    </row>
    <row r="2694">
      <c r="Q2694" s="240"/>
      <c r="R2694" s="240"/>
      <c r="T2694" s="502"/>
    </row>
    <row r="2695">
      <c r="Q2695" s="240"/>
      <c r="R2695" s="240"/>
      <c r="T2695" s="502"/>
    </row>
    <row r="2696">
      <c r="Q2696" s="240"/>
      <c r="R2696" s="240"/>
      <c r="T2696" s="502"/>
    </row>
    <row r="2697">
      <c r="Q2697" s="240"/>
      <c r="R2697" s="240"/>
      <c r="T2697" s="502"/>
    </row>
    <row r="2698">
      <c r="Q2698" s="240"/>
      <c r="R2698" s="240"/>
      <c r="T2698" s="502"/>
    </row>
    <row r="2699">
      <c r="Q2699" s="240"/>
      <c r="R2699" s="240"/>
      <c r="T2699" s="502"/>
    </row>
    <row r="2700">
      <c r="Q2700" s="240"/>
      <c r="R2700" s="240"/>
      <c r="T2700" s="502"/>
    </row>
    <row r="2701">
      <c r="Q2701" s="240"/>
      <c r="R2701" s="240"/>
      <c r="T2701" s="502"/>
    </row>
    <row r="2702">
      <c r="Q2702" s="240"/>
      <c r="R2702" s="240"/>
      <c r="T2702" s="502"/>
    </row>
    <row r="2703">
      <c r="Q2703" s="240"/>
      <c r="R2703" s="240"/>
      <c r="T2703" s="502"/>
    </row>
    <row r="2704">
      <c r="Q2704" s="240"/>
      <c r="R2704" s="240"/>
      <c r="T2704" s="502"/>
    </row>
    <row r="2705">
      <c r="Q2705" s="240"/>
      <c r="R2705" s="240"/>
      <c r="T2705" s="502"/>
    </row>
    <row r="2706">
      <c r="Q2706" s="240"/>
      <c r="R2706" s="240"/>
      <c r="T2706" s="502"/>
    </row>
    <row r="2707">
      <c r="Q2707" s="240"/>
      <c r="R2707" s="240"/>
      <c r="T2707" s="502"/>
    </row>
    <row r="2708">
      <c r="Q2708" s="240"/>
      <c r="R2708" s="240"/>
      <c r="T2708" s="502"/>
    </row>
    <row r="2709">
      <c r="Q2709" s="240"/>
      <c r="R2709" s="240"/>
      <c r="T2709" s="502"/>
    </row>
    <row r="2710">
      <c r="Q2710" s="240"/>
      <c r="R2710" s="240"/>
      <c r="T2710" s="502"/>
    </row>
    <row r="2711">
      <c r="Q2711" s="240"/>
      <c r="R2711" s="240"/>
      <c r="T2711" s="502"/>
    </row>
    <row r="2712">
      <c r="Q2712" s="240"/>
      <c r="R2712" s="240"/>
      <c r="T2712" s="502"/>
    </row>
    <row r="2713">
      <c r="Q2713" s="240"/>
      <c r="R2713" s="240"/>
      <c r="T2713" s="502"/>
    </row>
    <row r="2714">
      <c r="Q2714" s="240"/>
      <c r="R2714" s="240"/>
      <c r="T2714" s="502"/>
    </row>
    <row r="2715">
      <c r="Q2715" s="240"/>
      <c r="R2715" s="240"/>
      <c r="T2715" s="502"/>
    </row>
    <row r="2716">
      <c r="Q2716" s="240"/>
      <c r="R2716" s="240"/>
      <c r="T2716" s="502"/>
    </row>
    <row r="2717">
      <c r="Q2717" s="240"/>
      <c r="R2717" s="240"/>
      <c r="T2717" s="502"/>
    </row>
    <row r="2718">
      <c r="Q2718" s="240"/>
      <c r="R2718" s="240"/>
      <c r="T2718" s="502"/>
    </row>
    <row r="2719">
      <c r="Q2719" s="240"/>
      <c r="R2719" s="240"/>
      <c r="T2719" s="502"/>
    </row>
    <row r="2720">
      <c r="Q2720" s="240"/>
      <c r="R2720" s="240"/>
      <c r="T2720" s="502"/>
    </row>
    <row r="2721">
      <c r="Q2721" s="240"/>
      <c r="R2721" s="240"/>
      <c r="T2721" s="502"/>
    </row>
    <row r="2722">
      <c r="Q2722" s="240"/>
      <c r="R2722" s="240"/>
      <c r="T2722" s="502"/>
    </row>
    <row r="2723">
      <c r="Q2723" s="240"/>
      <c r="R2723" s="240"/>
      <c r="T2723" s="502"/>
    </row>
    <row r="2724">
      <c r="Q2724" s="240"/>
      <c r="R2724" s="240"/>
      <c r="T2724" s="502"/>
    </row>
    <row r="2725">
      <c r="Q2725" s="240"/>
      <c r="R2725" s="240"/>
      <c r="T2725" s="502"/>
    </row>
    <row r="2726">
      <c r="Q2726" s="240"/>
      <c r="R2726" s="240"/>
      <c r="T2726" s="502"/>
    </row>
    <row r="2727">
      <c r="Q2727" s="240"/>
      <c r="R2727" s="240"/>
      <c r="T2727" s="502"/>
    </row>
    <row r="2728">
      <c r="Q2728" s="240"/>
      <c r="R2728" s="240"/>
      <c r="T2728" s="502"/>
    </row>
    <row r="2729">
      <c r="Q2729" s="240"/>
      <c r="R2729" s="240"/>
      <c r="T2729" s="502"/>
    </row>
    <row r="2730">
      <c r="Q2730" s="240"/>
      <c r="R2730" s="240"/>
      <c r="T2730" s="502"/>
    </row>
    <row r="2731">
      <c r="Q2731" s="240"/>
      <c r="R2731" s="240"/>
      <c r="T2731" s="502"/>
    </row>
    <row r="2732">
      <c r="Q2732" s="240"/>
      <c r="R2732" s="240"/>
      <c r="T2732" s="502"/>
    </row>
    <row r="2733">
      <c r="Q2733" s="240"/>
      <c r="R2733" s="240"/>
      <c r="T2733" s="502"/>
    </row>
    <row r="2734">
      <c r="Q2734" s="240"/>
      <c r="R2734" s="240"/>
      <c r="T2734" s="502"/>
    </row>
    <row r="2735">
      <c r="Q2735" s="240"/>
      <c r="R2735" s="240"/>
      <c r="T2735" s="502"/>
    </row>
    <row r="2736">
      <c r="Q2736" s="240"/>
      <c r="R2736" s="240"/>
      <c r="T2736" s="502"/>
    </row>
    <row r="2737">
      <c r="Q2737" s="240"/>
      <c r="R2737" s="240"/>
      <c r="T2737" s="502"/>
    </row>
    <row r="2738">
      <c r="Q2738" s="240"/>
      <c r="R2738" s="240"/>
      <c r="T2738" s="502"/>
    </row>
    <row r="2739">
      <c r="Q2739" s="240"/>
      <c r="R2739" s="240"/>
      <c r="T2739" s="502"/>
    </row>
    <row r="2740">
      <c r="Q2740" s="240"/>
      <c r="R2740" s="240"/>
      <c r="T2740" s="502"/>
    </row>
    <row r="2741">
      <c r="Q2741" s="240"/>
      <c r="R2741" s="240"/>
      <c r="T2741" s="502"/>
    </row>
    <row r="2742">
      <c r="Q2742" s="240"/>
      <c r="R2742" s="240"/>
      <c r="T2742" s="502"/>
    </row>
    <row r="2743">
      <c r="Q2743" s="240"/>
      <c r="R2743" s="240"/>
      <c r="T2743" s="502"/>
    </row>
    <row r="2744">
      <c r="Q2744" s="240"/>
      <c r="R2744" s="240"/>
      <c r="T2744" s="502"/>
    </row>
    <row r="2745">
      <c r="Q2745" s="240"/>
      <c r="R2745" s="240"/>
      <c r="T2745" s="502"/>
    </row>
    <row r="2746">
      <c r="Q2746" s="240"/>
      <c r="R2746" s="240"/>
      <c r="T2746" s="502"/>
    </row>
    <row r="2747">
      <c r="Q2747" s="240"/>
      <c r="R2747" s="240"/>
      <c r="T2747" s="502"/>
    </row>
    <row r="2748">
      <c r="Q2748" s="240"/>
      <c r="R2748" s="240"/>
      <c r="T2748" s="502"/>
    </row>
    <row r="2749">
      <c r="Q2749" s="240"/>
      <c r="R2749" s="240"/>
      <c r="T2749" s="502"/>
    </row>
    <row r="2750">
      <c r="Q2750" s="240"/>
      <c r="R2750" s="240"/>
      <c r="T2750" s="502"/>
    </row>
    <row r="2751">
      <c r="Q2751" s="240"/>
      <c r="R2751" s="240"/>
      <c r="T2751" s="502"/>
    </row>
    <row r="2752">
      <c r="Q2752" s="240"/>
      <c r="R2752" s="240"/>
      <c r="T2752" s="502"/>
    </row>
    <row r="2753">
      <c r="Q2753" s="240"/>
      <c r="R2753" s="240"/>
      <c r="T2753" s="502"/>
    </row>
    <row r="2754">
      <c r="Q2754" s="240"/>
      <c r="R2754" s="240"/>
      <c r="T2754" s="502"/>
    </row>
    <row r="2755">
      <c r="Q2755" s="240"/>
      <c r="R2755" s="240"/>
      <c r="T2755" s="502"/>
    </row>
    <row r="2756">
      <c r="Q2756" s="240"/>
      <c r="R2756" s="240"/>
      <c r="T2756" s="502"/>
    </row>
    <row r="2757">
      <c r="Q2757" s="240"/>
      <c r="R2757" s="240"/>
      <c r="T2757" s="502"/>
    </row>
    <row r="2758">
      <c r="Q2758" s="240"/>
      <c r="R2758" s="240"/>
      <c r="T2758" s="502"/>
    </row>
    <row r="2759">
      <c r="Q2759" s="240"/>
      <c r="R2759" s="240"/>
      <c r="T2759" s="502"/>
    </row>
    <row r="2760">
      <c r="Q2760" s="240"/>
      <c r="R2760" s="240"/>
      <c r="T2760" s="502"/>
    </row>
    <row r="2761">
      <c r="Q2761" s="240"/>
      <c r="R2761" s="240"/>
      <c r="T2761" s="502"/>
    </row>
    <row r="2762">
      <c r="Q2762" s="240"/>
      <c r="R2762" s="240"/>
      <c r="T2762" s="502"/>
    </row>
    <row r="2763">
      <c r="Q2763" s="240"/>
      <c r="R2763" s="240"/>
      <c r="T2763" s="502"/>
    </row>
    <row r="2764">
      <c r="Q2764" s="240"/>
      <c r="R2764" s="240"/>
      <c r="T2764" s="502"/>
    </row>
    <row r="2765">
      <c r="Q2765" s="240"/>
      <c r="R2765" s="240"/>
      <c r="T2765" s="502"/>
    </row>
    <row r="2766">
      <c r="Q2766" s="240"/>
      <c r="R2766" s="240"/>
      <c r="T2766" s="502"/>
    </row>
    <row r="2767">
      <c r="Q2767" s="240"/>
      <c r="R2767" s="240"/>
      <c r="T2767" s="502"/>
    </row>
    <row r="2768">
      <c r="Q2768" s="240"/>
      <c r="R2768" s="240"/>
      <c r="T2768" s="502"/>
    </row>
    <row r="2769">
      <c r="Q2769" s="240"/>
      <c r="R2769" s="240"/>
      <c r="T2769" s="502"/>
    </row>
    <row r="2770">
      <c r="Q2770" s="240"/>
      <c r="R2770" s="240"/>
      <c r="T2770" s="502"/>
    </row>
    <row r="2771">
      <c r="Q2771" s="240"/>
      <c r="R2771" s="240"/>
      <c r="T2771" s="502"/>
    </row>
    <row r="2772">
      <c r="Q2772" s="240"/>
      <c r="R2772" s="240"/>
      <c r="T2772" s="502"/>
    </row>
    <row r="2773">
      <c r="Q2773" s="240"/>
      <c r="R2773" s="240"/>
      <c r="T2773" s="502"/>
    </row>
    <row r="2774">
      <c r="Q2774" s="240"/>
      <c r="R2774" s="240"/>
      <c r="T2774" s="502"/>
    </row>
    <row r="2775">
      <c r="Q2775" s="240"/>
      <c r="R2775" s="240"/>
      <c r="T2775" s="502"/>
    </row>
    <row r="2776">
      <c r="Q2776" s="240"/>
      <c r="R2776" s="240"/>
      <c r="T2776" s="502"/>
    </row>
    <row r="2777">
      <c r="Q2777" s="240"/>
      <c r="R2777" s="240"/>
      <c r="T2777" s="502"/>
    </row>
    <row r="2778">
      <c r="Q2778" s="240"/>
      <c r="R2778" s="240"/>
      <c r="T2778" s="502"/>
    </row>
    <row r="2779">
      <c r="Q2779" s="240"/>
      <c r="R2779" s="240"/>
      <c r="T2779" s="502"/>
    </row>
    <row r="2780">
      <c r="Q2780" s="240"/>
      <c r="R2780" s="240"/>
      <c r="T2780" s="502"/>
    </row>
    <row r="2781">
      <c r="Q2781" s="240"/>
      <c r="R2781" s="240"/>
      <c r="T2781" s="502"/>
    </row>
    <row r="2782">
      <c r="Q2782" s="240"/>
      <c r="R2782" s="240"/>
      <c r="T2782" s="502"/>
    </row>
    <row r="2783">
      <c r="Q2783" s="240"/>
      <c r="R2783" s="240"/>
      <c r="T2783" s="502"/>
    </row>
    <row r="2784">
      <c r="Q2784" s="240"/>
      <c r="R2784" s="240"/>
      <c r="T2784" s="502"/>
    </row>
    <row r="2785">
      <c r="Q2785" s="240"/>
      <c r="R2785" s="240"/>
      <c r="T2785" s="502"/>
    </row>
    <row r="2786">
      <c r="Q2786" s="240"/>
      <c r="R2786" s="240"/>
      <c r="T2786" s="502"/>
    </row>
    <row r="2787">
      <c r="Q2787" s="240"/>
      <c r="R2787" s="240"/>
      <c r="T2787" s="502"/>
    </row>
    <row r="2788">
      <c r="Q2788" s="240"/>
      <c r="R2788" s="240"/>
      <c r="T2788" s="502"/>
    </row>
    <row r="2789">
      <c r="Q2789" s="240"/>
      <c r="R2789" s="240"/>
      <c r="T2789" s="502"/>
    </row>
    <row r="2790">
      <c r="Q2790" s="240"/>
      <c r="R2790" s="240"/>
      <c r="T2790" s="502"/>
    </row>
    <row r="2791">
      <c r="Q2791" s="240"/>
      <c r="R2791" s="240"/>
      <c r="T2791" s="502"/>
    </row>
    <row r="2792">
      <c r="Q2792" s="240"/>
      <c r="R2792" s="240"/>
      <c r="T2792" s="502"/>
    </row>
    <row r="2793">
      <c r="Q2793" s="240"/>
      <c r="R2793" s="240"/>
      <c r="T2793" s="502"/>
    </row>
    <row r="2794">
      <c r="Q2794" s="240"/>
      <c r="R2794" s="240"/>
      <c r="T2794" s="502"/>
    </row>
    <row r="2795">
      <c r="Q2795" s="240"/>
      <c r="R2795" s="240"/>
      <c r="T2795" s="502"/>
    </row>
    <row r="2796">
      <c r="Q2796" s="240"/>
      <c r="R2796" s="240"/>
      <c r="T2796" s="502"/>
    </row>
    <row r="2797">
      <c r="Q2797" s="240"/>
      <c r="R2797" s="240"/>
      <c r="T2797" s="502"/>
    </row>
    <row r="2798">
      <c r="Q2798" s="240"/>
      <c r="R2798" s="240"/>
      <c r="T2798" s="502"/>
    </row>
    <row r="2799">
      <c r="Q2799" s="240"/>
      <c r="R2799" s="240"/>
      <c r="T2799" s="502"/>
    </row>
    <row r="2800">
      <c r="Q2800" s="240"/>
      <c r="R2800" s="240"/>
      <c r="T2800" s="502"/>
    </row>
    <row r="2801">
      <c r="Q2801" s="240"/>
      <c r="R2801" s="240"/>
      <c r="T2801" s="502"/>
    </row>
    <row r="2802">
      <c r="Q2802" s="240"/>
      <c r="R2802" s="240"/>
      <c r="T2802" s="502"/>
    </row>
    <row r="2803">
      <c r="Q2803" s="240"/>
      <c r="R2803" s="240"/>
      <c r="T2803" s="502"/>
    </row>
    <row r="2804">
      <c r="Q2804" s="240"/>
      <c r="R2804" s="240"/>
      <c r="T2804" s="502"/>
    </row>
    <row r="2805">
      <c r="Q2805" s="240"/>
      <c r="R2805" s="240"/>
      <c r="T2805" s="502"/>
    </row>
    <row r="2806">
      <c r="Q2806" s="240"/>
      <c r="R2806" s="240"/>
      <c r="T2806" s="502"/>
    </row>
    <row r="2807">
      <c r="Q2807" s="240"/>
      <c r="R2807" s="240"/>
      <c r="T2807" s="502"/>
    </row>
    <row r="2808">
      <c r="Q2808" s="240"/>
      <c r="R2808" s="240"/>
      <c r="T2808" s="502"/>
    </row>
    <row r="2809">
      <c r="Q2809" s="240"/>
      <c r="R2809" s="240"/>
      <c r="T2809" s="502"/>
    </row>
    <row r="2810">
      <c r="Q2810" s="240"/>
      <c r="R2810" s="240"/>
      <c r="T2810" s="502"/>
    </row>
    <row r="2811">
      <c r="Q2811" s="240"/>
      <c r="R2811" s="240"/>
      <c r="T2811" s="502"/>
    </row>
    <row r="2812">
      <c r="Q2812" s="240"/>
      <c r="R2812" s="240"/>
      <c r="T2812" s="502"/>
    </row>
    <row r="2813">
      <c r="Q2813" s="240"/>
      <c r="R2813" s="240"/>
      <c r="T2813" s="502"/>
    </row>
    <row r="2814">
      <c r="Q2814" s="240"/>
      <c r="R2814" s="240"/>
      <c r="T2814" s="502"/>
    </row>
    <row r="2815">
      <c r="Q2815" s="240"/>
      <c r="R2815" s="240"/>
      <c r="T2815" s="502"/>
    </row>
    <row r="2816">
      <c r="Q2816" s="240"/>
      <c r="R2816" s="240"/>
      <c r="T2816" s="502"/>
    </row>
    <row r="2817">
      <c r="Q2817" s="240"/>
      <c r="R2817" s="240"/>
      <c r="T2817" s="502"/>
    </row>
    <row r="2818">
      <c r="Q2818" s="240"/>
      <c r="R2818" s="240"/>
      <c r="T2818" s="502"/>
    </row>
    <row r="2819">
      <c r="Q2819" s="240"/>
      <c r="R2819" s="240"/>
      <c r="T2819" s="502"/>
    </row>
    <row r="2820">
      <c r="Q2820" s="240"/>
      <c r="R2820" s="240"/>
      <c r="T2820" s="502"/>
    </row>
    <row r="2821">
      <c r="Q2821" s="240"/>
      <c r="R2821" s="240"/>
      <c r="T2821" s="502"/>
    </row>
    <row r="2822">
      <c r="Q2822" s="240"/>
      <c r="R2822" s="240"/>
      <c r="T2822" s="502"/>
    </row>
    <row r="2823">
      <c r="Q2823" s="240"/>
      <c r="R2823" s="240"/>
      <c r="T2823" s="502"/>
    </row>
    <row r="2824">
      <c r="Q2824" s="240"/>
      <c r="R2824" s="240"/>
      <c r="T2824" s="502"/>
    </row>
    <row r="2825">
      <c r="Q2825" s="240"/>
      <c r="R2825" s="240"/>
      <c r="T2825" s="502"/>
    </row>
    <row r="2826">
      <c r="Q2826" s="240"/>
      <c r="R2826" s="240"/>
      <c r="T2826" s="502"/>
    </row>
    <row r="2827">
      <c r="Q2827" s="240"/>
      <c r="R2827" s="240"/>
      <c r="T2827" s="502"/>
    </row>
    <row r="2828">
      <c r="Q2828" s="240"/>
      <c r="R2828" s="240"/>
      <c r="T2828" s="502"/>
    </row>
    <row r="2829">
      <c r="Q2829" s="240"/>
      <c r="R2829" s="240"/>
      <c r="T2829" s="502"/>
    </row>
    <row r="2830">
      <c r="Q2830" s="240"/>
      <c r="R2830" s="240"/>
      <c r="T2830" s="502"/>
    </row>
    <row r="2831">
      <c r="Q2831" s="240"/>
      <c r="R2831" s="240"/>
      <c r="T2831" s="502"/>
    </row>
    <row r="2832">
      <c r="Q2832" s="240"/>
      <c r="R2832" s="240"/>
      <c r="T2832" s="502"/>
    </row>
    <row r="2833">
      <c r="Q2833" s="240"/>
      <c r="R2833" s="240"/>
      <c r="T2833" s="502"/>
    </row>
    <row r="2834">
      <c r="Q2834" s="240"/>
      <c r="R2834" s="240"/>
      <c r="T2834" s="502"/>
    </row>
    <row r="2835">
      <c r="Q2835" s="240"/>
      <c r="R2835" s="240"/>
      <c r="T2835" s="502"/>
    </row>
    <row r="2836">
      <c r="Q2836" s="240"/>
      <c r="R2836" s="240"/>
      <c r="T2836" s="502"/>
    </row>
    <row r="2837">
      <c r="Q2837" s="240"/>
      <c r="R2837" s="240"/>
      <c r="T2837" s="502"/>
    </row>
    <row r="2838">
      <c r="Q2838" s="240"/>
      <c r="R2838" s="240"/>
      <c r="T2838" s="502"/>
    </row>
    <row r="2839">
      <c r="Q2839" s="240"/>
      <c r="R2839" s="240"/>
      <c r="T2839" s="502"/>
    </row>
    <row r="2840">
      <c r="Q2840" s="240"/>
      <c r="R2840" s="240"/>
      <c r="T2840" s="502"/>
    </row>
    <row r="2841">
      <c r="Q2841" s="240"/>
      <c r="R2841" s="240"/>
      <c r="T2841" s="502"/>
    </row>
    <row r="2842">
      <c r="Q2842" s="240"/>
      <c r="R2842" s="240"/>
      <c r="T2842" s="502"/>
    </row>
    <row r="2843">
      <c r="Q2843" s="240"/>
      <c r="R2843" s="240"/>
      <c r="T2843" s="502"/>
    </row>
    <row r="2844">
      <c r="Q2844" s="240"/>
      <c r="R2844" s="240"/>
      <c r="T2844" s="502"/>
    </row>
    <row r="2845">
      <c r="Q2845" s="240"/>
      <c r="R2845" s="240"/>
      <c r="T2845" s="502"/>
    </row>
    <row r="2846">
      <c r="Q2846" s="240"/>
      <c r="R2846" s="240"/>
      <c r="T2846" s="502"/>
    </row>
    <row r="2847">
      <c r="Q2847" s="240"/>
      <c r="R2847" s="240"/>
      <c r="T2847" s="502"/>
    </row>
    <row r="2848">
      <c r="Q2848" s="240"/>
      <c r="R2848" s="240"/>
      <c r="T2848" s="502"/>
    </row>
    <row r="2849">
      <c r="Q2849" s="240"/>
      <c r="R2849" s="240"/>
      <c r="T2849" s="502"/>
    </row>
    <row r="2850">
      <c r="Q2850" s="240"/>
      <c r="R2850" s="240"/>
      <c r="T2850" s="502"/>
    </row>
    <row r="2851">
      <c r="Q2851" s="240"/>
      <c r="R2851" s="240"/>
      <c r="T2851" s="502"/>
    </row>
    <row r="2852">
      <c r="Q2852" s="240"/>
      <c r="R2852" s="240"/>
      <c r="T2852" s="502"/>
    </row>
    <row r="2853">
      <c r="Q2853" s="240"/>
      <c r="R2853" s="240"/>
      <c r="T2853" s="502"/>
    </row>
    <row r="2854">
      <c r="Q2854" s="240"/>
      <c r="R2854" s="240"/>
      <c r="T2854" s="502"/>
    </row>
    <row r="2855">
      <c r="Q2855" s="240"/>
      <c r="R2855" s="240"/>
      <c r="T2855" s="502"/>
    </row>
    <row r="2856">
      <c r="Q2856" s="240"/>
      <c r="R2856" s="240"/>
      <c r="T2856" s="502"/>
    </row>
    <row r="2857">
      <c r="Q2857" s="240"/>
      <c r="R2857" s="240"/>
      <c r="T2857" s="502"/>
    </row>
    <row r="2858">
      <c r="Q2858" s="240"/>
      <c r="R2858" s="240"/>
      <c r="T2858" s="502"/>
    </row>
    <row r="2859">
      <c r="Q2859" s="240"/>
      <c r="R2859" s="240"/>
      <c r="T2859" s="502"/>
    </row>
    <row r="2860">
      <c r="Q2860" s="240"/>
      <c r="R2860" s="240"/>
      <c r="T2860" s="502"/>
    </row>
    <row r="2861">
      <c r="Q2861" s="240"/>
      <c r="R2861" s="240"/>
      <c r="T2861" s="502"/>
    </row>
    <row r="2862">
      <c r="Q2862" s="240"/>
      <c r="R2862" s="240"/>
      <c r="T2862" s="502"/>
    </row>
    <row r="2863">
      <c r="Q2863" s="240"/>
      <c r="R2863" s="240"/>
      <c r="T2863" s="502"/>
    </row>
    <row r="2864">
      <c r="Q2864" s="240"/>
      <c r="R2864" s="240"/>
      <c r="T2864" s="502"/>
    </row>
    <row r="2865">
      <c r="Q2865" s="240"/>
      <c r="R2865" s="240"/>
      <c r="T2865" s="502"/>
    </row>
    <row r="2866">
      <c r="Q2866" s="240"/>
      <c r="R2866" s="240"/>
      <c r="T2866" s="502"/>
    </row>
    <row r="2867">
      <c r="Q2867" s="240"/>
      <c r="R2867" s="240"/>
      <c r="T2867" s="502"/>
    </row>
    <row r="2868">
      <c r="Q2868" s="240"/>
      <c r="R2868" s="240"/>
      <c r="T2868" s="502"/>
    </row>
    <row r="2869">
      <c r="Q2869" s="240"/>
      <c r="R2869" s="240"/>
      <c r="T2869" s="502"/>
    </row>
    <row r="2870">
      <c r="Q2870" s="240"/>
      <c r="R2870" s="240"/>
      <c r="T2870" s="502"/>
    </row>
    <row r="2871">
      <c r="Q2871" s="240"/>
      <c r="R2871" s="240"/>
      <c r="T2871" s="502"/>
    </row>
    <row r="2872">
      <c r="Q2872" s="240"/>
      <c r="R2872" s="240"/>
      <c r="T2872" s="502"/>
    </row>
    <row r="2873">
      <c r="Q2873" s="240"/>
      <c r="R2873" s="240"/>
      <c r="T2873" s="502"/>
    </row>
    <row r="2874">
      <c r="Q2874" s="240"/>
      <c r="R2874" s="240"/>
      <c r="T2874" s="502"/>
    </row>
    <row r="2875">
      <c r="Q2875" s="240"/>
      <c r="R2875" s="240"/>
      <c r="T2875" s="502"/>
    </row>
    <row r="2876">
      <c r="Q2876" s="240"/>
      <c r="R2876" s="240"/>
      <c r="T2876" s="502"/>
    </row>
    <row r="2877">
      <c r="Q2877" s="240"/>
      <c r="R2877" s="240"/>
      <c r="T2877" s="502"/>
    </row>
    <row r="2878">
      <c r="Q2878" s="240"/>
      <c r="R2878" s="240"/>
      <c r="T2878" s="502"/>
    </row>
    <row r="2879">
      <c r="Q2879" s="240"/>
      <c r="R2879" s="240"/>
      <c r="T2879" s="502"/>
    </row>
    <row r="2880">
      <c r="Q2880" s="240"/>
      <c r="R2880" s="240"/>
      <c r="T2880" s="502"/>
    </row>
    <row r="2881">
      <c r="Q2881" s="240"/>
      <c r="R2881" s="240"/>
      <c r="T2881" s="502"/>
    </row>
    <row r="2882">
      <c r="Q2882" s="240"/>
      <c r="R2882" s="240"/>
      <c r="T2882" s="502"/>
    </row>
    <row r="2883">
      <c r="Q2883" s="240"/>
      <c r="R2883" s="240"/>
      <c r="T2883" s="502"/>
    </row>
    <row r="2884">
      <c r="Q2884" s="240"/>
      <c r="R2884" s="240"/>
      <c r="T2884" s="502"/>
    </row>
    <row r="2885">
      <c r="Q2885" s="240"/>
      <c r="R2885" s="240"/>
      <c r="T2885" s="502"/>
    </row>
    <row r="2886">
      <c r="Q2886" s="240"/>
      <c r="R2886" s="240"/>
      <c r="T2886" s="502"/>
    </row>
    <row r="2887">
      <c r="Q2887" s="240"/>
      <c r="R2887" s="240"/>
      <c r="T2887" s="502"/>
    </row>
    <row r="2888">
      <c r="Q2888" s="240"/>
      <c r="R2888" s="240"/>
      <c r="T2888" s="502"/>
    </row>
    <row r="2889">
      <c r="Q2889" s="240"/>
      <c r="R2889" s="240"/>
      <c r="T2889" s="502"/>
    </row>
    <row r="2890">
      <c r="Q2890" s="240"/>
      <c r="R2890" s="240"/>
      <c r="T2890" s="502"/>
    </row>
    <row r="2891">
      <c r="Q2891" s="240"/>
      <c r="R2891" s="240"/>
      <c r="T2891" s="502"/>
    </row>
    <row r="2892">
      <c r="Q2892" s="240"/>
      <c r="R2892" s="240"/>
      <c r="T2892" s="502"/>
    </row>
    <row r="2893">
      <c r="Q2893" s="240"/>
      <c r="R2893" s="240"/>
      <c r="T2893" s="502"/>
    </row>
    <row r="2894">
      <c r="Q2894" s="240"/>
      <c r="R2894" s="240"/>
      <c r="T2894" s="502"/>
    </row>
    <row r="2895">
      <c r="Q2895" s="240"/>
      <c r="R2895" s="240"/>
      <c r="T2895" s="502"/>
    </row>
    <row r="2896">
      <c r="Q2896" s="240"/>
      <c r="R2896" s="240"/>
      <c r="T2896" s="502"/>
    </row>
    <row r="2897">
      <c r="Q2897" s="240"/>
      <c r="R2897" s="240"/>
      <c r="T2897" s="502"/>
    </row>
    <row r="2898">
      <c r="Q2898" s="240"/>
      <c r="R2898" s="240"/>
      <c r="T2898" s="502"/>
    </row>
    <row r="2899">
      <c r="Q2899" s="240"/>
      <c r="R2899" s="240"/>
      <c r="T2899" s="502"/>
    </row>
    <row r="2900">
      <c r="Q2900" s="240"/>
      <c r="R2900" s="240"/>
      <c r="T2900" s="502"/>
    </row>
    <row r="2901">
      <c r="Q2901" s="240"/>
      <c r="R2901" s="240"/>
      <c r="T2901" s="502"/>
    </row>
    <row r="2902">
      <c r="Q2902" s="240"/>
      <c r="R2902" s="240"/>
      <c r="T2902" s="502"/>
    </row>
    <row r="2903">
      <c r="Q2903" s="240"/>
      <c r="R2903" s="240"/>
      <c r="T2903" s="502"/>
    </row>
    <row r="2904">
      <c r="Q2904" s="240"/>
      <c r="R2904" s="240"/>
      <c r="T2904" s="502"/>
    </row>
    <row r="2905">
      <c r="Q2905" s="240"/>
      <c r="R2905" s="240"/>
      <c r="T2905" s="502"/>
    </row>
    <row r="2906">
      <c r="Q2906" s="240"/>
      <c r="R2906" s="240"/>
      <c r="T2906" s="502"/>
    </row>
    <row r="2907">
      <c r="Q2907" s="240"/>
      <c r="R2907" s="240"/>
      <c r="T2907" s="502"/>
    </row>
    <row r="2908">
      <c r="Q2908" s="240"/>
      <c r="R2908" s="240"/>
      <c r="T2908" s="502"/>
    </row>
    <row r="2909">
      <c r="Q2909" s="240"/>
      <c r="R2909" s="240"/>
      <c r="T2909" s="502"/>
    </row>
    <row r="2910">
      <c r="Q2910" s="240"/>
      <c r="R2910" s="240"/>
      <c r="T2910" s="502"/>
    </row>
    <row r="2911">
      <c r="Q2911" s="240"/>
      <c r="R2911" s="240"/>
      <c r="T2911" s="502"/>
    </row>
    <row r="2912">
      <c r="Q2912" s="240"/>
      <c r="R2912" s="240"/>
      <c r="T2912" s="502"/>
    </row>
    <row r="2913">
      <c r="Q2913" s="240"/>
      <c r="R2913" s="240"/>
      <c r="T2913" s="502"/>
    </row>
    <row r="2914">
      <c r="Q2914" s="240"/>
      <c r="R2914" s="240"/>
      <c r="T2914" s="502"/>
    </row>
    <row r="2915">
      <c r="Q2915" s="240"/>
      <c r="R2915" s="240"/>
      <c r="T2915" s="502"/>
    </row>
    <row r="2916">
      <c r="Q2916" s="240"/>
      <c r="R2916" s="240"/>
      <c r="T2916" s="502"/>
    </row>
    <row r="2917">
      <c r="Q2917" s="240"/>
      <c r="R2917" s="240"/>
      <c r="T2917" s="502"/>
    </row>
    <row r="2918">
      <c r="Q2918" s="240"/>
      <c r="R2918" s="240"/>
      <c r="T2918" s="502"/>
    </row>
    <row r="2919">
      <c r="Q2919" s="240"/>
      <c r="R2919" s="240"/>
      <c r="T2919" s="502"/>
    </row>
    <row r="2920">
      <c r="Q2920" s="240"/>
      <c r="R2920" s="240"/>
      <c r="T2920" s="502"/>
    </row>
    <row r="2921">
      <c r="Q2921" s="240"/>
      <c r="R2921" s="240"/>
      <c r="T2921" s="502"/>
    </row>
    <row r="2922">
      <c r="Q2922" s="240"/>
      <c r="R2922" s="240"/>
      <c r="T2922" s="502"/>
    </row>
    <row r="2923">
      <c r="Q2923" s="240"/>
      <c r="R2923" s="240"/>
      <c r="T2923" s="502"/>
    </row>
    <row r="2924">
      <c r="Q2924" s="240"/>
      <c r="R2924" s="240"/>
      <c r="T2924" s="502"/>
    </row>
    <row r="2925">
      <c r="Q2925" s="240"/>
      <c r="R2925" s="240"/>
      <c r="T2925" s="502"/>
    </row>
    <row r="2926">
      <c r="Q2926" s="240"/>
      <c r="R2926" s="240"/>
      <c r="T2926" s="502"/>
    </row>
    <row r="2927">
      <c r="Q2927" s="240"/>
      <c r="R2927" s="240"/>
      <c r="T2927" s="502"/>
    </row>
    <row r="2928">
      <c r="Q2928" s="240"/>
      <c r="R2928" s="240"/>
      <c r="T2928" s="502"/>
    </row>
    <row r="2929">
      <c r="Q2929" s="240"/>
      <c r="R2929" s="240"/>
      <c r="T2929" s="502"/>
    </row>
    <row r="2930">
      <c r="Q2930" s="240"/>
      <c r="R2930" s="240"/>
      <c r="T2930" s="502"/>
    </row>
    <row r="2931">
      <c r="Q2931" s="240"/>
      <c r="R2931" s="240"/>
      <c r="T2931" s="502"/>
    </row>
    <row r="2932">
      <c r="Q2932" s="240"/>
      <c r="R2932" s="240"/>
      <c r="T2932" s="502"/>
    </row>
    <row r="2933">
      <c r="Q2933" s="240"/>
      <c r="R2933" s="240"/>
      <c r="T2933" s="502"/>
    </row>
    <row r="2934">
      <c r="Q2934" s="240"/>
      <c r="R2934" s="240"/>
      <c r="T2934" s="502"/>
    </row>
    <row r="2935">
      <c r="Q2935" s="240"/>
      <c r="R2935" s="240"/>
      <c r="T2935" s="502"/>
    </row>
    <row r="2936">
      <c r="Q2936" s="240"/>
      <c r="R2936" s="240"/>
      <c r="T2936" s="502"/>
    </row>
    <row r="2937">
      <c r="Q2937" s="240"/>
      <c r="R2937" s="240"/>
      <c r="T2937" s="502"/>
    </row>
    <row r="2938">
      <c r="Q2938" s="240"/>
      <c r="R2938" s="240"/>
      <c r="T2938" s="502"/>
    </row>
    <row r="2939">
      <c r="Q2939" s="240"/>
      <c r="R2939" s="240"/>
      <c r="T2939" s="502"/>
    </row>
    <row r="2940">
      <c r="Q2940" s="240"/>
      <c r="R2940" s="240"/>
      <c r="T2940" s="502"/>
    </row>
    <row r="2941">
      <c r="Q2941" s="240"/>
      <c r="R2941" s="240"/>
      <c r="T2941" s="502"/>
    </row>
    <row r="2942">
      <c r="Q2942" s="240"/>
      <c r="R2942" s="240"/>
      <c r="T2942" s="502"/>
    </row>
    <row r="2943">
      <c r="Q2943" s="240"/>
      <c r="R2943" s="240"/>
      <c r="T2943" s="502"/>
    </row>
    <row r="2944">
      <c r="Q2944" s="240"/>
      <c r="R2944" s="240"/>
      <c r="T2944" s="502"/>
    </row>
    <row r="2945">
      <c r="Q2945" s="240"/>
      <c r="R2945" s="240"/>
      <c r="T2945" s="502"/>
    </row>
    <row r="2946">
      <c r="Q2946" s="240"/>
      <c r="R2946" s="240"/>
      <c r="T2946" s="502"/>
    </row>
    <row r="2947">
      <c r="Q2947" s="240"/>
      <c r="R2947" s="240"/>
      <c r="T2947" s="502"/>
    </row>
    <row r="2948">
      <c r="Q2948" s="240"/>
      <c r="R2948" s="240"/>
      <c r="T2948" s="502"/>
    </row>
    <row r="2949">
      <c r="Q2949" s="240"/>
      <c r="R2949" s="240"/>
      <c r="T2949" s="502"/>
    </row>
    <row r="2950">
      <c r="Q2950" s="240"/>
      <c r="R2950" s="240"/>
      <c r="T2950" s="502"/>
    </row>
    <row r="2951">
      <c r="Q2951" s="240"/>
      <c r="R2951" s="240"/>
      <c r="T2951" s="502"/>
    </row>
    <row r="2952">
      <c r="Q2952" s="240"/>
      <c r="R2952" s="240"/>
      <c r="T2952" s="502"/>
    </row>
    <row r="2953">
      <c r="Q2953" s="240"/>
      <c r="R2953" s="240"/>
      <c r="T2953" s="502"/>
    </row>
    <row r="2954">
      <c r="Q2954" s="240"/>
      <c r="R2954" s="240"/>
      <c r="T2954" s="502"/>
    </row>
    <row r="2955">
      <c r="Q2955" s="240"/>
      <c r="R2955" s="240"/>
      <c r="T2955" s="502"/>
    </row>
    <row r="2956">
      <c r="Q2956" s="240"/>
      <c r="R2956" s="240"/>
      <c r="T2956" s="502"/>
    </row>
    <row r="2957">
      <c r="Q2957" s="240"/>
      <c r="R2957" s="240"/>
      <c r="T2957" s="502"/>
    </row>
    <row r="2958">
      <c r="Q2958" s="240"/>
      <c r="R2958" s="240"/>
      <c r="T2958" s="502"/>
    </row>
    <row r="2959">
      <c r="Q2959" s="240"/>
      <c r="R2959" s="240"/>
      <c r="T2959" s="502"/>
    </row>
    <row r="2960">
      <c r="Q2960" s="240"/>
      <c r="R2960" s="240"/>
      <c r="T2960" s="502"/>
    </row>
    <row r="2961">
      <c r="Q2961" s="240"/>
      <c r="R2961" s="240"/>
      <c r="T2961" s="502"/>
    </row>
    <row r="2962">
      <c r="Q2962" s="240"/>
      <c r="R2962" s="240"/>
      <c r="T2962" s="502"/>
    </row>
    <row r="2963">
      <c r="Q2963" s="240"/>
      <c r="R2963" s="240"/>
      <c r="T2963" s="502"/>
    </row>
    <row r="2964">
      <c r="Q2964" s="240"/>
      <c r="R2964" s="240"/>
      <c r="T2964" s="502"/>
    </row>
    <row r="2965">
      <c r="Q2965" s="240"/>
      <c r="R2965" s="240"/>
      <c r="T2965" s="502"/>
    </row>
    <row r="2966">
      <c r="Q2966" s="240"/>
      <c r="R2966" s="240"/>
      <c r="T2966" s="502"/>
    </row>
    <row r="2967">
      <c r="Q2967" s="240"/>
      <c r="R2967" s="240"/>
      <c r="T2967" s="502"/>
    </row>
    <row r="2968">
      <c r="Q2968" s="240"/>
      <c r="R2968" s="240"/>
      <c r="T2968" s="502"/>
    </row>
    <row r="2969">
      <c r="Q2969" s="240"/>
      <c r="R2969" s="240"/>
      <c r="T2969" s="502"/>
    </row>
    <row r="2970">
      <c r="Q2970" s="240"/>
      <c r="R2970" s="240"/>
      <c r="T2970" s="502"/>
    </row>
    <row r="2971">
      <c r="Q2971" s="240"/>
      <c r="R2971" s="240"/>
      <c r="T2971" s="502"/>
    </row>
    <row r="2972">
      <c r="Q2972" s="240"/>
      <c r="R2972" s="240"/>
      <c r="T2972" s="502"/>
    </row>
    <row r="2973">
      <c r="Q2973" s="240"/>
      <c r="R2973" s="240"/>
      <c r="T2973" s="502"/>
    </row>
    <row r="2974">
      <c r="Q2974" s="240"/>
      <c r="R2974" s="240"/>
      <c r="T2974" s="502"/>
    </row>
    <row r="2975">
      <c r="Q2975" s="240"/>
      <c r="R2975" s="240"/>
      <c r="T2975" s="502"/>
    </row>
    <row r="2976">
      <c r="Q2976" s="240"/>
      <c r="R2976" s="240"/>
      <c r="T2976" s="502"/>
    </row>
    <row r="2977">
      <c r="Q2977" s="240"/>
      <c r="R2977" s="240"/>
      <c r="T2977" s="502"/>
    </row>
    <row r="2978">
      <c r="Q2978" s="240"/>
      <c r="R2978" s="240"/>
      <c r="T2978" s="502"/>
    </row>
    <row r="2979">
      <c r="Q2979" s="240"/>
      <c r="R2979" s="240"/>
      <c r="T2979" s="502"/>
    </row>
    <row r="2980">
      <c r="Q2980" s="240"/>
      <c r="R2980" s="240"/>
      <c r="T2980" s="502"/>
    </row>
    <row r="2981">
      <c r="Q2981" s="240"/>
      <c r="R2981" s="240"/>
      <c r="T2981" s="502"/>
    </row>
    <row r="2982">
      <c r="Q2982" s="240"/>
      <c r="R2982" s="240"/>
      <c r="T2982" s="502"/>
    </row>
    <row r="2983">
      <c r="Q2983" s="240"/>
      <c r="R2983" s="240"/>
      <c r="T2983" s="502"/>
    </row>
    <row r="2984">
      <c r="Q2984" s="240"/>
      <c r="R2984" s="240"/>
      <c r="T2984" s="502"/>
    </row>
    <row r="2985">
      <c r="Q2985" s="240"/>
      <c r="R2985" s="240"/>
      <c r="T2985" s="502"/>
    </row>
    <row r="2986">
      <c r="Q2986" s="240"/>
      <c r="R2986" s="240"/>
      <c r="T2986" s="502"/>
    </row>
    <row r="2987">
      <c r="Q2987" s="240"/>
      <c r="R2987" s="240"/>
      <c r="T2987" s="502"/>
    </row>
    <row r="2988">
      <c r="Q2988" s="240"/>
      <c r="R2988" s="240"/>
      <c r="T2988" s="502"/>
    </row>
    <row r="2989">
      <c r="Q2989" s="240"/>
      <c r="R2989" s="240"/>
      <c r="T2989" s="502"/>
    </row>
    <row r="2990">
      <c r="Q2990" s="240"/>
      <c r="R2990" s="240"/>
      <c r="T2990" s="502"/>
    </row>
    <row r="2991">
      <c r="Q2991" s="240"/>
      <c r="R2991" s="240"/>
      <c r="T2991" s="502"/>
    </row>
    <row r="2992">
      <c r="Q2992" s="240"/>
      <c r="R2992" s="240"/>
      <c r="T2992" s="502"/>
    </row>
    <row r="2993">
      <c r="Q2993" s="240"/>
      <c r="R2993" s="240"/>
      <c r="T2993" s="502"/>
    </row>
    <row r="2994">
      <c r="Q2994" s="240"/>
      <c r="R2994" s="240"/>
      <c r="T2994" s="502"/>
    </row>
    <row r="2995">
      <c r="Q2995" s="240"/>
      <c r="R2995" s="240"/>
      <c r="T2995" s="502"/>
    </row>
    <row r="2996">
      <c r="Q2996" s="240"/>
      <c r="R2996" s="240"/>
      <c r="T2996" s="502"/>
    </row>
    <row r="2997">
      <c r="Q2997" s="240"/>
      <c r="R2997" s="240"/>
      <c r="T2997" s="502"/>
    </row>
    <row r="2998">
      <c r="Q2998" s="240"/>
      <c r="R2998" s="240"/>
      <c r="T2998" s="502"/>
    </row>
    <row r="2999">
      <c r="Q2999" s="240"/>
      <c r="R2999" s="240"/>
      <c r="T2999" s="502"/>
    </row>
    <row r="3000">
      <c r="Q3000" s="240"/>
      <c r="R3000" s="240"/>
      <c r="T3000" s="502"/>
    </row>
    <row r="3001">
      <c r="Q3001" s="240"/>
      <c r="R3001" s="240"/>
      <c r="T3001" s="502"/>
    </row>
    <row r="3002">
      <c r="Q3002" s="240"/>
      <c r="R3002" s="240"/>
      <c r="T3002" s="502"/>
    </row>
    <row r="3003">
      <c r="Q3003" s="240"/>
      <c r="R3003" s="240"/>
      <c r="T3003" s="502"/>
    </row>
    <row r="3004">
      <c r="Q3004" s="240"/>
      <c r="R3004" s="240"/>
      <c r="T3004" s="502"/>
    </row>
    <row r="3005">
      <c r="Q3005" s="240"/>
      <c r="R3005" s="240"/>
      <c r="T3005" s="502"/>
    </row>
    <row r="3006">
      <c r="Q3006" s="240"/>
      <c r="R3006" s="240"/>
      <c r="T3006" s="502"/>
    </row>
    <row r="3007">
      <c r="Q3007" s="240"/>
      <c r="R3007" s="240"/>
      <c r="T3007" s="502"/>
    </row>
    <row r="3008">
      <c r="Q3008" s="240"/>
      <c r="R3008" s="240"/>
      <c r="T3008" s="502"/>
    </row>
    <row r="3009">
      <c r="Q3009" s="240"/>
      <c r="R3009" s="240"/>
      <c r="T3009" s="502"/>
    </row>
    <row r="3010">
      <c r="Q3010" s="240"/>
      <c r="R3010" s="240"/>
      <c r="T3010" s="502"/>
    </row>
    <row r="3011">
      <c r="Q3011" s="240"/>
      <c r="R3011" s="240"/>
      <c r="T3011" s="502"/>
    </row>
    <row r="3012">
      <c r="Q3012" s="240"/>
      <c r="R3012" s="240"/>
      <c r="T3012" s="502"/>
    </row>
    <row r="3013">
      <c r="Q3013" s="240"/>
      <c r="R3013" s="240"/>
      <c r="T3013" s="502"/>
    </row>
    <row r="3014">
      <c r="Q3014" s="240"/>
      <c r="R3014" s="240"/>
      <c r="T3014" s="502"/>
    </row>
    <row r="3015">
      <c r="Q3015" s="240"/>
      <c r="R3015" s="240"/>
      <c r="T3015" s="502"/>
    </row>
    <row r="3016">
      <c r="Q3016" s="240"/>
      <c r="R3016" s="240"/>
      <c r="T3016" s="502"/>
    </row>
    <row r="3017">
      <c r="Q3017" s="240"/>
      <c r="R3017" s="240"/>
      <c r="T3017" s="502"/>
    </row>
    <row r="3018">
      <c r="Q3018" s="240"/>
      <c r="R3018" s="240"/>
      <c r="T3018" s="502"/>
    </row>
    <row r="3019">
      <c r="Q3019" s="240"/>
      <c r="R3019" s="240"/>
      <c r="T3019" s="502"/>
    </row>
    <row r="3020">
      <c r="Q3020" s="240"/>
      <c r="R3020" s="240"/>
      <c r="T3020" s="502"/>
    </row>
    <row r="3021">
      <c r="Q3021" s="240"/>
      <c r="R3021" s="240"/>
      <c r="T3021" s="502"/>
    </row>
    <row r="3022">
      <c r="Q3022" s="240"/>
      <c r="R3022" s="240"/>
      <c r="T3022" s="502"/>
    </row>
    <row r="3023">
      <c r="Q3023" s="240"/>
      <c r="R3023" s="240"/>
      <c r="T3023" s="502"/>
    </row>
    <row r="3024">
      <c r="Q3024" s="240"/>
      <c r="R3024" s="240"/>
      <c r="T3024" s="502"/>
    </row>
    <row r="3025">
      <c r="Q3025" s="240"/>
      <c r="R3025" s="240"/>
      <c r="T3025" s="502"/>
    </row>
    <row r="3026">
      <c r="Q3026" s="240"/>
      <c r="R3026" s="240"/>
      <c r="T3026" s="502"/>
    </row>
    <row r="3027">
      <c r="Q3027" s="240"/>
      <c r="R3027" s="240"/>
      <c r="T3027" s="502"/>
    </row>
    <row r="3028">
      <c r="Q3028" s="240"/>
      <c r="R3028" s="240"/>
      <c r="T3028" s="502"/>
    </row>
    <row r="3029">
      <c r="Q3029" s="240"/>
      <c r="R3029" s="240"/>
      <c r="T3029" s="502"/>
    </row>
    <row r="3030">
      <c r="Q3030" s="240"/>
      <c r="R3030" s="240"/>
      <c r="T3030" s="502"/>
    </row>
    <row r="3031">
      <c r="Q3031" s="240"/>
      <c r="R3031" s="240"/>
      <c r="T3031" s="502"/>
    </row>
    <row r="3032">
      <c r="Q3032" s="240"/>
      <c r="R3032" s="240"/>
      <c r="T3032" s="502"/>
    </row>
    <row r="3033">
      <c r="Q3033" s="240"/>
      <c r="R3033" s="240"/>
      <c r="T3033" s="502"/>
    </row>
    <row r="3034">
      <c r="Q3034" s="240"/>
      <c r="R3034" s="240"/>
      <c r="T3034" s="502"/>
    </row>
    <row r="3035">
      <c r="Q3035" s="240"/>
      <c r="R3035" s="240"/>
      <c r="T3035" s="502"/>
    </row>
    <row r="3036">
      <c r="Q3036" s="240"/>
      <c r="R3036" s="240"/>
      <c r="T3036" s="502"/>
    </row>
    <row r="3037">
      <c r="Q3037" s="240"/>
      <c r="R3037" s="240"/>
      <c r="T3037" s="502"/>
    </row>
    <row r="3038">
      <c r="Q3038" s="240"/>
      <c r="R3038" s="240"/>
      <c r="T3038" s="502"/>
    </row>
    <row r="3039">
      <c r="Q3039" s="240"/>
      <c r="R3039" s="240"/>
      <c r="T3039" s="502"/>
    </row>
    <row r="3040">
      <c r="Q3040" s="240"/>
      <c r="R3040" s="240"/>
      <c r="T3040" s="502"/>
    </row>
    <row r="3041">
      <c r="Q3041" s="240"/>
      <c r="R3041" s="240"/>
      <c r="T3041" s="502"/>
    </row>
    <row r="3042">
      <c r="Q3042" s="240"/>
      <c r="R3042" s="240"/>
      <c r="T3042" s="502"/>
    </row>
    <row r="3043">
      <c r="Q3043" s="240"/>
      <c r="R3043" s="240"/>
      <c r="T3043" s="502"/>
    </row>
    <row r="3044">
      <c r="Q3044" s="240"/>
      <c r="R3044" s="240"/>
      <c r="T3044" s="502"/>
    </row>
    <row r="3045">
      <c r="Q3045" s="240"/>
      <c r="R3045" s="240"/>
      <c r="T3045" s="502"/>
    </row>
    <row r="3046">
      <c r="Q3046" s="240"/>
      <c r="R3046" s="240"/>
      <c r="T3046" s="502"/>
    </row>
    <row r="3047">
      <c r="Q3047" s="240"/>
      <c r="R3047" s="240"/>
      <c r="T3047" s="502"/>
    </row>
    <row r="3048">
      <c r="Q3048" s="240"/>
      <c r="R3048" s="240"/>
      <c r="T3048" s="502"/>
    </row>
    <row r="3049">
      <c r="Q3049" s="240"/>
      <c r="R3049" s="240"/>
      <c r="T3049" s="502"/>
    </row>
    <row r="3050">
      <c r="Q3050" s="240"/>
      <c r="R3050" s="240"/>
      <c r="T3050" s="502"/>
    </row>
    <row r="3051">
      <c r="Q3051" s="240"/>
      <c r="R3051" s="240"/>
      <c r="T3051" s="502"/>
    </row>
    <row r="3052">
      <c r="Q3052" s="240"/>
      <c r="R3052" s="240"/>
      <c r="T3052" s="502"/>
    </row>
    <row r="3053">
      <c r="Q3053" s="240"/>
      <c r="R3053" s="240"/>
      <c r="T3053" s="502"/>
    </row>
    <row r="3054">
      <c r="Q3054" s="240"/>
      <c r="R3054" s="240"/>
      <c r="T3054" s="502"/>
    </row>
    <row r="3055">
      <c r="Q3055" s="240"/>
      <c r="R3055" s="240"/>
      <c r="T3055" s="502"/>
    </row>
    <row r="3056">
      <c r="Q3056" s="240"/>
      <c r="R3056" s="240"/>
      <c r="T3056" s="502"/>
    </row>
    <row r="3057">
      <c r="Q3057" s="240"/>
      <c r="R3057" s="240"/>
      <c r="T3057" s="502"/>
    </row>
    <row r="3058">
      <c r="Q3058" s="240"/>
      <c r="R3058" s="240"/>
      <c r="T3058" s="502"/>
    </row>
    <row r="3059">
      <c r="Q3059" s="240"/>
      <c r="R3059" s="240"/>
      <c r="T3059" s="502"/>
    </row>
    <row r="3060">
      <c r="Q3060" s="240"/>
      <c r="R3060" s="240"/>
      <c r="T3060" s="502"/>
    </row>
    <row r="3061">
      <c r="Q3061" s="240"/>
      <c r="R3061" s="240"/>
      <c r="T3061" s="502"/>
    </row>
    <row r="3062">
      <c r="Q3062" s="240"/>
      <c r="R3062" s="240"/>
      <c r="T3062" s="502"/>
    </row>
    <row r="3063">
      <c r="Q3063" s="240"/>
      <c r="R3063" s="240"/>
      <c r="T3063" s="502"/>
    </row>
    <row r="3064">
      <c r="Q3064" s="240"/>
      <c r="R3064" s="240"/>
      <c r="T3064" s="502"/>
    </row>
    <row r="3065">
      <c r="Q3065" s="240"/>
      <c r="R3065" s="240"/>
      <c r="T3065" s="502"/>
    </row>
    <row r="3066">
      <c r="Q3066" s="240"/>
      <c r="R3066" s="240"/>
      <c r="T3066" s="502"/>
    </row>
    <row r="3067">
      <c r="Q3067" s="240"/>
      <c r="R3067" s="240"/>
      <c r="T3067" s="502"/>
    </row>
    <row r="3068">
      <c r="Q3068" s="240"/>
      <c r="R3068" s="240"/>
      <c r="T3068" s="502"/>
    </row>
    <row r="3069">
      <c r="Q3069" s="240"/>
      <c r="R3069" s="240"/>
      <c r="T3069" s="502"/>
    </row>
    <row r="3070">
      <c r="Q3070" s="240"/>
      <c r="R3070" s="240"/>
      <c r="T3070" s="502"/>
    </row>
    <row r="3071">
      <c r="Q3071" s="240"/>
      <c r="R3071" s="240"/>
      <c r="T3071" s="502"/>
    </row>
    <row r="3072">
      <c r="Q3072" s="240"/>
      <c r="R3072" s="240"/>
      <c r="T3072" s="502"/>
    </row>
    <row r="3073">
      <c r="Q3073" s="240"/>
      <c r="R3073" s="240"/>
      <c r="T3073" s="502"/>
    </row>
    <row r="3074">
      <c r="Q3074" s="240"/>
      <c r="R3074" s="240"/>
      <c r="T3074" s="502"/>
    </row>
    <row r="3075">
      <c r="Q3075" s="240"/>
      <c r="R3075" s="240"/>
      <c r="T3075" s="502"/>
    </row>
    <row r="3076">
      <c r="Q3076" s="240"/>
      <c r="R3076" s="240"/>
      <c r="T3076" s="502"/>
    </row>
    <row r="3077">
      <c r="Q3077" s="240"/>
      <c r="R3077" s="240"/>
      <c r="T3077" s="502"/>
    </row>
    <row r="3078">
      <c r="Q3078" s="240"/>
      <c r="R3078" s="240"/>
      <c r="T3078" s="502"/>
    </row>
    <row r="3079">
      <c r="Q3079" s="240"/>
      <c r="R3079" s="240"/>
      <c r="T3079" s="502"/>
    </row>
    <row r="3080">
      <c r="Q3080" s="240"/>
      <c r="R3080" s="240"/>
      <c r="T3080" s="502"/>
    </row>
    <row r="3081">
      <c r="Q3081" s="240"/>
      <c r="R3081" s="240"/>
      <c r="T3081" s="502"/>
    </row>
    <row r="3082">
      <c r="Q3082" s="240"/>
      <c r="R3082" s="240"/>
      <c r="T3082" s="502"/>
    </row>
    <row r="3083">
      <c r="Q3083" s="240"/>
      <c r="R3083" s="240"/>
      <c r="T3083" s="502"/>
    </row>
    <row r="3084">
      <c r="Q3084" s="240"/>
      <c r="R3084" s="240"/>
      <c r="T3084" s="502"/>
    </row>
    <row r="3085">
      <c r="Q3085" s="240"/>
      <c r="R3085" s="240"/>
      <c r="T3085" s="502"/>
    </row>
    <row r="3086">
      <c r="Q3086" s="240"/>
      <c r="R3086" s="240"/>
      <c r="T3086" s="502"/>
    </row>
    <row r="3087">
      <c r="Q3087" s="240"/>
      <c r="R3087" s="240"/>
      <c r="T3087" s="502"/>
    </row>
    <row r="3088">
      <c r="Q3088" s="240"/>
      <c r="R3088" s="240"/>
      <c r="T3088" s="502"/>
    </row>
    <row r="3089">
      <c r="Q3089" s="240"/>
      <c r="R3089" s="240"/>
      <c r="T3089" s="502"/>
    </row>
    <row r="3090">
      <c r="Q3090" s="240"/>
      <c r="R3090" s="240"/>
      <c r="T3090" s="502"/>
    </row>
    <row r="3091">
      <c r="Q3091" s="240"/>
      <c r="R3091" s="240"/>
      <c r="T3091" s="502"/>
    </row>
    <row r="3092">
      <c r="Q3092" s="240"/>
      <c r="R3092" s="240"/>
      <c r="T3092" s="502"/>
    </row>
    <row r="3093">
      <c r="Q3093" s="240"/>
      <c r="R3093" s="240"/>
      <c r="T3093" s="502"/>
    </row>
    <row r="3094">
      <c r="Q3094" s="240"/>
      <c r="R3094" s="240"/>
      <c r="T3094" s="502"/>
    </row>
    <row r="3095">
      <c r="Q3095" s="240"/>
      <c r="R3095" s="240"/>
      <c r="T3095" s="502"/>
    </row>
    <row r="3096">
      <c r="Q3096" s="240"/>
      <c r="R3096" s="240"/>
      <c r="T3096" s="502"/>
    </row>
    <row r="3097">
      <c r="Q3097" s="240"/>
      <c r="R3097" s="240"/>
      <c r="T3097" s="502"/>
    </row>
    <row r="3098">
      <c r="Q3098" s="240"/>
      <c r="R3098" s="240"/>
      <c r="T3098" s="502"/>
    </row>
    <row r="3099">
      <c r="Q3099" s="240"/>
      <c r="R3099" s="240"/>
      <c r="T3099" s="502"/>
    </row>
    <row r="3100">
      <c r="Q3100" s="240"/>
      <c r="R3100" s="240"/>
      <c r="T3100" s="502"/>
    </row>
    <row r="3101">
      <c r="Q3101" s="240"/>
      <c r="R3101" s="240"/>
      <c r="T3101" s="502"/>
    </row>
    <row r="3102">
      <c r="Q3102" s="240"/>
      <c r="R3102" s="240"/>
      <c r="T3102" s="502"/>
    </row>
    <row r="3103">
      <c r="Q3103" s="240"/>
      <c r="R3103" s="240"/>
      <c r="T3103" s="502"/>
    </row>
    <row r="3104">
      <c r="Q3104" s="240"/>
      <c r="R3104" s="240"/>
      <c r="T3104" s="502"/>
    </row>
    <row r="3105">
      <c r="Q3105" s="240"/>
      <c r="R3105" s="240"/>
      <c r="T3105" s="502"/>
    </row>
    <row r="3106">
      <c r="Q3106" s="240"/>
      <c r="R3106" s="240"/>
      <c r="T3106" s="502"/>
    </row>
    <row r="3107">
      <c r="Q3107" s="240"/>
      <c r="R3107" s="240"/>
      <c r="T3107" s="502"/>
    </row>
    <row r="3108">
      <c r="Q3108" s="240"/>
      <c r="R3108" s="240"/>
      <c r="T3108" s="502"/>
    </row>
    <row r="3109">
      <c r="Q3109" s="240"/>
      <c r="R3109" s="240"/>
      <c r="T3109" s="502"/>
    </row>
    <row r="3110">
      <c r="Q3110" s="240"/>
      <c r="R3110" s="240"/>
      <c r="T3110" s="502"/>
    </row>
    <row r="3111">
      <c r="Q3111" s="240"/>
      <c r="R3111" s="240"/>
      <c r="T3111" s="502"/>
    </row>
    <row r="3112">
      <c r="Q3112" s="240"/>
      <c r="R3112" s="240"/>
      <c r="T3112" s="502"/>
    </row>
    <row r="3113">
      <c r="Q3113" s="240"/>
      <c r="R3113" s="240"/>
      <c r="T3113" s="502"/>
    </row>
    <row r="3114">
      <c r="Q3114" s="240"/>
      <c r="R3114" s="240"/>
      <c r="T3114" s="502"/>
    </row>
    <row r="3115">
      <c r="Q3115" s="240"/>
      <c r="R3115" s="240"/>
      <c r="T3115" s="502"/>
    </row>
    <row r="3116">
      <c r="Q3116" s="240"/>
      <c r="R3116" s="240"/>
      <c r="T3116" s="502"/>
    </row>
    <row r="3117">
      <c r="Q3117" s="240"/>
      <c r="R3117" s="240"/>
      <c r="T3117" s="502"/>
    </row>
    <row r="3118">
      <c r="Q3118" s="240"/>
      <c r="R3118" s="240"/>
      <c r="T3118" s="502"/>
    </row>
    <row r="3119">
      <c r="Q3119" s="240"/>
      <c r="R3119" s="240"/>
      <c r="T3119" s="502"/>
    </row>
    <row r="3120">
      <c r="Q3120" s="240"/>
      <c r="R3120" s="240"/>
      <c r="T3120" s="502"/>
    </row>
    <row r="3121">
      <c r="Q3121" s="240"/>
      <c r="R3121" s="240"/>
      <c r="T3121" s="502"/>
    </row>
    <row r="3122">
      <c r="Q3122" s="240"/>
      <c r="R3122" s="240"/>
      <c r="T3122" s="502"/>
    </row>
    <row r="3123">
      <c r="Q3123" s="240"/>
      <c r="R3123" s="240"/>
      <c r="T3123" s="502"/>
    </row>
    <row r="3124">
      <c r="Q3124" s="240"/>
      <c r="R3124" s="240"/>
      <c r="T3124" s="502"/>
    </row>
    <row r="3125">
      <c r="Q3125" s="240"/>
      <c r="R3125" s="240"/>
      <c r="T3125" s="502"/>
    </row>
    <row r="3126">
      <c r="Q3126" s="240"/>
      <c r="R3126" s="240"/>
      <c r="T3126" s="502"/>
    </row>
    <row r="3127">
      <c r="Q3127" s="240"/>
      <c r="R3127" s="240"/>
      <c r="T3127" s="502"/>
    </row>
    <row r="3128">
      <c r="Q3128" s="240"/>
      <c r="R3128" s="240"/>
      <c r="T3128" s="502"/>
    </row>
    <row r="3129">
      <c r="Q3129" s="240"/>
      <c r="R3129" s="240"/>
      <c r="T3129" s="502"/>
    </row>
    <row r="3130">
      <c r="Q3130" s="240"/>
      <c r="R3130" s="240"/>
      <c r="T3130" s="502"/>
    </row>
    <row r="3131">
      <c r="Q3131" s="240"/>
      <c r="R3131" s="240"/>
      <c r="T3131" s="502"/>
    </row>
    <row r="3132">
      <c r="Q3132" s="240"/>
      <c r="R3132" s="240"/>
      <c r="T3132" s="502"/>
    </row>
    <row r="3133">
      <c r="Q3133" s="240"/>
      <c r="R3133" s="240"/>
      <c r="T3133" s="502"/>
    </row>
    <row r="3134">
      <c r="Q3134" s="240"/>
      <c r="R3134" s="240"/>
      <c r="T3134" s="502"/>
    </row>
    <row r="3135">
      <c r="Q3135" s="240"/>
      <c r="R3135" s="240"/>
      <c r="T3135" s="502"/>
    </row>
    <row r="3136">
      <c r="Q3136" s="240"/>
      <c r="R3136" s="240"/>
      <c r="T3136" s="502"/>
    </row>
    <row r="3137">
      <c r="Q3137" s="240"/>
      <c r="R3137" s="240"/>
      <c r="T3137" s="502"/>
    </row>
    <row r="3138">
      <c r="Q3138" s="240"/>
      <c r="R3138" s="240"/>
      <c r="T3138" s="502"/>
    </row>
    <row r="3139">
      <c r="Q3139" s="240"/>
      <c r="R3139" s="240"/>
      <c r="T3139" s="502"/>
    </row>
    <row r="3140">
      <c r="Q3140" s="240"/>
      <c r="R3140" s="240"/>
      <c r="T3140" s="502"/>
    </row>
    <row r="3141">
      <c r="Q3141" s="240"/>
      <c r="R3141" s="240"/>
      <c r="T3141" s="502"/>
    </row>
    <row r="3142">
      <c r="Q3142" s="240"/>
      <c r="R3142" s="240"/>
      <c r="T3142" s="502"/>
    </row>
    <row r="3143">
      <c r="Q3143" s="240"/>
      <c r="R3143" s="240"/>
      <c r="T3143" s="502"/>
    </row>
    <row r="3144">
      <c r="Q3144" s="240"/>
      <c r="R3144" s="240"/>
      <c r="T3144" s="502"/>
    </row>
    <row r="3145">
      <c r="Q3145" s="240"/>
      <c r="R3145" s="240"/>
      <c r="T3145" s="502"/>
    </row>
    <row r="3146">
      <c r="Q3146" s="240"/>
      <c r="R3146" s="240"/>
      <c r="T3146" s="502"/>
    </row>
    <row r="3147">
      <c r="Q3147" s="240"/>
      <c r="R3147" s="240"/>
      <c r="T3147" s="502"/>
    </row>
    <row r="3148">
      <c r="Q3148" s="240"/>
      <c r="R3148" s="240"/>
      <c r="T3148" s="502"/>
    </row>
    <row r="3149">
      <c r="Q3149" s="240"/>
      <c r="R3149" s="240"/>
      <c r="T3149" s="502"/>
    </row>
    <row r="3150">
      <c r="Q3150" s="240"/>
      <c r="R3150" s="240"/>
      <c r="T3150" s="502"/>
    </row>
    <row r="3151">
      <c r="Q3151" s="240"/>
      <c r="R3151" s="240"/>
      <c r="T3151" s="502"/>
    </row>
    <row r="3152">
      <c r="Q3152" s="240"/>
      <c r="R3152" s="240"/>
      <c r="T3152" s="502"/>
    </row>
    <row r="3153">
      <c r="Q3153" s="240"/>
      <c r="R3153" s="240"/>
      <c r="T3153" s="502"/>
    </row>
    <row r="3154">
      <c r="Q3154" s="240"/>
      <c r="R3154" s="240"/>
      <c r="T3154" s="502"/>
    </row>
    <row r="3155">
      <c r="Q3155" s="240"/>
      <c r="R3155" s="240"/>
      <c r="T3155" s="502"/>
    </row>
    <row r="3156">
      <c r="Q3156" s="240"/>
      <c r="R3156" s="240"/>
      <c r="T3156" s="502"/>
    </row>
    <row r="3157">
      <c r="Q3157" s="240"/>
      <c r="R3157" s="240"/>
      <c r="T3157" s="502"/>
    </row>
    <row r="3158">
      <c r="Q3158" s="240"/>
      <c r="R3158" s="240"/>
      <c r="T3158" s="502"/>
    </row>
    <row r="3159">
      <c r="Q3159" s="240"/>
      <c r="R3159" s="240"/>
      <c r="T3159" s="502"/>
    </row>
    <row r="3160">
      <c r="Q3160" s="240"/>
      <c r="R3160" s="240"/>
      <c r="T3160" s="502"/>
    </row>
    <row r="3161">
      <c r="Q3161" s="240"/>
      <c r="R3161" s="240"/>
      <c r="T3161" s="502"/>
    </row>
    <row r="3162">
      <c r="Q3162" s="240"/>
      <c r="R3162" s="240"/>
      <c r="T3162" s="502"/>
    </row>
    <row r="3163">
      <c r="Q3163" s="240"/>
      <c r="R3163" s="240"/>
      <c r="T3163" s="502"/>
    </row>
    <row r="3164">
      <c r="Q3164" s="240"/>
      <c r="R3164" s="240"/>
      <c r="T3164" s="502"/>
    </row>
    <row r="3165">
      <c r="Q3165" s="240"/>
      <c r="R3165" s="240"/>
      <c r="T3165" s="502"/>
    </row>
    <row r="3166">
      <c r="Q3166" s="240"/>
      <c r="R3166" s="240"/>
      <c r="T3166" s="502"/>
    </row>
    <row r="3167">
      <c r="Q3167" s="240"/>
      <c r="R3167" s="240"/>
      <c r="T3167" s="502"/>
    </row>
    <row r="3168">
      <c r="Q3168" s="240"/>
      <c r="R3168" s="240"/>
      <c r="T3168" s="502"/>
    </row>
    <row r="3169">
      <c r="Q3169" s="240"/>
      <c r="R3169" s="240"/>
      <c r="T3169" s="502"/>
    </row>
    <row r="3170">
      <c r="Q3170" s="240"/>
      <c r="R3170" s="240"/>
      <c r="T3170" s="502"/>
    </row>
    <row r="3171">
      <c r="Q3171" s="240"/>
      <c r="R3171" s="240"/>
      <c r="T3171" s="502"/>
    </row>
    <row r="3172">
      <c r="Q3172" s="240"/>
      <c r="R3172" s="240"/>
      <c r="T3172" s="502"/>
    </row>
    <row r="3173">
      <c r="Q3173" s="240"/>
      <c r="R3173" s="240"/>
      <c r="T3173" s="502"/>
    </row>
    <row r="3174">
      <c r="Q3174" s="240"/>
      <c r="R3174" s="240"/>
      <c r="T3174" s="502"/>
    </row>
    <row r="3175">
      <c r="Q3175" s="240"/>
      <c r="R3175" s="240"/>
      <c r="T3175" s="502"/>
    </row>
    <row r="3176">
      <c r="Q3176" s="240"/>
      <c r="R3176" s="240"/>
      <c r="T3176" s="502"/>
    </row>
    <row r="3177">
      <c r="Q3177" s="240"/>
      <c r="R3177" s="240"/>
      <c r="T3177" s="502"/>
    </row>
    <row r="3178">
      <c r="Q3178" s="240"/>
      <c r="R3178" s="240"/>
      <c r="T3178" s="502"/>
    </row>
    <row r="3179">
      <c r="Q3179" s="240"/>
      <c r="R3179" s="240"/>
      <c r="T3179" s="502"/>
    </row>
    <row r="3180">
      <c r="Q3180" s="240"/>
      <c r="R3180" s="240"/>
      <c r="T3180" s="502"/>
    </row>
    <row r="3181">
      <c r="Q3181" s="240"/>
      <c r="R3181" s="240"/>
      <c r="T3181" s="502"/>
    </row>
    <row r="3182">
      <c r="Q3182" s="240"/>
      <c r="R3182" s="240"/>
      <c r="T3182" s="502"/>
    </row>
    <row r="3183">
      <c r="Q3183" s="240"/>
      <c r="R3183" s="240"/>
      <c r="T3183" s="502"/>
    </row>
    <row r="3184">
      <c r="Q3184" s="240"/>
      <c r="R3184" s="240"/>
      <c r="T3184" s="502"/>
    </row>
    <row r="3185">
      <c r="Q3185" s="240"/>
      <c r="R3185" s="240"/>
      <c r="T3185" s="502"/>
    </row>
    <row r="3186">
      <c r="Q3186" s="240"/>
      <c r="R3186" s="240"/>
      <c r="T3186" s="502"/>
    </row>
    <row r="3187">
      <c r="Q3187" s="240"/>
      <c r="R3187" s="240"/>
      <c r="T3187" s="502"/>
    </row>
    <row r="3188">
      <c r="Q3188" s="240"/>
      <c r="R3188" s="240"/>
      <c r="T3188" s="502"/>
    </row>
    <row r="3189">
      <c r="Q3189" s="240"/>
      <c r="R3189" s="240"/>
      <c r="T3189" s="502"/>
    </row>
    <row r="3190">
      <c r="Q3190" s="240"/>
      <c r="R3190" s="240"/>
      <c r="T3190" s="502"/>
    </row>
    <row r="3191">
      <c r="Q3191" s="240"/>
      <c r="R3191" s="240"/>
      <c r="T3191" s="502"/>
    </row>
    <row r="3192">
      <c r="Q3192" s="240"/>
      <c r="R3192" s="240"/>
      <c r="T3192" s="502"/>
    </row>
    <row r="3193">
      <c r="Q3193" s="240"/>
      <c r="R3193" s="240"/>
      <c r="T3193" s="502"/>
    </row>
    <row r="3194">
      <c r="Q3194" s="240"/>
      <c r="R3194" s="240"/>
      <c r="T3194" s="502"/>
    </row>
    <row r="3195">
      <c r="Q3195" s="240"/>
      <c r="R3195" s="240"/>
      <c r="T3195" s="502"/>
    </row>
    <row r="3196">
      <c r="Q3196" s="240"/>
      <c r="R3196" s="240"/>
      <c r="T3196" s="502"/>
    </row>
    <row r="3197">
      <c r="Q3197" s="240"/>
      <c r="R3197" s="240"/>
      <c r="T3197" s="502"/>
    </row>
    <row r="3198">
      <c r="Q3198" s="240"/>
      <c r="R3198" s="240"/>
      <c r="T3198" s="502"/>
    </row>
    <row r="3199">
      <c r="Q3199" s="240"/>
      <c r="R3199" s="240"/>
      <c r="T3199" s="502"/>
    </row>
    <row r="3200">
      <c r="Q3200" s="240"/>
      <c r="R3200" s="240"/>
      <c r="T3200" s="502"/>
    </row>
    <row r="3201">
      <c r="Q3201" s="240"/>
      <c r="R3201" s="240"/>
      <c r="T3201" s="502"/>
    </row>
    <row r="3202">
      <c r="Q3202" s="240"/>
      <c r="R3202" s="240"/>
      <c r="T3202" s="502"/>
    </row>
    <row r="3203">
      <c r="Q3203" s="240"/>
      <c r="R3203" s="240"/>
      <c r="T3203" s="502"/>
    </row>
    <row r="3204">
      <c r="Q3204" s="240"/>
      <c r="R3204" s="240"/>
      <c r="T3204" s="502"/>
    </row>
    <row r="3205">
      <c r="Q3205" s="240"/>
      <c r="R3205" s="240"/>
      <c r="T3205" s="502"/>
    </row>
    <row r="3206">
      <c r="Q3206" s="240"/>
      <c r="R3206" s="240"/>
      <c r="T3206" s="502"/>
    </row>
    <row r="3207">
      <c r="Q3207" s="240"/>
      <c r="R3207" s="240"/>
      <c r="T3207" s="502"/>
    </row>
    <row r="3208">
      <c r="Q3208" s="240"/>
      <c r="R3208" s="240"/>
      <c r="T3208" s="502"/>
    </row>
    <row r="3209">
      <c r="Q3209" s="240"/>
      <c r="R3209" s="240"/>
      <c r="T3209" s="502"/>
    </row>
    <row r="3210">
      <c r="Q3210" s="240"/>
      <c r="R3210" s="240"/>
      <c r="T3210" s="502"/>
    </row>
    <row r="3211">
      <c r="Q3211" s="240"/>
      <c r="R3211" s="240"/>
      <c r="T3211" s="502"/>
    </row>
    <row r="3212">
      <c r="Q3212" s="240"/>
      <c r="R3212" s="240"/>
      <c r="T3212" s="502"/>
    </row>
    <row r="3213">
      <c r="Q3213" s="240"/>
      <c r="R3213" s="240"/>
      <c r="T3213" s="502"/>
    </row>
    <row r="3214">
      <c r="Q3214" s="240"/>
      <c r="R3214" s="240"/>
      <c r="T3214" s="502"/>
    </row>
    <row r="3215">
      <c r="Q3215" s="240"/>
      <c r="R3215" s="240"/>
      <c r="T3215" s="502"/>
    </row>
    <row r="3216">
      <c r="Q3216" s="240"/>
      <c r="R3216" s="240"/>
      <c r="T3216" s="502"/>
    </row>
    <row r="3217">
      <c r="Q3217" s="240"/>
      <c r="R3217" s="240"/>
      <c r="T3217" s="502"/>
    </row>
    <row r="3218">
      <c r="Q3218" s="240"/>
      <c r="R3218" s="240"/>
      <c r="T3218" s="502"/>
    </row>
    <row r="3219">
      <c r="Q3219" s="240"/>
      <c r="R3219" s="240"/>
      <c r="T3219" s="502"/>
    </row>
    <row r="3220">
      <c r="Q3220" s="240"/>
      <c r="R3220" s="240"/>
      <c r="T3220" s="502"/>
    </row>
    <row r="3221">
      <c r="Q3221" s="240"/>
      <c r="R3221" s="240"/>
      <c r="T3221" s="502"/>
    </row>
    <row r="3222">
      <c r="Q3222" s="240"/>
      <c r="R3222" s="240"/>
      <c r="T3222" s="502"/>
    </row>
    <row r="3223">
      <c r="Q3223" s="240"/>
      <c r="R3223" s="240"/>
      <c r="T3223" s="502"/>
    </row>
    <row r="3224">
      <c r="Q3224" s="240"/>
      <c r="R3224" s="240"/>
      <c r="T3224" s="502"/>
    </row>
    <row r="3225">
      <c r="Q3225" s="240"/>
      <c r="R3225" s="240"/>
      <c r="T3225" s="502"/>
    </row>
    <row r="3226">
      <c r="Q3226" s="240"/>
      <c r="R3226" s="240"/>
      <c r="T3226" s="502"/>
    </row>
    <row r="3227">
      <c r="Q3227" s="240"/>
      <c r="R3227" s="240"/>
      <c r="T3227" s="502"/>
    </row>
    <row r="3228">
      <c r="Q3228" s="240"/>
      <c r="R3228" s="240"/>
      <c r="T3228" s="502"/>
    </row>
    <row r="3229">
      <c r="Q3229" s="240"/>
      <c r="R3229" s="240"/>
      <c r="T3229" s="502"/>
    </row>
    <row r="3230">
      <c r="Q3230" s="240"/>
      <c r="R3230" s="240"/>
      <c r="T3230" s="502"/>
    </row>
    <row r="3231">
      <c r="Q3231" s="240"/>
      <c r="R3231" s="240"/>
      <c r="T3231" s="502"/>
    </row>
    <row r="3232">
      <c r="Q3232" s="240"/>
      <c r="R3232" s="240"/>
      <c r="T3232" s="502"/>
    </row>
    <row r="3233">
      <c r="Q3233" s="240"/>
      <c r="R3233" s="240"/>
      <c r="T3233" s="502"/>
    </row>
    <row r="3234">
      <c r="Q3234" s="240"/>
      <c r="R3234" s="240"/>
      <c r="T3234" s="502"/>
    </row>
    <row r="3235">
      <c r="Q3235" s="240"/>
      <c r="R3235" s="240"/>
      <c r="T3235" s="502"/>
    </row>
    <row r="3236">
      <c r="Q3236" s="240"/>
      <c r="R3236" s="240"/>
      <c r="T3236" s="502"/>
    </row>
    <row r="3237">
      <c r="Q3237" s="240"/>
      <c r="R3237" s="240"/>
      <c r="T3237" s="502"/>
    </row>
    <row r="3238">
      <c r="Q3238" s="240"/>
      <c r="R3238" s="240"/>
      <c r="T3238" s="502"/>
    </row>
    <row r="3239">
      <c r="Q3239" s="240"/>
      <c r="R3239" s="240"/>
      <c r="T3239" s="502"/>
    </row>
    <row r="3240">
      <c r="Q3240" s="240"/>
      <c r="R3240" s="240"/>
      <c r="T3240" s="502"/>
    </row>
    <row r="3241">
      <c r="Q3241" s="240"/>
      <c r="R3241" s="240"/>
      <c r="T3241" s="502"/>
    </row>
    <row r="3242">
      <c r="Q3242" s="240"/>
      <c r="R3242" s="240"/>
      <c r="T3242" s="502"/>
    </row>
    <row r="3243">
      <c r="Q3243" s="240"/>
      <c r="R3243" s="240"/>
      <c r="T3243" s="502"/>
    </row>
    <row r="3244">
      <c r="Q3244" s="240"/>
      <c r="R3244" s="240"/>
      <c r="T3244" s="502"/>
    </row>
    <row r="3245">
      <c r="Q3245" s="240"/>
      <c r="R3245" s="240"/>
      <c r="T3245" s="502"/>
    </row>
    <row r="3246">
      <c r="Q3246" s="240"/>
      <c r="R3246" s="240"/>
      <c r="T3246" s="502"/>
    </row>
    <row r="3247">
      <c r="Q3247" s="240"/>
      <c r="R3247" s="240"/>
      <c r="T3247" s="502"/>
    </row>
    <row r="3248">
      <c r="Q3248" s="240"/>
      <c r="R3248" s="240"/>
      <c r="T3248" s="502"/>
    </row>
    <row r="3249">
      <c r="Q3249" s="240"/>
      <c r="R3249" s="240"/>
      <c r="T3249" s="502"/>
    </row>
    <row r="3250">
      <c r="Q3250" s="240"/>
      <c r="R3250" s="240"/>
      <c r="T3250" s="502"/>
    </row>
    <row r="3251">
      <c r="Q3251" s="240"/>
      <c r="R3251" s="240"/>
      <c r="T3251" s="502"/>
    </row>
    <row r="3252">
      <c r="Q3252" s="240"/>
      <c r="R3252" s="240"/>
      <c r="T3252" s="502"/>
    </row>
    <row r="3253">
      <c r="Q3253" s="240"/>
      <c r="R3253" s="240"/>
      <c r="T3253" s="502"/>
    </row>
    <row r="3254">
      <c r="Q3254" s="240"/>
      <c r="R3254" s="240"/>
      <c r="T3254" s="502"/>
    </row>
    <row r="3255">
      <c r="Q3255" s="240"/>
      <c r="R3255" s="240"/>
      <c r="T3255" s="502"/>
    </row>
    <row r="3256">
      <c r="Q3256" s="240"/>
      <c r="R3256" s="240"/>
      <c r="T3256" s="502"/>
    </row>
    <row r="3257">
      <c r="Q3257" s="240"/>
      <c r="R3257" s="240"/>
      <c r="T3257" s="502"/>
    </row>
    <row r="3258">
      <c r="Q3258" s="240"/>
      <c r="R3258" s="240"/>
      <c r="T3258" s="502"/>
    </row>
    <row r="3259">
      <c r="Q3259" s="240"/>
      <c r="R3259" s="240"/>
      <c r="T3259" s="502"/>
    </row>
    <row r="3260">
      <c r="Q3260" s="240"/>
      <c r="R3260" s="240"/>
      <c r="T3260" s="502"/>
    </row>
    <row r="3261">
      <c r="Q3261" s="240"/>
      <c r="R3261" s="240"/>
      <c r="T3261" s="502"/>
    </row>
    <row r="3262">
      <c r="Q3262" s="240"/>
      <c r="R3262" s="240"/>
      <c r="T3262" s="502"/>
    </row>
    <row r="3263">
      <c r="Q3263" s="240"/>
      <c r="R3263" s="240"/>
      <c r="T3263" s="502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5.0"/>
    <col customWidth="1" min="3" max="3" width="10.5"/>
    <col customWidth="1" min="4" max="4" width="79.5"/>
  </cols>
  <sheetData>
    <row r="1">
      <c r="A1" s="32" t="s">
        <v>1815</v>
      </c>
      <c r="B1" s="32" t="s">
        <v>1816</v>
      </c>
      <c r="C1" s="32" t="s">
        <v>1817</v>
      </c>
      <c r="D1" s="32"/>
    </row>
    <row r="2">
      <c r="A2" s="475"/>
      <c r="B2" s="32" t="s">
        <v>1816</v>
      </c>
      <c r="C2" s="475">
        <v>45875.0</v>
      </c>
      <c r="D2" s="476" t="s">
        <v>1818</v>
      </c>
    </row>
    <row r="3">
      <c r="A3" s="475"/>
      <c r="B3" s="32" t="s">
        <v>1816</v>
      </c>
      <c r="C3" s="475">
        <v>45875.0</v>
      </c>
      <c r="D3" s="476" t="s">
        <v>1819</v>
      </c>
    </row>
    <row r="4">
      <c r="A4" s="475"/>
      <c r="B4" s="32" t="s">
        <v>1816</v>
      </c>
      <c r="C4" s="475">
        <v>45875.0</v>
      </c>
      <c r="D4" s="476" t="s">
        <v>1820</v>
      </c>
    </row>
    <row r="5">
      <c r="A5" s="475"/>
      <c r="B5" s="32" t="s">
        <v>1816</v>
      </c>
      <c r="C5" s="475">
        <v>45875.0</v>
      </c>
      <c r="D5" s="476" t="s">
        <v>1821</v>
      </c>
    </row>
    <row r="6">
      <c r="A6" s="475"/>
      <c r="B6" s="32" t="s">
        <v>1816</v>
      </c>
      <c r="C6" s="475">
        <v>45875.0</v>
      </c>
      <c r="D6" s="476" t="s">
        <v>1822</v>
      </c>
    </row>
    <row r="7">
      <c r="A7" s="475"/>
      <c r="B7" s="32"/>
      <c r="C7" s="475"/>
      <c r="D7" s="477" t="s">
        <v>1823</v>
      </c>
    </row>
    <row r="8">
      <c r="A8" s="475"/>
      <c r="B8" s="32"/>
      <c r="C8" s="475"/>
      <c r="D8" s="476" t="s">
        <v>1824</v>
      </c>
    </row>
    <row r="9">
      <c r="A9" s="475"/>
      <c r="B9" s="32" t="s">
        <v>1816</v>
      </c>
      <c r="C9" s="475">
        <v>45875.0</v>
      </c>
      <c r="D9" s="476" t="s">
        <v>1819</v>
      </c>
    </row>
    <row r="10">
      <c r="A10" s="475"/>
      <c r="B10" s="32" t="s">
        <v>1816</v>
      </c>
      <c r="C10" s="475">
        <v>45875.0</v>
      </c>
      <c r="D10" s="476" t="s">
        <v>1820</v>
      </c>
    </row>
    <row r="11">
      <c r="A11" s="475"/>
      <c r="B11" s="32" t="s">
        <v>1816</v>
      </c>
      <c r="C11" s="475">
        <v>45875.0</v>
      </c>
      <c r="D11" s="476" t="s">
        <v>1821</v>
      </c>
    </row>
    <row r="12">
      <c r="A12" s="475"/>
      <c r="C12" s="475"/>
      <c r="D12" s="476" t="s">
        <v>1825</v>
      </c>
    </row>
    <row r="13">
      <c r="A13" s="475"/>
      <c r="B13" s="32" t="s">
        <v>1816</v>
      </c>
      <c r="C13" s="475">
        <v>45875.0</v>
      </c>
      <c r="D13" s="476" t="s">
        <v>1826</v>
      </c>
    </row>
    <row r="14">
      <c r="A14" s="475"/>
      <c r="B14" s="32" t="s">
        <v>1816</v>
      </c>
      <c r="C14" s="475">
        <v>45875.0</v>
      </c>
    </row>
    <row r="15">
      <c r="A15" s="475"/>
      <c r="B15" s="32"/>
      <c r="C15" s="475"/>
      <c r="D15" s="478"/>
    </row>
    <row r="16">
      <c r="A16" s="475"/>
      <c r="B16" s="32" t="s">
        <v>1816</v>
      </c>
      <c r="C16" s="475">
        <v>45875.0</v>
      </c>
      <c r="D16" s="477" t="s">
        <v>1827</v>
      </c>
    </row>
    <row r="17">
      <c r="A17" s="475"/>
      <c r="B17" s="32" t="s">
        <v>1816</v>
      </c>
      <c r="C17" s="475">
        <v>45875.0</v>
      </c>
      <c r="D17" s="476" t="s">
        <v>1828</v>
      </c>
    </row>
    <row r="18">
      <c r="A18" s="475"/>
      <c r="B18" s="32" t="s">
        <v>1816</v>
      </c>
      <c r="C18" s="475">
        <v>45875.0</v>
      </c>
      <c r="D18" s="476" t="s">
        <v>1829</v>
      </c>
    </row>
    <row r="19">
      <c r="A19" s="475"/>
      <c r="B19" s="32" t="s">
        <v>1816</v>
      </c>
      <c r="C19" s="475">
        <v>45875.0</v>
      </c>
      <c r="D19" s="476" t="s">
        <v>1830</v>
      </c>
    </row>
    <row r="20">
      <c r="A20" s="475"/>
      <c r="B20" s="32" t="s">
        <v>1816</v>
      </c>
      <c r="C20" s="475">
        <v>45875.0</v>
      </c>
      <c r="D20" s="477" t="s">
        <v>1831</v>
      </c>
    </row>
    <row r="21">
      <c r="A21" s="475"/>
      <c r="B21" s="32" t="s">
        <v>1816</v>
      </c>
      <c r="C21" s="475">
        <v>45875.0</v>
      </c>
      <c r="D21" s="476" t="s">
        <v>1832</v>
      </c>
    </row>
    <row r="22">
      <c r="A22" s="475"/>
      <c r="C22" s="475"/>
      <c r="D22" s="476" t="s">
        <v>1833</v>
      </c>
    </row>
    <row r="23">
      <c r="A23" s="475"/>
      <c r="B23" s="32" t="s">
        <v>1816</v>
      </c>
      <c r="C23" s="475">
        <v>45875.0</v>
      </c>
    </row>
    <row r="24">
      <c r="A24" s="475"/>
      <c r="B24" s="32"/>
      <c r="C24" s="475"/>
      <c r="D24" s="476"/>
    </row>
    <row r="25">
      <c r="A25" s="475"/>
      <c r="B25" s="32" t="s">
        <v>1816</v>
      </c>
      <c r="C25" s="475">
        <v>45875.0</v>
      </c>
      <c r="D25" s="476" t="s">
        <v>1834</v>
      </c>
    </row>
    <row r="26">
      <c r="A26" s="475"/>
      <c r="B26" s="32"/>
      <c r="C26" s="475"/>
      <c r="D26" s="476"/>
    </row>
    <row r="27">
      <c r="A27" s="475"/>
      <c r="B27" s="32" t="s">
        <v>1816</v>
      </c>
      <c r="C27" s="475">
        <v>45876.0</v>
      </c>
      <c r="D27" s="476" t="s">
        <v>1835</v>
      </c>
    </row>
    <row r="28">
      <c r="A28" s="475"/>
      <c r="B28" s="32"/>
      <c r="C28" s="475"/>
      <c r="D28" s="476" t="s">
        <v>1836</v>
      </c>
    </row>
    <row r="29">
      <c r="A29" s="475"/>
      <c r="B29" s="32"/>
      <c r="C29" s="475"/>
      <c r="D29" s="476" t="s">
        <v>1837</v>
      </c>
    </row>
    <row r="30">
      <c r="A30" s="475"/>
      <c r="B30" s="32"/>
      <c r="C30" s="475"/>
      <c r="D30" s="476" t="s">
        <v>1838</v>
      </c>
    </row>
    <row r="31">
      <c r="A31" s="475"/>
      <c r="B31" s="32"/>
      <c r="C31" s="475"/>
      <c r="D31" s="476" t="s">
        <v>1839</v>
      </c>
    </row>
    <row r="32">
      <c r="A32" s="475"/>
      <c r="B32" s="32"/>
      <c r="C32" s="475"/>
      <c r="D32" s="476" t="s">
        <v>1840</v>
      </c>
    </row>
    <row r="33">
      <c r="A33" s="475"/>
      <c r="B33" s="32"/>
      <c r="C33" s="475"/>
      <c r="D33" s="476" t="s">
        <v>1841</v>
      </c>
    </row>
    <row r="34">
      <c r="A34" s="475"/>
      <c r="B34" s="32"/>
      <c r="C34" s="475"/>
      <c r="D34" s="476" t="s">
        <v>1842</v>
      </c>
    </row>
    <row r="35">
      <c r="A35" s="475"/>
      <c r="B35" s="32"/>
      <c r="C35" s="475"/>
      <c r="D35" s="476"/>
    </row>
    <row r="36">
      <c r="A36" s="475"/>
      <c r="B36" s="32" t="s">
        <v>1816</v>
      </c>
      <c r="C36" s="475">
        <v>45876.0</v>
      </c>
      <c r="D36" s="476" t="s">
        <v>1843</v>
      </c>
    </row>
    <row r="37">
      <c r="A37" s="475"/>
      <c r="B37" s="32" t="s">
        <v>1816</v>
      </c>
      <c r="C37" s="475">
        <v>45876.0</v>
      </c>
      <c r="D37" s="476" t="s">
        <v>1844</v>
      </c>
    </row>
    <row r="38">
      <c r="A38" s="475"/>
      <c r="B38" s="32" t="s">
        <v>1816</v>
      </c>
      <c r="C38" s="475">
        <v>45876.0</v>
      </c>
      <c r="D38" s="476" t="s">
        <v>1845</v>
      </c>
    </row>
    <row r="39">
      <c r="A39" s="475"/>
      <c r="B39" s="32"/>
      <c r="C39" s="475"/>
      <c r="D39" s="476"/>
    </row>
    <row r="40">
      <c r="A40" s="475"/>
      <c r="B40" s="32" t="s">
        <v>1816</v>
      </c>
      <c r="C40" s="475">
        <v>45876.0</v>
      </c>
      <c r="D40" s="476" t="s">
        <v>1846</v>
      </c>
    </row>
    <row r="41">
      <c r="A41" s="475"/>
      <c r="B41" s="32" t="s">
        <v>1816</v>
      </c>
      <c r="C41" s="475">
        <v>45876.0</v>
      </c>
      <c r="D41" s="476" t="s">
        <v>1847</v>
      </c>
    </row>
    <row r="42">
      <c r="A42" s="475"/>
      <c r="B42" s="32" t="s">
        <v>1816</v>
      </c>
      <c r="C42" s="475">
        <v>45876.0</v>
      </c>
      <c r="D42" s="476" t="s">
        <v>1848</v>
      </c>
    </row>
    <row r="43">
      <c r="A43" s="475"/>
      <c r="B43" s="32" t="s">
        <v>1816</v>
      </c>
      <c r="C43" s="475">
        <v>45876.0</v>
      </c>
      <c r="D43" s="476" t="s">
        <v>1849</v>
      </c>
    </row>
    <row r="44">
      <c r="A44" s="475"/>
      <c r="B44" s="32" t="s">
        <v>1816</v>
      </c>
      <c r="C44" s="475">
        <v>45876.0</v>
      </c>
      <c r="D44" s="477" t="s">
        <v>1850</v>
      </c>
    </row>
    <row r="45">
      <c r="A45" s="475"/>
      <c r="B45" s="32" t="s">
        <v>1816</v>
      </c>
      <c r="C45" s="475">
        <v>45876.0</v>
      </c>
      <c r="D45" s="476" t="s">
        <v>1851</v>
      </c>
    </row>
    <row r="46">
      <c r="A46" s="475"/>
      <c r="B46" s="32" t="s">
        <v>1816</v>
      </c>
      <c r="C46" s="475">
        <v>45876.0</v>
      </c>
      <c r="D46" s="476" t="s">
        <v>1852</v>
      </c>
    </row>
    <row r="47">
      <c r="A47" s="475"/>
      <c r="B47" s="32" t="s">
        <v>1816</v>
      </c>
      <c r="C47" s="475">
        <v>45876.0</v>
      </c>
      <c r="D47" s="477" t="s">
        <v>1853</v>
      </c>
    </row>
    <row r="48">
      <c r="A48" s="475"/>
      <c r="B48" s="32" t="s">
        <v>1816</v>
      </c>
      <c r="C48" s="475">
        <v>45876.0</v>
      </c>
      <c r="D48" s="478" t="s">
        <v>1854</v>
      </c>
    </row>
    <row r="49">
      <c r="A49" s="475"/>
      <c r="B49" s="32" t="s">
        <v>1816</v>
      </c>
      <c r="C49" s="475">
        <v>45876.0</v>
      </c>
      <c r="D49" s="478" t="s">
        <v>1855</v>
      </c>
    </row>
    <row r="50">
      <c r="A50" s="475"/>
      <c r="B50" s="32" t="s">
        <v>1816</v>
      </c>
      <c r="C50" s="475">
        <v>45876.0</v>
      </c>
      <c r="D50" s="477" t="s">
        <v>1856</v>
      </c>
    </row>
    <row r="51">
      <c r="A51" s="475"/>
      <c r="B51" s="32" t="s">
        <v>1816</v>
      </c>
      <c r="C51" s="475">
        <v>45876.0</v>
      </c>
      <c r="D51" s="476" t="s">
        <v>1857</v>
      </c>
    </row>
    <row r="52">
      <c r="A52" s="475"/>
      <c r="B52" s="32" t="s">
        <v>1816</v>
      </c>
      <c r="C52" s="475">
        <v>45877.0</v>
      </c>
      <c r="D52" s="476" t="s">
        <v>1858</v>
      </c>
    </row>
    <row r="53">
      <c r="A53" s="475"/>
      <c r="B53" s="32" t="s">
        <v>1816</v>
      </c>
      <c r="C53" s="475">
        <v>45877.0</v>
      </c>
      <c r="D53" s="476" t="s">
        <v>1859</v>
      </c>
    </row>
    <row r="54">
      <c r="A54" s="482"/>
      <c r="B54" s="32" t="s">
        <v>1816</v>
      </c>
      <c r="C54" s="475">
        <v>45878.0</v>
      </c>
      <c r="D54" s="476" t="s">
        <v>1860</v>
      </c>
    </row>
    <row r="55">
      <c r="A55" s="482"/>
      <c r="B55" s="32" t="s">
        <v>1816</v>
      </c>
      <c r="C55" s="475">
        <v>45878.0</v>
      </c>
      <c r="D55" s="476" t="s">
        <v>1861</v>
      </c>
    </row>
    <row r="56">
      <c r="A56" s="482"/>
      <c r="B56" s="32" t="s">
        <v>1816</v>
      </c>
      <c r="C56" s="475">
        <v>45878.0</v>
      </c>
      <c r="D56" s="476" t="s">
        <v>1862</v>
      </c>
    </row>
  </sheetData>
  <autoFilter ref="$A$1:$D$930">
    <sortState ref="A1:D930">
      <sortCondition ref="B1:B930"/>
      <sortCondition ref="C1:C930"/>
    </sortState>
  </autoFilter>
  <hyperlinks>
    <hyperlink r:id="rId1" location="/insights/cloudbeds-reports/payment-ledger-72" ref="D7"/>
    <hyperlink r:id="rId2" ref="D16"/>
    <hyperlink r:id="rId3" ref="D20"/>
    <hyperlink r:id="rId4" ref="D44"/>
    <hyperlink r:id="rId5" ref="D47"/>
    <hyperlink r:id="rId6" ref="D50"/>
  </hyperlinks>
  <drawing r:id="rId7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hidden="1" min="1" max="1" width="35.38"/>
    <col customWidth="1" min="2" max="2" width="17.88"/>
    <col customWidth="1" min="3" max="3" width="16.13"/>
    <col customWidth="1" min="4" max="6" width="12.63"/>
  </cols>
  <sheetData>
    <row r="1" ht="15.75" customHeight="1">
      <c r="A1" s="483" t="s">
        <v>1863</v>
      </c>
      <c r="B1" s="483" t="s">
        <v>1864</v>
      </c>
      <c r="C1" s="483" t="s">
        <v>1865</v>
      </c>
    </row>
    <row r="2" ht="15.75" customHeight="1">
      <c r="A2" s="484">
        <v>11.0</v>
      </c>
      <c r="B2" s="485" t="s">
        <v>319</v>
      </c>
      <c r="C2" s="142" t="s">
        <v>250</v>
      </c>
    </row>
    <row r="3" ht="15.75" customHeight="1">
      <c r="A3" s="484">
        <v>222.0</v>
      </c>
      <c r="B3" s="486" t="s">
        <v>10</v>
      </c>
      <c r="C3" s="142" t="s">
        <v>1866</v>
      </c>
    </row>
    <row r="4" ht="15.75" customHeight="1">
      <c r="A4" s="484">
        <v>333.0</v>
      </c>
      <c r="B4" s="486" t="s">
        <v>7</v>
      </c>
      <c r="C4" s="142" t="s">
        <v>1867</v>
      </c>
    </row>
    <row r="5" ht="15.75" customHeight="1">
      <c r="A5" s="484">
        <v>444.0</v>
      </c>
      <c r="B5" s="485" t="s">
        <v>8</v>
      </c>
      <c r="C5" s="142" t="s">
        <v>243</v>
      </c>
    </row>
    <row r="6" ht="15.75" customHeight="1">
      <c r="A6" s="484"/>
      <c r="B6" s="485" t="s">
        <v>1868</v>
      </c>
      <c r="C6" s="142" t="s">
        <v>242</v>
      </c>
    </row>
    <row r="7" ht="15.75" customHeight="1">
      <c r="A7" s="484"/>
      <c r="B7" s="485" t="s">
        <v>369</v>
      </c>
      <c r="C7" s="142" t="s">
        <v>284</v>
      </c>
    </row>
    <row r="8" ht="15.75" customHeight="1">
      <c r="A8" s="484"/>
      <c r="B8" s="485" t="s">
        <v>1869</v>
      </c>
      <c r="C8" s="142" t="s">
        <v>275</v>
      </c>
    </row>
    <row r="9" ht="15.75" customHeight="1">
      <c r="A9" s="484"/>
      <c r="B9" s="486" t="s">
        <v>1870</v>
      </c>
      <c r="C9" s="142" t="s">
        <v>228</v>
      </c>
    </row>
    <row r="10" ht="15.75" customHeight="1">
      <c r="A10" s="484"/>
      <c r="B10" s="485" t="s">
        <v>352</v>
      </c>
      <c r="C10" s="142" t="s">
        <v>283</v>
      </c>
    </row>
    <row r="11" ht="15.75" customHeight="1">
      <c r="A11" s="484"/>
      <c r="B11" s="485" t="s">
        <v>372</v>
      </c>
      <c r="C11" s="142" t="s">
        <v>245</v>
      </c>
    </row>
    <row r="12" ht="15.75" customHeight="1">
      <c r="A12" s="484"/>
      <c r="B12" s="486"/>
      <c r="C12" s="142" t="s">
        <v>272</v>
      </c>
    </row>
    <row r="13" ht="15.75" customHeight="1">
      <c r="A13" s="484"/>
      <c r="B13" s="486"/>
      <c r="C13" s="142" t="s">
        <v>1871</v>
      </c>
    </row>
    <row r="14" ht="15.75" customHeight="1">
      <c r="A14" s="484"/>
      <c r="B14" s="486"/>
      <c r="C14" s="142" t="s">
        <v>1872</v>
      </c>
    </row>
    <row r="15" ht="15.75" customHeight="1">
      <c r="A15" s="484"/>
      <c r="B15" s="486"/>
      <c r="C15" s="142" t="s">
        <v>1873</v>
      </c>
    </row>
    <row r="16" ht="15.75" customHeight="1">
      <c r="A16" s="484"/>
      <c r="B16" s="486"/>
      <c r="C16" s="142" t="s">
        <v>281</v>
      </c>
    </row>
    <row r="17" ht="15.75" customHeight="1">
      <c r="A17" s="484"/>
      <c r="B17" s="486"/>
      <c r="C17" s="142" t="s">
        <v>1874</v>
      </c>
    </row>
    <row r="18" ht="15.75" customHeight="1">
      <c r="A18" s="484"/>
      <c r="B18" s="486"/>
      <c r="C18" s="142" t="s">
        <v>222</v>
      </c>
    </row>
    <row r="19" ht="15.75" customHeight="1">
      <c r="A19" s="484"/>
      <c r="B19" s="486"/>
      <c r="C19" s="142" t="s">
        <v>1875</v>
      </c>
    </row>
    <row r="20" ht="15.75" customHeight="1">
      <c r="A20" s="484"/>
      <c r="B20" s="486"/>
      <c r="C20" s="142" t="s">
        <v>1876</v>
      </c>
    </row>
    <row r="21" ht="15.75" customHeight="1">
      <c r="A21" s="484"/>
      <c r="B21" s="486"/>
      <c r="C21" s="142" t="s">
        <v>1877</v>
      </c>
    </row>
    <row r="22" ht="15.75" customHeight="1">
      <c r="A22" s="484"/>
      <c r="B22" s="486"/>
      <c r="C22" s="140" t="s">
        <v>258</v>
      </c>
    </row>
    <row r="23" ht="15.75" customHeight="1">
      <c r="A23" s="484"/>
      <c r="B23" s="486"/>
      <c r="C23" s="32" t="s">
        <v>277</v>
      </c>
    </row>
    <row r="24" ht="15.75" customHeight="1">
      <c r="A24" s="484"/>
      <c r="B24" s="486"/>
      <c r="C24" s="32" t="s">
        <v>327</v>
      </c>
    </row>
    <row r="25" ht="15.75" customHeight="1">
      <c r="A25" s="484"/>
      <c r="B25" s="486"/>
    </row>
    <row r="26" ht="15.75" customHeight="1">
      <c r="A26" s="484"/>
      <c r="B26" s="486"/>
    </row>
    <row r="27" ht="15.75" customHeight="1">
      <c r="A27" s="484"/>
      <c r="B27" s="486"/>
    </row>
    <row r="28" ht="15.75" customHeight="1">
      <c r="A28" s="484"/>
      <c r="B28" s="486"/>
    </row>
    <row r="29" ht="15.75" customHeight="1">
      <c r="A29" s="484"/>
      <c r="B29" s="486"/>
    </row>
    <row r="30" ht="15.75" customHeight="1">
      <c r="A30" s="484"/>
      <c r="B30" s="486"/>
    </row>
    <row r="31" ht="15.75" customHeight="1">
      <c r="A31" s="486"/>
      <c r="B31" s="486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0"/>
    <col customWidth="1" min="2" max="2" width="35.13"/>
    <col customWidth="1" hidden="1" min="3" max="3" width="18.13"/>
    <col customWidth="1" min="4" max="6" width="12.63"/>
  </cols>
  <sheetData>
    <row r="1" ht="15.75" customHeight="1">
      <c r="A1" s="473" t="s">
        <v>74</v>
      </c>
      <c r="B1" s="488" t="s">
        <v>75</v>
      </c>
    </row>
    <row r="2" ht="15.75" customHeight="1">
      <c r="A2" s="285" t="s">
        <v>344</v>
      </c>
      <c r="B2" s="82" t="s">
        <v>344</v>
      </c>
      <c r="D2" s="151" t="str">
        <f>VLOOKUP(B2,'Analysis OUT by pay'!B:B,1,false)</f>
        <v>#N/A</v>
      </c>
    </row>
    <row r="3" ht="15.75" customHeight="1">
      <c r="A3" s="140" t="s">
        <v>100</v>
      </c>
      <c r="B3" s="489" t="s">
        <v>89</v>
      </c>
      <c r="D3" s="151" t="str">
        <f>VLOOKUP(B3,'Analysis OUT by pay'!B:B,1,false)</f>
        <v>Aqua Lab Water Test</v>
      </c>
    </row>
    <row r="4" ht="15.75" customHeight="1">
      <c r="A4" s="140" t="s">
        <v>100</v>
      </c>
      <c r="B4" s="489" t="s">
        <v>90</v>
      </c>
      <c r="D4" s="151" t="str">
        <f>VLOOKUP(B4,'Analysis OUT by pay'!B:B,1,false)</f>
        <v>Gas inspection</v>
      </c>
    </row>
    <row r="5" ht="15.75" customHeight="1">
      <c r="A5" s="140" t="s">
        <v>100</v>
      </c>
      <c r="B5" s="489" t="s">
        <v>91</v>
      </c>
      <c r="D5" s="151" t="str">
        <f>VLOOKUP(B5,'Analysis OUT by pay'!B:B,1,false)</f>
        <v>INTERPREV-Fiscalisacao</v>
      </c>
    </row>
    <row r="6" ht="15.75" customHeight="1">
      <c r="A6" s="140" t="s">
        <v>100</v>
      </c>
      <c r="B6" s="489" t="s">
        <v>92</v>
      </c>
      <c r="D6" s="151" t="str">
        <f>VLOOKUP(B6,'Analysis OUT by pay'!B:B,1,false)</f>
        <v>INTERPREV-Segurancaesaude</v>
      </c>
    </row>
    <row r="7" ht="15.75" customHeight="1">
      <c r="A7" s="140" t="s">
        <v>100</v>
      </c>
      <c r="B7" s="489" t="s">
        <v>93</v>
      </c>
      <c r="D7" s="151" t="str">
        <f>VLOOKUP(B7,'Analysis OUT by pay'!B:B,1,false)</f>
        <v>License</v>
      </c>
    </row>
    <row r="8" ht="15.75" customHeight="1">
      <c r="A8" s="140" t="s">
        <v>100</v>
      </c>
      <c r="B8" s="489" t="s">
        <v>94</v>
      </c>
      <c r="D8" s="151" t="str">
        <f>VLOOKUP(B8,'Analysis OUT by pay'!B:B,1,false)</f>
        <v>SOPFOGO-Extinctores</v>
      </c>
    </row>
    <row r="9" ht="15.75" customHeight="1">
      <c r="A9" s="140" t="s">
        <v>100</v>
      </c>
      <c r="B9" s="489" t="s">
        <v>97</v>
      </c>
      <c r="D9" s="151" t="str">
        <f>VLOOKUP(B9,'Analysis OUT by pay'!B:B,1,false)</f>
        <v>SOPFOGO-Manutencao Central Incendio</v>
      </c>
    </row>
    <row r="10" ht="15.75" customHeight="1">
      <c r="A10" s="140" t="s">
        <v>100</v>
      </c>
      <c r="B10" s="489" t="s">
        <v>99</v>
      </c>
      <c r="D10" s="151" t="str">
        <f>VLOOKUP(B10,'Analysis OUT by pay'!B:B,1,false)</f>
        <v>SPA</v>
      </c>
    </row>
    <row r="11" ht="15.75" customHeight="1">
      <c r="A11" s="140" t="s">
        <v>251</v>
      </c>
      <c r="B11" s="489" t="s">
        <v>229</v>
      </c>
      <c r="D11" s="151" t="str">
        <f>VLOOKUP(B11,'Analysis OUT by pay'!B:B,1,false)</f>
        <v>Apple Cider</v>
      </c>
    </row>
    <row r="12" ht="15.75" customHeight="1">
      <c r="A12" s="140" t="s">
        <v>251</v>
      </c>
      <c r="B12" s="489" t="s">
        <v>250</v>
      </c>
      <c r="D12" s="151" t="str">
        <f>VLOOKUP(B12,'Analysis OUT by pay'!B:B,1,false)</f>
        <v>Beer</v>
      </c>
    </row>
    <row r="13" ht="15.75" customHeight="1">
      <c r="A13" s="82" t="s">
        <v>251</v>
      </c>
      <c r="B13" s="489" t="s">
        <v>249</v>
      </c>
      <c r="D13" s="151" t="str">
        <f>VLOOKUP(B13,'Analysis OUT by pay'!B:B,1,false)</f>
        <v>Beer 1L</v>
      </c>
    </row>
    <row r="14" ht="15.75" customHeight="1">
      <c r="A14" s="140" t="s">
        <v>251</v>
      </c>
      <c r="B14" s="489" t="s">
        <v>233</v>
      </c>
      <c r="D14" s="151" t="str">
        <f>VLOOKUP(B14,'Analysis OUT by pay'!B:B,1,false)</f>
        <v>Cachaça</v>
      </c>
    </row>
    <row r="15" ht="15.75" customHeight="1">
      <c r="A15" s="82" t="s">
        <v>251</v>
      </c>
      <c r="B15" s="489" t="s">
        <v>235</v>
      </c>
      <c r="D15" s="151" t="str">
        <f>VLOOKUP(B15,'Analysis OUT by pay'!B:B,1,false)</f>
        <v>Coca</v>
      </c>
    </row>
    <row r="16" ht="15.75" customHeight="1">
      <c r="A16" s="140" t="s">
        <v>251</v>
      </c>
      <c r="B16" s="489" t="s">
        <v>231</v>
      </c>
      <c r="D16" s="151" t="str">
        <f>VLOOKUP(B16,'Analysis OUT by pay'!B:B,1,false)</f>
        <v>Fruit Cider</v>
      </c>
    </row>
    <row r="17" ht="15.75" customHeight="1">
      <c r="A17" s="140" t="s">
        <v>251</v>
      </c>
      <c r="B17" s="489" t="s">
        <v>232</v>
      </c>
      <c r="C17" s="484"/>
      <c r="D17" s="151" t="str">
        <f>VLOOKUP(B17,'Analysis OUT by pay'!B:B,1,false)</f>
        <v>Fruits bar</v>
      </c>
    </row>
    <row r="18" ht="15.75" customHeight="1">
      <c r="A18" s="140" t="s">
        <v>251</v>
      </c>
      <c r="B18" s="489" t="s">
        <v>239</v>
      </c>
      <c r="D18" s="151" t="str">
        <f>VLOOKUP(B18,'Analysis OUT by pay'!B:B,1,false)</f>
        <v>Furniture</v>
      </c>
    </row>
    <row r="19" ht="15.75" customHeight="1">
      <c r="A19" s="140" t="s">
        <v>251</v>
      </c>
      <c r="B19" s="489" t="s">
        <v>247</v>
      </c>
      <c r="D19" s="151" t="str">
        <f>VLOOKUP(B19,'Analysis OUT by pay'!B:B,1,false)</f>
        <v>Green Wine</v>
      </c>
    </row>
    <row r="20" ht="15.75" customHeight="1">
      <c r="A20" s="140" t="s">
        <v>251</v>
      </c>
      <c r="B20" s="489" t="s">
        <v>234</v>
      </c>
      <c r="D20" s="151" t="str">
        <f>VLOOKUP(B20,'Analysis OUT by pay'!B:B,1,false)</f>
        <v>Ice tea</v>
      </c>
    </row>
    <row r="21" ht="15.75" customHeight="1">
      <c r="A21" s="490" t="s">
        <v>251</v>
      </c>
      <c r="B21" s="489" t="s">
        <v>240</v>
      </c>
      <c r="D21" s="151" t="str">
        <f>VLOOKUP(B21,'Analysis OUT by pay'!B:B,1,false)</f>
        <v>Ice cube – Bar</v>
      </c>
    </row>
    <row r="22" ht="15.75" customHeight="1">
      <c r="A22" s="140" t="s">
        <v>251</v>
      </c>
      <c r="B22" s="489" t="s">
        <v>244</v>
      </c>
      <c r="D22" s="151" t="str">
        <f>VLOOKUP(B22,'Analysis OUT by pay'!B:B,1,false)</f>
        <v>Liqueur</v>
      </c>
    </row>
    <row r="23" ht="15.75" customHeight="1">
      <c r="A23" s="140" t="s">
        <v>251</v>
      </c>
      <c r="B23" s="489" t="s">
        <v>237</v>
      </c>
      <c r="D23" s="151" t="str">
        <f>VLOOKUP(B23,'Analysis OUT by pay'!B:B,1,false)</f>
        <v>Red Bull</v>
      </c>
    </row>
    <row r="24" ht="15.75" customHeight="1">
      <c r="A24" s="140" t="s">
        <v>251</v>
      </c>
      <c r="B24" s="489" t="s">
        <v>242</v>
      </c>
      <c r="D24" s="151" t="str">
        <f>VLOOKUP(B24,'Analysis OUT by pay'!B:B,1,false)</f>
        <v>Sangria</v>
      </c>
    </row>
    <row r="25" ht="15.75" customHeight="1">
      <c r="A25" s="140" t="s">
        <v>251</v>
      </c>
      <c r="B25" s="489" t="s">
        <v>238</v>
      </c>
      <c r="D25" s="151" t="str">
        <f>VLOOKUP(B25,'Analysis OUT by pay'!B:B,1,false)</f>
        <v>Sprite</v>
      </c>
    </row>
    <row r="26" ht="15.75" customHeight="1">
      <c r="A26" s="140" t="s">
        <v>251</v>
      </c>
      <c r="B26" s="140" t="s">
        <v>243</v>
      </c>
      <c r="D26" s="151" t="str">
        <f>VLOOKUP(B26,'Analysis OUT by pay'!B:B,1,false)</f>
        <v>Verso3</v>
      </c>
    </row>
    <row r="27" ht="15.75" customHeight="1">
      <c r="A27" s="140" t="s">
        <v>251</v>
      </c>
      <c r="B27" s="140" t="s">
        <v>245</v>
      </c>
      <c r="D27" s="151" t="str">
        <f>VLOOKUP(B27,'Analysis OUT by pay'!B:B,1,false)</f>
        <v>Verso5</v>
      </c>
    </row>
    <row r="28" ht="15.75" customHeight="1">
      <c r="A28" s="82" t="s">
        <v>251</v>
      </c>
      <c r="B28" s="489" t="s">
        <v>248</v>
      </c>
      <c r="D28" s="151" t="str">
        <f>VLOOKUP(B28,'Analysis OUT by pay'!B:B,1,false)</f>
        <v>Vinho tinto</v>
      </c>
    </row>
    <row r="29" ht="15.75" customHeight="1">
      <c r="A29" s="140" t="s">
        <v>251</v>
      </c>
      <c r="B29" s="489" t="s">
        <v>1878</v>
      </c>
      <c r="D29" s="151" t="str">
        <f>VLOOKUP(B29,'Analysis OUT by pay'!B:B,1,false)</f>
        <v>water</v>
      </c>
    </row>
    <row r="30" ht="15.75" customHeight="1">
      <c r="A30" s="140" t="s">
        <v>257</v>
      </c>
      <c r="B30" s="489" t="s">
        <v>1879</v>
      </c>
      <c r="D30" s="151" t="str">
        <f>VLOOKUP(B30,'Analysis OUT by pay'!B:B,1,false)</f>
        <v>#N/A</v>
      </c>
    </row>
    <row r="31" ht="15.75" customHeight="1">
      <c r="A31" s="140" t="s">
        <v>257</v>
      </c>
      <c r="B31" s="489" t="s">
        <v>252</v>
      </c>
      <c r="D31" s="151" t="str">
        <f>VLOOKUP(B31,'Analysis OUT by pay'!B:B,1,false)</f>
        <v>Limao</v>
      </c>
    </row>
    <row r="32" ht="15.75" customHeight="1">
      <c r="A32" s="140" t="s">
        <v>257</v>
      </c>
      <c r="B32" s="489" t="s">
        <v>253</v>
      </c>
      <c r="D32" s="151" t="str">
        <f>VLOOKUP(B32,'Analysis OUT by pay'!B:B,1,false)</f>
        <v>Mint</v>
      </c>
    </row>
    <row r="33" ht="15.75" customHeight="1">
      <c r="A33" s="140" t="s">
        <v>257</v>
      </c>
      <c r="B33" s="489" t="s">
        <v>254</v>
      </c>
      <c r="D33" s="151" t="str">
        <f>VLOOKUP(B33,'Analysis OUT by pay'!B:B,1,false)</f>
        <v>Rhum</v>
      </c>
    </row>
    <row r="34" ht="15.75" customHeight="1">
      <c r="A34" s="140" t="s">
        <v>257</v>
      </c>
      <c r="B34" s="489" t="s">
        <v>255</v>
      </c>
      <c r="D34" s="151" t="str">
        <f>VLOOKUP(B34,'Analysis OUT by pay'!B:B,1,false)</f>
        <v>Snacks</v>
      </c>
    </row>
    <row r="35" ht="15.75" customHeight="1">
      <c r="A35" s="140" t="s">
        <v>257</v>
      </c>
      <c r="B35" s="489" t="s">
        <v>256</v>
      </c>
      <c r="D35" s="151" t="str">
        <f>VLOOKUP(B35,'Analysis OUT by pay'!B:B,1,false)</f>
        <v>SodaWater</v>
      </c>
    </row>
    <row r="36" ht="15.75" customHeight="1">
      <c r="A36" s="491" t="s">
        <v>324</v>
      </c>
      <c r="B36" s="489" t="s">
        <v>320</v>
      </c>
      <c r="C36" s="484"/>
      <c r="D36" s="151" t="str">
        <f>VLOOKUP(B36,'Analysis OUT by pay'!B:B,1,false)</f>
        <v>BBQfood</v>
      </c>
    </row>
    <row r="37" ht="15.75" customHeight="1">
      <c r="A37" s="491" t="s">
        <v>324</v>
      </c>
      <c r="B37" s="489" t="s">
        <v>322</v>
      </c>
      <c r="C37" s="484"/>
      <c r="D37" s="151" t="str">
        <f>VLOOKUP(B37,'Analysis OUT by pay'!B:B,1,false)</f>
        <v>decoration</v>
      </c>
    </row>
    <row r="38" ht="15.75" customHeight="1">
      <c r="A38" s="140" t="s">
        <v>105</v>
      </c>
      <c r="B38" s="489" t="s">
        <v>101</v>
      </c>
      <c r="D38" s="151" t="str">
        <f>VLOOKUP(B38,'Analysis OUT by pay'!B:B,1,false)</f>
        <v>Desinfection</v>
      </c>
    </row>
    <row r="39" ht="15.75" customHeight="1">
      <c r="A39" s="140" t="s">
        <v>105</v>
      </c>
      <c r="B39" s="489" t="s">
        <v>102</v>
      </c>
      <c r="D39" s="151" t="str">
        <f>VLOOKUP(B39,'Analysis OUT by pay'!B:B,1,false)</f>
        <v>Diverso – bed bug</v>
      </c>
    </row>
    <row r="40" ht="15.75" customHeight="1">
      <c r="A40" s="140" t="s">
        <v>105</v>
      </c>
      <c r="B40" s="489" t="s">
        <v>103</v>
      </c>
      <c r="D40" s="151" t="str">
        <f>VLOOKUP(B40,'Analysis OUT by pay'!B:B,1,false)</f>
        <v>laundry</v>
      </c>
    </row>
    <row r="41" ht="15.75" customHeight="1">
      <c r="A41" s="140" t="s">
        <v>105</v>
      </c>
      <c r="B41" s="489" t="s">
        <v>104</v>
      </c>
      <c r="D41" s="151" t="str">
        <f>VLOOKUP(B41,'Analysis OUT by pay'!B:B,1,false)</f>
        <v>Weapons</v>
      </c>
    </row>
    <row r="42" ht="15.75" customHeight="1">
      <c r="A42" s="491" t="s">
        <v>228</v>
      </c>
      <c r="B42" s="489" t="s">
        <v>227</v>
      </c>
      <c r="C42" s="484"/>
      <c r="D42" s="151" t="str">
        <f>VLOOKUP(B42,'Analysis OUT by pay'!B:B,1,false)</f>
        <v>Fixing</v>
      </c>
    </row>
    <row r="43" ht="15.75" customHeight="1">
      <c r="A43" s="491" t="s">
        <v>228</v>
      </c>
      <c r="B43" s="489" t="s">
        <v>223</v>
      </c>
      <c r="C43" s="484"/>
      <c r="D43" s="151" t="str">
        <f>VLOOKUP(B43,'Analysis OUT by pay'!B:B,1,false)</f>
        <v>Rubber</v>
      </c>
    </row>
    <row r="44" ht="15.75" customHeight="1">
      <c r="A44" s="140" t="s">
        <v>121</v>
      </c>
      <c r="B44" s="489" t="s">
        <v>113</v>
      </c>
      <c r="D44" s="151" t="str">
        <f>VLOOKUP(B44,'Analysis OUT by pay'!B:B,1,false)</f>
        <v>Aliguer TPEREDUNICRE MENSAL</v>
      </c>
    </row>
    <row r="45" ht="15.75" customHeight="1">
      <c r="A45" s="140" t="s">
        <v>121</v>
      </c>
      <c r="B45" s="489" t="s">
        <v>35</v>
      </c>
      <c r="D45" s="151" t="str">
        <f>VLOOKUP(B45,'Analysis OUT by pay'!B:B,1,false)</f>
        <v>Fees</v>
      </c>
    </row>
    <row r="46" ht="15.75" customHeight="1">
      <c r="A46" s="140" t="s">
        <v>121</v>
      </c>
      <c r="B46" s="489" t="s">
        <v>117</v>
      </c>
      <c r="D46" s="151" t="str">
        <f>VLOOKUP(B46,'Analysis OUT by pay'!B:B,1,false)</f>
        <v>Madalena8-BPI</v>
      </c>
    </row>
    <row r="47" ht="15.75" customHeight="1">
      <c r="A47" s="140" t="s">
        <v>121</v>
      </c>
      <c r="B47" s="489" t="s">
        <v>119</v>
      </c>
      <c r="D47" s="151" t="str">
        <f>VLOOKUP(B47,'Analysis OUT by pay'!B:B,1,false)</f>
        <v>Paylink</v>
      </c>
    </row>
    <row r="48" ht="15.75" customHeight="1">
      <c r="A48" s="140"/>
      <c r="B48" s="82"/>
    </row>
    <row r="49" ht="15.75" customHeight="1">
      <c r="A49" s="489" t="s">
        <v>151</v>
      </c>
      <c r="B49" s="489" t="s">
        <v>122</v>
      </c>
      <c r="D49" s="151" t="str">
        <f>VLOOKUP(B49,'Analysis OUT by pay'!B:B,1,false)</f>
        <v>Banana</v>
      </c>
    </row>
    <row r="50" ht="15.75" customHeight="1">
      <c r="A50" s="489" t="s">
        <v>151</v>
      </c>
      <c r="B50" s="489" t="s">
        <v>124</v>
      </c>
      <c r="C50" s="484"/>
      <c r="D50" s="151" t="str">
        <f>VLOOKUP(B50,'Analysis OUT by pay'!B:B,1,false)</f>
        <v>Butter</v>
      </c>
    </row>
    <row r="51" ht="15.75" customHeight="1">
      <c r="A51" s="489" t="s">
        <v>151</v>
      </c>
      <c r="B51" s="489" t="s">
        <v>125</v>
      </c>
      <c r="D51" s="151" t="str">
        <f>VLOOKUP(B51,'Analysis OUT by pay'!B:B,1,false)</f>
        <v>Cacao</v>
      </c>
    </row>
    <row r="52" ht="15.75" customHeight="1">
      <c r="A52" s="489" t="s">
        <v>151</v>
      </c>
      <c r="B52" s="489" t="s">
        <v>126</v>
      </c>
      <c r="C52" s="484"/>
      <c r="D52" s="151" t="str">
        <f>VLOOKUP(B52,'Analysis OUT by pay'!B:B,1,false)</f>
        <v>Canela</v>
      </c>
    </row>
    <row r="53" ht="15.75" customHeight="1">
      <c r="A53" s="489" t="s">
        <v>151</v>
      </c>
      <c r="B53" s="489" t="s">
        <v>129</v>
      </c>
      <c r="C53" s="484"/>
      <c r="D53" s="151" t="str">
        <f>VLOOKUP(B53,'Analysis OUT by pay'!B:B,1,false)</f>
        <v>Coffee</v>
      </c>
    </row>
    <row r="54" ht="15.75" customHeight="1">
      <c r="A54" s="489" t="s">
        <v>151</v>
      </c>
      <c r="B54" s="489" t="s">
        <v>130</v>
      </c>
      <c r="C54" s="484"/>
      <c r="D54" s="151" t="str">
        <f>VLOOKUP(B54,'Analysis OUT by pay'!B:B,1,false)</f>
        <v>Coffee filter</v>
      </c>
    </row>
    <row r="55" ht="15.75" customHeight="1">
      <c r="A55" s="489" t="s">
        <v>151</v>
      </c>
      <c r="B55" s="489" t="s">
        <v>132</v>
      </c>
      <c r="C55" s="484"/>
      <c r="D55" s="151" t="str">
        <f>VLOOKUP(B55,'Analysis OUT by pay'!B:B,1,false)</f>
        <v>Flakes</v>
      </c>
    </row>
    <row r="56" ht="15.75" customHeight="1">
      <c r="A56" s="489" t="s">
        <v>151</v>
      </c>
      <c r="B56" s="489" t="s">
        <v>134</v>
      </c>
      <c r="C56" s="484"/>
      <c r="D56" s="151" t="str">
        <f>VLOOKUP(B56,'Analysis OUT by pay'!B:B,1,false)</f>
        <v>Flour</v>
      </c>
    </row>
    <row r="57" ht="15.75" customHeight="1">
      <c r="A57" s="489" t="s">
        <v>151</v>
      </c>
      <c r="B57" s="489" t="s">
        <v>136</v>
      </c>
      <c r="C57" s="484"/>
      <c r="D57" s="151" t="str">
        <f>VLOOKUP(B57,'Analysis OUT by pay'!B:B,1,false)</f>
        <v>Fruits</v>
      </c>
    </row>
    <row r="58" ht="15.75" customHeight="1">
      <c r="A58" s="489" t="s">
        <v>151</v>
      </c>
      <c r="B58" s="489" t="s">
        <v>138</v>
      </c>
      <c r="D58" s="151" t="str">
        <f>VLOOKUP(B58,'Analysis OUT by pay'!B:B,1,false)</f>
        <v>Gas-Café da manhã</v>
      </c>
    </row>
    <row r="59" ht="15.75" customHeight="1">
      <c r="A59" s="489" t="s">
        <v>151</v>
      </c>
      <c r="B59" s="489" t="s">
        <v>140</v>
      </c>
      <c r="C59" s="484"/>
      <c r="D59" s="151" t="str">
        <f>VLOOKUP(B59,'Analysis OUT by pay'!B:B,1,false)</f>
        <v>Jam</v>
      </c>
    </row>
    <row r="60" ht="15.75" customHeight="1">
      <c r="A60" s="489" t="s">
        <v>151</v>
      </c>
      <c r="B60" s="489" t="s">
        <v>141</v>
      </c>
      <c r="C60" s="486"/>
      <c r="D60" s="151" t="str">
        <f>VLOOKUP(B60,'Analysis OUT by pay'!B:B,1,false)</f>
        <v>Milk</v>
      </c>
    </row>
    <row r="61" ht="15.75" customHeight="1">
      <c r="A61" s="489" t="s">
        <v>151</v>
      </c>
      <c r="B61" s="489" t="s">
        <v>143</v>
      </c>
      <c r="C61" s="484"/>
      <c r="D61" s="151" t="str">
        <f>VLOOKUP(B61,'Analysis OUT by pay'!B:B,1,false)</f>
        <v>Muesli</v>
      </c>
    </row>
    <row r="62" ht="15.75" customHeight="1">
      <c r="A62" s="489" t="s">
        <v>151</v>
      </c>
      <c r="B62" s="489" t="s">
        <v>144</v>
      </c>
      <c r="D62" s="151" t="str">
        <f>VLOOKUP(B62,'Analysis OUT by pay'!B:B,1,false)</f>
        <v>Oil</v>
      </c>
    </row>
    <row r="63" ht="15.75" customHeight="1">
      <c r="A63" s="489" t="s">
        <v>151</v>
      </c>
      <c r="B63" s="489" t="s">
        <v>145</v>
      </c>
      <c r="D63" s="151" t="str">
        <f>VLOOKUP(B63,'Analysis OUT by pay'!B:B,1,false)</f>
        <v>Peanut butter</v>
      </c>
    </row>
    <row r="64" ht="15.75" customHeight="1">
      <c r="A64" s="489" t="s">
        <v>151</v>
      </c>
      <c r="B64" s="489" t="s">
        <v>146</v>
      </c>
      <c r="D64" s="151" t="str">
        <f>VLOOKUP(B64,'Analysis OUT by pay'!B:B,1,false)</f>
        <v>pepper</v>
      </c>
    </row>
    <row r="65" ht="15.75" customHeight="1">
      <c r="A65" s="489" t="s">
        <v>151</v>
      </c>
      <c r="B65" s="489" t="s">
        <v>147</v>
      </c>
      <c r="D65" s="151" t="str">
        <f>VLOOKUP(B65,'Analysis OUT by pay'!B:B,1,false)</f>
        <v>Salt</v>
      </c>
    </row>
    <row r="66" ht="15.75" customHeight="1">
      <c r="A66" s="489" t="s">
        <v>151</v>
      </c>
      <c r="B66" s="489" t="s">
        <v>148</v>
      </c>
      <c r="C66" s="484"/>
      <c r="D66" s="151" t="str">
        <f>VLOOKUP(B66,'Analysis OUT by pay'!B:B,1,false)</f>
        <v>Sugar</v>
      </c>
    </row>
    <row r="67" ht="15.75" customHeight="1">
      <c r="A67" s="489" t="s">
        <v>151</v>
      </c>
      <c r="B67" s="489" t="s">
        <v>149</v>
      </c>
      <c r="C67" s="484"/>
      <c r="D67" s="151" t="str">
        <f>VLOOKUP(B67,'Analysis OUT by pay'!B:B,1,false)</f>
        <v>Tea</v>
      </c>
    </row>
    <row r="68" ht="15.75" customHeight="1">
      <c r="A68" s="489" t="s">
        <v>151</v>
      </c>
      <c r="B68" s="489" t="s">
        <v>150</v>
      </c>
      <c r="C68" s="484"/>
      <c r="D68" s="151" t="str">
        <f>VLOOKUP(B68,'Analysis OUT by pay'!B:B,1,false)</f>
        <v>Vegan</v>
      </c>
    </row>
    <row r="69" ht="15.75" customHeight="1">
      <c r="A69" s="82" t="s">
        <v>1880</v>
      </c>
      <c r="B69" s="489" t="s">
        <v>259</v>
      </c>
      <c r="D69" s="151" t="str">
        <f>VLOOKUP(B69,'Analysis OUT by pay'!B:B,1,false)</f>
        <v>Pills</v>
      </c>
    </row>
    <row r="70" ht="15.75" customHeight="1">
      <c r="A70" s="140" t="s">
        <v>165</v>
      </c>
      <c r="B70" s="489" t="s">
        <v>152</v>
      </c>
      <c r="D70" s="151" t="str">
        <f>VLOOKUP(B70,'Analysis OUT by pay'!B:B,1,false)</f>
        <v>Bleach Toilet</v>
      </c>
    </row>
    <row r="71" ht="15.75" customHeight="1">
      <c r="A71" s="140" t="s">
        <v>165</v>
      </c>
      <c r="B71" s="489" t="s">
        <v>153</v>
      </c>
      <c r="D71" s="151" t="str">
        <f>VLOOKUP(B71,'Analysis OUT by pay'!B:B,1,false)</f>
        <v>Cifi</v>
      </c>
    </row>
    <row r="72" ht="15.75" customHeight="1">
      <c r="A72" s="140" t="s">
        <v>165</v>
      </c>
      <c r="B72" s="489" t="s">
        <v>155</v>
      </c>
      <c r="D72" s="151" t="str">
        <f>VLOOKUP(B72,'Analysis OUT by pay'!B:B,1,false)</f>
        <v>Dishwash Liquid</v>
      </c>
    </row>
    <row r="73" ht="15.75" customHeight="1">
      <c r="A73" s="491" t="s">
        <v>165</v>
      </c>
      <c r="B73" s="489" t="s">
        <v>156</v>
      </c>
      <c r="C73" s="484"/>
      <c r="D73" s="151" t="str">
        <f>VLOOKUP(B73,'Analysis OUT by pay'!B:B,1,false)</f>
        <v>Diverso-Cleaning</v>
      </c>
    </row>
    <row r="74" ht="15.75" customHeight="1">
      <c r="A74" s="140" t="s">
        <v>165</v>
      </c>
      <c r="B74" s="489" t="s">
        <v>157</v>
      </c>
      <c r="D74" s="151" t="str">
        <f>VLOOKUP(B74,'Analysis OUT by pay'!B:B,1,false)</f>
        <v>Glass Cleaner</v>
      </c>
    </row>
    <row r="75" ht="15.75" customHeight="1">
      <c r="A75" s="140" t="s">
        <v>165</v>
      </c>
      <c r="B75" s="489" t="s">
        <v>158</v>
      </c>
      <c r="D75" s="151" t="str">
        <f>VLOOKUP(B75,'Analysis OUT by pay'!B:B,1,false)</f>
        <v>Mistolin</v>
      </c>
    </row>
    <row r="76" ht="15.75" customHeight="1">
      <c r="A76" s="140" t="s">
        <v>165</v>
      </c>
      <c r="B76" s="489" t="s">
        <v>159</v>
      </c>
      <c r="D76" s="151" t="str">
        <f>VLOOKUP(B76,'Analysis OUT by pay'!B:B,1,false)</f>
        <v>Mop</v>
      </c>
    </row>
    <row r="77" ht="15.75" customHeight="1">
      <c r="A77" s="140" t="s">
        <v>165</v>
      </c>
      <c r="B77" s="489" t="s">
        <v>160</v>
      </c>
      <c r="D77" s="151" t="str">
        <f>VLOOKUP(B77,'Analysis OUT by pay'!B:B,1,false)</f>
        <v>saco10l</v>
      </c>
    </row>
    <row r="78" ht="15.75" customHeight="1">
      <c r="A78" s="140" t="s">
        <v>165</v>
      </c>
      <c r="B78" s="489" t="s">
        <v>161</v>
      </c>
      <c r="D78" s="151" t="str">
        <f>VLOOKUP(B78,'Analysis OUT by pay'!B:B,1,false)</f>
        <v>Softner</v>
      </c>
    </row>
    <row r="79" ht="15.75" customHeight="1">
      <c r="A79" s="140" t="s">
        <v>165</v>
      </c>
      <c r="B79" s="489" t="s">
        <v>162</v>
      </c>
      <c r="D79" s="151" t="str">
        <f>VLOOKUP(B79,'Analysis OUT by pay'!B:B,1,false)</f>
        <v>Sponges</v>
      </c>
    </row>
    <row r="80" ht="15.75" customHeight="1">
      <c r="A80" s="140" t="s">
        <v>165</v>
      </c>
      <c r="B80" s="489" t="s">
        <v>163</v>
      </c>
      <c r="D80" s="151" t="str">
        <f>VLOOKUP(B80,'Analysis OUT by pay'!B:B,1,false)</f>
        <v>Ttrash bag 50l</v>
      </c>
    </row>
    <row r="81" ht="15.75" customHeight="1">
      <c r="A81" s="140" t="s">
        <v>165</v>
      </c>
      <c r="B81" s="489" t="s">
        <v>164</v>
      </c>
      <c r="D81" s="151" t="str">
        <f>VLOOKUP(B81,'Analysis OUT by pay'!B:B,1,false)</f>
        <v>Washing Powder</v>
      </c>
    </row>
    <row r="82" ht="15.75" customHeight="1">
      <c r="A82" s="492" t="s">
        <v>112</v>
      </c>
      <c r="B82" s="489" t="s">
        <v>106</v>
      </c>
      <c r="D82" s="151" t="str">
        <f>VLOOKUP(B82,'Analysis OUT by pay'!B:B,1,false)</f>
        <v>Airbnb cancelation</v>
      </c>
    </row>
    <row r="83" ht="15.75" customHeight="1">
      <c r="A83" s="492" t="s">
        <v>112</v>
      </c>
      <c r="B83" s="489" t="s">
        <v>107</v>
      </c>
      <c r="D83" s="151" t="str">
        <f>VLOOKUP(B83,'Analysis OUT by pay'!B:B,1,false)</f>
        <v>Airbnb comission</v>
      </c>
    </row>
    <row r="84" ht="15.75" customHeight="1">
      <c r="A84" s="492" t="s">
        <v>112</v>
      </c>
      <c r="B84" s="489" t="s">
        <v>108</v>
      </c>
      <c r="D84" s="151" t="str">
        <f>VLOOKUP(B84,'Analysis OUT by pay'!B:B,1,false)</f>
        <v>Booking Other taxs</v>
      </c>
    </row>
    <row r="85" ht="15.75" customHeight="1">
      <c r="A85" s="492" t="s">
        <v>112</v>
      </c>
      <c r="B85" s="489" t="s">
        <v>110</v>
      </c>
      <c r="C85" s="257"/>
      <c r="D85" s="151" t="str">
        <f>VLOOKUP(B85,'Analysis OUT by pay'!B:B,1,false)</f>
        <v>Booking Payment commision</v>
      </c>
    </row>
    <row r="86" ht="15.75" customHeight="1">
      <c r="A86" s="82" t="s">
        <v>336</v>
      </c>
      <c r="B86" s="489" t="s">
        <v>30</v>
      </c>
      <c r="D86" s="151" t="str">
        <f>VLOOKUP(B86,'Analysis OUT by pay'!B:B,1,false)</f>
        <v>Adrien</v>
      </c>
    </row>
    <row r="87" ht="15.75" customHeight="1">
      <c r="A87" s="82" t="s">
        <v>336</v>
      </c>
      <c r="B87" s="489" t="s">
        <v>42</v>
      </c>
      <c r="D87" s="151" t="str">
        <f>VLOOKUP(B87,'Analysis OUT by pay'!B:B,1,false)</f>
        <v>Invest</v>
      </c>
    </row>
    <row r="88" ht="15.75" customHeight="1">
      <c r="A88" s="82" t="s">
        <v>336</v>
      </c>
      <c r="B88" s="489" t="s">
        <v>182</v>
      </c>
      <c r="D88" s="151" t="str">
        <f>VLOOKUP(B88,'Analysis OUT by pay'!B:B,1,false)</f>
        <v>Marketing</v>
      </c>
    </row>
    <row r="89" ht="15.75" customHeight="1">
      <c r="A89" s="82" t="s">
        <v>336</v>
      </c>
      <c r="B89" s="489" t="s">
        <v>333</v>
      </c>
      <c r="D89" s="151" t="str">
        <f>VLOOKUP(B89,'Analysis OUT by pay'!B:B,1,false)</f>
        <v>Rent Adri</v>
      </c>
    </row>
    <row r="90" ht="15.75" customHeight="1">
      <c r="A90" s="82" t="s">
        <v>336</v>
      </c>
      <c r="B90" s="489" t="s">
        <v>330</v>
      </c>
      <c r="D90" s="151" t="str">
        <f>VLOOKUP(B90,'Analysis OUT by pay'!B:B,1,false)</f>
        <v>Van</v>
      </c>
    </row>
    <row r="91" ht="15.75" customHeight="1">
      <c r="A91" s="140" t="s">
        <v>328</v>
      </c>
      <c r="B91" s="489" t="s">
        <v>1881</v>
      </c>
      <c r="D91" s="151" t="str">
        <f>VLOOKUP(B91,'Analysis OUT by pay'!B:B,1,false)</f>
        <v>food</v>
      </c>
    </row>
    <row r="92" ht="15.75" customHeight="1">
      <c r="A92" s="140" t="s">
        <v>334</v>
      </c>
      <c r="B92" s="489" t="s">
        <v>1882</v>
      </c>
      <c r="D92" s="151" t="str">
        <f>VLOOKUP(B92,'Analysis OUT by pay'!B:B,1,false)</f>
        <v>#N/A</v>
      </c>
    </row>
    <row r="93" ht="15.75" customHeight="1">
      <c r="A93" s="140" t="s">
        <v>334</v>
      </c>
      <c r="B93" s="489" t="s">
        <v>338</v>
      </c>
      <c r="D93" s="151" t="str">
        <f>VLOOKUP(B93,'Analysis OUT by pay'!B:B,1,false)</f>
        <v>Deposit Drop</v>
      </c>
    </row>
    <row r="94" ht="15.75" customHeight="1">
      <c r="A94" s="140" t="s">
        <v>334</v>
      </c>
      <c r="B94" s="489" t="s">
        <v>339</v>
      </c>
      <c r="C94" s="484"/>
      <c r="D94" s="151" t="str">
        <f>VLOOKUP(B94,'Analysis OUT by pay'!B:B,1,false)</f>
        <v>From MB to Adrien Money</v>
      </c>
    </row>
    <row r="95" ht="15.75" customHeight="1">
      <c r="A95" s="140" t="s">
        <v>334</v>
      </c>
      <c r="B95" s="489" t="s">
        <v>340</v>
      </c>
      <c r="C95" s="484"/>
      <c r="D95" s="151" t="str">
        <f>VLOOKUP(B95,'Analysis OUT by pay'!B:B,1,false)</f>
        <v>From Drop to Adrien Money</v>
      </c>
    </row>
    <row r="96" ht="15.75" customHeight="1">
      <c r="A96" s="140" t="s">
        <v>334</v>
      </c>
      <c r="B96" s="489" t="s">
        <v>1883</v>
      </c>
      <c r="D96" s="151" t="str">
        <f>VLOOKUP(B96,'Analysis OUT by pay'!B:B,1,false)</f>
        <v>#N/A</v>
      </c>
    </row>
    <row r="97" ht="15.75" customHeight="1">
      <c r="A97" s="140" t="s">
        <v>334</v>
      </c>
      <c r="B97" s="489" t="s">
        <v>341</v>
      </c>
      <c r="C97" s="484"/>
      <c r="D97" s="151" t="str">
        <f>VLOOKUP(B97,'Analysis OUT by pay'!B:B,1,false)</f>
        <v>From Adrian Money to Drop</v>
      </c>
    </row>
    <row r="98" ht="15.75" customHeight="1">
      <c r="A98" s="140" t="s">
        <v>334</v>
      </c>
      <c r="B98" s="489" t="s">
        <v>342</v>
      </c>
      <c r="C98" s="484"/>
      <c r="D98" s="151" t="str">
        <f>VLOOKUP(B98,'Analysis OUT by pay'!B:B,1,false)</f>
        <v>From Bpi to Revolut</v>
      </c>
    </row>
    <row r="99" ht="15.75" customHeight="1">
      <c r="A99" s="140" t="s">
        <v>334</v>
      </c>
      <c r="B99" s="489" t="s">
        <v>343</v>
      </c>
      <c r="C99" s="484"/>
    </row>
    <row r="100" ht="15.75" customHeight="1">
      <c r="A100" s="140" t="s">
        <v>334</v>
      </c>
      <c r="B100" s="489" t="s">
        <v>337</v>
      </c>
      <c r="C100" s="484"/>
    </row>
    <row r="101" ht="15.75" customHeight="1">
      <c r="A101" s="82" t="s">
        <v>301</v>
      </c>
      <c r="B101" s="489" t="s">
        <v>295</v>
      </c>
      <c r="C101" s="484">
        <v>11.0</v>
      </c>
      <c r="D101" s="151" t="str">
        <f>VLOOKUP(B101,'Analysis OUT by pay'!B:B,1,false)</f>
        <v>Bathroom</v>
      </c>
    </row>
    <row r="102" ht="15.75" customHeight="1">
      <c r="A102" s="82" t="s">
        <v>301</v>
      </c>
      <c r="B102" s="489" t="s">
        <v>291</v>
      </c>
      <c r="D102" s="151" t="str">
        <f>VLOOKUP(B102,'Analysis OUT by pay'!B:B,1,false)</f>
        <v>Bedroom</v>
      </c>
    </row>
    <row r="103" ht="15.75" customHeight="1">
      <c r="A103" s="82" t="s">
        <v>301</v>
      </c>
      <c r="B103" s="489" t="s">
        <v>292</v>
      </c>
      <c r="D103" s="151" t="str">
        <f>VLOOKUP(B103,'Analysis OUT by pay'!B:B,1,false)</f>
        <v>Bedroom"Blankets"</v>
      </c>
    </row>
    <row r="104" ht="15.75" customHeight="1">
      <c r="A104" s="82" t="s">
        <v>301</v>
      </c>
      <c r="B104" s="489" t="s">
        <v>300</v>
      </c>
      <c r="D104" s="151" t="str">
        <f>VLOOKUP(B104,'Analysis OUT by pay'!B:B,1,false)</f>
        <v>Bedroom"Sheets"</v>
      </c>
    </row>
    <row r="105" ht="15.75" customHeight="1">
      <c r="A105" s="82" t="s">
        <v>301</v>
      </c>
      <c r="B105" s="489" t="s">
        <v>799</v>
      </c>
      <c r="D105" s="151" t="str">
        <f>VLOOKUP(B105,'Analysis OUT by pay'!B:B,1,false)</f>
        <v>electromenager</v>
      </c>
    </row>
    <row r="106" ht="15.75" customHeight="1">
      <c r="A106" s="82" t="s">
        <v>301</v>
      </c>
      <c r="B106" s="489" t="s">
        <v>298</v>
      </c>
      <c r="D106" s="151" t="str">
        <f>VLOOKUP(B106,'Analysis OUT by pay'!B:B,1,false)</f>
        <v>General</v>
      </c>
    </row>
    <row r="107" ht="15.75" customHeight="1">
      <c r="A107" s="82" t="s">
        <v>301</v>
      </c>
      <c r="B107" s="489" t="s">
        <v>296</v>
      </c>
      <c r="C107" s="484">
        <v>222.0</v>
      </c>
      <c r="D107" s="151" t="str">
        <f>VLOOKUP(B107,'Analysis OUT by pay'!B:B,1,false)</f>
        <v>Kitchen</v>
      </c>
    </row>
    <row r="108" ht="15.75" customHeight="1">
      <c r="A108" s="82" t="s">
        <v>301</v>
      </c>
      <c r="B108" s="489" t="s">
        <v>294</v>
      </c>
      <c r="D108" s="151" t="str">
        <f>VLOOKUP(B108,'Analysis OUT by pay'!B:B,1,false)</f>
        <v>Plants</v>
      </c>
    </row>
    <row r="109" ht="15.75" customHeight="1">
      <c r="A109" s="82" t="s">
        <v>301</v>
      </c>
      <c r="B109" s="489" t="s">
        <v>293</v>
      </c>
      <c r="D109" s="151" t="str">
        <f>VLOOKUP(B109,'Analysis OUT by pay'!B:B,1,false)</f>
        <v>Rooftop</v>
      </c>
    </row>
    <row r="110" ht="15.75" customHeight="1">
      <c r="A110" s="82" t="s">
        <v>301</v>
      </c>
      <c r="B110" s="489" t="s">
        <v>299</v>
      </c>
      <c r="D110" s="151" t="str">
        <f>VLOOKUP(B110,'Analysis OUT by pay'!B:B,1,false)</f>
        <v>Staff</v>
      </c>
    </row>
    <row r="111" ht="15.75" customHeight="1">
      <c r="A111" s="491" t="s">
        <v>171</v>
      </c>
      <c r="B111" s="489" t="s">
        <v>168</v>
      </c>
      <c r="C111" s="484"/>
      <c r="D111" s="151" t="str">
        <f>VLOOKUP(B111,'Analysis OUT by pay'!B:B,1,false)</f>
        <v>Imi</v>
      </c>
    </row>
    <row r="112" ht="15.75" customHeight="1">
      <c r="A112" s="491" t="s">
        <v>171</v>
      </c>
      <c r="B112" s="489" t="s">
        <v>166</v>
      </c>
      <c r="D112" s="151" t="str">
        <f>VLOOKUP(B112,'Analysis OUT by pay'!B:B,1,false)</f>
        <v>Imi10</v>
      </c>
    </row>
    <row r="113" ht="15.75" customHeight="1">
      <c r="A113" s="491" t="s">
        <v>171</v>
      </c>
      <c r="B113" s="489" t="s">
        <v>167</v>
      </c>
      <c r="D113" s="151" t="str">
        <f>VLOOKUP(B113,'Analysis OUT by pay'!B:B,1,false)</f>
        <v>Imi8</v>
      </c>
    </row>
    <row r="114" ht="15.75" customHeight="1">
      <c r="A114" s="491" t="s">
        <v>171</v>
      </c>
      <c r="B114" s="489" t="s">
        <v>170</v>
      </c>
      <c r="D114" s="151" t="str">
        <f>VLOOKUP(B114,'Analysis OUT by pay'!B:B,1,false)</f>
        <v>INPI</v>
      </c>
    </row>
    <row r="115" ht="15.75" customHeight="1">
      <c r="A115" s="491" t="s">
        <v>171</v>
      </c>
      <c r="B115" s="489" t="s">
        <v>169</v>
      </c>
      <c r="C115" s="484"/>
      <c r="D115" s="151" t="str">
        <f>VLOOKUP(B115,'Analysis OUT by pay'!B:B,1,false)</f>
        <v>IRS</v>
      </c>
    </row>
    <row r="116" ht="15.75" customHeight="1">
      <c r="A116" s="491" t="s">
        <v>171</v>
      </c>
      <c r="B116" s="489" t="s">
        <v>45</v>
      </c>
      <c r="D116" s="151" t="str">
        <f>VLOOKUP(B116,'Analysis OUT by pay'!B:B,1,false)</f>
        <v>IVA</v>
      </c>
    </row>
    <row r="117" ht="15.75" customHeight="1">
      <c r="A117" s="491" t="s">
        <v>171</v>
      </c>
      <c r="B117" s="489" t="s">
        <v>44</v>
      </c>
      <c r="D117" s="151" t="str">
        <f>VLOOKUP(B117,'Analysis OUT by pay'!B:B,1,false)</f>
        <v>Seg.Soc.</v>
      </c>
    </row>
    <row r="118" ht="15.75" customHeight="1">
      <c r="A118" s="140" t="s">
        <v>176</v>
      </c>
      <c r="B118" s="489" t="s">
        <v>37</v>
      </c>
      <c r="D118" s="151" t="str">
        <f>VLOOKUP(B118,'Analysis OUT by pay'!B:B,1,false)</f>
        <v>Aggema</v>
      </c>
    </row>
    <row r="119" ht="15.75" customHeight="1">
      <c r="A119" s="140" t="s">
        <v>176</v>
      </c>
      <c r="B119" s="489" t="s">
        <v>172</v>
      </c>
      <c r="D119" s="151" t="str">
        <f>VLOOKUP(B119,'Analysis OUT by pay'!B:B,1,false)</f>
        <v>Auto</v>
      </c>
    </row>
    <row r="120" ht="15.75" customHeight="1">
      <c r="A120" s="140" t="s">
        <v>176</v>
      </c>
      <c r="B120" s="489" t="s">
        <v>41</v>
      </c>
      <c r="D120" s="151" t="str">
        <f>VLOOKUP(B120,'Analysis OUT by pay'!B:B,1,false)</f>
        <v>CFE</v>
      </c>
    </row>
    <row r="121" ht="15.75" customHeight="1">
      <c r="A121" s="140" t="s">
        <v>176</v>
      </c>
      <c r="B121" s="489" t="s">
        <v>175</v>
      </c>
      <c r="D121" s="151" t="str">
        <f>VLOOKUP(B121,'Analysis OUT by pay'!B:B,1,false)</f>
        <v>Madalena10</v>
      </c>
    </row>
    <row r="122" ht="15.75" customHeight="1">
      <c r="A122" s="140" t="s">
        <v>176</v>
      </c>
      <c r="B122" s="489" t="s">
        <v>173</v>
      </c>
      <c r="D122" s="151" t="str">
        <f>VLOOKUP(B122,'Analysis OUT by pay'!B:B,1,false)</f>
        <v>Madalena8</v>
      </c>
    </row>
    <row r="123" ht="15.75" customHeight="1">
      <c r="A123" s="140" t="s">
        <v>176</v>
      </c>
      <c r="B123" s="489" t="s">
        <v>174</v>
      </c>
      <c r="D123" s="151" t="str">
        <f>VLOOKUP(B123,'Analysis OUT by pay'!B:B,1,false)</f>
        <v>Res.Civ.Hostel</v>
      </c>
    </row>
    <row r="124" ht="15.75" customHeight="1">
      <c r="A124" s="82" t="s">
        <v>290</v>
      </c>
      <c r="B124" s="489" t="s">
        <v>261</v>
      </c>
      <c r="D124" s="151" t="str">
        <f>VLOOKUP(B124,'Analysis OUT by pay'!B:B,1,false)</f>
        <v>Amarguinha</v>
      </c>
    </row>
    <row r="125" ht="15.75" customHeight="1">
      <c r="A125" s="82" t="s">
        <v>290</v>
      </c>
      <c r="B125" s="489" t="s">
        <v>278</v>
      </c>
      <c r="D125" s="151" t="str">
        <f>VLOOKUP(B125,'Analysis OUT by pay'!B:B,1,false)</f>
        <v>Aperol</v>
      </c>
    </row>
    <row r="126" ht="15.75" customHeight="1">
      <c r="A126" s="82" t="s">
        <v>290</v>
      </c>
      <c r="B126" s="489" t="s">
        <v>262</v>
      </c>
      <c r="D126" s="151" t="str">
        <f>VLOOKUP(B126,'Analysis OUT by pay'!B:B,1,false)</f>
        <v>Beirao</v>
      </c>
    </row>
    <row r="127" ht="15.75" customHeight="1">
      <c r="A127" s="82" t="s">
        <v>290</v>
      </c>
      <c r="B127" s="489" t="s">
        <v>263</v>
      </c>
      <c r="D127" s="151" t="str">
        <f>VLOOKUP(B127,'Analysis OUT by pay'!B:B,1,false)</f>
        <v>Ginha</v>
      </c>
    </row>
    <row r="128" ht="15.75" customHeight="1">
      <c r="A128" s="82" t="s">
        <v>290</v>
      </c>
      <c r="B128" s="489" t="s">
        <v>264</v>
      </c>
      <c r="D128" s="151" t="str">
        <f>VLOOKUP(B128,'Analysis OUT by pay'!B:B,1,false)</f>
        <v>Maciera</v>
      </c>
    </row>
    <row r="129" ht="15.75" customHeight="1">
      <c r="A129" s="82" t="s">
        <v>290</v>
      </c>
      <c r="B129" s="489" t="s">
        <v>269</v>
      </c>
      <c r="D129" s="151" t="str">
        <f>VLOOKUP(B129,'Analysis OUT by pay'!B:B,1,false)</f>
        <v>Medronho</v>
      </c>
    </row>
    <row r="130" ht="15.75" customHeight="1">
      <c r="A130" s="82" t="s">
        <v>290</v>
      </c>
      <c r="B130" s="489" t="s">
        <v>1884</v>
      </c>
      <c r="D130" s="151" t="str">
        <f>VLOOKUP(B130,'Analysis OUT by pay'!B:B,1,false)</f>
        <v>#N/A</v>
      </c>
    </row>
    <row r="131" ht="15.75" customHeight="1">
      <c r="A131" s="82" t="s">
        <v>290</v>
      </c>
      <c r="B131" s="489" t="s">
        <v>1885</v>
      </c>
      <c r="D131" s="151" t="str">
        <f>VLOOKUP(B131,'Analysis OUT by pay'!B:B,1,false)</f>
        <v>#N/A</v>
      </c>
    </row>
    <row r="132" ht="15.75" customHeight="1">
      <c r="A132" s="140" t="s">
        <v>258</v>
      </c>
      <c r="B132" s="489" t="s">
        <v>258</v>
      </c>
      <c r="D132" s="151" t="str">
        <f>VLOOKUP(B132,'Analysis OUT by pay'!B:B,1,false)</f>
        <v>Lollipop</v>
      </c>
    </row>
    <row r="133" ht="15.75" customHeight="1">
      <c r="A133" s="140" t="s">
        <v>180</v>
      </c>
      <c r="B133" s="489" t="s">
        <v>177</v>
      </c>
      <c r="D133" s="151" t="str">
        <f>VLOOKUP(B133,'Analysis OUT by pay'!B:B,1,false)</f>
        <v>Administracao</v>
      </c>
    </row>
    <row r="134" ht="15.75" customHeight="1">
      <c r="A134" s="140" t="s">
        <v>180</v>
      </c>
      <c r="B134" s="489" t="s">
        <v>179</v>
      </c>
      <c r="C134" s="257"/>
      <c r="D134" s="151" t="str">
        <f>VLOOKUP(B134,'Analysis OUT by pay'!B:B,1,false)</f>
        <v>Obra</v>
      </c>
    </row>
    <row r="135" ht="15.75" customHeight="1">
      <c r="A135" s="140" t="s">
        <v>182</v>
      </c>
      <c r="B135" s="489" t="s">
        <v>181</v>
      </c>
      <c r="D135" s="151" t="str">
        <f>VLOOKUP(B135,'Analysis OUT by pay'!B:B,1,false)</f>
        <v>Others-marketing</v>
      </c>
    </row>
    <row r="136" ht="15.75" customHeight="1">
      <c r="A136" s="165" t="s">
        <v>185</v>
      </c>
      <c r="B136" s="489" t="s">
        <v>40</v>
      </c>
      <c r="C136" s="484"/>
      <c r="D136" s="151" t="str">
        <f>VLOOKUP(B136,'Analysis OUT by pay'!B:B,1,false)</f>
        <v>ÁguaFAGAR</v>
      </c>
    </row>
    <row r="137" ht="15.75" customHeight="1">
      <c r="A137" s="165" t="s">
        <v>185</v>
      </c>
      <c r="B137" s="489" t="s">
        <v>58</v>
      </c>
      <c r="D137" s="151" t="str">
        <f>VLOOKUP(B137,'Analysis OUT by pay'!B:B,1,false)</f>
        <v>CityTax</v>
      </c>
    </row>
    <row r="138" ht="15.75" customHeight="1">
      <c r="A138" s="165" t="s">
        <v>185</v>
      </c>
      <c r="B138" s="489" t="s">
        <v>48</v>
      </c>
      <c r="D138" s="151" t="str">
        <f>VLOOKUP(B138,'Analysis OUT by pay'!B:B,1,false)</f>
        <v>Cloudbeds</v>
      </c>
    </row>
    <row r="139" ht="15.75" customHeight="1">
      <c r="A139" s="165" t="s">
        <v>185</v>
      </c>
      <c r="B139" s="489" t="s">
        <v>26</v>
      </c>
      <c r="C139" s="484"/>
      <c r="D139" s="151" t="str">
        <f>VLOOKUP(B139,'Analysis OUT by pay'!B:B,1,false)</f>
        <v>Contabilidade</v>
      </c>
    </row>
    <row r="140" ht="15.75" customHeight="1">
      <c r="A140" s="165" t="s">
        <v>185</v>
      </c>
      <c r="B140" s="489" t="s">
        <v>39</v>
      </c>
      <c r="C140" s="484"/>
      <c r="D140" s="151" t="str">
        <f>VLOOKUP(B140,'Analysis OUT by pay'!B:B,1,false)</f>
        <v>EnergiaEDP</v>
      </c>
    </row>
    <row r="141" ht="15.75" customHeight="1">
      <c r="A141" s="165" t="s">
        <v>185</v>
      </c>
      <c r="B141" s="489" t="s">
        <v>183</v>
      </c>
      <c r="C141" s="484"/>
      <c r="D141" s="151" t="str">
        <f>VLOOKUP(B141,'Analysis OUT by pay'!B:B,1,false)</f>
        <v>Gaz</v>
      </c>
    </row>
    <row r="142" ht="15.75" customHeight="1">
      <c r="A142" s="165" t="s">
        <v>185</v>
      </c>
      <c r="B142" s="489" t="s">
        <v>32</v>
      </c>
      <c r="D142" s="151" t="str">
        <f>VLOOKUP(B142,'Analysis OUT by pay'!B:B,1,false)</f>
        <v>NOSInternet</v>
      </c>
    </row>
    <row r="143" ht="15.75" customHeight="1">
      <c r="A143" s="165" t="s">
        <v>185</v>
      </c>
      <c r="B143" s="489" t="s">
        <v>184</v>
      </c>
      <c r="C143" s="484"/>
      <c r="D143" s="151" t="str">
        <f>VLOOKUP(B143,'Analysis OUT by pay'!B:B,1,false)</f>
        <v>Spotify</v>
      </c>
    </row>
    <row r="144" ht="15.75" customHeight="1">
      <c r="A144" s="140" t="s">
        <v>179</v>
      </c>
      <c r="B144" s="489" t="s">
        <v>1886</v>
      </c>
      <c r="D144" s="151" t="str">
        <f>VLOOKUP(B144,'Analysis OUT by pay'!B:B,1,false)</f>
        <v>#N/A</v>
      </c>
    </row>
    <row r="145" ht="15.75" customHeight="1">
      <c r="A145" s="140" t="s">
        <v>179</v>
      </c>
      <c r="B145" s="489" t="s">
        <v>1887</v>
      </c>
      <c r="D145" s="151" t="str">
        <f>VLOOKUP(B145,'Analysis OUT by pay'!B:B,1,false)</f>
        <v>#N/A</v>
      </c>
    </row>
    <row r="146" ht="15.75" customHeight="1">
      <c r="A146" s="140" t="s">
        <v>179</v>
      </c>
      <c r="B146" s="489" t="s">
        <v>1888</v>
      </c>
      <c r="D146" s="151" t="str">
        <f>VLOOKUP(B146,'Analysis OUT by pay'!B:B,1,false)</f>
        <v>#N/A</v>
      </c>
    </row>
    <row r="147" ht="15.75" customHeight="1">
      <c r="A147" s="140" t="s">
        <v>179</v>
      </c>
      <c r="B147" s="489" t="s">
        <v>1889</v>
      </c>
      <c r="D147" s="151" t="str">
        <f>VLOOKUP(B147,'Analysis OUT by pay'!B:B,1,false)</f>
        <v>#N/A</v>
      </c>
    </row>
    <row r="148" ht="15.75" customHeight="1">
      <c r="A148" s="140" t="s">
        <v>1890</v>
      </c>
      <c r="B148" s="489" t="s">
        <v>1891</v>
      </c>
      <c r="D148" s="151" t="str">
        <f>VLOOKUP(B148,'Analysis OUT by pay'!B:B,1,false)</f>
        <v>#N/A</v>
      </c>
    </row>
    <row r="149" ht="15.75" customHeight="1">
      <c r="A149" s="140" t="s">
        <v>1890</v>
      </c>
      <c r="B149" s="489" t="s">
        <v>1892</v>
      </c>
      <c r="D149" s="151" t="str">
        <f>VLOOKUP(B149,'Analysis OUT by pay'!B:B,1,false)</f>
        <v>#N/A</v>
      </c>
    </row>
    <row r="150" ht="15.75" customHeight="1">
      <c r="A150" s="140" t="s">
        <v>1890</v>
      </c>
      <c r="B150" s="489" t="s">
        <v>1893</v>
      </c>
      <c r="D150" s="151" t="str">
        <f>VLOOKUP(B150,'Analysis OUT by pay'!B:B,1,false)</f>
        <v>#N/A</v>
      </c>
    </row>
    <row r="151" ht="15.75" customHeight="1">
      <c r="A151" s="140" t="s">
        <v>1890</v>
      </c>
      <c r="B151" s="489" t="s">
        <v>1894</v>
      </c>
      <c r="D151" s="151" t="str">
        <f>VLOOKUP(B151,'Analysis OUT by pay'!B:B,1,false)</f>
        <v>#N/A</v>
      </c>
    </row>
    <row r="152" ht="15.75" customHeight="1">
      <c r="A152" s="140" t="s">
        <v>1890</v>
      </c>
      <c r="B152" s="489" t="s">
        <v>1895</v>
      </c>
      <c r="D152" s="151" t="str">
        <f>VLOOKUP(B152,'Analysis OUT by pay'!B:B,1,false)</f>
        <v>#N/A</v>
      </c>
    </row>
    <row r="153" ht="15.75" customHeight="1">
      <c r="A153" s="140" t="s">
        <v>1890</v>
      </c>
      <c r="B153" s="489" t="s">
        <v>1896</v>
      </c>
      <c r="D153" s="151" t="str">
        <f>VLOOKUP(B153,'Analysis OUT by pay'!B:B,1,false)</f>
        <v>#N/A</v>
      </c>
    </row>
    <row r="154" ht="15.75" customHeight="1">
      <c r="A154" s="140" t="s">
        <v>1890</v>
      </c>
      <c r="B154" s="489" t="s">
        <v>1897</v>
      </c>
      <c r="D154" s="151" t="str">
        <f>VLOOKUP(B154,'Analysis OUT by pay'!B:B,1,false)</f>
        <v>#N/A</v>
      </c>
    </row>
    <row r="155" ht="15.75" customHeight="1">
      <c r="A155" s="82" t="s">
        <v>1898</v>
      </c>
      <c r="B155" s="489" t="s">
        <v>1899</v>
      </c>
      <c r="D155" s="151" t="str">
        <f>VLOOKUP(B155,'Analysis OUT by pay'!B:B,1,false)</f>
        <v>#N/A</v>
      </c>
    </row>
    <row r="156" ht="15.75" customHeight="1">
      <c r="A156" s="82" t="s">
        <v>1898</v>
      </c>
      <c r="B156" s="489" t="s">
        <v>1900</v>
      </c>
      <c r="D156" s="151" t="str">
        <f>VLOOKUP(B156,'Analysis OUT by pay'!B:B,1,false)</f>
        <v>#N/A</v>
      </c>
    </row>
    <row r="157" ht="15.75" customHeight="1">
      <c r="A157" s="82" t="s">
        <v>1898</v>
      </c>
      <c r="B157" s="489" t="s">
        <v>1901</v>
      </c>
      <c r="D157" s="151" t="str">
        <f>VLOOKUP(B157,'Analysis OUT by pay'!B:B,1,false)</f>
        <v>#N/A</v>
      </c>
    </row>
    <row r="158" ht="15.75" customHeight="1">
      <c r="A158" s="82" t="s">
        <v>1898</v>
      </c>
      <c r="B158" s="489" t="s">
        <v>1902</v>
      </c>
      <c r="D158" s="151" t="str">
        <f>VLOOKUP(B158,'Analysis OUT by pay'!B:B,1,false)</f>
        <v>#N/A</v>
      </c>
    </row>
    <row r="159" ht="15.75" customHeight="1">
      <c r="A159" s="82" t="s">
        <v>1898</v>
      </c>
      <c r="B159" s="489" t="s">
        <v>1903</v>
      </c>
      <c r="D159" s="151" t="str">
        <f>VLOOKUP(B159,'Analysis OUT by pay'!B:B,1,false)</f>
        <v>#N/A</v>
      </c>
    </row>
    <row r="160" ht="15.75" customHeight="1">
      <c r="A160" s="82" t="s">
        <v>1898</v>
      </c>
      <c r="B160" s="489" t="s">
        <v>1904</v>
      </c>
      <c r="D160" s="151" t="str">
        <f>VLOOKUP(B160,'Analysis OUT by pay'!B:B,1,false)</f>
        <v>#N/A</v>
      </c>
    </row>
    <row r="161" ht="15.75" customHeight="1">
      <c r="A161" s="82" t="s">
        <v>1898</v>
      </c>
      <c r="B161" s="489" t="s">
        <v>1905</v>
      </c>
      <c r="D161" s="151" t="str">
        <f>VLOOKUP(B161,'Analysis OUT by pay'!B:B,1,false)</f>
        <v>#N/A</v>
      </c>
    </row>
    <row r="162" ht="15.75" customHeight="1">
      <c r="A162" s="82" t="s">
        <v>1898</v>
      </c>
      <c r="B162" s="489" t="s">
        <v>1906</v>
      </c>
      <c r="D162" s="151" t="str">
        <f>VLOOKUP(B162,'Analysis OUT by pay'!B:B,1,false)</f>
        <v>#N/A</v>
      </c>
    </row>
    <row r="163" ht="15.75" customHeight="1">
      <c r="A163" s="82" t="s">
        <v>1898</v>
      </c>
      <c r="B163" s="489" t="s">
        <v>1907</v>
      </c>
      <c r="D163" s="151" t="str">
        <f>VLOOKUP(B163,'Analysis OUT by pay'!B:B,1,false)</f>
        <v>#N/A</v>
      </c>
    </row>
    <row r="164" ht="15.75" customHeight="1">
      <c r="A164" s="82" t="s">
        <v>1898</v>
      </c>
      <c r="B164" s="489" t="s">
        <v>1908</v>
      </c>
      <c r="D164" s="151" t="str">
        <f>VLOOKUP(B164,'Analysis OUT by pay'!B:B,1,false)</f>
        <v>#N/A</v>
      </c>
    </row>
    <row r="165" ht="15.75" customHeight="1">
      <c r="A165" s="140" t="s">
        <v>1909</v>
      </c>
      <c r="B165" s="489" t="s">
        <v>1910</v>
      </c>
      <c r="D165" s="151" t="str">
        <f>VLOOKUP(B165,'Analysis OUT by pay'!B:B,1,false)</f>
        <v>#N/A</v>
      </c>
    </row>
    <row r="166" ht="15.75" customHeight="1">
      <c r="A166" s="140" t="s">
        <v>1911</v>
      </c>
      <c r="B166" s="489" t="s">
        <v>1912</v>
      </c>
      <c r="D166" s="151" t="str">
        <f>VLOOKUP(B166,'Analysis OUT by pay'!B:B,1,false)</f>
        <v>#N/A</v>
      </c>
    </row>
    <row r="167" ht="15.75" customHeight="1">
      <c r="A167" s="140" t="s">
        <v>1911</v>
      </c>
      <c r="B167" s="489" t="s">
        <v>1913</v>
      </c>
      <c r="D167" s="151" t="str">
        <f>VLOOKUP(B167,'Analysis OUT by pay'!B:B,1,false)</f>
        <v>#N/A</v>
      </c>
    </row>
    <row r="168" ht="15.75" customHeight="1">
      <c r="A168" s="140" t="s">
        <v>1914</v>
      </c>
      <c r="B168" s="489" t="s">
        <v>1915</v>
      </c>
      <c r="C168" s="484"/>
      <c r="D168" s="151" t="str">
        <f>VLOOKUP(B168,'Analysis OUT by pay'!B:B,1,false)</f>
        <v>#N/A</v>
      </c>
    </row>
    <row r="169" ht="15.75" customHeight="1">
      <c r="A169" s="140" t="s">
        <v>1914</v>
      </c>
      <c r="B169" s="489" t="s">
        <v>1916</v>
      </c>
      <c r="D169" s="151" t="str">
        <f>VLOOKUP(B169,'Analysis OUT by pay'!B:B,1,false)</f>
        <v>#N/A</v>
      </c>
    </row>
    <row r="170" ht="15.75" customHeight="1">
      <c r="A170" s="140" t="s">
        <v>1914</v>
      </c>
      <c r="B170" s="489" t="s">
        <v>1917</v>
      </c>
      <c r="C170" s="484"/>
      <c r="D170" s="151" t="str">
        <f>VLOOKUP(B170,'Analysis OUT by pay'!B:B,1,false)</f>
        <v>#N/A</v>
      </c>
    </row>
    <row r="171" ht="15.75" customHeight="1">
      <c r="A171" s="82" t="s">
        <v>1918</v>
      </c>
      <c r="B171" s="489" t="s">
        <v>1919</v>
      </c>
      <c r="D171" s="151" t="str">
        <f>VLOOKUP(B171,'Analysis OUT by pay'!B:B,1,false)</f>
        <v>#N/A</v>
      </c>
    </row>
    <row r="172" ht="15.75" customHeight="1">
      <c r="A172" s="82" t="s">
        <v>1918</v>
      </c>
      <c r="B172" s="489" t="s">
        <v>1920</v>
      </c>
      <c r="D172" s="151" t="str">
        <f>VLOOKUP(B172,'Analysis OUT by pay'!B:B,1,false)</f>
        <v>#N/A</v>
      </c>
    </row>
    <row r="173" ht="15.75" customHeight="1">
      <c r="A173" s="82" t="s">
        <v>1918</v>
      </c>
      <c r="B173" s="489" t="s">
        <v>1921</v>
      </c>
      <c r="D173" s="151" t="str">
        <f>VLOOKUP(B173,'Analysis OUT by pay'!B:B,1,false)</f>
        <v>#N/A</v>
      </c>
    </row>
    <row r="174" ht="15.75" customHeight="1">
      <c r="A174" s="140" t="s">
        <v>1922</v>
      </c>
      <c r="B174" s="489" t="s">
        <v>1923</v>
      </c>
      <c r="D174" s="151" t="str">
        <f>VLOOKUP(B174,'Analysis OUT by pay'!B:B,1,false)</f>
        <v>#N/A</v>
      </c>
    </row>
    <row r="175" ht="15.75" customHeight="1">
      <c r="A175" s="140" t="s">
        <v>1922</v>
      </c>
      <c r="B175" s="489" t="s">
        <v>1924</v>
      </c>
      <c r="D175" s="151" t="str">
        <f>VLOOKUP(B175,'Analysis OUT by pay'!B:B,1,false)</f>
        <v>#N/A</v>
      </c>
    </row>
    <row r="176" ht="15.75" customHeight="1">
      <c r="A176" s="140" t="s">
        <v>1922</v>
      </c>
      <c r="B176" s="489" t="s">
        <v>1925</v>
      </c>
      <c r="D176" s="151" t="str">
        <f>VLOOKUP(B176,'Analysis OUT by pay'!B:B,1,false)</f>
        <v>#N/A</v>
      </c>
    </row>
    <row r="177" ht="15.75" customHeight="1">
      <c r="A177" s="489" t="s">
        <v>20</v>
      </c>
      <c r="B177" s="489" t="s">
        <v>25</v>
      </c>
      <c r="D177" s="151" t="str">
        <f>VLOOKUP(B177,'Analysis OUT by pay'!B:B,1,false)</f>
        <v>Furnitures-Cafe</v>
      </c>
    </row>
    <row r="178" ht="15.75" customHeight="1">
      <c r="A178" s="489"/>
      <c r="B178" s="489"/>
    </row>
    <row r="179" ht="15.75" customHeight="1">
      <c r="A179" s="489" t="s">
        <v>20</v>
      </c>
      <c r="B179" s="489" t="s">
        <v>31</v>
      </c>
      <c r="D179" s="151" t="str">
        <f>VLOOKUP(B179,'Analysis OUT by pay'!B:B,1,false)</f>
        <v>Material/Tools-Cafe</v>
      </c>
    </row>
    <row r="180" ht="15.75" customHeight="1">
      <c r="A180" s="489" t="s">
        <v>20</v>
      </c>
      <c r="B180" s="489" t="s">
        <v>302</v>
      </c>
      <c r="D180" s="151" t="str">
        <f>VLOOKUP(B180,'Analysis OUT by pay'!B:B,1,false)</f>
        <v>MaodeObra-Cafe</v>
      </c>
    </row>
    <row r="181" ht="15.75" customHeight="1">
      <c r="A181" s="489" t="s">
        <v>20</v>
      </c>
      <c r="B181" s="165" t="s">
        <v>22</v>
      </c>
    </row>
    <row r="182" ht="15.75" customHeight="1">
      <c r="A182" s="489" t="s">
        <v>20</v>
      </c>
      <c r="B182" s="165" t="s">
        <v>33</v>
      </c>
    </row>
    <row r="183" ht="15.75" customHeight="1">
      <c r="A183" s="489" t="s">
        <v>20</v>
      </c>
      <c r="B183" s="82" t="s">
        <v>34</v>
      </c>
    </row>
    <row r="184" ht="15.75" customHeight="1">
      <c r="A184" s="140" t="s">
        <v>222</v>
      </c>
      <c r="B184" s="140" t="s">
        <v>221</v>
      </c>
      <c r="D184" s="151" t="str">
        <f>VLOOKUP(B184,'Analysis OUT by pay'!B:B,1,false)</f>
        <v>Dryer</v>
      </c>
    </row>
    <row r="185" ht="15.75" customHeight="1">
      <c r="A185" s="140" t="s">
        <v>222</v>
      </c>
      <c r="B185" s="140" t="s">
        <v>219</v>
      </c>
      <c r="D185" s="151" t="str">
        <f>VLOOKUP(B185,'Analysis OUT by pay'!B:B,1,false)</f>
        <v>Key</v>
      </c>
    </row>
    <row r="186" ht="15.75" customHeight="1">
      <c r="A186" s="140" t="s">
        <v>222</v>
      </c>
      <c r="B186" s="140" t="s">
        <v>220</v>
      </c>
      <c r="D186" s="151" t="str">
        <f>VLOOKUP(B186,'Analysis OUT by pay'!B:B,1,false)</f>
        <v>Other</v>
      </c>
    </row>
    <row r="187" ht="15.75" customHeight="1">
      <c r="A187" s="491" t="s">
        <v>204</v>
      </c>
      <c r="B187" s="489" t="s">
        <v>197</v>
      </c>
      <c r="C187" s="484"/>
      <c r="D187" s="151" t="str">
        <f>VLOOKUP(B187,'Analysis OUT by pay'!B:B,1,false)</f>
        <v>Caneta</v>
      </c>
    </row>
    <row r="188" ht="15.75" customHeight="1">
      <c r="A188" s="491" t="s">
        <v>204</v>
      </c>
      <c r="B188" s="489" t="s">
        <v>198</v>
      </c>
      <c r="C188" s="484">
        <v>333.0</v>
      </c>
      <c r="D188" s="151" t="str">
        <f>VLOOKUP(B188,'Analysis OUT by pay'!B:B,1,false)</f>
        <v>Design</v>
      </c>
    </row>
    <row r="189" ht="15.75" customHeight="1">
      <c r="A189" s="491" t="s">
        <v>204</v>
      </c>
      <c r="B189" s="489" t="s">
        <v>199</v>
      </c>
      <c r="C189" s="484"/>
      <c r="D189" s="151" t="str">
        <f>VLOOKUP(B189,'Analysis OUT by pay'!B:B,1,false)</f>
        <v>Diversos-Papelaria</v>
      </c>
    </row>
    <row r="190" ht="15.75" customHeight="1">
      <c r="A190" s="491" t="s">
        <v>204</v>
      </c>
      <c r="B190" s="489" t="s">
        <v>200</v>
      </c>
      <c r="C190" s="484"/>
      <c r="D190" s="151" t="str">
        <f>VLOOKUP(B190,'Analysis OUT by pay'!B:B,1,false)</f>
        <v>Ink</v>
      </c>
    </row>
    <row r="191" ht="15.75" customHeight="1">
      <c r="A191" s="491" t="s">
        <v>204</v>
      </c>
      <c r="B191" s="489" t="s">
        <v>201</v>
      </c>
      <c r="C191" s="484">
        <v>444.0</v>
      </c>
      <c r="D191" s="151" t="str">
        <f>VLOOKUP(B191,'Analysis OUT by pay'!B:B,1,false)</f>
        <v>Lápis</v>
      </c>
    </row>
    <row r="192" ht="15.75" customHeight="1">
      <c r="A192" s="491" t="s">
        <v>204</v>
      </c>
      <c r="B192" s="489" t="s">
        <v>202</v>
      </c>
      <c r="C192" s="484"/>
      <c r="D192" s="151" t="str">
        <f>VLOOKUP(B192,'Analysis OUT by pay'!B:B,1,false)</f>
        <v>Multicopias</v>
      </c>
    </row>
    <row r="193" ht="15.75" customHeight="1">
      <c r="A193" s="140" t="s">
        <v>204</v>
      </c>
      <c r="B193" s="489" t="s">
        <v>203</v>
      </c>
      <c r="D193" s="151" t="str">
        <f>VLOOKUP(B193,'Analysis OUT by pay'!B:B,1,false)</f>
        <v>Plastificaçao</v>
      </c>
    </row>
    <row r="194" ht="15.75" customHeight="1">
      <c r="A194" s="165" t="s">
        <v>196</v>
      </c>
      <c r="B194" s="489" t="s">
        <v>186</v>
      </c>
      <c r="D194" s="151" t="str">
        <f>VLOOKUP(B194,'Analysis OUT by pay'!B:B,1,false)</f>
        <v>Diversos Papel Pack</v>
      </c>
    </row>
    <row r="195" ht="15.75" customHeight="1">
      <c r="A195" s="165" t="s">
        <v>196</v>
      </c>
      <c r="B195" s="489" t="s">
        <v>187</v>
      </c>
      <c r="D195" s="151" t="str">
        <f>VLOOKUP(B195,'Analysis OUT by pay'!B:B,1,false)</f>
        <v>Gloves</v>
      </c>
    </row>
    <row r="196" ht="15.75" customHeight="1">
      <c r="A196" s="165" t="s">
        <v>196</v>
      </c>
      <c r="B196" s="489" t="s">
        <v>188</v>
      </c>
      <c r="D196" s="151" t="str">
        <f>VLOOKUP(B196,'Analysis OUT by pay'!B:B,1,false)</f>
        <v>Handsoap</v>
      </c>
    </row>
    <row r="197" ht="15.75" customHeight="1">
      <c r="A197" s="165" t="s">
        <v>196</v>
      </c>
      <c r="B197" s="489" t="s">
        <v>189</v>
      </c>
      <c r="D197" s="151" t="str">
        <f>VLOOKUP(B197,'Analysis OUT by pay'!B:B,1,false)</f>
        <v>Iva-PapelPack</v>
      </c>
    </row>
    <row r="198" ht="15.75" customHeight="1">
      <c r="A198" s="165" t="s">
        <v>196</v>
      </c>
      <c r="B198" s="489" t="s">
        <v>190</v>
      </c>
      <c r="C198" s="484"/>
      <c r="D198" s="151" t="str">
        <f>VLOOKUP(B198,'Analysis OUT by pay'!B:B,1,false)</f>
        <v>KitchenRoll</v>
      </c>
    </row>
    <row r="199" ht="15.75" customHeight="1">
      <c r="A199" s="165" t="s">
        <v>196</v>
      </c>
      <c r="B199" s="489" t="s">
        <v>191</v>
      </c>
      <c r="C199" s="484"/>
      <c r="D199" s="151" t="str">
        <f>VLOOKUP(B199,'Analysis OUT by pay'!B:B,1,false)</f>
        <v>Sunset Floor Cleaner</v>
      </c>
    </row>
    <row r="200" ht="15.75" customHeight="1">
      <c r="A200" s="165" t="s">
        <v>196</v>
      </c>
      <c r="B200" s="489" t="s">
        <v>192</v>
      </c>
      <c r="D200" s="151" t="str">
        <f>VLOOKUP(B200,'Analysis OUT by pay'!B:B,1,false)</f>
        <v>Toalha de mao</v>
      </c>
    </row>
    <row r="201" ht="15.75" customHeight="1">
      <c r="A201" s="165" t="s">
        <v>196</v>
      </c>
      <c r="B201" s="489" t="s">
        <v>193</v>
      </c>
      <c r="C201" s="484"/>
      <c r="D201" s="151" t="str">
        <f>VLOOKUP(B201,'Analysis OUT by pay'!B:B,1,false)</f>
        <v>Toiletpaper</v>
      </c>
    </row>
    <row r="202" ht="15.75" customHeight="1">
      <c r="A202" s="165" t="s">
        <v>196</v>
      </c>
      <c r="B202" s="489" t="s">
        <v>194</v>
      </c>
      <c r="C202" s="484"/>
      <c r="D202" s="151" t="str">
        <f>VLOOKUP(B202,'Analysis OUT by pay'!B:B,1,false)</f>
        <v>Trashbag 120l</v>
      </c>
    </row>
    <row r="203" ht="15.75" customHeight="1">
      <c r="A203" s="165" t="s">
        <v>196</v>
      </c>
      <c r="B203" s="489" t="s">
        <v>195</v>
      </c>
      <c r="C203" s="484"/>
      <c r="D203" s="151" t="str">
        <f>VLOOKUP(B203,'Analysis OUT by pay'!B:B,1,false)</f>
        <v>Trashbag Toilet</v>
      </c>
    </row>
    <row r="204" ht="15.75" customHeight="1">
      <c r="A204" s="140" t="s">
        <v>109</v>
      </c>
      <c r="B204" s="82" t="s">
        <v>43</v>
      </c>
      <c r="D204" s="151" t="str">
        <f>VLOOKUP(B204,'Analysis OUT by pay'!B:B,1,false)</f>
        <v>Airbnb</v>
      </c>
    </row>
    <row r="205" ht="15.75" customHeight="1">
      <c r="A205" s="140" t="s">
        <v>109</v>
      </c>
      <c r="B205" s="140" t="s">
        <v>109</v>
      </c>
      <c r="D205" s="151" t="str">
        <f>VLOOKUP(B205,'Analysis OUT by pay'!B:B,1,false)</f>
        <v>Refund</v>
      </c>
    </row>
    <row r="206" ht="15.75" customHeight="1">
      <c r="A206" s="140" t="s">
        <v>1926</v>
      </c>
      <c r="B206" s="489" t="s">
        <v>1927</v>
      </c>
      <c r="D206" s="151" t="str">
        <f>VLOOKUP(B206,'Analysis OUT by pay'!B:B,1,false)</f>
        <v>#N/A</v>
      </c>
    </row>
    <row r="207" ht="15.75" customHeight="1">
      <c r="A207" s="82" t="s">
        <v>1928</v>
      </c>
      <c r="B207" s="489" t="s">
        <v>1929</v>
      </c>
      <c r="D207" s="151" t="str">
        <f>VLOOKUP(B207,'Analysis OUT by pay'!B:B,1,false)</f>
        <v>#N/A</v>
      </c>
    </row>
    <row r="208" ht="15.75" customHeight="1">
      <c r="A208" s="140" t="s">
        <v>218</v>
      </c>
      <c r="B208" s="489" t="s">
        <v>217</v>
      </c>
      <c r="D208" s="151" t="str">
        <f>VLOOKUP(B208,'Analysis OUT by pay'!B:B,1,false)</f>
        <v>Bus</v>
      </c>
    </row>
    <row r="209" ht="15.75" customHeight="1">
      <c r="A209" s="140" t="s">
        <v>218</v>
      </c>
      <c r="B209" s="489" t="s">
        <v>46</v>
      </c>
      <c r="D209" s="151" t="str">
        <f>VLOOKUP(B209,'Analysis OUT by pay'!B:B,1,false)</f>
        <v>UberCopter</v>
      </c>
    </row>
    <row r="210" ht="15.75" customHeight="1">
      <c r="A210" s="140" t="s">
        <v>216</v>
      </c>
      <c r="B210" s="489" t="s">
        <v>205</v>
      </c>
      <c r="D210" s="151" t="str">
        <f>VLOOKUP(B210,'Analysis OUT by pay'!B:B,1,false)</f>
        <v>2x2x2</v>
      </c>
    </row>
    <row r="211" ht="15.75" customHeight="1">
      <c r="A211" s="140" t="s">
        <v>216</v>
      </c>
      <c r="B211" s="489" t="s">
        <v>206</v>
      </c>
      <c r="D211" s="151" t="str">
        <f>VLOOKUP(B211,'Analysis OUT by pay'!B:B,1,false)</f>
        <v>barShift</v>
      </c>
    </row>
    <row r="212" ht="15.75" customHeight="1">
      <c r="A212" s="140" t="s">
        <v>216</v>
      </c>
      <c r="B212" s="489" t="s">
        <v>207</v>
      </c>
      <c r="D212" s="151" t="str">
        <f>VLOOKUP(B212,'Analysis OUT by pay'!B:B,1,false)</f>
        <v>Clarita-wages</v>
      </c>
    </row>
    <row r="213" ht="15.75" customHeight="1">
      <c r="A213" s="140" t="s">
        <v>216</v>
      </c>
      <c r="B213" s="489" t="s">
        <v>165</v>
      </c>
      <c r="D213" s="151" t="str">
        <f>VLOOKUP(B213,'Analysis OUT by pay'!B:B,1,false)</f>
        <v>Cleaning</v>
      </c>
    </row>
    <row r="214" ht="15.75" customHeight="1">
      <c r="A214" s="140" t="s">
        <v>216</v>
      </c>
      <c r="B214" s="489" t="s">
        <v>208</v>
      </c>
      <c r="D214" s="151" t="str">
        <f>VLOOKUP(B214,'Analysis OUT by pay'!B:B,1,false)</f>
        <v>Dinner</v>
      </c>
    </row>
    <row r="215" ht="15.75" customHeight="1">
      <c r="A215" s="140" t="s">
        <v>216</v>
      </c>
      <c r="B215" s="489" t="s">
        <v>209</v>
      </c>
      <c r="D215" s="151" t="str">
        <f>VLOOKUP(B215,'Analysis OUT by pay'!B:B,1,false)</f>
        <v>Excel</v>
      </c>
    </row>
    <row r="216" ht="15.75" customHeight="1">
      <c r="A216" s="140" t="s">
        <v>216</v>
      </c>
      <c r="B216" s="489" t="s">
        <v>210</v>
      </c>
      <c r="D216" s="151" t="str">
        <f>VLOOKUP(B216,'Analysis OUT by pay'!B:B,1,false)</f>
        <v>Food Staff</v>
      </c>
    </row>
    <row r="217" ht="15.75" customHeight="1">
      <c r="A217" s="140" t="s">
        <v>216</v>
      </c>
      <c r="B217" s="489" t="s">
        <v>211</v>
      </c>
      <c r="D217" s="151" t="str">
        <f>VLOOKUP(B217,'Analysis OUT by pay'!B:B,1,false)</f>
        <v>Manager</v>
      </c>
    </row>
    <row r="218" ht="15.75" customHeight="1">
      <c r="A218" s="140" t="s">
        <v>216</v>
      </c>
      <c r="B218" s="489" t="s">
        <v>212</v>
      </c>
      <c r="D218" s="151" t="str">
        <f>VLOOKUP(B218,'Analysis OUT by pay'!B:B,1,false)</f>
        <v>Marta-wages</v>
      </c>
    </row>
    <row r="219" ht="15.75" customHeight="1">
      <c r="A219" s="140" t="s">
        <v>216</v>
      </c>
      <c r="B219" s="489" t="s">
        <v>213</v>
      </c>
      <c r="D219" s="151" t="str">
        <f>VLOOKUP(B219,'Analysis OUT by pay'!B:B,1,false)</f>
        <v>Night shift</v>
      </c>
    </row>
    <row r="220" ht="15.75" customHeight="1">
      <c r="A220" s="140" t="s">
        <v>216</v>
      </c>
      <c r="B220" s="489" t="s">
        <v>214</v>
      </c>
      <c r="D220" s="151" t="str">
        <f>VLOOKUP(B220,'Analysis OUT by pay'!B:B,1,false)</f>
        <v>Pancakes</v>
      </c>
    </row>
    <row r="221" ht="15.75" customHeight="1">
      <c r="A221" s="140" t="s">
        <v>216</v>
      </c>
      <c r="B221" s="489" t="s">
        <v>215</v>
      </c>
      <c r="D221" s="151" t="str">
        <f>VLOOKUP(B221,'Analysis OUT by pay'!B:B,1,false)</f>
        <v>Reception Shift</v>
      </c>
    </row>
    <row r="222" ht="15.75" customHeight="1">
      <c r="A222" s="77"/>
      <c r="B222" s="77"/>
      <c r="D222" s="34">
        <f>VLOOKUP(B222,'Analysis OUT by pay'!B:B,1,false)</f>
        <v>0</v>
      </c>
    </row>
    <row r="223" ht="15.75" customHeight="1">
      <c r="A223" s="77"/>
      <c r="B223" s="77"/>
      <c r="D223" s="34">
        <f>VLOOKUP(B223,'Analysis OUT by pay'!B:B,1,false)</f>
        <v>0</v>
      </c>
    </row>
    <row r="224" ht="15.75" customHeight="1">
      <c r="A224" s="77"/>
      <c r="B224" s="77"/>
      <c r="D224" s="34">
        <f>VLOOKUP(B224,'Analysis OUT by pay'!B:B,1,false)</f>
        <v>0</v>
      </c>
    </row>
    <row r="225" ht="15.75" customHeight="1">
      <c r="A225" s="77"/>
      <c r="B225" s="77"/>
      <c r="D225" s="34">
        <f>VLOOKUP(B225,'Analysis OUT by pay'!B:B,1,false)</f>
        <v>0</v>
      </c>
    </row>
    <row r="226" ht="15.75" customHeight="1">
      <c r="A226" s="77"/>
      <c r="B226" s="77"/>
      <c r="D226" s="34">
        <f>VLOOKUP(B226,'Analysis OUT by pay'!B:B,1,false)</f>
        <v>0</v>
      </c>
    </row>
    <row r="227" ht="15.75" customHeight="1">
      <c r="A227" s="77"/>
      <c r="B227" s="77"/>
      <c r="D227" s="34">
        <f>VLOOKUP(B227,'Analysis OUT by pay'!B:B,1,false)</f>
        <v>0</v>
      </c>
    </row>
    <row r="228" ht="15.75" customHeight="1">
      <c r="A228" s="77"/>
      <c r="B228" s="77"/>
      <c r="D228" s="34">
        <f>VLOOKUP(B228,'Analysis OUT by pay'!B:B,1,false)</f>
        <v>0</v>
      </c>
    </row>
    <row r="229" ht="15.75" customHeight="1">
      <c r="A229" s="77"/>
      <c r="B229" s="77"/>
      <c r="D229" s="34">
        <f>VLOOKUP(B229,'Analysis OUT by pay'!B:B,1,false)</f>
        <v>0</v>
      </c>
    </row>
    <row r="230" ht="15.75" customHeight="1">
      <c r="A230" s="77"/>
      <c r="B230" s="77"/>
      <c r="D230" s="34">
        <f>VLOOKUP(B230,'Analysis OUT by pay'!B:B,1,false)</f>
        <v>0</v>
      </c>
    </row>
    <row r="231" ht="15.75" customHeight="1">
      <c r="A231" s="77"/>
      <c r="B231" s="77"/>
      <c r="D231" s="34">
        <f>VLOOKUP(B231,'Analysis OUT by pay'!B:B,1,false)</f>
        <v>0</v>
      </c>
    </row>
    <row r="232" ht="15.75" customHeight="1">
      <c r="A232" s="77"/>
      <c r="B232" s="77"/>
      <c r="D232" s="34">
        <f>VLOOKUP(B232,'Analysis OUT by pay'!B:B,1,false)</f>
        <v>0</v>
      </c>
    </row>
    <row r="233" ht="15.75" customHeight="1">
      <c r="A233" s="77"/>
      <c r="B233" s="77"/>
      <c r="D233" s="34">
        <f>VLOOKUP(B233,'Analysis OUT by pay'!B:B,1,false)</f>
        <v>0</v>
      </c>
    </row>
    <row r="234" ht="15.75" customHeight="1">
      <c r="A234" s="77"/>
      <c r="B234" s="77"/>
      <c r="D234" s="34">
        <f>VLOOKUP(B234,'Analysis OUT by pay'!B:B,1,false)</f>
        <v>0</v>
      </c>
    </row>
    <row r="235" ht="15.75" customHeight="1">
      <c r="A235" s="77"/>
      <c r="B235" s="77"/>
      <c r="D235" s="34">
        <f>VLOOKUP(B235,'Analysis OUT by pay'!B:B,1,false)</f>
        <v>0</v>
      </c>
    </row>
    <row r="236" ht="15.75" customHeight="1">
      <c r="A236" s="77"/>
      <c r="B236" s="77"/>
      <c r="D236" s="34">
        <f>VLOOKUP(B236,'Analysis OUT by pay'!B:B,1,false)</f>
        <v>0</v>
      </c>
    </row>
    <row r="237" ht="15.75" customHeight="1">
      <c r="A237" s="77"/>
      <c r="B237" s="77"/>
      <c r="D237" s="34">
        <f>VLOOKUP(B237,'Analysis OUT by pay'!B:B,1,false)</f>
        <v>0</v>
      </c>
    </row>
    <row r="238" ht="15.75" customHeight="1">
      <c r="A238" s="77"/>
      <c r="B238" s="77"/>
      <c r="D238" s="34">
        <f>VLOOKUP(B238,'Analysis OUT by pay'!B:B,1,false)</f>
        <v>0</v>
      </c>
    </row>
    <row r="239" ht="15.75" customHeight="1">
      <c r="A239" s="77"/>
      <c r="B239" s="77"/>
    </row>
    <row r="240" ht="15.75" customHeight="1">
      <c r="A240" s="77"/>
      <c r="B240" s="77"/>
    </row>
    <row r="241" ht="15.75" customHeight="1">
      <c r="A241" s="77"/>
      <c r="B241" s="77"/>
    </row>
    <row r="242" ht="15.75" customHeight="1">
      <c r="A242" s="77"/>
      <c r="B242" s="77"/>
    </row>
    <row r="243" ht="15.75" customHeight="1">
      <c r="A243" s="77"/>
      <c r="B243" s="77"/>
    </row>
    <row r="244" ht="15.75" customHeight="1">
      <c r="A244" s="77"/>
      <c r="B244" s="77"/>
    </row>
    <row r="245" ht="15.75" customHeight="1">
      <c r="A245" s="77"/>
      <c r="B245" s="77"/>
    </row>
    <row r="246" ht="15.75" customHeight="1">
      <c r="A246" s="77"/>
      <c r="B246" s="77"/>
    </row>
    <row r="247" ht="15.75" customHeight="1">
      <c r="A247" s="77"/>
      <c r="B247" s="77"/>
    </row>
    <row r="248" ht="15.75" customHeight="1">
      <c r="A248" s="77"/>
      <c r="B248" s="77"/>
    </row>
    <row r="249" ht="15.75" customHeight="1">
      <c r="A249" s="77"/>
      <c r="B249" s="77"/>
    </row>
    <row r="250" ht="15.75" customHeight="1">
      <c r="A250" s="77"/>
      <c r="B250" s="77"/>
    </row>
    <row r="251" ht="15.75" customHeight="1">
      <c r="A251" s="77"/>
      <c r="B251" s="77"/>
    </row>
    <row r="252" ht="15.75" customHeight="1">
      <c r="A252" s="77"/>
      <c r="B252" s="77"/>
    </row>
    <row r="253" ht="15.75" customHeight="1">
      <c r="A253" s="77"/>
      <c r="B253" s="77"/>
    </row>
    <row r="254" ht="15.75" customHeight="1">
      <c r="A254" s="77"/>
      <c r="B254" s="77"/>
    </row>
    <row r="255" ht="15.75" customHeight="1">
      <c r="A255" s="77"/>
      <c r="B255" s="77"/>
    </row>
    <row r="256" ht="15.75" customHeight="1">
      <c r="A256" s="77"/>
      <c r="B256" s="77"/>
    </row>
    <row r="257" ht="15.75" customHeight="1">
      <c r="A257" s="77"/>
      <c r="B257" s="77"/>
    </row>
    <row r="258" ht="15.75" customHeight="1">
      <c r="A258" s="77"/>
      <c r="B258" s="77"/>
    </row>
    <row r="259" ht="15.75" customHeight="1">
      <c r="A259" s="77"/>
      <c r="B259" s="77"/>
    </row>
    <row r="260" ht="15.75" customHeight="1">
      <c r="A260" s="77"/>
      <c r="B260" s="77"/>
    </row>
    <row r="261" ht="15.75" customHeight="1">
      <c r="A261" s="77"/>
      <c r="B261" s="77"/>
    </row>
    <row r="262" ht="15.75" customHeight="1">
      <c r="A262" s="77"/>
      <c r="B262" s="77"/>
    </row>
    <row r="263" ht="15.75" customHeight="1">
      <c r="A263" s="77"/>
      <c r="B263" s="77"/>
    </row>
    <row r="264" ht="15.75" customHeight="1">
      <c r="A264" s="77"/>
      <c r="B264" s="77"/>
    </row>
    <row r="265" ht="15.75" customHeight="1">
      <c r="A265" s="77"/>
      <c r="B265" s="77"/>
    </row>
    <row r="266" ht="15.75" customHeight="1">
      <c r="A266" s="77"/>
      <c r="B266" s="77"/>
    </row>
    <row r="267" ht="15.75" customHeight="1">
      <c r="A267" s="77"/>
      <c r="B267" s="77"/>
    </row>
    <row r="268" ht="15.75" customHeight="1">
      <c r="A268" s="77"/>
      <c r="B268" s="77"/>
    </row>
    <row r="269" ht="15.75" customHeight="1">
      <c r="A269" s="77"/>
      <c r="B269" s="77"/>
    </row>
    <row r="270" ht="15.75" customHeight="1">
      <c r="A270" s="77"/>
      <c r="B270" s="77"/>
    </row>
    <row r="271" ht="15.75" customHeight="1">
      <c r="A271" s="77"/>
      <c r="B271" s="77"/>
    </row>
    <row r="272" ht="15.75" customHeight="1">
      <c r="A272" s="77"/>
      <c r="B272" s="77"/>
    </row>
    <row r="273" ht="15.75" customHeight="1">
      <c r="A273" s="77"/>
      <c r="B273" s="77"/>
    </row>
    <row r="274" ht="15.75" customHeight="1">
      <c r="A274" s="77"/>
      <c r="B274" s="77"/>
    </row>
    <row r="275" ht="15.75" customHeight="1">
      <c r="A275" s="77"/>
      <c r="B275" s="77"/>
    </row>
    <row r="276" ht="15.75" customHeight="1">
      <c r="A276" s="77"/>
      <c r="B276" s="77"/>
    </row>
    <row r="277" ht="15.75" customHeight="1">
      <c r="A277" s="77"/>
      <c r="B277" s="77"/>
    </row>
    <row r="278" ht="15.75" customHeight="1">
      <c r="A278" s="77"/>
      <c r="B278" s="77"/>
    </row>
    <row r="279" ht="15.75" customHeight="1">
      <c r="A279" s="77"/>
      <c r="B279" s="77"/>
    </row>
    <row r="280" ht="15.75" customHeight="1">
      <c r="A280" s="77"/>
      <c r="B280" s="77"/>
    </row>
    <row r="281" ht="15.75" customHeight="1">
      <c r="A281" s="77"/>
      <c r="B281" s="77"/>
    </row>
    <row r="282" ht="15.75" customHeight="1">
      <c r="A282" s="77"/>
      <c r="B282" s="77"/>
    </row>
    <row r="283" ht="15.75" customHeight="1">
      <c r="A283" s="77"/>
      <c r="B283" s="77"/>
    </row>
    <row r="284" ht="15.75" customHeight="1">
      <c r="A284" s="77"/>
      <c r="B284" s="77"/>
    </row>
    <row r="285" ht="15.75" customHeight="1">
      <c r="A285" s="77"/>
      <c r="B285" s="77"/>
    </row>
    <row r="286" ht="15.75" customHeight="1">
      <c r="A286" s="77"/>
      <c r="B286" s="77"/>
    </row>
    <row r="287" ht="15.75" customHeight="1">
      <c r="A287" s="77"/>
      <c r="B287" s="77"/>
    </row>
    <row r="288" ht="15.75" customHeight="1">
      <c r="A288" s="77"/>
      <c r="B288" s="77"/>
    </row>
    <row r="289" ht="15.75" customHeight="1">
      <c r="A289" s="77"/>
      <c r="B289" s="77"/>
    </row>
    <row r="290" ht="15.75" customHeight="1">
      <c r="A290" s="77"/>
      <c r="B290" s="77"/>
    </row>
    <row r="291" ht="15.75" customHeight="1">
      <c r="A291" s="77"/>
      <c r="B291" s="77"/>
    </row>
    <row r="292" ht="15.75" customHeight="1">
      <c r="A292" s="77"/>
      <c r="B292" s="77"/>
    </row>
    <row r="293" ht="15.75" customHeight="1">
      <c r="A293" s="77"/>
      <c r="B293" s="77"/>
    </row>
    <row r="294" ht="15.75" customHeight="1">
      <c r="A294" s="77"/>
      <c r="B294" s="77"/>
    </row>
    <row r="295" ht="15.75" customHeight="1">
      <c r="A295" s="77"/>
      <c r="B295" s="77"/>
    </row>
    <row r="296" ht="15.75" customHeight="1">
      <c r="A296" s="77"/>
      <c r="B296" s="77"/>
    </row>
    <row r="297" ht="15.75" customHeight="1">
      <c r="A297" s="77"/>
      <c r="B297" s="77"/>
    </row>
    <row r="298" ht="15.75" customHeight="1">
      <c r="A298" s="77"/>
      <c r="B298" s="77"/>
    </row>
    <row r="299" ht="15.75" customHeight="1">
      <c r="A299" s="77"/>
      <c r="B299" s="77"/>
    </row>
    <row r="300" ht="15.75" customHeight="1">
      <c r="A300" s="77"/>
      <c r="B300" s="77"/>
    </row>
    <row r="301" ht="15.75" customHeight="1">
      <c r="A301" s="77"/>
      <c r="B301" s="77"/>
    </row>
    <row r="302" ht="15.75" customHeight="1">
      <c r="A302" s="77"/>
      <c r="B302" s="77"/>
    </row>
    <row r="303" ht="15.75" customHeight="1">
      <c r="A303" s="77"/>
      <c r="B303" s="77"/>
    </row>
    <row r="304" ht="15.75" customHeight="1">
      <c r="A304" s="77"/>
      <c r="B304" s="77"/>
    </row>
    <row r="305" ht="15.75" customHeight="1">
      <c r="A305" s="77"/>
      <c r="B305" s="77"/>
    </row>
    <row r="306" ht="15.75" customHeight="1">
      <c r="A306" s="77"/>
      <c r="B306" s="77"/>
    </row>
    <row r="307" ht="15.75" customHeight="1">
      <c r="A307" s="77"/>
      <c r="B307" s="77"/>
    </row>
    <row r="308" ht="15.75" customHeight="1">
      <c r="A308" s="77"/>
      <c r="B308" s="77"/>
    </row>
    <row r="309" ht="15.75" customHeight="1">
      <c r="A309" s="77"/>
      <c r="B309" s="77"/>
    </row>
    <row r="310" ht="15.75" customHeight="1">
      <c r="A310" s="77"/>
      <c r="B310" s="77"/>
    </row>
    <row r="311" ht="15.75" customHeight="1">
      <c r="A311" s="77"/>
      <c r="B311" s="77"/>
    </row>
    <row r="312" ht="15.75" customHeight="1">
      <c r="A312" s="77"/>
      <c r="B312" s="77"/>
    </row>
    <row r="313" ht="15.75" customHeight="1">
      <c r="A313" s="77"/>
      <c r="B313" s="77"/>
    </row>
    <row r="314" ht="15.75" customHeight="1">
      <c r="A314" s="77"/>
      <c r="B314" s="77"/>
    </row>
    <row r="315" ht="15.75" customHeight="1">
      <c r="A315" s="77"/>
      <c r="B315" s="77"/>
    </row>
    <row r="316" ht="15.75" customHeight="1">
      <c r="A316" s="77"/>
      <c r="B316" s="77"/>
    </row>
    <row r="317" ht="15.75" customHeight="1">
      <c r="A317" s="77"/>
      <c r="B317" s="77"/>
    </row>
    <row r="318" ht="15.75" customHeight="1">
      <c r="A318" s="77"/>
      <c r="B318" s="77"/>
    </row>
    <row r="319" ht="15.75" customHeight="1">
      <c r="A319" s="77"/>
      <c r="B319" s="77"/>
    </row>
    <row r="320" ht="15.75" customHeight="1">
      <c r="A320" s="77"/>
      <c r="B320" s="77"/>
    </row>
    <row r="321" ht="15.75" customHeight="1">
      <c r="A321" s="77"/>
      <c r="B321" s="77"/>
    </row>
    <row r="322" ht="15.75" customHeight="1">
      <c r="A322" s="77"/>
      <c r="B322" s="77"/>
    </row>
    <row r="323" ht="15.75" customHeight="1">
      <c r="A323" s="77"/>
      <c r="B323" s="77"/>
    </row>
    <row r="324" ht="15.75" customHeight="1">
      <c r="A324" s="77"/>
      <c r="B324" s="77"/>
    </row>
    <row r="325" ht="15.75" customHeight="1">
      <c r="A325" s="77"/>
      <c r="B325" s="77"/>
    </row>
    <row r="326" ht="15.75" customHeight="1">
      <c r="A326" s="77"/>
      <c r="B326" s="77"/>
    </row>
    <row r="327" ht="15.75" customHeight="1">
      <c r="A327" s="77"/>
      <c r="B327" s="77"/>
    </row>
    <row r="328" ht="15.75" customHeight="1">
      <c r="A328" s="77"/>
      <c r="B328" s="77"/>
    </row>
    <row r="329" ht="15.75" customHeight="1">
      <c r="A329" s="77"/>
      <c r="B329" s="77"/>
    </row>
    <row r="330" ht="15.75" customHeight="1">
      <c r="A330" s="77"/>
      <c r="B330" s="77"/>
    </row>
    <row r="331" ht="15.75" customHeight="1">
      <c r="A331" s="77"/>
      <c r="B331" s="77"/>
    </row>
    <row r="332" ht="15.75" customHeight="1">
      <c r="A332" s="77"/>
      <c r="B332" s="77"/>
    </row>
    <row r="333" ht="15.75" customHeight="1">
      <c r="A333" s="77"/>
      <c r="B333" s="77"/>
    </row>
    <row r="334" ht="15.75" customHeight="1">
      <c r="A334" s="77"/>
      <c r="B334" s="77"/>
    </row>
    <row r="335" ht="15.75" customHeight="1">
      <c r="A335" s="77"/>
      <c r="B335" s="77"/>
    </row>
    <row r="336" ht="15.75" customHeight="1">
      <c r="A336" s="77"/>
      <c r="B336" s="77"/>
    </row>
    <row r="337" ht="15.75" customHeight="1">
      <c r="A337" s="77"/>
      <c r="B337" s="77"/>
    </row>
    <row r="338" ht="15.75" customHeight="1">
      <c r="A338" s="77"/>
      <c r="B338" s="77"/>
    </row>
    <row r="339" ht="15.75" customHeight="1">
      <c r="A339" s="77"/>
      <c r="B339" s="77"/>
    </row>
    <row r="340" ht="15.75" customHeight="1">
      <c r="A340" s="77"/>
      <c r="B340" s="77"/>
    </row>
    <row r="341" ht="15.75" customHeight="1">
      <c r="A341" s="77"/>
      <c r="B341" s="77"/>
    </row>
    <row r="342" ht="15.75" customHeight="1">
      <c r="A342" s="77"/>
      <c r="B342" s="77"/>
    </row>
    <row r="343" ht="15.75" customHeight="1">
      <c r="A343" s="77"/>
      <c r="B343" s="77"/>
    </row>
    <row r="344" ht="15.75" customHeight="1">
      <c r="A344" s="77"/>
      <c r="B344" s="77"/>
    </row>
    <row r="345" ht="15.75" customHeight="1">
      <c r="A345" s="77"/>
      <c r="B345" s="77"/>
    </row>
    <row r="346" ht="15.75" customHeight="1">
      <c r="A346" s="77"/>
      <c r="B346" s="77"/>
    </row>
    <row r="347" ht="15.75" customHeight="1">
      <c r="A347" s="77"/>
      <c r="B347" s="77"/>
    </row>
    <row r="348" ht="15.75" customHeight="1">
      <c r="A348" s="77"/>
      <c r="B348" s="77"/>
    </row>
    <row r="349" ht="15.75" customHeight="1">
      <c r="A349" s="77"/>
      <c r="B349" s="77"/>
    </row>
    <row r="350" ht="15.75" customHeight="1">
      <c r="A350" s="77"/>
      <c r="B350" s="77"/>
    </row>
    <row r="351" ht="15.75" customHeight="1">
      <c r="A351" s="77"/>
      <c r="B351" s="77"/>
    </row>
    <row r="352" ht="15.75" customHeight="1">
      <c r="A352" s="77"/>
      <c r="B352" s="77"/>
    </row>
    <row r="353" ht="15.75" customHeight="1">
      <c r="A353" s="77"/>
      <c r="B353" s="77"/>
    </row>
    <row r="354" ht="15.75" customHeight="1">
      <c r="A354" s="77"/>
      <c r="B354" s="77"/>
    </row>
    <row r="355" ht="15.75" customHeight="1">
      <c r="A355" s="77"/>
      <c r="B355" s="77"/>
    </row>
    <row r="356" ht="15.75" customHeight="1">
      <c r="A356" s="77"/>
      <c r="B356" s="77"/>
    </row>
    <row r="357" ht="15.75" customHeight="1">
      <c r="A357" s="77"/>
      <c r="B357" s="77"/>
    </row>
    <row r="358" ht="15.75" customHeight="1">
      <c r="A358" s="77"/>
      <c r="B358" s="77"/>
    </row>
    <row r="359" ht="15.75" customHeight="1">
      <c r="A359" s="77"/>
      <c r="B359" s="77"/>
    </row>
    <row r="360" ht="15.75" customHeight="1">
      <c r="A360" s="77"/>
      <c r="B360" s="77"/>
    </row>
    <row r="361" ht="15.75" customHeight="1">
      <c r="A361" s="77"/>
      <c r="B361" s="77"/>
    </row>
    <row r="362" ht="15.75" customHeight="1">
      <c r="A362" s="77"/>
      <c r="B362" s="77"/>
    </row>
    <row r="363" ht="15.75" customHeight="1">
      <c r="A363" s="77"/>
      <c r="B363" s="77"/>
    </row>
    <row r="364" ht="15.75" customHeight="1">
      <c r="A364" s="77"/>
      <c r="B364" s="77"/>
    </row>
    <row r="365" ht="15.75" customHeight="1">
      <c r="A365" s="77"/>
      <c r="B365" s="77"/>
    </row>
    <row r="366" ht="15.75" customHeight="1">
      <c r="A366" s="77"/>
      <c r="B366" s="77"/>
    </row>
    <row r="367" ht="15.75" customHeight="1">
      <c r="A367" s="77"/>
      <c r="B367" s="77"/>
    </row>
    <row r="368" ht="15.75" customHeight="1">
      <c r="A368" s="77"/>
      <c r="B368" s="77"/>
    </row>
    <row r="369" ht="15.75" customHeight="1">
      <c r="A369" s="77"/>
      <c r="B369" s="77"/>
    </row>
    <row r="370" ht="15.75" customHeight="1">
      <c r="A370" s="77"/>
      <c r="B370" s="77"/>
    </row>
    <row r="371" ht="15.75" customHeight="1">
      <c r="A371" s="77"/>
      <c r="B371" s="77"/>
    </row>
    <row r="372" ht="15.75" customHeight="1">
      <c r="A372" s="77"/>
      <c r="B372" s="77"/>
    </row>
    <row r="373" ht="15.75" customHeight="1">
      <c r="A373" s="77"/>
      <c r="B373" s="77"/>
    </row>
    <row r="374" ht="15.75" customHeight="1">
      <c r="A374" s="77"/>
      <c r="B374" s="77"/>
    </row>
    <row r="375" ht="15.75" customHeight="1">
      <c r="A375" s="77"/>
      <c r="B375" s="77"/>
    </row>
    <row r="376" ht="15.75" customHeight="1">
      <c r="A376" s="77"/>
      <c r="B376" s="77"/>
    </row>
    <row r="377" ht="15.75" customHeight="1">
      <c r="A377" s="77"/>
      <c r="B377" s="77"/>
    </row>
    <row r="378" ht="15.75" customHeight="1">
      <c r="A378" s="77"/>
      <c r="B378" s="77"/>
    </row>
    <row r="379" ht="15.75" customHeight="1">
      <c r="A379" s="77"/>
      <c r="B379" s="77"/>
    </row>
    <row r="380" ht="15.75" customHeight="1">
      <c r="A380" s="77"/>
      <c r="B380" s="77"/>
    </row>
    <row r="381" ht="15.75" customHeight="1">
      <c r="A381" s="77"/>
      <c r="B381" s="77"/>
    </row>
    <row r="382" ht="15.75" customHeight="1">
      <c r="A382" s="77"/>
      <c r="B382" s="77"/>
    </row>
    <row r="383" ht="15.75" customHeight="1">
      <c r="A383" s="77"/>
      <c r="B383" s="77"/>
    </row>
    <row r="384" ht="15.75" customHeight="1">
      <c r="A384" s="77"/>
      <c r="B384" s="77"/>
    </row>
    <row r="385" ht="15.75" customHeight="1">
      <c r="A385" s="77"/>
      <c r="B385" s="77"/>
    </row>
    <row r="386" ht="15.75" customHeight="1">
      <c r="A386" s="77"/>
      <c r="B386" s="77"/>
    </row>
    <row r="387" ht="15.75" customHeight="1">
      <c r="A387" s="77"/>
      <c r="B387" s="77"/>
    </row>
    <row r="388" ht="15.75" customHeight="1">
      <c r="A388" s="77"/>
      <c r="B388" s="77"/>
    </row>
    <row r="389" ht="15.75" customHeight="1">
      <c r="A389" s="77"/>
      <c r="B389" s="77"/>
    </row>
    <row r="390" ht="15.75" customHeight="1">
      <c r="A390" s="77"/>
      <c r="B390" s="77"/>
    </row>
    <row r="391" ht="15.75" customHeight="1">
      <c r="A391" s="77"/>
      <c r="B391" s="77"/>
    </row>
    <row r="392" ht="15.75" customHeight="1">
      <c r="A392" s="77"/>
      <c r="B392" s="77"/>
    </row>
    <row r="393" ht="15.75" customHeight="1">
      <c r="A393" s="77"/>
      <c r="B393" s="77"/>
    </row>
    <row r="394" ht="15.75" customHeight="1">
      <c r="A394" s="77"/>
      <c r="B394" s="77"/>
    </row>
    <row r="395" ht="15.75" customHeight="1">
      <c r="A395" s="77"/>
      <c r="B395" s="77"/>
    </row>
    <row r="396" ht="15.75" customHeight="1">
      <c r="A396" s="77"/>
      <c r="B396" s="77"/>
    </row>
    <row r="397" ht="15.75" customHeight="1">
      <c r="A397" s="77"/>
      <c r="B397" s="77"/>
    </row>
    <row r="398" ht="15.75" customHeight="1">
      <c r="A398" s="77"/>
      <c r="B398" s="77"/>
    </row>
    <row r="399" ht="15.75" customHeight="1">
      <c r="A399" s="77"/>
      <c r="B399" s="77"/>
    </row>
    <row r="400" ht="15.75" customHeight="1">
      <c r="A400" s="77"/>
      <c r="B400" s="77"/>
    </row>
    <row r="401" ht="15.75" customHeight="1">
      <c r="A401" s="77"/>
      <c r="B401" s="77"/>
    </row>
    <row r="402" ht="15.75" customHeight="1">
      <c r="A402" s="77"/>
      <c r="B402" s="77"/>
    </row>
    <row r="403" ht="15.75" customHeight="1">
      <c r="A403" s="77"/>
      <c r="B403" s="77"/>
    </row>
    <row r="404" ht="15.75" customHeight="1">
      <c r="A404" s="77"/>
      <c r="B404" s="77"/>
    </row>
    <row r="405" ht="15.75" customHeight="1">
      <c r="A405" s="77"/>
      <c r="B405" s="77"/>
    </row>
    <row r="406" ht="15.75" customHeight="1">
      <c r="A406" s="77"/>
      <c r="B406" s="77"/>
    </row>
    <row r="407" ht="15.75" customHeight="1">
      <c r="A407" s="77"/>
      <c r="B407" s="77"/>
    </row>
    <row r="408" ht="15.75" customHeight="1">
      <c r="A408" s="77"/>
      <c r="B408" s="77"/>
    </row>
    <row r="409" ht="15.75" customHeight="1">
      <c r="A409" s="77"/>
      <c r="B409" s="77"/>
    </row>
    <row r="410" ht="15.75" customHeight="1">
      <c r="A410" s="77"/>
      <c r="B410" s="77"/>
    </row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</sheetData>
  <autoFilter ref="$A$1:$Z$1025"/>
  <drawing r:id="rId1"/>
</worksheet>
</file>